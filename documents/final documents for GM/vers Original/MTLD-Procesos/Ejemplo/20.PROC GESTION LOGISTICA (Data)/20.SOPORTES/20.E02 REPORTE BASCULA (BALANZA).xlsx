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rhhdata\Downloads\"/>
    </mc:Choice>
  </mc:AlternateContent>
  <bookViews>
    <workbookView xWindow="0" yWindow="0" windowWidth="20280" windowHeight="4860" tabRatio="581" firstSheet="2" activeTab="3"/>
  </bookViews>
  <sheets>
    <sheet name="ENERO" sheetId="1" r:id="rId1"/>
    <sheet name="FEBRERO" sheetId="2" r:id="rId2"/>
    <sheet name="MARZO" sheetId="3" r:id="rId3"/>
    <sheet name="ABRIL" sheetId="4" r:id="rId4"/>
    <sheet name="Hoja3" sheetId="9" state="hidden" r:id="rId5"/>
    <sheet name="Hoja4" sheetId="10" state="hidden" r:id="rId6"/>
    <sheet name="Hoja2" sheetId="8" state="hidden" r:id="rId7"/>
    <sheet name="Hoja1" sheetId="7" state="hidden" r:id="rId8"/>
    <sheet name="MAYO" sheetId="5" r:id="rId9"/>
    <sheet name="JUNIO" sheetId="6" r:id="rId10"/>
  </sheets>
  <definedNames>
    <definedName name="_xlnm._FilterDatabase" localSheetId="3" hidden="1">ABRIL!$A$61:$AK$934</definedName>
    <definedName name="_xlnm._FilterDatabase" localSheetId="0" hidden="1">ENERO!$C$1:$C$933</definedName>
    <definedName name="_xlnm._FilterDatabase" localSheetId="1" hidden="1">FEBRERO!$C$1:$C$950</definedName>
    <definedName name="_xlnm._FilterDatabase" localSheetId="2" hidden="1">MARZO!$B$670:$P$905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640" i="4" l="1"/>
  <c r="U640" i="4" l="1"/>
  <c r="T640" i="4"/>
  <c r="U639" i="4"/>
  <c r="U638" i="4"/>
  <c r="U637" i="4"/>
  <c r="N634" i="4"/>
  <c r="K633" i="4"/>
  <c r="K632" i="4" l="1"/>
  <c r="S628" i="4"/>
  <c r="K630" i="4"/>
  <c r="N625" i="4"/>
  <c r="N622" i="4"/>
  <c r="K592" i="4" l="1"/>
  <c r="K591" i="4"/>
  <c r="K588" i="4"/>
  <c r="K583" i="4"/>
  <c r="K582" i="4"/>
  <c r="R577" i="4" l="1"/>
  <c r="U565" i="4"/>
  <c r="U568" i="4" s="1"/>
  <c r="W568" i="4" s="1"/>
  <c r="U566" i="4"/>
  <c r="T568" i="4"/>
  <c r="U567" i="4"/>
  <c r="R554" i="4"/>
  <c r="N552" i="4"/>
  <c r="N545" i="4" l="1"/>
  <c r="K537" i="4"/>
  <c r="K532" i="4"/>
  <c r="K530" i="4" l="1"/>
  <c r="N529" i="4"/>
  <c r="K527" i="4"/>
  <c r="U523" i="4"/>
  <c r="U524" i="4" s="1"/>
  <c r="W524" i="4" s="1"/>
  <c r="U522" i="4"/>
  <c r="U521" i="4"/>
  <c r="T524" i="4"/>
  <c r="K486" i="4" l="1"/>
  <c r="N455" i="4" l="1"/>
  <c r="Q452" i="4"/>
  <c r="Q451" i="4"/>
  <c r="N450" i="4"/>
  <c r="K401" i="4" l="1"/>
  <c r="N399" i="4" l="1"/>
  <c r="K398" i="4"/>
  <c r="N396" i="4"/>
  <c r="N392" i="4"/>
  <c r="T356" i="4" l="1"/>
  <c r="U350" i="4"/>
  <c r="U351" i="4"/>
  <c r="T353" i="4"/>
  <c r="U352" i="4"/>
  <c r="K341" i="4"/>
  <c r="U353" i="4" l="1"/>
  <c r="W353" i="4" s="1"/>
  <c r="K337" i="4"/>
  <c r="K336" i="4"/>
  <c r="K334" i="4"/>
  <c r="K333" i="4"/>
  <c r="K326" i="4" l="1"/>
  <c r="N323" i="4" l="1"/>
  <c r="N314" i="4" l="1"/>
  <c r="N308" i="4"/>
  <c r="K278" i="4" l="1"/>
  <c r="N270" i="4" l="1"/>
  <c r="K270" i="4"/>
  <c r="N261" i="4" l="1"/>
  <c r="K256" i="4"/>
  <c r="K243" i="4"/>
  <c r="K232" i="4"/>
  <c r="P213" i="4" l="1"/>
  <c r="K210" i="4"/>
  <c r="N202" i="4"/>
  <c r="Q199" i="4"/>
  <c r="K183" i="4"/>
  <c r="K180" i="4"/>
  <c r="K176" i="4" l="1"/>
  <c r="N170" i="4"/>
  <c r="S169" i="4"/>
  <c r="S166" i="4"/>
  <c r="S163" i="4"/>
  <c r="R168" i="4"/>
  <c r="S168" i="4" s="1"/>
  <c r="R165" i="4"/>
  <c r="S165" i="4" s="1"/>
  <c r="R162" i="4"/>
  <c r="S162" i="4" s="1"/>
  <c r="Q170" i="4"/>
  <c r="R170" i="4" s="1"/>
  <c r="K162" i="4"/>
  <c r="K163" i="4"/>
  <c r="K161" i="4"/>
  <c r="T165" i="4" l="1"/>
  <c r="T162" i="4"/>
  <c r="T168" i="4"/>
  <c r="T170" i="4" l="1"/>
  <c r="K137" i="4" l="1"/>
  <c r="P135" i="4"/>
  <c r="P132" i="4"/>
  <c r="P130" i="4"/>
  <c r="K118" i="4"/>
  <c r="K115" i="4"/>
  <c r="N103" i="4" l="1"/>
  <c r="P99" i="4"/>
  <c r="K91" i="4" l="1"/>
  <c r="K72" i="4"/>
  <c r="K53" i="4"/>
  <c r="K665" i="4"/>
  <c r="K664" i="4"/>
  <c r="K663" i="4"/>
  <c r="K662" i="4"/>
  <c r="K661" i="4"/>
  <c r="K660" i="4"/>
  <c r="K659" i="4"/>
  <c r="K658" i="4"/>
  <c r="K657" i="4"/>
  <c r="K656" i="4"/>
  <c r="K655" i="4"/>
  <c r="K654" i="4"/>
  <c r="K653" i="4"/>
  <c r="K652" i="4"/>
  <c r="K651" i="4"/>
  <c r="K650" i="4"/>
  <c r="K649" i="4"/>
  <c r="K648" i="4"/>
  <c r="K647" i="4"/>
  <c r="K646" i="4"/>
  <c r="K645" i="4"/>
  <c r="K644" i="4"/>
  <c r="K643" i="4"/>
  <c r="K642" i="4"/>
  <c r="K641" i="4"/>
  <c r="K640" i="4"/>
  <c r="K639" i="4"/>
  <c r="K638" i="4"/>
  <c r="K637" i="4"/>
  <c r="K636" i="4"/>
  <c r="K635" i="4"/>
  <c r="K634" i="4"/>
  <c r="K631" i="4"/>
  <c r="K629" i="4"/>
  <c r="K628" i="4"/>
  <c r="K627" i="4"/>
  <c r="K626" i="4"/>
  <c r="K625" i="4"/>
  <c r="K624" i="4"/>
  <c r="K623" i="4"/>
  <c r="K622" i="4"/>
  <c r="K621" i="4"/>
  <c r="K620" i="4"/>
  <c r="K619" i="4"/>
  <c r="K618" i="4"/>
  <c r="K617" i="4"/>
  <c r="K616" i="4"/>
  <c r="K615" i="4"/>
  <c r="K614" i="4"/>
  <c r="K613" i="4"/>
  <c r="K612" i="4"/>
  <c r="K611" i="4"/>
  <c r="K610" i="4"/>
  <c r="K609" i="4"/>
  <c r="K608" i="4"/>
  <c r="K607" i="4"/>
  <c r="K606" i="4"/>
  <c r="K605" i="4"/>
  <c r="K604" i="4"/>
  <c r="K603" i="4"/>
  <c r="K602" i="4"/>
  <c r="K601" i="4"/>
  <c r="K600" i="4"/>
  <c r="K599" i="4"/>
  <c r="K598" i="4"/>
  <c r="K597" i="4"/>
  <c r="K596" i="4"/>
  <c r="K595" i="4"/>
  <c r="K594" i="4"/>
  <c r="K593" i="4"/>
  <c r="K590" i="4"/>
  <c r="K589" i="4"/>
  <c r="K587" i="4"/>
  <c r="K586" i="4"/>
  <c r="K585" i="4"/>
  <c r="K584" i="4"/>
  <c r="K581" i="4"/>
  <c r="K580" i="4"/>
  <c r="K579" i="4"/>
  <c r="K578" i="4"/>
  <c r="K577" i="4"/>
  <c r="K574" i="4"/>
  <c r="K573" i="4"/>
  <c r="K572" i="4"/>
  <c r="K571" i="4"/>
  <c r="K570" i="4"/>
  <c r="K569" i="4"/>
  <c r="K568" i="4"/>
  <c r="K567" i="4"/>
  <c r="K566" i="4"/>
  <c r="K565" i="4"/>
  <c r="K564" i="4"/>
  <c r="K563" i="4"/>
  <c r="K562" i="4"/>
  <c r="K561" i="4"/>
  <c r="K560" i="4"/>
  <c r="K559" i="4"/>
  <c r="K558" i="4"/>
  <c r="K557" i="4"/>
  <c r="K556" i="4"/>
  <c r="K555" i="4"/>
  <c r="K554" i="4"/>
  <c r="K553" i="4"/>
  <c r="K552" i="4"/>
  <c r="K551" i="4"/>
  <c r="K550" i="4"/>
  <c r="K549" i="4"/>
  <c r="K548" i="4"/>
  <c r="K547" i="4"/>
  <c r="K546" i="4"/>
  <c r="K545" i="4"/>
  <c r="K544" i="4"/>
  <c r="K543" i="4"/>
  <c r="K542" i="4"/>
  <c r="K541" i="4"/>
  <c r="K540" i="4"/>
  <c r="K539" i="4"/>
  <c r="K538" i="4"/>
  <c r="K536" i="4"/>
  <c r="K535" i="4"/>
  <c r="K534" i="4"/>
  <c r="K533" i="4"/>
  <c r="K531" i="4"/>
  <c r="K529" i="4"/>
  <c r="K528" i="4"/>
  <c r="K526" i="4"/>
  <c r="K525" i="4"/>
  <c r="K524" i="4"/>
  <c r="K523" i="4"/>
  <c r="K522" i="4"/>
  <c r="K521" i="4"/>
  <c r="K520" i="4"/>
  <c r="K519" i="4"/>
  <c r="K518" i="4"/>
  <c r="K517" i="4"/>
  <c r="K516" i="4"/>
  <c r="K515" i="4"/>
  <c r="K514" i="4"/>
  <c r="K513" i="4"/>
  <c r="K512" i="4"/>
  <c r="K511" i="4"/>
  <c r="K510" i="4"/>
  <c r="K509" i="4"/>
  <c r="K508" i="4"/>
  <c r="K507" i="4"/>
  <c r="K506" i="4"/>
  <c r="K505" i="4"/>
  <c r="K504" i="4"/>
  <c r="K503" i="4"/>
  <c r="K502" i="4"/>
  <c r="K501" i="4"/>
  <c r="K500" i="4"/>
  <c r="K499" i="4"/>
  <c r="K498" i="4"/>
  <c r="K497" i="4"/>
  <c r="K496" i="4"/>
  <c r="K495" i="4"/>
  <c r="K494" i="4"/>
  <c r="K493" i="4"/>
  <c r="K492" i="4"/>
  <c r="K491" i="4"/>
  <c r="K490" i="4"/>
  <c r="K489" i="4"/>
  <c r="K488" i="4"/>
  <c r="K487" i="4"/>
  <c r="K485" i="4"/>
  <c r="K484" i="4"/>
  <c r="K483" i="4"/>
  <c r="K482" i="4"/>
  <c r="K481" i="4"/>
  <c r="K480" i="4"/>
  <c r="K479" i="4"/>
  <c r="K478" i="4"/>
  <c r="K477" i="4"/>
  <c r="K476" i="4"/>
  <c r="K475" i="4"/>
  <c r="K474" i="4"/>
  <c r="K473" i="4"/>
  <c r="K472" i="4"/>
  <c r="K471" i="4"/>
  <c r="K470" i="4"/>
  <c r="K469" i="4"/>
  <c r="K468" i="4"/>
  <c r="K467" i="4"/>
  <c r="K466" i="4"/>
  <c r="K465" i="4"/>
  <c r="K464" i="4"/>
  <c r="K463" i="4"/>
  <c r="K462" i="4"/>
  <c r="K461" i="4"/>
  <c r="K460" i="4"/>
  <c r="K459" i="4"/>
  <c r="K458" i="4"/>
  <c r="K457" i="4"/>
  <c r="K456" i="4"/>
  <c r="K455" i="4"/>
  <c r="K454" i="4"/>
  <c r="K453" i="4"/>
  <c r="K452" i="4"/>
  <c r="K451" i="4"/>
  <c r="K450" i="4"/>
  <c r="K449" i="4"/>
  <c r="K448" i="4"/>
  <c r="K447" i="4"/>
  <c r="K446" i="4"/>
  <c r="K445" i="4"/>
  <c r="K444" i="4"/>
  <c r="K443" i="4"/>
  <c r="K442" i="4"/>
  <c r="K441" i="4"/>
  <c r="K440" i="4"/>
  <c r="K439" i="4"/>
  <c r="K438" i="4"/>
  <c r="K437" i="4"/>
  <c r="K436" i="4"/>
  <c r="K435" i="4"/>
  <c r="K434" i="4"/>
  <c r="K433" i="4"/>
  <c r="K432" i="4"/>
  <c r="K431" i="4"/>
  <c r="K430" i="4"/>
  <c r="K429" i="4"/>
  <c r="K428" i="4"/>
  <c r="K427" i="4"/>
  <c r="K426" i="4"/>
  <c r="K425" i="4"/>
  <c r="K424" i="4"/>
  <c r="K423" i="4"/>
  <c r="K422" i="4"/>
  <c r="K421" i="4"/>
  <c r="K420" i="4"/>
  <c r="K419" i="4"/>
  <c r="K418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0" i="4"/>
  <c r="K399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0" i="4"/>
  <c r="K339" i="4"/>
  <c r="K338" i="4"/>
  <c r="K335" i="4"/>
  <c r="K332" i="4"/>
  <c r="K331" i="4"/>
  <c r="K330" i="4"/>
  <c r="K329" i="4"/>
  <c r="K328" i="4"/>
  <c r="K327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7" i="4"/>
  <c r="K276" i="4"/>
  <c r="K275" i="4"/>
  <c r="K274" i="4"/>
  <c r="K273" i="4"/>
  <c r="K272" i="4"/>
  <c r="K271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2" i="4"/>
  <c r="K241" i="4"/>
  <c r="K240" i="4"/>
  <c r="K239" i="4"/>
  <c r="K238" i="4"/>
  <c r="K237" i="4"/>
  <c r="K236" i="4"/>
  <c r="K235" i="4"/>
  <c r="K234" i="4"/>
  <c r="K233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2" i="4"/>
  <c r="K181" i="4"/>
  <c r="K179" i="4"/>
  <c r="K178" i="4"/>
  <c r="K177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7" i="4"/>
  <c r="K116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2" i="4"/>
  <c r="K51" i="4"/>
  <c r="K50" i="4"/>
  <c r="K49" i="4"/>
  <c r="K48" i="4"/>
  <c r="K47" i="4"/>
  <c r="N40" i="4" l="1"/>
  <c r="N37" i="4"/>
  <c r="K35" i="4"/>
  <c r="N29" i="4" l="1"/>
  <c r="N28" i="4" l="1"/>
  <c r="K24" i="4"/>
  <c r="K23" i="4"/>
  <c r="K17" i="4"/>
  <c r="K11" i="4" l="1"/>
  <c r="K12" i="4"/>
  <c r="K46" i="4"/>
  <c r="K45" i="4"/>
  <c r="K44" i="4"/>
  <c r="K43" i="4"/>
  <c r="K42" i="4"/>
  <c r="K41" i="4"/>
  <c r="K40" i="4"/>
  <c r="K39" i="4"/>
  <c r="K38" i="4"/>
  <c r="K37" i="4"/>
  <c r="K36" i="4"/>
  <c r="K34" i="4"/>
  <c r="K33" i="4"/>
  <c r="K32" i="4"/>
  <c r="K31" i="4"/>
  <c r="K30" i="4"/>
  <c r="K29" i="4"/>
  <c r="K28" i="4"/>
  <c r="K27" i="4"/>
  <c r="K26" i="4"/>
  <c r="K25" i="4"/>
  <c r="K22" i="4"/>
  <c r="K21" i="4"/>
  <c r="K20" i="4"/>
  <c r="K19" i="4"/>
  <c r="K18" i="4"/>
  <c r="K16" i="4"/>
  <c r="K15" i="4"/>
  <c r="K14" i="4"/>
  <c r="K13" i="4"/>
  <c r="K10" i="4"/>
  <c r="K9" i="4"/>
  <c r="K8" i="4"/>
  <c r="K7" i="4"/>
  <c r="K6" i="4"/>
  <c r="W922" i="3" l="1"/>
  <c r="N903" i="3" l="1"/>
  <c r="K899" i="3"/>
  <c r="K890" i="3" l="1"/>
  <c r="U884" i="3"/>
  <c r="U883" i="3"/>
  <c r="U882" i="3"/>
  <c r="T885" i="3"/>
  <c r="U878" i="3"/>
  <c r="U877" i="3"/>
  <c r="U879" i="3"/>
  <c r="T880" i="3"/>
  <c r="U885" i="3" l="1"/>
  <c r="W885" i="3" s="1"/>
  <c r="U880" i="3"/>
  <c r="W880" i="3" s="1"/>
  <c r="N876" i="3"/>
  <c r="K863" i="3" l="1"/>
  <c r="P856" i="3" l="1"/>
  <c r="P851" i="3"/>
  <c r="N857" i="3"/>
  <c r="P849" i="3"/>
  <c r="P850" i="3"/>
  <c r="P847" i="3"/>
  <c r="P845" i="3"/>
  <c r="N842" i="3"/>
  <c r="N838" i="3" l="1"/>
  <c r="K819" i="3" l="1"/>
  <c r="U817" i="3"/>
  <c r="U816" i="3"/>
  <c r="U819" i="3"/>
  <c r="V818" i="3"/>
  <c r="V817" i="3"/>
  <c r="V816" i="3"/>
  <c r="K816" i="3"/>
  <c r="V819" i="3" l="1"/>
  <c r="X819" i="3" s="1"/>
  <c r="N813" i="3"/>
  <c r="K801" i="3" l="1"/>
  <c r="K802" i="3"/>
  <c r="K803" i="3"/>
  <c r="K785" i="3"/>
  <c r="K778" i="3"/>
  <c r="K762" i="3"/>
  <c r="N752" i="3"/>
  <c r="K742" i="3"/>
  <c r="N741" i="3"/>
  <c r="U730" i="3"/>
  <c r="U731" i="3"/>
  <c r="T733" i="3"/>
  <c r="U732" i="3"/>
  <c r="K717" i="3"/>
  <c r="K708" i="3"/>
  <c r="U733" i="3" l="1"/>
  <c r="W733" i="3" s="1"/>
  <c r="K706" i="3" l="1"/>
  <c r="N705" i="3"/>
  <c r="N704" i="3"/>
  <c r="P699" i="3"/>
  <c r="P698" i="3"/>
  <c r="P687" i="3"/>
  <c r="U687" i="3"/>
  <c r="K677" i="3"/>
  <c r="K680" i="3"/>
  <c r="K679" i="3"/>
  <c r="K678" i="3"/>
  <c r="K676" i="3"/>
  <c r="K675" i="3"/>
  <c r="K674" i="3"/>
  <c r="K673" i="3"/>
  <c r="K672" i="3"/>
  <c r="K671" i="3"/>
  <c r="K670" i="3"/>
  <c r="K669" i="3"/>
  <c r="K641" i="3" l="1"/>
  <c r="R635" i="3"/>
  <c r="N636" i="3"/>
  <c r="V629" i="3"/>
  <c r="V628" i="3"/>
  <c r="T629" i="3"/>
  <c r="U629" i="3" s="1"/>
  <c r="T628" i="3"/>
  <c r="U628" i="3" s="1"/>
  <c r="R630" i="3"/>
  <c r="W629" i="3" l="1"/>
  <c r="W628" i="3"/>
  <c r="S630" i="3"/>
  <c r="S631" i="3" s="1"/>
  <c r="R622" i="3"/>
  <c r="T630" i="3" l="1"/>
  <c r="R612" i="3"/>
  <c r="R597" i="3"/>
  <c r="S597" i="3" s="1"/>
  <c r="T597" i="3" s="1"/>
  <c r="N605" i="3"/>
  <c r="T598" i="3" l="1"/>
  <c r="U598" i="3" s="1"/>
  <c r="N600" i="3"/>
  <c r="K580" i="3"/>
  <c r="K568" i="3" l="1"/>
  <c r="K566" i="3"/>
  <c r="N559" i="3"/>
  <c r="K533" i="3" l="1"/>
  <c r="K526" i="3"/>
  <c r="K516" i="3"/>
  <c r="D518" i="3"/>
  <c r="E518" i="3"/>
  <c r="F518" i="3"/>
  <c r="T499" i="3" l="1"/>
  <c r="U499" i="3" s="1"/>
  <c r="N506" i="3"/>
  <c r="U506" i="3"/>
  <c r="U505" i="3"/>
  <c r="U504" i="3"/>
  <c r="T507" i="3"/>
  <c r="U467" i="3"/>
  <c r="U468" i="3"/>
  <c r="U469" i="3"/>
  <c r="T470" i="3"/>
  <c r="K502" i="3"/>
  <c r="N483" i="3"/>
  <c r="K481" i="3"/>
  <c r="U507" i="3" l="1"/>
  <c r="W507" i="3" s="1"/>
  <c r="U470" i="3"/>
  <c r="W470" i="3" s="1"/>
  <c r="K470" i="3" l="1"/>
  <c r="K477" i="3"/>
  <c r="K462" i="3" l="1"/>
  <c r="N456" i="3" l="1"/>
  <c r="N445" i="3"/>
  <c r="N432" i="3" l="1"/>
  <c r="N428" i="3" l="1"/>
  <c r="K419" i="3"/>
  <c r="K408" i="3" l="1"/>
  <c r="R422" i="3"/>
  <c r="Q415" i="3"/>
  <c r="N405" i="3"/>
  <c r="K404" i="3"/>
  <c r="N401" i="3"/>
  <c r="K402" i="3"/>
  <c r="K399" i="3" l="1"/>
  <c r="K398" i="3"/>
  <c r="K396" i="3"/>
  <c r="K379" i="3"/>
  <c r="K365" i="3"/>
  <c r="K337" i="3" l="1"/>
  <c r="N329" i="3" l="1"/>
  <c r="T293" i="3" l="1"/>
  <c r="N301" i="3"/>
  <c r="K296" i="3"/>
  <c r="K267" i="3" l="1"/>
  <c r="N266" i="3"/>
  <c r="K266" i="3"/>
  <c r="N265" i="3"/>
  <c r="V248" i="3"/>
  <c r="V247" i="3"/>
  <c r="V246" i="3"/>
  <c r="U249" i="3"/>
  <c r="K233" i="3"/>
  <c r="V249" i="3" l="1"/>
  <c r="X249" i="3" s="1"/>
  <c r="K220" i="3"/>
  <c r="N219" i="3"/>
  <c r="K219" i="3"/>
  <c r="K218" i="3" l="1"/>
  <c r="K181" i="3"/>
  <c r="K178" i="3" l="1"/>
  <c r="N176" i="3"/>
  <c r="N174" i="3"/>
  <c r="S165" i="3" l="1"/>
  <c r="K159" i="3"/>
  <c r="K158" i="3"/>
  <c r="K151" i="3"/>
  <c r="K124" i="3" l="1"/>
  <c r="K116" i="3" l="1"/>
  <c r="K105" i="3" l="1"/>
  <c r="N98" i="3" l="1"/>
  <c r="N95" i="3"/>
  <c r="K83" i="3"/>
  <c r="K81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8" i="3"/>
  <c r="K897" i="3"/>
  <c r="K896" i="3"/>
  <c r="K895" i="3"/>
  <c r="K894" i="3"/>
  <c r="K893" i="3"/>
  <c r="K892" i="3"/>
  <c r="K891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8" i="3"/>
  <c r="K817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0" i="3"/>
  <c r="K798" i="3"/>
  <c r="K797" i="3"/>
  <c r="K795" i="3"/>
  <c r="K793" i="3"/>
  <c r="K792" i="3"/>
  <c r="K791" i="3"/>
  <c r="K790" i="3"/>
  <c r="K789" i="3"/>
  <c r="K788" i="3"/>
  <c r="K787" i="3"/>
  <c r="K786" i="3"/>
  <c r="K784" i="3"/>
  <c r="K783" i="3"/>
  <c r="K782" i="3"/>
  <c r="K781" i="3"/>
  <c r="K780" i="3"/>
  <c r="K779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6" i="3"/>
  <c r="K715" i="3"/>
  <c r="K714" i="3"/>
  <c r="K713" i="3"/>
  <c r="K712" i="3"/>
  <c r="K711" i="3"/>
  <c r="K710" i="3"/>
  <c r="K709" i="3"/>
  <c r="K707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79" i="3"/>
  <c r="K578" i="3"/>
  <c r="K577" i="3"/>
  <c r="K576" i="3"/>
  <c r="K575" i="3"/>
  <c r="K574" i="3"/>
  <c r="K573" i="3"/>
  <c r="K572" i="3"/>
  <c r="K571" i="3"/>
  <c r="K570" i="3"/>
  <c r="K569" i="3"/>
  <c r="K567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2" i="3"/>
  <c r="K531" i="3"/>
  <c r="K530" i="3"/>
  <c r="K529" i="3"/>
  <c r="K528" i="3"/>
  <c r="K527" i="3"/>
  <c r="K525" i="3"/>
  <c r="K524" i="3"/>
  <c r="K523" i="3"/>
  <c r="K522" i="3"/>
  <c r="K521" i="3"/>
  <c r="K520" i="3"/>
  <c r="K519" i="3"/>
  <c r="K518" i="3"/>
  <c r="K517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0" i="3"/>
  <c r="K479" i="3"/>
  <c r="K478" i="3"/>
  <c r="K476" i="3"/>
  <c r="K475" i="3"/>
  <c r="K474" i="3"/>
  <c r="K473" i="3"/>
  <c r="K472" i="3"/>
  <c r="K471" i="3"/>
  <c r="K469" i="3"/>
  <c r="K468" i="3"/>
  <c r="K467" i="3"/>
  <c r="K466" i="3"/>
  <c r="K465" i="3"/>
  <c r="K464" i="3"/>
  <c r="K463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8" i="3"/>
  <c r="K417" i="3"/>
  <c r="K416" i="3"/>
  <c r="K415" i="3"/>
  <c r="K414" i="3"/>
  <c r="K413" i="3"/>
  <c r="K412" i="3"/>
  <c r="K411" i="3"/>
  <c r="K410" i="3"/>
  <c r="K409" i="3"/>
  <c r="K407" i="3"/>
  <c r="K406" i="3"/>
  <c r="K405" i="3"/>
  <c r="K403" i="3"/>
  <c r="K401" i="3"/>
  <c r="K400" i="3"/>
  <c r="K397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0" i="3"/>
  <c r="K179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7" i="3"/>
  <c r="K156" i="3"/>
  <c r="K155" i="3"/>
  <c r="K154" i="3"/>
  <c r="K153" i="3"/>
  <c r="K152" i="3"/>
  <c r="K150" i="3"/>
  <c r="K149" i="3"/>
  <c r="K148" i="3"/>
  <c r="K147" i="3"/>
  <c r="K146" i="3"/>
  <c r="K145" i="3"/>
  <c r="K144" i="3"/>
  <c r="K143" i="3"/>
  <c r="K142" i="3"/>
  <c r="K141" i="3"/>
  <c r="K140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3" i="3"/>
  <c r="K122" i="3"/>
  <c r="K121" i="3"/>
  <c r="K120" i="3"/>
  <c r="K119" i="3"/>
  <c r="K118" i="3"/>
  <c r="K117" i="3"/>
  <c r="K115" i="3"/>
  <c r="K114" i="3"/>
  <c r="K113" i="3"/>
  <c r="K112" i="3"/>
  <c r="K111" i="3"/>
  <c r="K110" i="3"/>
  <c r="K109" i="3"/>
  <c r="K108" i="3"/>
  <c r="K107" i="3"/>
  <c r="K106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2" i="3"/>
  <c r="K80" i="3"/>
  <c r="K79" i="3"/>
  <c r="K78" i="3"/>
  <c r="K77" i="3"/>
  <c r="N60" i="3" l="1"/>
  <c r="K57" i="3" l="1"/>
  <c r="K54" i="3"/>
  <c r="K52" i="3"/>
  <c r="R40" i="3" l="1"/>
  <c r="U36" i="3" l="1"/>
  <c r="U35" i="3"/>
  <c r="T3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6" i="3"/>
  <c r="K55" i="3"/>
  <c r="K53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U37" i="3" l="1"/>
  <c r="W37" i="3" s="1"/>
  <c r="K27" i="3"/>
  <c r="K26" i="3"/>
  <c r="K22" i="3"/>
  <c r="K20" i="3" l="1"/>
  <c r="U22" i="3" l="1"/>
  <c r="U21" i="3"/>
  <c r="U20" i="3"/>
  <c r="T23" i="3"/>
  <c r="N10" i="3"/>
  <c r="K10" i="3"/>
  <c r="K35" i="3"/>
  <c r="K34" i="3"/>
  <c r="K33" i="3"/>
  <c r="K32" i="3"/>
  <c r="K31" i="3"/>
  <c r="K30" i="3"/>
  <c r="K29" i="3"/>
  <c r="K28" i="3"/>
  <c r="K25" i="3"/>
  <c r="K24" i="3"/>
  <c r="K23" i="3"/>
  <c r="K21" i="3"/>
  <c r="K19" i="3"/>
  <c r="K18" i="3"/>
  <c r="K17" i="3"/>
  <c r="K16" i="3"/>
  <c r="K15" i="3"/>
  <c r="K14" i="3"/>
  <c r="K13" i="3"/>
  <c r="K12" i="3"/>
  <c r="K11" i="3"/>
  <c r="K9" i="3"/>
  <c r="K8" i="3"/>
  <c r="K7" i="3"/>
  <c r="K6" i="3"/>
  <c r="U23" i="3" l="1"/>
  <c r="V25" i="3" s="1"/>
  <c r="N917" i="2"/>
  <c r="N908" i="2" l="1"/>
  <c r="N913" i="2"/>
  <c r="K900" i="2" l="1"/>
  <c r="K898" i="2" l="1"/>
  <c r="R888" i="2"/>
  <c r="K880" i="2"/>
  <c r="K868" i="2" l="1"/>
  <c r="K950" i="2" l="1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899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79" i="2"/>
  <c r="K878" i="2"/>
  <c r="K877" i="2"/>
  <c r="K876" i="2"/>
  <c r="K875" i="2"/>
  <c r="K874" i="2"/>
  <c r="K873" i="2"/>
  <c r="K872" i="2"/>
  <c r="K871" i="2"/>
  <c r="K870" i="2"/>
  <c r="K869" i="2"/>
  <c r="K867" i="2"/>
  <c r="K866" i="2"/>
  <c r="K865" i="2"/>
  <c r="K864" i="2"/>
  <c r="K863" i="2"/>
  <c r="K862" i="2"/>
  <c r="N858" i="2"/>
  <c r="R855" i="2"/>
  <c r="K857" i="2"/>
  <c r="K844" i="2"/>
  <c r="K842" i="2"/>
  <c r="K831" i="2"/>
  <c r="K826" i="2" l="1"/>
  <c r="N825" i="2"/>
  <c r="N818" i="2"/>
  <c r="N811" i="2"/>
  <c r="K800" i="2" l="1"/>
  <c r="K751" i="2" l="1"/>
  <c r="K752" i="2"/>
  <c r="N746" i="2"/>
  <c r="K739" i="2"/>
  <c r="Q731" i="2"/>
  <c r="N728" i="2"/>
  <c r="N724" i="2"/>
  <c r="N717" i="2"/>
  <c r="K712" i="2" l="1"/>
  <c r="K709" i="2"/>
  <c r="K708" i="2"/>
  <c r="N693" i="2"/>
  <c r="K672" i="2"/>
  <c r="N677" i="2"/>
  <c r="K861" i="2"/>
  <c r="K860" i="2"/>
  <c r="K859" i="2"/>
  <c r="K858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3" i="2"/>
  <c r="K841" i="2"/>
  <c r="K840" i="2"/>
  <c r="K839" i="2"/>
  <c r="K838" i="2"/>
  <c r="K837" i="2"/>
  <c r="K836" i="2"/>
  <c r="K835" i="2"/>
  <c r="K834" i="2"/>
  <c r="K833" i="2"/>
  <c r="K832" i="2"/>
  <c r="K830" i="2"/>
  <c r="K829" i="2"/>
  <c r="K828" i="2"/>
  <c r="K827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0" i="2"/>
  <c r="K749" i="2"/>
  <c r="K748" i="2"/>
  <c r="K747" i="2"/>
  <c r="K746" i="2"/>
  <c r="K745" i="2"/>
  <c r="K744" i="2"/>
  <c r="K743" i="2"/>
  <c r="K742" i="2"/>
  <c r="K741" i="2"/>
  <c r="K740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1" i="2"/>
  <c r="K710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1" i="2"/>
  <c r="K669" i="2"/>
  <c r="K665" i="2"/>
  <c r="K662" i="2"/>
  <c r="K656" i="2"/>
  <c r="K637" i="2" l="1"/>
  <c r="N633" i="2"/>
  <c r="N622" i="2"/>
  <c r="R618" i="2"/>
  <c r="K607" i="2" l="1"/>
  <c r="R616" i="2"/>
  <c r="N604" i="2"/>
  <c r="N602" i="2"/>
  <c r="N586" i="2"/>
  <c r="K580" i="2"/>
  <c r="K573" i="2"/>
  <c r="K574" i="2"/>
  <c r="R570" i="2" l="1"/>
  <c r="N562" i="2"/>
  <c r="S548" i="2"/>
  <c r="R546" i="2"/>
  <c r="K542" i="2"/>
  <c r="K541" i="2"/>
  <c r="K540" i="2"/>
  <c r="N531" i="2" l="1"/>
  <c r="K513" i="2" l="1"/>
  <c r="N489" i="2"/>
  <c r="K488" i="2" l="1"/>
  <c r="K457" i="2" l="1"/>
  <c r="K456" i="2"/>
  <c r="K453" i="2"/>
  <c r="K417" i="2"/>
  <c r="K441" i="2" l="1"/>
  <c r="K440" i="2"/>
  <c r="K431" i="2"/>
  <c r="K429" i="2"/>
  <c r="N426" i="2"/>
  <c r="K419" i="2" l="1"/>
  <c r="K410" i="2"/>
  <c r="K424" i="2"/>
  <c r="K412" i="2"/>
  <c r="K414" i="2"/>
  <c r="K409" i="2"/>
  <c r="K403" i="2"/>
  <c r="K395" i="2"/>
  <c r="K389" i="2"/>
  <c r="K380" i="2"/>
  <c r="K379" i="2" l="1"/>
  <c r="K372" i="2" l="1"/>
  <c r="K370" i="2"/>
  <c r="K367" i="2"/>
  <c r="N366" i="2"/>
  <c r="K354" i="2"/>
  <c r="K324" i="2"/>
  <c r="K309" i="2" l="1"/>
  <c r="N307" i="2"/>
  <c r="T301" i="2" l="1"/>
  <c r="V301" i="2"/>
  <c r="Q306" i="2"/>
  <c r="R306" i="2" s="1"/>
  <c r="T306" i="2" s="1"/>
  <c r="K295" i="2"/>
  <c r="K293" i="2"/>
  <c r="K280" i="2"/>
  <c r="K243" i="2" l="1"/>
  <c r="N216" i="2" l="1"/>
  <c r="Q217" i="2"/>
  <c r="Q218" i="2" s="1"/>
  <c r="P214" i="2"/>
  <c r="Q214" i="2" s="1"/>
  <c r="N214" i="2"/>
  <c r="N209" i="2"/>
  <c r="N208" i="2"/>
  <c r="N203" i="2"/>
  <c r="K192" i="2" l="1"/>
  <c r="K186" i="2"/>
  <c r="N152" i="2" l="1"/>
  <c r="N151" i="2"/>
  <c r="N150" i="2" l="1"/>
  <c r="K134" i="2"/>
  <c r="K136" i="2"/>
  <c r="N117" i="2" l="1"/>
  <c r="K114" i="2"/>
  <c r="N113" i="2"/>
  <c r="K111" i="2"/>
  <c r="K670" i="2" l="1"/>
  <c r="K668" i="2"/>
  <c r="K667" i="2"/>
  <c r="K666" i="2"/>
  <c r="K664" i="2"/>
  <c r="K663" i="2"/>
  <c r="K661" i="2"/>
  <c r="K660" i="2"/>
  <c r="K659" i="2"/>
  <c r="K658" i="2"/>
  <c r="K657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79" i="2"/>
  <c r="K578" i="2"/>
  <c r="K577" i="2"/>
  <c r="K576" i="2"/>
  <c r="K575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5" i="2"/>
  <c r="K454" i="2"/>
  <c r="K452" i="2"/>
  <c r="K451" i="2"/>
  <c r="K450" i="2"/>
  <c r="K449" i="2"/>
  <c r="K448" i="2"/>
  <c r="K447" i="2"/>
  <c r="K446" i="2"/>
  <c r="K445" i="2"/>
  <c r="K444" i="2"/>
  <c r="K443" i="2"/>
  <c r="K442" i="2"/>
  <c r="K439" i="2"/>
  <c r="K438" i="2"/>
  <c r="K437" i="2"/>
  <c r="K436" i="2"/>
  <c r="K435" i="2"/>
  <c r="K434" i="2"/>
  <c r="K433" i="2"/>
  <c r="K432" i="2"/>
  <c r="K430" i="2"/>
  <c r="K428" i="2"/>
  <c r="K427" i="2"/>
  <c r="K426" i="2"/>
  <c r="K425" i="2"/>
  <c r="K423" i="2"/>
  <c r="K422" i="2"/>
  <c r="K421" i="2"/>
  <c r="K420" i="2"/>
  <c r="K418" i="2"/>
  <c r="K416" i="2"/>
  <c r="K415" i="2"/>
  <c r="K413" i="2"/>
  <c r="K411" i="2"/>
  <c r="K408" i="2"/>
  <c r="K407" i="2"/>
  <c r="K406" i="2"/>
  <c r="K405" i="2"/>
  <c r="K404" i="2"/>
  <c r="K402" i="2"/>
  <c r="K401" i="2"/>
  <c r="K400" i="2"/>
  <c r="K399" i="2"/>
  <c r="K398" i="2"/>
  <c r="K397" i="2"/>
  <c r="K396" i="2"/>
  <c r="K394" i="2"/>
  <c r="K393" i="2"/>
  <c r="K392" i="2"/>
  <c r="K391" i="2"/>
  <c r="K390" i="2"/>
  <c r="K388" i="2"/>
  <c r="K387" i="2"/>
  <c r="K386" i="2"/>
  <c r="K385" i="2"/>
  <c r="K384" i="2"/>
  <c r="K383" i="2"/>
  <c r="K382" i="2"/>
  <c r="K381" i="2"/>
  <c r="K378" i="2"/>
  <c r="K377" i="2"/>
  <c r="K376" i="2"/>
  <c r="K375" i="2"/>
  <c r="K374" i="2"/>
  <c r="K373" i="2"/>
  <c r="K371" i="2"/>
  <c r="K369" i="2"/>
  <c r="K368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4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1" i="2"/>
  <c r="K190" i="2"/>
  <c r="K189" i="2"/>
  <c r="K188" i="2"/>
  <c r="K187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5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3" i="2"/>
  <c r="K112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N89" i="2" l="1"/>
  <c r="U84" i="2"/>
  <c r="V84" i="2" s="1"/>
  <c r="U85" i="2"/>
  <c r="U86" i="2" l="1"/>
  <c r="V85" i="2"/>
  <c r="V86" i="2" s="1"/>
  <c r="X86" i="2" s="1"/>
  <c r="K82" i="2"/>
  <c r="Q75" i="2" l="1"/>
  <c r="R76" i="2" s="1"/>
  <c r="K63" i="2" l="1"/>
  <c r="Q40" i="2" l="1"/>
  <c r="K91" i="2"/>
  <c r="K90" i="2"/>
  <c r="K89" i="2"/>
  <c r="K88" i="2"/>
  <c r="K87" i="2"/>
  <c r="K86" i="2"/>
  <c r="K85" i="2"/>
  <c r="K84" i="2"/>
  <c r="K83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Q25" i="2"/>
  <c r="Q26" i="2" s="1"/>
  <c r="N30" i="2"/>
  <c r="P29" i="2"/>
  <c r="N28" i="2"/>
  <c r="R27" i="2"/>
  <c r="S27" i="2" s="1"/>
  <c r="P27" i="2"/>
  <c r="R25" i="2"/>
  <c r="P23" i="2"/>
  <c r="R24" i="2" s="1"/>
  <c r="R26" i="2" l="1"/>
  <c r="Q22" i="2"/>
  <c r="R22" i="2" s="1"/>
  <c r="S20" i="2" l="1"/>
  <c r="R17" i="2"/>
  <c r="R18" i="2" s="1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R9" i="2"/>
  <c r="Q9" i="2"/>
  <c r="Q10" i="2" s="1"/>
  <c r="S9" i="2" l="1"/>
  <c r="N8" i="2"/>
  <c r="K6" i="2"/>
  <c r="S677" i="1"/>
  <c r="R677" i="1"/>
  <c r="S666" i="1"/>
  <c r="R666" i="1"/>
  <c r="K676" i="1"/>
  <c r="S668" i="1"/>
  <c r="S667" i="1"/>
  <c r="S675" i="1"/>
  <c r="R675" i="1"/>
  <c r="Q673" i="1"/>
  <c r="P673" i="1"/>
  <c r="S669" i="1" l="1"/>
  <c r="K668" i="1"/>
  <c r="K663" i="1"/>
  <c r="N648" i="1" l="1"/>
  <c r="N636" i="1" l="1"/>
  <c r="K626" i="1"/>
  <c r="K622" i="1" l="1"/>
  <c r="R615" i="1" l="1"/>
  <c r="U619" i="1"/>
  <c r="U618" i="1"/>
  <c r="S620" i="1"/>
  <c r="U620" i="1" l="1"/>
  <c r="W620" i="1" s="1"/>
  <c r="R603" i="1"/>
  <c r="K589" i="1" l="1"/>
  <c r="K579" i="1"/>
  <c r="N573" i="1" l="1"/>
  <c r="N570" i="1"/>
  <c r="N569" i="1"/>
  <c r="U562" i="1"/>
  <c r="S562" i="1"/>
  <c r="T561" i="1"/>
  <c r="S561" i="1"/>
  <c r="T566" i="1"/>
  <c r="T565" i="1"/>
  <c r="T567" i="1"/>
  <c r="R568" i="1"/>
  <c r="N562" i="1"/>
  <c r="S555" i="1"/>
  <c r="U559" i="1"/>
  <c r="U558" i="1"/>
  <c r="T560" i="1"/>
  <c r="T568" i="1" l="1"/>
  <c r="V568" i="1" s="1"/>
  <c r="U560" i="1"/>
  <c r="W560" i="1" s="1"/>
  <c r="N555" i="1" l="1"/>
  <c r="K548" i="1"/>
  <c r="K537" i="1"/>
  <c r="K527" i="1" l="1"/>
  <c r="K507" i="1" l="1"/>
  <c r="T506" i="1" l="1"/>
  <c r="K506" i="1"/>
  <c r="T505" i="1"/>
  <c r="K505" i="1"/>
  <c r="S502" i="1" l="1"/>
  <c r="T501" i="1"/>
  <c r="T500" i="1"/>
  <c r="T499" i="1"/>
  <c r="S497" i="1"/>
  <c r="T496" i="1"/>
  <c r="T495" i="1"/>
  <c r="T494" i="1"/>
  <c r="S492" i="1"/>
  <c r="T491" i="1"/>
  <c r="T490" i="1"/>
  <c r="T489" i="1"/>
  <c r="T484" i="1"/>
  <c r="T485" i="1"/>
  <c r="T487" i="1" s="1"/>
  <c r="T486" i="1"/>
  <c r="T468" i="1"/>
  <c r="S487" i="1"/>
  <c r="Y479" i="1"/>
  <c r="Z479" i="1" s="1"/>
  <c r="Z480" i="1" s="1"/>
  <c r="T479" i="1"/>
  <c r="T480" i="1"/>
  <c r="T481" i="1"/>
  <c r="S482" i="1"/>
  <c r="T474" i="1"/>
  <c r="T473" i="1"/>
  <c r="K474" i="1"/>
  <c r="T475" i="1" l="1"/>
  <c r="T477" i="1" s="1"/>
  <c r="T492" i="1"/>
  <c r="V492" i="1" s="1"/>
  <c r="T497" i="1"/>
  <c r="V497" i="1" s="1"/>
  <c r="T482" i="1"/>
  <c r="V482" i="1" s="1"/>
  <c r="T502" i="1"/>
  <c r="V502" i="1" s="1"/>
  <c r="V487" i="1"/>
  <c r="Q463" i="1" l="1"/>
  <c r="R462" i="1" l="1"/>
  <c r="Q462" i="1"/>
  <c r="R461" i="1"/>
  <c r="Q461" i="1"/>
  <c r="K458" i="1"/>
  <c r="Q454" i="1"/>
  <c r="S446" i="1"/>
  <c r="R446" i="1"/>
  <c r="P444" i="1"/>
  <c r="Q449" i="1"/>
  <c r="R449" i="1" s="1"/>
  <c r="Q445" i="1"/>
  <c r="S431" i="1"/>
  <c r="S432" i="1" s="1"/>
  <c r="Q438" i="1"/>
  <c r="R438" i="1" s="1"/>
  <c r="K436" i="1" l="1"/>
  <c r="S419" i="1"/>
  <c r="T419" i="1" s="1"/>
  <c r="R412" i="1"/>
  <c r="Q412" i="1"/>
  <c r="R406" i="1" l="1"/>
  <c r="S406" i="1" s="1"/>
  <c r="R413" i="1"/>
  <c r="S413" i="1" s="1"/>
  <c r="Q402" i="1"/>
  <c r="R402" i="1" s="1"/>
  <c r="Q401" i="1"/>
  <c r="R401" i="1" s="1"/>
  <c r="S410" i="1"/>
  <c r="T410" i="1" s="1"/>
  <c r="P404" i="1"/>
  <c r="K394" i="1"/>
  <c r="T374" i="1" l="1"/>
  <c r="U374" i="1" s="1"/>
  <c r="P380" i="1"/>
  <c r="T377" i="1"/>
  <c r="T378" i="1"/>
  <c r="S379" i="1"/>
  <c r="T379" i="1" l="1"/>
  <c r="T381" i="1" s="1"/>
  <c r="Q370" i="1"/>
  <c r="Q372" i="1" s="1"/>
  <c r="S372" i="1"/>
  <c r="Q369" i="1"/>
  <c r="N345" i="1" l="1"/>
  <c r="K353" i="1" l="1"/>
  <c r="K332" i="1" l="1"/>
  <c r="Q330" i="1" l="1"/>
  <c r="R330" i="1" s="1"/>
  <c r="K319" i="1" l="1"/>
  <c r="K314" i="1"/>
  <c r="K313" i="1"/>
  <c r="N312" i="1"/>
  <c r="P311" i="1"/>
  <c r="P310" i="1"/>
  <c r="Q310" i="1" s="1"/>
  <c r="K265" i="1"/>
  <c r="Q307" i="1"/>
  <c r="R307" i="1" s="1"/>
  <c r="P306" i="1"/>
  <c r="P304" i="1"/>
  <c r="N304" i="1"/>
  <c r="N299" i="1"/>
  <c r="N302" i="1"/>
  <c r="Q281" i="1"/>
  <c r="R281" i="1" s="1"/>
  <c r="K281" i="1"/>
  <c r="N279" i="1" l="1"/>
  <c r="P279" i="1" s="1"/>
  <c r="R270" i="1" l="1"/>
  <c r="Q270" i="1"/>
  <c r="P273" i="1"/>
  <c r="Q274" i="1"/>
  <c r="Q275" i="1" s="1"/>
  <c r="R274" i="1"/>
  <c r="R272" i="1"/>
  <c r="N270" i="1"/>
  <c r="Q266" i="1"/>
  <c r="R266" i="1" s="1"/>
  <c r="Q264" i="1"/>
  <c r="P271" i="1"/>
  <c r="P270" i="1"/>
  <c r="S272" i="1" l="1"/>
  <c r="R275" i="1"/>
  <c r="S270" i="1"/>
  <c r="N269" i="1" l="1"/>
  <c r="N252" i="1"/>
  <c r="P253" i="1"/>
  <c r="P256" i="1"/>
  <c r="Q256" i="1" s="1"/>
  <c r="P251" i="1"/>
  <c r="Q250" i="1"/>
  <c r="Q251" i="1" s="1"/>
  <c r="R248" i="1"/>
  <c r="Q248" i="1"/>
  <c r="P248" i="1"/>
  <c r="P246" i="1"/>
  <c r="S239" i="1"/>
  <c r="Q246" i="1"/>
  <c r="P243" i="1"/>
  <c r="R237" i="1"/>
  <c r="N242" i="1"/>
  <c r="R240" i="1"/>
  <c r="S240" i="1" s="1"/>
  <c r="N237" i="1"/>
  <c r="Q233" i="1"/>
  <c r="R233" i="1" s="1"/>
  <c r="R235" i="1"/>
  <c r="P234" i="1"/>
  <c r="S228" i="1"/>
  <c r="S237" i="1" l="1"/>
  <c r="P194" i="1"/>
  <c r="P188" i="1"/>
  <c r="Q188" i="1" s="1"/>
  <c r="R188" i="1" s="1"/>
  <c r="Q190" i="1"/>
  <c r="N187" i="1" l="1"/>
  <c r="Q187" i="1"/>
  <c r="R187" i="1" s="1"/>
  <c r="P186" i="1"/>
  <c r="N185" i="1"/>
  <c r="R190" i="1" s="1"/>
  <c r="Q185" i="1"/>
  <c r="R185" i="1" s="1"/>
  <c r="Q183" i="1"/>
  <c r="R183" i="1"/>
  <c r="S183" i="1" s="1"/>
  <c r="R181" i="1"/>
  <c r="Q180" i="1"/>
  <c r="N178" i="1"/>
  <c r="Q177" i="1"/>
  <c r="R179" i="1"/>
  <c r="R176" i="1"/>
  <c r="R174" i="1"/>
  <c r="Q174" i="1"/>
  <c r="K170" i="1"/>
  <c r="K171" i="1"/>
  <c r="R177" i="1" l="1"/>
  <c r="Q152" i="1"/>
  <c r="S136" i="1" l="1"/>
  <c r="N140" i="1"/>
  <c r="K127" i="1"/>
  <c r="V116" i="1" l="1"/>
  <c r="V114" i="1"/>
  <c r="R118" i="1"/>
  <c r="R117" i="1"/>
  <c r="K109" i="1"/>
  <c r="K108" i="1"/>
  <c r="K107" i="1"/>
  <c r="S114" i="1"/>
  <c r="R119" i="1" l="1"/>
  <c r="V117" i="1"/>
  <c r="W118" i="1" s="1"/>
  <c r="W119" i="1" s="1"/>
  <c r="V118" i="1" l="1"/>
  <c r="K106" i="1"/>
  <c r="Q105" i="1" l="1"/>
  <c r="Q88" i="1" l="1"/>
  <c r="K87" i="1"/>
  <c r="S80" i="1" l="1"/>
  <c r="S82" i="1" s="1"/>
  <c r="N83" i="1"/>
  <c r="K79" i="1"/>
  <c r="K52" i="1" l="1"/>
  <c r="Q58" i="1"/>
  <c r="Q60" i="1" s="1"/>
  <c r="N57" i="1"/>
  <c r="Q55" i="1"/>
  <c r="Q29" i="1"/>
  <c r="S30" i="1" s="1"/>
  <c r="Q27" i="1"/>
  <c r="Q46" i="1"/>
  <c r="Q48" i="1" s="1"/>
  <c r="S42" i="1" l="1"/>
  <c r="T41" i="1"/>
  <c r="T40" i="1"/>
  <c r="T42" i="1" l="1"/>
  <c r="T44" i="1" s="1"/>
  <c r="R23" i="1"/>
  <c r="R24" i="1" s="1"/>
  <c r="U21" i="1"/>
  <c r="U20" i="1"/>
  <c r="S22" i="1"/>
  <c r="U22" i="1" l="1"/>
  <c r="U24" i="1" s="1"/>
  <c r="N14" i="1"/>
  <c r="N13" i="1" l="1"/>
  <c r="K933" i="1" l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79" i="1"/>
  <c r="K678" i="1"/>
  <c r="K677" i="1"/>
  <c r="K675" i="1"/>
  <c r="K674" i="1"/>
  <c r="K673" i="1"/>
  <c r="K672" i="1"/>
  <c r="K671" i="1"/>
  <c r="K670" i="1"/>
  <c r="K669" i="1"/>
  <c r="K667" i="1"/>
  <c r="K666" i="1"/>
  <c r="K665" i="1"/>
  <c r="K664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5" i="1"/>
  <c r="K624" i="1"/>
  <c r="K623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8" i="1"/>
  <c r="K587" i="1"/>
  <c r="K586" i="1"/>
  <c r="K585" i="1"/>
  <c r="K584" i="1"/>
  <c r="K583" i="1"/>
  <c r="K582" i="1"/>
  <c r="K581" i="1"/>
  <c r="K580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7" i="1"/>
  <c r="K546" i="1"/>
  <c r="K545" i="1"/>
  <c r="K544" i="1"/>
  <c r="K543" i="1"/>
  <c r="K542" i="1"/>
  <c r="K541" i="1"/>
  <c r="K540" i="1"/>
  <c r="K539" i="1"/>
  <c r="K538" i="1"/>
  <c r="K536" i="1"/>
  <c r="K535" i="1"/>
  <c r="K534" i="1"/>
  <c r="K533" i="1"/>
  <c r="K532" i="1"/>
  <c r="K531" i="1"/>
  <c r="K530" i="1"/>
  <c r="K529" i="1"/>
  <c r="K528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8" i="1"/>
  <c r="K317" i="1"/>
  <c r="K316" i="1"/>
  <c r="K315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6" i="1"/>
  <c r="K85" i="1"/>
  <c r="K84" i="1"/>
  <c r="K83" i="1"/>
  <c r="K82" i="1"/>
  <c r="K81" i="1"/>
  <c r="K80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 l="1"/>
</calcChain>
</file>

<file path=xl/sharedStrings.xml><?xml version="1.0" encoding="utf-8"?>
<sst xmlns="http://schemas.openxmlformats.org/spreadsheetml/2006/main" count="19781" uniqueCount="2795">
  <si>
    <t xml:space="preserve">FORTIDEX  S.A </t>
  </si>
  <si>
    <t>FABRICA DE HARINA DE PESCADO</t>
  </si>
  <si>
    <t xml:space="preserve">REPORTES DE PESOS DE BASCULA </t>
  </si>
  <si>
    <t>Nº-</t>
  </si>
  <si>
    <t>FECHA</t>
  </si>
  <si>
    <t>PROVEEDOR</t>
  </si>
  <si>
    <t>CHOFER</t>
  </si>
  <si>
    <t>PLACA</t>
  </si>
  <si>
    <t>HORA</t>
  </si>
  <si>
    <t>PESO (KG)</t>
  </si>
  <si>
    <t>NETO</t>
  </si>
  <si>
    <t>Nº GUIA</t>
  </si>
  <si>
    <t>DESCRIPCION</t>
  </si>
  <si>
    <t>PESO GUIA</t>
  </si>
  <si>
    <t>MEDIDA DE</t>
  </si>
  <si>
    <t>VEHICULO</t>
  </si>
  <si>
    <t>ENTRADA</t>
  </si>
  <si>
    <t>SALIDA</t>
  </si>
  <si>
    <t xml:space="preserve"> PESO</t>
  </si>
  <si>
    <t>M</t>
  </si>
  <si>
    <t>SA</t>
  </si>
  <si>
    <t>LIMPIZA</t>
  </si>
  <si>
    <t>ANGEL COM</t>
  </si>
  <si>
    <t>BOT</t>
  </si>
  <si>
    <t>HO</t>
  </si>
  <si>
    <t>SAR</t>
  </si>
  <si>
    <t>CB</t>
  </si>
  <si>
    <t>C</t>
  </si>
  <si>
    <t>EMPAGRAN</t>
  </si>
  <si>
    <t>JOSE ALI</t>
  </si>
  <si>
    <t>GLN-995</t>
  </si>
  <si>
    <t>SUBPRODUCTO DE CAMARON</t>
  </si>
  <si>
    <t>KILOS</t>
  </si>
  <si>
    <t>PATRICIA MAURAD</t>
  </si>
  <si>
    <t>SILVIO OBANDO</t>
  </si>
  <si>
    <t>BAA-1483</t>
  </si>
  <si>
    <t>PARTICULAR</t>
  </si>
  <si>
    <t>JUAN DELGADO</t>
  </si>
  <si>
    <t xml:space="preserve">EFRAIN SANTANA  </t>
  </si>
  <si>
    <t>MAA-1707</t>
  </si>
  <si>
    <t>SUBPRODUCTO DE ALBACORA -SUBP ATUN COCIDO</t>
  </si>
  <si>
    <t xml:space="preserve">FAUSTO GUTIERREZ    </t>
  </si>
  <si>
    <t xml:space="preserve">MAA-3454   </t>
  </si>
  <si>
    <t xml:space="preserve">FRIGOLANDIA -CEPROFISH  </t>
  </si>
  <si>
    <t xml:space="preserve">EDGAR CASTRO   </t>
  </si>
  <si>
    <t xml:space="preserve">GSC-6045 </t>
  </si>
  <si>
    <t xml:space="preserve">CAM-8    </t>
  </si>
  <si>
    <t>9812-3477</t>
  </si>
  <si>
    <t>SUBPRODUCTO DE DORADO</t>
  </si>
  <si>
    <t>LIBRAS</t>
  </si>
  <si>
    <t>CARLOS VILLACRESES</t>
  </si>
  <si>
    <t>GOT-867</t>
  </si>
  <si>
    <t>CAB-7</t>
  </si>
  <si>
    <t>DESPACHO DE HARINA DE PESCADO</t>
  </si>
  <si>
    <t>SACOS</t>
  </si>
  <si>
    <t>GISIS S.A.</t>
  </si>
  <si>
    <t xml:space="preserve">EXPOTUNA </t>
  </si>
  <si>
    <t>JHONATHAN HERNANDEZ</t>
  </si>
  <si>
    <t>GPB-2871</t>
  </si>
  <si>
    <t>TAURA</t>
  </si>
  <si>
    <t>PROEXPO</t>
  </si>
  <si>
    <t>RICARDO FRANCO</t>
  </si>
  <si>
    <t>GLC-390</t>
  </si>
  <si>
    <t>3226-25</t>
  </si>
  <si>
    <t>CRIMASA</t>
  </si>
  <si>
    <t xml:space="preserve">JEFFERSON MAYORGA </t>
  </si>
  <si>
    <t>GNC-487</t>
  </si>
  <si>
    <t>COFIMAR</t>
  </si>
  <si>
    <t>GILBERT REINOSO</t>
  </si>
  <si>
    <t>GBN-7977</t>
  </si>
  <si>
    <t>OMARSA</t>
  </si>
  <si>
    <t>LIDER BOLAÑOS</t>
  </si>
  <si>
    <t>PPB-5295</t>
  </si>
  <si>
    <t>KLEVER ALI</t>
  </si>
  <si>
    <t>GSB-8634</t>
  </si>
  <si>
    <t>MANTA</t>
  </si>
  <si>
    <t>OCM-0107</t>
  </si>
  <si>
    <t xml:space="preserve">BINES VACIOS </t>
  </si>
  <si>
    <t xml:space="preserve">SUBPRODUCTO DE ALBACORA -SUBP ATUN COCIDO SUB MERLUZA - VISCERAS </t>
  </si>
  <si>
    <t>ADOLFO SANCHEZ</t>
  </si>
  <si>
    <t>BINES</t>
  </si>
  <si>
    <t>JORGE GUANANGA</t>
  </si>
  <si>
    <t>PAB-4168</t>
  </si>
  <si>
    <t>DESPACHO ACEITE DE PESCADO</t>
  </si>
  <si>
    <t>GALONES</t>
  </si>
  <si>
    <t>BIOMAR</t>
  </si>
  <si>
    <t>SANTIAGO MALDONADO</t>
  </si>
  <si>
    <t>GCA-4944</t>
  </si>
  <si>
    <t>CAB-12</t>
  </si>
  <si>
    <t>HIDROLIZADO DE PESCADO</t>
  </si>
  <si>
    <t>PLA</t>
  </si>
  <si>
    <t>ALU</t>
  </si>
  <si>
    <t>MENOS 1148 KG DE 20 BINES</t>
  </si>
  <si>
    <t>APM-12-2020</t>
  </si>
  <si>
    <t>FIDEL CRESPIN</t>
  </si>
  <si>
    <t>GON-687</t>
  </si>
  <si>
    <t>PALLET</t>
  </si>
  <si>
    <t xml:space="preserve">PALLET VACIOS </t>
  </si>
  <si>
    <t>CARGIL</t>
  </si>
  <si>
    <t>CAM-5</t>
  </si>
  <si>
    <t xml:space="preserve">21 PALLET + 3 PALLET </t>
  </si>
  <si>
    <t>JACKSON JIMENEZ</t>
  </si>
  <si>
    <t>GPA-1296</t>
  </si>
  <si>
    <t>LISANDRO CALZADA</t>
  </si>
  <si>
    <t>UBH-966</t>
  </si>
  <si>
    <t>CARGIL - JAMBELI</t>
  </si>
  <si>
    <t>ADILISA</t>
  </si>
  <si>
    <t>JOFFRE ESPINOZA</t>
  </si>
  <si>
    <t>GSV-7577</t>
  </si>
  <si>
    <t xml:space="preserve">CEPROFISH </t>
  </si>
  <si>
    <t>GIY-0253</t>
  </si>
  <si>
    <t>CAM-7</t>
  </si>
  <si>
    <t xml:space="preserve">PROEXPO        </t>
  </si>
  <si>
    <t xml:space="preserve">3229-3230 </t>
  </si>
  <si>
    <t xml:space="preserve">JOSE GRANDA   </t>
  </si>
  <si>
    <t xml:space="preserve">WALTER VAQUERO  </t>
  </si>
  <si>
    <t xml:space="preserve">GSJ-2392  </t>
  </si>
  <si>
    <t xml:space="preserve">DAVMER CORP-CEAEXPORT-AQUAFISH  </t>
  </si>
  <si>
    <t xml:space="preserve">JEFFERSON ZAMBRANO  </t>
  </si>
  <si>
    <t>GTA-1759</t>
  </si>
  <si>
    <t>2213-720-909</t>
  </si>
  <si>
    <t xml:space="preserve">JUAN DELGADO    </t>
  </si>
  <si>
    <t xml:space="preserve">VICTOR SILVA  </t>
  </si>
  <si>
    <t xml:space="preserve">MAA-5328    </t>
  </si>
  <si>
    <t xml:space="preserve">SUBPRODUCTO DE ALBACORA - SUB MERLUZA - VISCERAS </t>
  </si>
  <si>
    <t xml:space="preserve">SODA              </t>
  </si>
  <si>
    <t xml:space="preserve">JULIO QUINDE  </t>
  </si>
  <si>
    <t xml:space="preserve">S/P       </t>
  </si>
  <si>
    <t xml:space="preserve">MONTACARGA   </t>
  </si>
  <si>
    <t xml:space="preserve">1 BIN DE SODA    </t>
  </si>
  <si>
    <t>TAURA FORTIDEX</t>
  </si>
  <si>
    <t>GEOVANNY PALMA</t>
  </si>
  <si>
    <t>ACR-910</t>
  </si>
  <si>
    <t xml:space="preserve">SEAFMAN </t>
  </si>
  <si>
    <t xml:space="preserve">ADOLFO SANCHEZ </t>
  </si>
  <si>
    <t xml:space="preserve">OCM-0107  </t>
  </si>
  <si>
    <t xml:space="preserve">13532-533   </t>
  </si>
  <si>
    <t xml:space="preserve">SUBP ATUN COCIDO (3 BINES)SUBP DE ALBACORA VISCERAS (9 BINES)        </t>
  </si>
  <si>
    <t xml:space="preserve">CHANDUY       </t>
  </si>
  <si>
    <t xml:space="preserve">EDGAR CASTRO          </t>
  </si>
  <si>
    <t xml:space="preserve">CAM-8  </t>
  </si>
  <si>
    <t xml:space="preserve">3 BINES DE SODA  </t>
  </si>
  <si>
    <t xml:space="preserve">PROMOPESCA </t>
  </si>
  <si>
    <t xml:space="preserve">GALO TUAZA  </t>
  </si>
  <si>
    <t>GBN-7592</t>
  </si>
  <si>
    <t xml:space="preserve">CAB-9 </t>
  </si>
  <si>
    <t xml:space="preserve">SUBPRODUCTO DE ATUN COCIDO    </t>
  </si>
  <si>
    <t xml:space="preserve">TAURA FORTIDEX    </t>
  </si>
  <si>
    <t xml:space="preserve">JUAN ZHISPON      </t>
  </si>
  <si>
    <t xml:space="preserve">LCF-094  </t>
  </si>
  <si>
    <t xml:space="preserve">1 BIN DE IN NAMIN    </t>
  </si>
  <si>
    <t xml:space="preserve">IN NAMIN    </t>
  </si>
  <si>
    <t>HECTOR BANCHEN</t>
  </si>
  <si>
    <t xml:space="preserve">PTD-0533  </t>
  </si>
  <si>
    <t xml:space="preserve">PARTICULAR </t>
  </si>
  <si>
    <t>MENOS 578 KG DE 10 BINES</t>
  </si>
  <si>
    <t>SOLORCAMP</t>
  </si>
  <si>
    <t>JORGE RONQUILLO</t>
  </si>
  <si>
    <t>GQX-455</t>
  </si>
  <si>
    <t xml:space="preserve">SUBPRODUCTO DE MERLUZA </t>
  </si>
  <si>
    <t>GJL-0850</t>
  </si>
  <si>
    <t>CAB-1</t>
  </si>
  <si>
    <t>CRISTHIAN SANDOBAL</t>
  </si>
  <si>
    <t>XAF-183</t>
  </si>
  <si>
    <t>BODEGA JAMBELI</t>
  </si>
  <si>
    <t>INGRESO HARINA DE PESCADO</t>
  </si>
  <si>
    <t>TRASLADO DE HARINA DE PESCADO</t>
  </si>
  <si>
    <t xml:space="preserve">24 PALLET 1104 KG </t>
  </si>
  <si>
    <t>MENOS 1104 KG DE 24 PALLET</t>
  </si>
  <si>
    <t xml:space="preserve">SEAFOOD </t>
  </si>
  <si>
    <t>DANIEL CHAGERBEN</t>
  </si>
  <si>
    <t>ICC-0450</t>
  </si>
  <si>
    <t>GFF-0372</t>
  </si>
  <si>
    <t>CAM-4</t>
  </si>
  <si>
    <t>JAIME ALBAN</t>
  </si>
  <si>
    <t>JAVIER REALPE</t>
  </si>
  <si>
    <t>GSD-9660</t>
  </si>
  <si>
    <t>GNX-101</t>
  </si>
  <si>
    <t>CAB-8</t>
  </si>
  <si>
    <t xml:space="preserve">50 CASCARA </t>
  </si>
  <si>
    <t>CARLOS ROJAS</t>
  </si>
  <si>
    <t>GMK-0671</t>
  </si>
  <si>
    <t>10 GAVE</t>
  </si>
  <si>
    <t>ROSENDO LINDAO</t>
  </si>
  <si>
    <t>JBC-180</t>
  </si>
  <si>
    <t>REYSAC</t>
  </si>
  <si>
    <t xml:space="preserve">MANUEL BARRE </t>
  </si>
  <si>
    <t xml:space="preserve">SACOS VACIOS NUEVOS </t>
  </si>
  <si>
    <t>INBALNOR</t>
  </si>
  <si>
    <t>GSN-1250</t>
  </si>
  <si>
    <t>NIRSA</t>
  </si>
  <si>
    <t xml:space="preserve">NESTOR JAIME </t>
  </si>
  <si>
    <t>MFB-0338</t>
  </si>
  <si>
    <t>FORTIDEX</t>
  </si>
  <si>
    <t>PEÑAFIEL</t>
  </si>
  <si>
    <t>BAGAZO</t>
  </si>
  <si>
    <t>S/G</t>
  </si>
  <si>
    <t>GNA-423</t>
  </si>
  <si>
    <t>HUGO IÑIGA</t>
  </si>
  <si>
    <t xml:space="preserve">GISIS    </t>
  </si>
  <si>
    <t xml:space="preserve">PATRICIA MAURAD  </t>
  </si>
  <si>
    <t xml:space="preserve">GSD-9660 </t>
  </si>
  <si>
    <t>LUIS CHELE</t>
  </si>
  <si>
    <t xml:space="preserve">UAF-0065  </t>
  </si>
  <si>
    <t xml:space="preserve">JUAN DELGADO  </t>
  </si>
  <si>
    <t>JACKSON BAILON</t>
  </si>
  <si>
    <t xml:space="preserve">MBA-3240   </t>
  </si>
  <si>
    <t xml:space="preserve">SUBPRODUCTO DE ALBACORA-SUBP ATUN COCIDO   </t>
  </si>
  <si>
    <t>SALICA</t>
  </si>
  <si>
    <t xml:space="preserve">RENE MARQUEZ  </t>
  </si>
  <si>
    <t xml:space="preserve">EBF-486 </t>
  </si>
  <si>
    <t xml:space="preserve">CAB-3 </t>
  </si>
  <si>
    <t>AGUA DE COCCION</t>
  </si>
  <si>
    <t xml:space="preserve">PATRICIA MAURAD     </t>
  </si>
  <si>
    <t xml:space="preserve">CESAR CHAGERBEN </t>
  </si>
  <si>
    <t xml:space="preserve">ICC-0450  </t>
  </si>
  <si>
    <t xml:space="preserve">TAURA FORTIDEX  </t>
  </si>
  <si>
    <t xml:space="preserve">JORGE SANTOS  </t>
  </si>
  <si>
    <t xml:space="preserve">PUA-0568  </t>
  </si>
  <si>
    <t xml:space="preserve">ANDERSON VALENCIA     </t>
  </si>
  <si>
    <t>GSY-2875</t>
  </si>
  <si>
    <t xml:space="preserve">CAM-9    </t>
  </si>
  <si>
    <t xml:space="preserve">SOLUCION ALCALINA   35 GRADO </t>
  </si>
  <si>
    <t xml:space="preserve">CEPROFISH-FRIGOLANDIA  </t>
  </si>
  <si>
    <t xml:space="preserve">78-9813    </t>
  </si>
  <si>
    <t xml:space="preserve">SUBPRODUCTO DE DORADO  </t>
  </si>
  <si>
    <t>NO HUBO ENTREGA DE BIOMAR</t>
  </si>
  <si>
    <t xml:space="preserve">SE RECIBE DE 10 BINES DE  HIDROLIZADO DE PESCADO -5 BINES DE INAMIN 20.000 SACOS VACIOS </t>
  </si>
  <si>
    <t>PERSONAL</t>
  </si>
  <si>
    <t>CARRETILLA</t>
  </si>
  <si>
    <t xml:space="preserve">CABEZA </t>
  </si>
  <si>
    <t xml:space="preserve">40 CASCARA </t>
  </si>
  <si>
    <t>EMPACRECI - PROEXPO</t>
  </si>
  <si>
    <t>PAULO SANCHEZ</t>
  </si>
  <si>
    <t>GKL-025</t>
  </si>
  <si>
    <t>9841-</t>
  </si>
  <si>
    <t>ROOSVELT ALVARADO</t>
  </si>
  <si>
    <t>GSE-9046</t>
  </si>
  <si>
    <t>GNJ-0122</t>
  </si>
  <si>
    <t>C AB-9</t>
  </si>
  <si>
    <t>CONCENTRADO DE CAMARON</t>
  </si>
  <si>
    <t>PICO SALTOS ROBERT ITALO</t>
  </si>
  <si>
    <t xml:space="preserve">INGRESO DE BINES VACIOS </t>
  </si>
  <si>
    <t>EDGAR CASTRO</t>
  </si>
  <si>
    <t xml:space="preserve">SOLORCAMP   </t>
  </si>
  <si>
    <t xml:space="preserve">JOSE MACIAS    </t>
  </si>
  <si>
    <t xml:space="preserve">TAA-4399  </t>
  </si>
  <si>
    <t>ROSENDO FLORES</t>
  </si>
  <si>
    <t xml:space="preserve">EXPOTUNA-AQUAFISH-EMPREDE   </t>
  </si>
  <si>
    <t xml:space="preserve">HERNAN BURGOS    </t>
  </si>
  <si>
    <t>GIP-630</t>
  </si>
  <si>
    <t xml:space="preserve">44269-817-  </t>
  </si>
  <si>
    <t xml:space="preserve">SUBPRODUCTO DE ALBACORA-SUBP MERLUZA-VISCERAS   </t>
  </si>
  <si>
    <t xml:space="preserve">EMPACRECI  </t>
  </si>
  <si>
    <t xml:space="preserve">PATRICIA MAURAD    </t>
  </si>
  <si>
    <t xml:space="preserve">CARLOS ROJAS </t>
  </si>
  <si>
    <t xml:space="preserve">GMK-0671 </t>
  </si>
  <si>
    <t xml:space="preserve">SUBPRODUCTO DE ATUN COCIDO </t>
  </si>
  <si>
    <t xml:space="preserve">LIDER BOLAÑOS    </t>
  </si>
  <si>
    <t xml:space="preserve">OMC-0107  </t>
  </si>
  <si>
    <t xml:space="preserve">TAURA    </t>
  </si>
  <si>
    <t xml:space="preserve">13558-559   </t>
  </si>
  <si>
    <t xml:space="preserve">SUBPRODUCTO DE ATUN (2 BINES)SUBPRODUCTO DE VISCERAS (10 BINES)    </t>
  </si>
  <si>
    <t>12 BINES</t>
  </si>
  <si>
    <t xml:space="preserve">SEAFMAN     </t>
  </si>
  <si>
    <t xml:space="preserve">S/P   </t>
  </si>
  <si>
    <t>MONTACARGA</t>
  </si>
  <si>
    <t xml:space="preserve">SODA REACTOR #2      </t>
  </si>
  <si>
    <t xml:space="preserve">INPROSA </t>
  </si>
  <si>
    <t xml:space="preserve">KLEVER PITA </t>
  </si>
  <si>
    <t>GKT-0925</t>
  </si>
  <si>
    <t>70 GAVE</t>
  </si>
  <si>
    <t>MORANTE ALEXIS</t>
  </si>
  <si>
    <t>GSA-9399</t>
  </si>
  <si>
    <t>JACINTO CORDERO</t>
  </si>
  <si>
    <t>GSQ-6595</t>
  </si>
  <si>
    <t xml:space="preserve">PRUEBA </t>
  </si>
  <si>
    <t>S/P</t>
  </si>
  <si>
    <t>7000 KG SAL ALCALINA 946.43 KG INAMIN 35 º - 1951.36 INAMIN 10º</t>
  </si>
  <si>
    <t>4 BINES DE CABEZAS</t>
  </si>
  <si>
    <t>975 CABEZA</t>
  </si>
  <si>
    <t xml:space="preserve">PATRICIA MAURAD - FRIGOLANDIA </t>
  </si>
  <si>
    <t>1404-26270</t>
  </si>
  <si>
    <t xml:space="preserve">TAURA FORTIDEX     </t>
  </si>
  <si>
    <t xml:space="preserve">CARLOS VILLACRESES </t>
  </si>
  <si>
    <t xml:space="preserve">GNX-101      </t>
  </si>
  <si>
    <t xml:space="preserve">CAB-8  </t>
  </si>
  <si>
    <t>DESPACHO DE CONCENTRADO DE CAMARON</t>
  </si>
  <si>
    <t>EXPOTUNA</t>
  </si>
  <si>
    <t>DOCAPES</t>
  </si>
  <si>
    <t xml:space="preserve">3239-3240    </t>
  </si>
  <si>
    <t xml:space="preserve">PRUEBA      </t>
  </si>
  <si>
    <t xml:space="preserve">JULIO QUINDE     </t>
  </si>
  <si>
    <t xml:space="preserve">SODA      </t>
  </si>
  <si>
    <t xml:space="preserve">CEPROMAR-CEPROFISH     </t>
  </si>
  <si>
    <t xml:space="preserve">FIDEL CRESPIN        </t>
  </si>
  <si>
    <t>GIY-253</t>
  </si>
  <si>
    <t xml:space="preserve">CAM-7 </t>
  </si>
  <si>
    <t>79-720</t>
  </si>
  <si>
    <t>PABLO VILLON</t>
  </si>
  <si>
    <t>RIVETOS S.A.</t>
  </si>
  <si>
    <t>KLEVER URIÑA</t>
  </si>
  <si>
    <t>GBN-5330</t>
  </si>
  <si>
    <t>DERIPETROL</t>
  </si>
  <si>
    <t xml:space="preserve">DARWIN ZAMORA </t>
  </si>
  <si>
    <t>GBN-5524</t>
  </si>
  <si>
    <t>BUNKER</t>
  </si>
  <si>
    <t>3500 CASC</t>
  </si>
  <si>
    <t>JAIME ALVAN</t>
  </si>
  <si>
    <t>PRUEBA J. DELGADO</t>
  </si>
  <si>
    <t>ASEQUIM</t>
  </si>
  <si>
    <t>CARLOS ALARCON</t>
  </si>
  <si>
    <t>GSS-5551</t>
  </si>
  <si>
    <t>40 CANECAS DE POLIMERO</t>
  </si>
  <si>
    <t xml:space="preserve">FRIGOLANDIA   </t>
  </si>
  <si>
    <t xml:space="preserve">GONZAPESCA </t>
  </si>
  <si>
    <t>INGRESO DE HARINA CAMARON</t>
  </si>
  <si>
    <t xml:space="preserve">MARCELO LEON </t>
  </si>
  <si>
    <t>GBN-5823</t>
  </si>
  <si>
    <t xml:space="preserve">15 CASCARA </t>
  </si>
  <si>
    <t>MUELLE FORTIDEX</t>
  </si>
  <si>
    <t>INGRESO DE CHATARRA CABLE OXIDADO  CADENA FUERA DE USO MADERA</t>
  </si>
  <si>
    <t>SE PESA SIN PALLET</t>
  </si>
  <si>
    <t xml:space="preserve">1500 CASCARA </t>
  </si>
  <si>
    <t>JOSE MAURAD</t>
  </si>
  <si>
    <t xml:space="preserve">ALEX ZAMORA </t>
  </si>
  <si>
    <t>GBO-3306</t>
  </si>
  <si>
    <t>3242-41</t>
  </si>
  <si>
    <t>FRIGOLANDIA</t>
  </si>
  <si>
    <t xml:space="preserve">1406-1407  </t>
  </si>
  <si>
    <t xml:space="preserve">JOSE CHAVEZ    </t>
  </si>
  <si>
    <t>SUBPRODUCTO DE ALBACORA-VISCERAS</t>
  </si>
  <si>
    <t xml:space="preserve">TAURA FORTIDEX   </t>
  </si>
  <si>
    <t xml:space="preserve">JUAN ZHISPON   </t>
  </si>
  <si>
    <t xml:space="preserve">SODA REACTOR #1  </t>
  </si>
  <si>
    <t xml:space="preserve">SEAFMAN   </t>
  </si>
  <si>
    <t xml:space="preserve">MIGUEL SANCHEZ  </t>
  </si>
  <si>
    <t xml:space="preserve">XBV-0222   </t>
  </si>
  <si>
    <t xml:space="preserve">PARTICULAR  </t>
  </si>
  <si>
    <t>13582-583</t>
  </si>
  <si>
    <t xml:space="preserve">SUBPRODUCTO DE VISCERAS 8 BINES-SUBPRODUCTO DE ATUN COCIDO 3 BINES       </t>
  </si>
  <si>
    <t>JOSE CAMPOSANO</t>
  </si>
  <si>
    <t>GSH-8290</t>
  </si>
  <si>
    <t xml:space="preserve">5 GAVETAS </t>
  </si>
  <si>
    <t>DALINTON RODRIGUEZ</t>
  </si>
  <si>
    <t>JBE-0495</t>
  </si>
  <si>
    <t>3244-45</t>
  </si>
  <si>
    <t>EMPACRECI</t>
  </si>
  <si>
    <t>CARLOS ZUÑIGA</t>
  </si>
  <si>
    <t xml:space="preserve">20 CASCARA </t>
  </si>
  <si>
    <t>5 CASCA</t>
  </si>
  <si>
    <t xml:space="preserve">SUBPRODUCTO DE ALBACORA - SUB MERLUZA SUB ATUN COCIDO VISCERAS </t>
  </si>
  <si>
    <t>EXPOTUNA - AQUAFISH</t>
  </si>
  <si>
    <t>825-44300</t>
  </si>
  <si>
    <t xml:space="preserve">SUBPRODUCTO DE ALBACORA -SUB ATUN COCIDO - VISCERAS </t>
  </si>
  <si>
    <t>ACR-0910</t>
  </si>
  <si>
    <t>MAXIMO SILVA</t>
  </si>
  <si>
    <t xml:space="preserve">ORMASA  </t>
  </si>
  <si>
    <t xml:space="preserve">HUGO JARA </t>
  </si>
  <si>
    <t xml:space="preserve">GBO-1379   </t>
  </si>
  <si>
    <t>JEFFERSON ZAMBRANO</t>
  </si>
  <si>
    <t xml:space="preserve">GSB-8634   </t>
  </si>
  <si>
    <t xml:space="preserve">DALINTON RODRIGUEZ    </t>
  </si>
  <si>
    <t xml:space="preserve">JBE-0495    </t>
  </si>
  <si>
    <t xml:space="preserve">TAURA      </t>
  </si>
  <si>
    <t xml:space="preserve">3246-3247  </t>
  </si>
  <si>
    <t xml:space="preserve">SEAFMAN    </t>
  </si>
  <si>
    <t xml:space="preserve">JULIO QUINDE      </t>
  </si>
  <si>
    <t xml:space="preserve">S/P    </t>
  </si>
  <si>
    <t xml:space="preserve">MONTACARGA </t>
  </si>
  <si>
    <t xml:space="preserve">GABAZO PRUEBA #18 SEAFMAN   </t>
  </si>
  <si>
    <t xml:space="preserve">PROEXPO    </t>
  </si>
  <si>
    <t xml:space="preserve">PAULO SANCHEZ     </t>
  </si>
  <si>
    <t xml:space="preserve">GKL-025   </t>
  </si>
  <si>
    <t xml:space="preserve">ORMASA      </t>
  </si>
  <si>
    <t xml:space="preserve">DANIEL CHAGERBEN     </t>
  </si>
  <si>
    <t xml:space="preserve">GNA-423  </t>
  </si>
  <si>
    <t xml:space="preserve">ICC-0450 </t>
  </si>
  <si>
    <t xml:space="preserve">GILBERTO REINOSO     </t>
  </si>
  <si>
    <t xml:space="preserve">GBN-7977    </t>
  </si>
  <si>
    <t xml:space="preserve">JONATHAN HERNANDEZ    </t>
  </si>
  <si>
    <t xml:space="preserve">GPB-2871   </t>
  </si>
  <si>
    <t xml:space="preserve">ITALO OLVERA       </t>
  </si>
  <si>
    <t xml:space="preserve">GTA-1759 </t>
  </si>
  <si>
    <t xml:space="preserve">CRIMASA     </t>
  </si>
  <si>
    <t xml:space="preserve">ROLANDO CHAVEZ     </t>
  </si>
  <si>
    <t>GMZ-075</t>
  </si>
  <si>
    <t xml:space="preserve">EMPACRECI    </t>
  </si>
  <si>
    <t xml:space="preserve">LUIS MOREIRA </t>
  </si>
  <si>
    <t xml:space="preserve">GPB-2992 </t>
  </si>
  <si>
    <t xml:space="preserve">PARTICULAR   </t>
  </si>
  <si>
    <t xml:space="preserve">CEPROMAR-MOLPRO  </t>
  </si>
  <si>
    <t xml:space="preserve">JAIME ALBAN     </t>
  </si>
  <si>
    <t xml:space="preserve">80-1507 </t>
  </si>
  <si>
    <t xml:space="preserve">SUBPSELEMBA-SUBP DORADO  </t>
  </si>
  <si>
    <t xml:space="preserve">TAURA FORTIDEX      </t>
  </si>
  <si>
    <t xml:space="preserve">GOT-867    </t>
  </si>
  <si>
    <t xml:space="preserve">CAB-7 </t>
  </si>
  <si>
    <t>INGRESO DE HARINA DE PESCADO</t>
  </si>
  <si>
    <t xml:space="preserve">DARWIN CAMACHO        </t>
  </si>
  <si>
    <t>JHON VERA</t>
  </si>
  <si>
    <t xml:space="preserve">ABA-5483  </t>
  </si>
  <si>
    <t xml:space="preserve">VENTAS DE SACOS FUERA DE USO       </t>
  </si>
  <si>
    <t xml:space="preserve">EDGAR CASTRO  </t>
  </si>
  <si>
    <t xml:space="preserve">DESPACHO DE HIDROLIZADO DE PESCADO      </t>
  </si>
  <si>
    <t xml:space="preserve">GJL-850 </t>
  </si>
  <si>
    <t xml:space="preserve">CAB-1           </t>
  </si>
  <si>
    <t>ORMASA</t>
  </si>
  <si>
    <t>OMC-0107</t>
  </si>
  <si>
    <t xml:space="preserve">TAURA   </t>
  </si>
  <si>
    <t xml:space="preserve">ACIDNOVA      </t>
  </si>
  <si>
    <t xml:space="preserve">RAFAEL HERRERA  </t>
  </si>
  <si>
    <t>TAM-0681</t>
  </si>
  <si>
    <t>ACIDNOVA</t>
  </si>
  <si>
    <t>10 BINES</t>
  </si>
  <si>
    <t>ALIMENTSA</t>
  </si>
  <si>
    <t>SE DESCUENTA 1160 DE 20 BINES VACIOS</t>
  </si>
  <si>
    <t xml:space="preserve">HECTOR BANCHEN   </t>
  </si>
  <si>
    <t xml:space="preserve">PTD-0533 </t>
  </si>
  <si>
    <t xml:space="preserve">PARTICULAR    </t>
  </si>
  <si>
    <t xml:space="preserve">10 CASCARA </t>
  </si>
  <si>
    <t>JOSE CAMPOZANO</t>
  </si>
  <si>
    <t xml:space="preserve">FRIGOLANDIA </t>
  </si>
  <si>
    <t>ANDRES ANZULES</t>
  </si>
  <si>
    <t>INBALNOR - JAMBELI</t>
  </si>
  <si>
    <t>GKX-0584</t>
  </si>
  <si>
    <t xml:space="preserve">LUIS CHELE </t>
  </si>
  <si>
    <t>BIN CON CARACOL PESCADO - GUSANO</t>
  </si>
  <si>
    <t>3250-3249</t>
  </si>
  <si>
    <t>MENOS 280 KG BIN CON GUSANO</t>
  </si>
  <si>
    <t>GNA423</t>
  </si>
  <si>
    <t xml:space="preserve">JOSE MUENTES </t>
  </si>
  <si>
    <t>MAA-5238</t>
  </si>
  <si>
    <t>SUBPRODUCTO DE ALBACORA - VISCERAS</t>
  </si>
  <si>
    <t>JACKSON DELGADO</t>
  </si>
  <si>
    <t>PBR-9124</t>
  </si>
  <si>
    <t>2 ALBACORA - 1 VISCERAS</t>
  </si>
  <si>
    <t xml:space="preserve">TAURA </t>
  </si>
  <si>
    <t>HIPOCAMPUS - NIRSA</t>
  </si>
  <si>
    <t>SUBPRODUCTO DE ALBACORA SUB MERLUZA SUB DORADO VISCERAS</t>
  </si>
  <si>
    <t>EBF-0486</t>
  </si>
  <si>
    <t>PRUEBAS</t>
  </si>
  <si>
    <t>SUBPRODUCTO DE ATUN COCIDO</t>
  </si>
  <si>
    <t>SEAFMAN</t>
  </si>
  <si>
    <t>13597-96</t>
  </si>
  <si>
    <t>SUBPRODUCTO DE ATUN COCIDO - VISCERAS</t>
  </si>
  <si>
    <t xml:space="preserve">ELOY AVEIGA  </t>
  </si>
  <si>
    <t xml:space="preserve">MANUEL SANCHEZ  </t>
  </si>
  <si>
    <t xml:space="preserve">AAM-895 </t>
  </si>
  <si>
    <t>VENTA DE CHAATARRA</t>
  </si>
  <si>
    <t xml:space="preserve">JOSE CAMPUZANO    </t>
  </si>
  <si>
    <t xml:space="preserve">GSH-8290 </t>
  </si>
  <si>
    <t>ROTATUBO</t>
  </si>
  <si>
    <t>CRISTHIAN CRESPIN</t>
  </si>
  <si>
    <t>CAMARON AL GRANEL</t>
  </si>
  <si>
    <t xml:space="preserve">PAULO SANCHEZ </t>
  </si>
  <si>
    <t xml:space="preserve">3251-3252  </t>
  </si>
  <si>
    <t xml:space="preserve">CEPROFISH - FRIGOLANDIA </t>
  </si>
  <si>
    <t>CESAR INTRIAGO</t>
  </si>
  <si>
    <t>CAM-8</t>
  </si>
  <si>
    <t>9814-3558</t>
  </si>
  <si>
    <t>44324-914-</t>
  </si>
  <si>
    <t xml:space="preserve">EMPREDE - AQUAFISH - EXPOTUNA </t>
  </si>
  <si>
    <t>PRUEBAS #19</t>
  </si>
  <si>
    <t>VICTOR FLORES</t>
  </si>
  <si>
    <t>VICTOR QUINDE</t>
  </si>
  <si>
    <t>GOT-0867</t>
  </si>
  <si>
    <t>BILBOSA</t>
  </si>
  <si>
    <t>20 BINES</t>
  </si>
  <si>
    <t>GISIS</t>
  </si>
  <si>
    <t>CARGILL</t>
  </si>
  <si>
    <t xml:space="preserve">GBN-5330  </t>
  </si>
  <si>
    <t xml:space="preserve">VICENTE REQUENA     </t>
  </si>
  <si>
    <t>GBP-1653</t>
  </si>
  <si>
    <t xml:space="preserve">INBALNOR </t>
  </si>
  <si>
    <t xml:space="preserve">REYSAC      </t>
  </si>
  <si>
    <t xml:space="preserve">ARMANDO TINOCO  </t>
  </si>
  <si>
    <t xml:space="preserve">GSH-1081   </t>
  </si>
  <si>
    <t>SACOS NUEVOS</t>
  </si>
  <si>
    <t xml:space="preserve">EDGAR CASTRO    </t>
  </si>
  <si>
    <t xml:space="preserve">CAM-5  </t>
  </si>
  <si>
    <t xml:space="preserve">HIPOCAMPUS-NIRSA </t>
  </si>
  <si>
    <t xml:space="preserve">NESTOR JAIME    </t>
  </si>
  <si>
    <t xml:space="preserve">MFB-0338  </t>
  </si>
  <si>
    <t xml:space="preserve">TAURA     </t>
  </si>
  <si>
    <t xml:space="preserve">1-348482 </t>
  </si>
  <si>
    <t>CEPROFISH - CEPROMAR</t>
  </si>
  <si>
    <t>3574-81</t>
  </si>
  <si>
    <t>SUBPRODUCTO DE MERLUZA - SUB DORADO</t>
  </si>
  <si>
    <t xml:space="preserve">CESAR CHAGERBEN     </t>
  </si>
  <si>
    <t>GMD-0324</t>
  </si>
  <si>
    <t>CAB-2</t>
  </si>
  <si>
    <t xml:space="preserve">SUBPRODUCTO DE ALBACORA  - SUB MERLUZA - VISCERAS </t>
  </si>
  <si>
    <t>AQUAFISH - EMPREDE - PATRICIA MAURAD</t>
  </si>
  <si>
    <t>915-26335-34</t>
  </si>
  <si>
    <t>13618-19</t>
  </si>
  <si>
    <t xml:space="preserve">SUBPRODUCTO DE ALBACORA  VISCERAS </t>
  </si>
  <si>
    <t xml:space="preserve">4 BINES </t>
  </si>
  <si>
    <t xml:space="preserve">ASEQUIM   </t>
  </si>
  <si>
    <t xml:space="preserve">CARLOS ALARCON   </t>
  </si>
  <si>
    <t xml:space="preserve">PRODUCTOS QUIMICOS  </t>
  </si>
  <si>
    <t>JAVIER ICAZA</t>
  </si>
  <si>
    <t>GHD-105</t>
  </si>
  <si>
    <t>PLATAFORMA</t>
  </si>
  <si>
    <t>CUBAS VACIAS DE CHATARRA</t>
  </si>
  <si>
    <t>SOLVESA</t>
  </si>
  <si>
    <t>DANILO BARCIA</t>
  </si>
  <si>
    <t>GLI-385</t>
  </si>
  <si>
    <t>RENDOX</t>
  </si>
  <si>
    <t xml:space="preserve">NOVA INTEGRAL </t>
  </si>
  <si>
    <t xml:space="preserve">RAFAEL HERRERA    </t>
  </si>
  <si>
    <t xml:space="preserve">TAM-0681    </t>
  </si>
  <si>
    <t xml:space="preserve">INGRESO BINES VACIOS </t>
  </si>
  <si>
    <t>DEVOLUCION DE CONCENTRADO DE CAMARON</t>
  </si>
  <si>
    <t xml:space="preserve">MALLAS USADAS-CABOS USADOS-STROMER DE ACERO INOXIDABLE-MANGUERAS HIDRAHULICAS-MULTIPLE DE 3512-PLANCHA NOLADA TIPO TUBO       </t>
  </si>
  <si>
    <t>TINAS DE FIBRAS</t>
  </si>
  <si>
    <t xml:space="preserve">2 TINAS - CARRO DAÑO </t>
  </si>
  <si>
    <t>SODA</t>
  </si>
  <si>
    <t>CARRO DAÑADO</t>
  </si>
  <si>
    <t>13640-41</t>
  </si>
  <si>
    <t>SU8B PRODUCTO DE BUCHE - VISCERAS</t>
  </si>
  <si>
    <t>MACOS BARBECHO</t>
  </si>
  <si>
    <t>CHANDUY</t>
  </si>
  <si>
    <t>ENVIO DE PALLET VACIOS</t>
  </si>
  <si>
    <t xml:space="preserve">ALFREDO CEDEÑO   </t>
  </si>
  <si>
    <t xml:space="preserve">GPY-293  </t>
  </si>
  <si>
    <t>CAB-11</t>
  </si>
  <si>
    <t>PABLO SANCHEZ</t>
  </si>
  <si>
    <t>GLK-025</t>
  </si>
  <si>
    <t xml:space="preserve">CEPROMAR-CEPROFISH-FRIGOLANDIA  </t>
  </si>
  <si>
    <t xml:space="preserve">CESAR INTRIAGO  </t>
  </si>
  <si>
    <t xml:space="preserve">GSC-6045  </t>
  </si>
  <si>
    <t xml:space="preserve">82-3619-9822 </t>
  </si>
  <si>
    <t>SUBPRODUCTO DE DORADO-SUBP SELEMBA</t>
  </si>
  <si>
    <t>PRUEBA #24 JUAN DELGADO</t>
  </si>
  <si>
    <t>PRUEBA #23 JUAN DELGADO</t>
  </si>
  <si>
    <t>PRUEBA #22 JUAN DELGADO</t>
  </si>
  <si>
    <t>PRUEBAS#21 JUAN DELGADO</t>
  </si>
  <si>
    <t>MARCOS BARBECHO</t>
  </si>
  <si>
    <t>PRUEBA #25 SEAFMAN</t>
  </si>
  <si>
    <t>MIGUEL UNDA</t>
  </si>
  <si>
    <t>GBN-7210</t>
  </si>
  <si>
    <t>JOSE APO</t>
  </si>
  <si>
    <t>GRY-4489</t>
  </si>
  <si>
    <t>ARTURO URBANO</t>
  </si>
  <si>
    <t>GBN-4872</t>
  </si>
  <si>
    <t>HENRY PAUCAR</t>
  </si>
  <si>
    <t>GBN-4853</t>
  </si>
  <si>
    <t xml:space="preserve">JULIO AYALA </t>
  </si>
  <si>
    <t>GBO-2486</t>
  </si>
  <si>
    <t>WILSON SIMBA</t>
  </si>
  <si>
    <t>GBN-7649</t>
  </si>
  <si>
    <t xml:space="preserve">JAIME ALVAN     </t>
  </si>
  <si>
    <t>26500 KILOS</t>
  </si>
  <si>
    <t>MARWIL GUTIERREZ</t>
  </si>
  <si>
    <t>GOY-0425</t>
  </si>
  <si>
    <t>GBO-6610</t>
  </si>
  <si>
    <t>FRANKLIN PONTES</t>
  </si>
  <si>
    <t>NEY PINARGOTE</t>
  </si>
  <si>
    <t>GND-0866</t>
  </si>
  <si>
    <t xml:space="preserve">ALFONSO MORA </t>
  </si>
  <si>
    <t>GGX-0465</t>
  </si>
  <si>
    <t>JUAN ARREAGA</t>
  </si>
  <si>
    <t>GGV-0531</t>
  </si>
  <si>
    <t>ANGEL MORA</t>
  </si>
  <si>
    <t>GIP-0950</t>
  </si>
  <si>
    <t>ENRIQUE FLORES</t>
  </si>
  <si>
    <t>HAJ-615</t>
  </si>
  <si>
    <t xml:space="preserve">CHATARRA BOYA - CALBES USADOS - TANQUES DE TUBERIAS </t>
  </si>
  <si>
    <t>1338-11-2020 - MENOS 368 KG 8 PALLET</t>
  </si>
  <si>
    <t>DISENSA</t>
  </si>
  <si>
    <t>MANUEL LOOR</t>
  </si>
  <si>
    <t>GBN-4906</t>
  </si>
  <si>
    <t>PIEDRA 3/4</t>
  </si>
  <si>
    <t>DESPACHO HIDROLIZADO DE PESCADO</t>
  </si>
  <si>
    <t xml:space="preserve">PALLET REDES USADOS </t>
  </si>
  <si>
    <t>XIAMEN SEASHINE CEREALS DEVELOPMENT CO.,.LTD - JAMBELI</t>
  </si>
  <si>
    <t>P</t>
  </si>
  <si>
    <t>A</t>
  </si>
  <si>
    <t xml:space="preserve">MENOS 1153 KG DE 20 BINES </t>
  </si>
  <si>
    <t xml:space="preserve">500 LB CAS </t>
  </si>
  <si>
    <t>PATRICIA MUARAD</t>
  </si>
  <si>
    <t>JUAN CARLOS ZHISPON</t>
  </si>
  <si>
    <t xml:space="preserve">CARGILL     </t>
  </si>
  <si>
    <t xml:space="preserve">JACKSON JIMENEZ     </t>
  </si>
  <si>
    <t xml:space="preserve">GNJ-0122     </t>
  </si>
  <si>
    <t xml:space="preserve">PALLET DE MADERA RIVETO 34 PALLET --PALLLET PROMOVI 106 PALLET             </t>
  </si>
  <si>
    <t xml:space="preserve">DALINTON RODRIGUEZ       </t>
  </si>
  <si>
    <t xml:space="preserve">JBE-0495  </t>
  </si>
  <si>
    <t xml:space="preserve">3280-3281   </t>
  </si>
  <si>
    <t xml:space="preserve">GLN-995 </t>
  </si>
  <si>
    <t xml:space="preserve">UAF-0065   </t>
  </si>
  <si>
    <t>SOPASE</t>
  </si>
  <si>
    <t xml:space="preserve">FRIGOLANDIA-PATRICIA MAURAD   </t>
  </si>
  <si>
    <t>1420-</t>
  </si>
  <si>
    <t xml:space="preserve">CEPROMAR-CEPROFISH-MOLPRO  </t>
  </si>
  <si>
    <t xml:space="preserve">83-3638-1514  </t>
  </si>
  <si>
    <t xml:space="preserve">SUBPRODUCTO DE DORADO-SUBP SELEMBA-SUB ESCOLAR    </t>
  </si>
  <si>
    <t xml:space="preserve">MAXIMO SILVA  </t>
  </si>
  <si>
    <t xml:space="preserve">XAF-0183 </t>
  </si>
  <si>
    <t xml:space="preserve">RICARDO FRANCO  </t>
  </si>
  <si>
    <t>VISCERAS-AGALLAS</t>
  </si>
  <si>
    <t>JULIO QUINDE</t>
  </si>
  <si>
    <t xml:space="preserve">PATRICIA MAURAD </t>
  </si>
  <si>
    <t>UAF-0065</t>
  </si>
  <si>
    <t xml:space="preserve">QUIROLA </t>
  </si>
  <si>
    <t>COMBUSPETROL S.A.</t>
  </si>
  <si>
    <t>JOSE LEON</t>
  </si>
  <si>
    <t xml:space="preserve"> CAM-4</t>
  </si>
  <si>
    <t>INGRESO DE CABOS REDES FUERA DE USO</t>
  </si>
  <si>
    <t>FABIAN BORBOR</t>
  </si>
  <si>
    <t>GSL-3552</t>
  </si>
  <si>
    <t xml:space="preserve">NIRSA-HIPOCAMPUS     </t>
  </si>
  <si>
    <t xml:space="preserve">SALICA    </t>
  </si>
  <si>
    <t xml:space="preserve">GDR-820  </t>
  </si>
  <si>
    <t xml:space="preserve">CAB-10    </t>
  </si>
  <si>
    <t xml:space="preserve">AQUAFISH  </t>
  </si>
  <si>
    <t xml:space="preserve">PEDRO CEDEÑO </t>
  </si>
  <si>
    <t xml:space="preserve">GLK-025 </t>
  </si>
  <si>
    <t>PRODUCCION SEAFMAN</t>
  </si>
  <si>
    <t>BAGAZO-PRODUCCION #26</t>
  </si>
  <si>
    <t xml:space="preserve">GUILLERMO SALAZAR   </t>
  </si>
  <si>
    <t xml:space="preserve">GRG-286    </t>
  </si>
  <si>
    <t>SOPASA</t>
  </si>
  <si>
    <t xml:space="preserve">349114-81096    </t>
  </si>
  <si>
    <t>CAEXPORT</t>
  </si>
  <si>
    <t>CAB-9</t>
  </si>
  <si>
    <t>SAN ANTONIO</t>
  </si>
  <si>
    <t>GMO-555</t>
  </si>
  <si>
    <t>VOL-2</t>
  </si>
  <si>
    <t xml:space="preserve">PIEDRA BASE </t>
  </si>
  <si>
    <t>MARIO QUINTERO</t>
  </si>
  <si>
    <t>UBJ-469</t>
  </si>
  <si>
    <t>GOL-0393</t>
  </si>
  <si>
    <t xml:space="preserve">SOPA S.A. </t>
  </si>
  <si>
    <t>WISTON SALAZAR</t>
  </si>
  <si>
    <t>GBO-3314</t>
  </si>
  <si>
    <t xml:space="preserve">SKRWTTING </t>
  </si>
  <si>
    <t>TRASLADO DE HARINA DE CAMARON</t>
  </si>
  <si>
    <t>1421-26377</t>
  </si>
  <si>
    <t>3653-9828</t>
  </si>
  <si>
    <t>3291-3292</t>
  </si>
  <si>
    <t xml:space="preserve">GOL-0393   </t>
  </si>
  <si>
    <t xml:space="preserve">OSCAR GONZABAY    </t>
  </si>
  <si>
    <t xml:space="preserve">13675-676 </t>
  </si>
  <si>
    <t xml:space="preserve">SUBPRODUCTO DE ATUN COCIDO (2 BINES) VISCERAS (10 BINES)                          </t>
  </si>
  <si>
    <t>PLAS</t>
  </si>
  <si>
    <t>AALU</t>
  </si>
  <si>
    <t xml:space="preserve">MENOS 1150 KG DE 20 BINES </t>
  </si>
  <si>
    <t>FLEXITANQUE</t>
  </si>
  <si>
    <t xml:space="preserve">JONNY TALAVERA </t>
  </si>
  <si>
    <t>AQUAFEED S.A. DE C.V</t>
  </si>
  <si>
    <t>PAB-2579</t>
  </si>
  <si>
    <t>ANDES CONNECTIONS SPA</t>
  </si>
  <si>
    <t>ALEX RAMIREZ</t>
  </si>
  <si>
    <t>PAC-6757</t>
  </si>
  <si>
    <t>MANUEL ALVARADO</t>
  </si>
  <si>
    <t>PBU-5596</t>
  </si>
  <si>
    <t xml:space="preserve">EDWAR GILER </t>
  </si>
  <si>
    <t>GBN-1622</t>
  </si>
  <si>
    <t xml:space="preserve">FRANKLIN NIVELA </t>
  </si>
  <si>
    <t>GHL-0017</t>
  </si>
  <si>
    <t>IRVIN JIMENEZ</t>
  </si>
  <si>
    <t>GRW-6223</t>
  </si>
  <si>
    <t>DESPACHO DE ACEITE DE PESCADO</t>
  </si>
  <si>
    <t>PRODUCCION JUAN DELGADO</t>
  </si>
  <si>
    <t>BAGAZO-PRODUCCION #27</t>
  </si>
  <si>
    <t>ALUM</t>
  </si>
  <si>
    <t>PLAST</t>
  </si>
  <si>
    <t>MADER</t>
  </si>
  <si>
    <t xml:space="preserve">MENOS 1053 KG DE 18 BINES </t>
  </si>
  <si>
    <t>MANUEL AVA</t>
  </si>
  <si>
    <t>ALEX RAMI</t>
  </si>
  <si>
    <t xml:space="preserve">MENOS 1065 KG DE 18 BINES </t>
  </si>
  <si>
    <t xml:space="preserve">TALAVERA </t>
  </si>
  <si>
    <t>NIVELA</t>
  </si>
  <si>
    <t xml:space="preserve">MENOS 1044 KG DE 18 BINES </t>
  </si>
  <si>
    <t>BAGAZO-PRODUCCION #28</t>
  </si>
  <si>
    <t>GILER</t>
  </si>
  <si>
    <t xml:space="preserve">MENOS 1041 KG DE 18 BINES </t>
  </si>
  <si>
    <t>CEPROMAR - CEPROFISH</t>
  </si>
  <si>
    <t>SUB PRODUCTO DE MERLUZA - SUB PODUCTO DE SELEMBA</t>
  </si>
  <si>
    <t xml:space="preserve">SUBP DE ALBACORA - SUBP MERLUZA - SUBP ATUN COCIDO - VISCERAS </t>
  </si>
  <si>
    <t xml:space="preserve">KILOS </t>
  </si>
  <si>
    <t>SUB PRODUCTO DE ATUN CRUDO Y COCIDO</t>
  </si>
  <si>
    <t>FORTIDEX - TAURA</t>
  </si>
  <si>
    <t>3672-84</t>
  </si>
  <si>
    <t xml:space="preserve">GON-687 </t>
  </si>
  <si>
    <t xml:space="preserve">MUELLE FORTIDEX   </t>
  </si>
  <si>
    <t xml:space="preserve">JAVIER ICAZA                                                </t>
  </si>
  <si>
    <t xml:space="preserve">GHD-105  </t>
  </si>
  <si>
    <t xml:space="preserve">PLATAFORMA   </t>
  </si>
  <si>
    <t xml:space="preserve">SACOS FUERA DE USOS     </t>
  </si>
  <si>
    <t>BAGAZO-PRODUCCION #29</t>
  </si>
  <si>
    <t xml:space="preserve">SUBP DE ALBACORA - SUBP TROMPETA  - VISCERAS </t>
  </si>
  <si>
    <t>SUB PRODUCTO DE MERLUZA - SUB PRODUCTO DE DORADO</t>
  </si>
  <si>
    <t xml:space="preserve">SUB PRODUCTO DE ATUN </t>
  </si>
  <si>
    <t>4729-4730</t>
  </si>
  <si>
    <t>FRIGOLANDIA - CEPROMAR</t>
  </si>
  <si>
    <t>GSC-6045</t>
  </si>
  <si>
    <t>1501-85</t>
  </si>
  <si>
    <t>SUB PRODUCTO DE BUCHE</t>
  </si>
  <si>
    <t>SUB PROUCTO DE ATUN CRUDO Y COCINADO</t>
  </si>
  <si>
    <t>DESPACHO HARINA DE PESCADO</t>
  </si>
  <si>
    <t>PETTER ASIQUIMBAI</t>
  </si>
  <si>
    <t>GLB-0052</t>
  </si>
  <si>
    <t>OSCAR LOZADA</t>
  </si>
  <si>
    <t>GBN-4078</t>
  </si>
  <si>
    <t xml:space="preserve">SUB PROUCTO DE ATUN CRUDO </t>
  </si>
  <si>
    <t>NO SE PESO</t>
  </si>
  <si>
    <t>SHYE YIH FEEDING CO.,LTD</t>
  </si>
  <si>
    <t>JULIO LABANDA</t>
  </si>
  <si>
    <t>BAGAZO-PRODUCCION #30</t>
  </si>
  <si>
    <t>DESPACHO HARINA DE CAMARON</t>
  </si>
  <si>
    <t>INGRESO DE BINES VACIOS NUEVOS</t>
  </si>
  <si>
    <t>INGRESO DE 12 BINES CON TAPAS</t>
  </si>
  <si>
    <t>FRGOLANDIA - CEPOFISH</t>
  </si>
  <si>
    <t>1502-3680</t>
  </si>
  <si>
    <t>SUB PRODUCTO DE DORADO</t>
  </si>
  <si>
    <t>MAA-3454</t>
  </si>
  <si>
    <t>SUB PRODUCTO DE ALBACORA - SUB PODUCTO DE ATUN - VISCERAS</t>
  </si>
  <si>
    <t xml:space="preserve">SEAFOOD   </t>
  </si>
  <si>
    <t xml:space="preserve">MAURO GANCHOZO </t>
  </si>
  <si>
    <t xml:space="preserve">GSC-6640 </t>
  </si>
  <si>
    <t xml:space="preserve">ORMASA   </t>
  </si>
  <si>
    <t xml:space="preserve">KLEVER ALI    </t>
  </si>
  <si>
    <t xml:space="preserve">SEAFOOD-PATRICIA MAURAD  </t>
  </si>
  <si>
    <t xml:space="preserve">JAVIER REALPE  </t>
  </si>
  <si>
    <t xml:space="preserve">CARLOS ROJAS      </t>
  </si>
  <si>
    <t>SEAFOOD CABEZA 9814-CASCARA 1401-PESCADILLA 82-PATRICIA MAURAD CABEZA</t>
  </si>
  <si>
    <t xml:space="preserve">FRGOLANDIA </t>
  </si>
  <si>
    <t xml:space="preserve">SUBPRODUCTO DE DORADO </t>
  </si>
  <si>
    <t xml:space="preserve">ORMASA    </t>
  </si>
  <si>
    <t xml:space="preserve">GBN-7977  </t>
  </si>
  <si>
    <t xml:space="preserve">CARGILL   </t>
  </si>
  <si>
    <t xml:space="preserve">JACKSON JIMENEZ   </t>
  </si>
  <si>
    <t xml:space="preserve">DESPACHO DE HARINA DE PESCADO   </t>
  </si>
  <si>
    <t xml:space="preserve">CARLOS ALARCON </t>
  </si>
  <si>
    <t xml:space="preserve">GSL-8732 </t>
  </si>
  <si>
    <t xml:space="preserve">SUBPRODUCTO DE ATUN COCIDO-CRUDO  </t>
  </si>
  <si>
    <t>CALIZAS HUAYCO</t>
  </si>
  <si>
    <t>ARENA CALIZA</t>
  </si>
  <si>
    <t>TNS</t>
  </si>
  <si>
    <t xml:space="preserve">BODEGA JAMBELI      </t>
  </si>
  <si>
    <t xml:space="preserve">CESAR INTRIAGO   </t>
  </si>
  <si>
    <t xml:space="preserve">GON-687  </t>
  </si>
  <si>
    <t>DAVID GONZALEZ</t>
  </si>
  <si>
    <t>GBN-9733</t>
  </si>
  <si>
    <t>OBX-0545</t>
  </si>
  <si>
    <t>CAB-5</t>
  </si>
  <si>
    <t>SEAFOOD</t>
  </si>
  <si>
    <t>SE PESA DE SALIDA SIN PALLET</t>
  </si>
  <si>
    <t>AL</t>
  </si>
  <si>
    <t>MENOS 1151 KG DE 20 BINES</t>
  </si>
  <si>
    <t>3299-3300</t>
  </si>
  <si>
    <t>MADE</t>
  </si>
  <si>
    <t>MENOS 1160 KG DE 20 BINES</t>
  </si>
  <si>
    <t>13709-13710</t>
  </si>
  <si>
    <t xml:space="preserve">3 COCIDO - 9 VISCERAS </t>
  </si>
  <si>
    <t>NO SALIO</t>
  </si>
  <si>
    <t xml:space="preserve">JAIME ALBAN   </t>
  </si>
  <si>
    <t xml:space="preserve">GFF-0372 </t>
  </si>
  <si>
    <t xml:space="preserve">CAM-4        </t>
  </si>
  <si>
    <t xml:space="preserve">OSCAR LOZADA </t>
  </si>
  <si>
    <t xml:space="preserve">GBN-4078    </t>
  </si>
  <si>
    <t xml:space="preserve">PETER ASIQUIMBAY </t>
  </si>
  <si>
    <t xml:space="preserve">GLB-0052 </t>
  </si>
  <si>
    <t xml:space="preserve">PICO SALTOS ROBERT ITALO      </t>
  </si>
  <si>
    <t xml:space="preserve">CARGILL           </t>
  </si>
  <si>
    <t xml:space="preserve">CEPROMAR-CEPROFISH-FRIGOLANDIA </t>
  </si>
  <si>
    <t xml:space="preserve">86-3694-1504 </t>
  </si>
  <si>
    <t>AGUAS COCIDAS</t>
  </si>
  <si>
    <t>LKILOS</t>
  </si>
  <si>
    <t>SUB PRODUCTO DE ATUN COCIDO</t>
  </si>
  <si>
    <t>GONZAPESCA</t>
  </si>
  <si>
    <t>JORGE PALLO</t>
  </si>
  <si>
    <t>GBN-7211</t>
  </si>
  <si>
    <t>HARINA DE CAMARON</t>
  </si>
  <si>
    <t>JHON BORBOR</t>
  </si>
  <si>
    <t>MONTAGARGA</t>
  </si>
  <si>
    <t>BAGAZO PRODUCCION#31</t>
  </si>
  <si>
    <t xml:space="preserve">SUB PRODUCTO ALBACORA -SUB PRODUCTO DE MERLUZA - VISCERAS                                                                                                                                                                                                 </t>
  </si>
  <si>
    <t>SUB PRODUCTO DE ATUN COCDO</t>
  </si>
  <si>
    <t>SUB PRODUCTO DE ATUN</t>
  </si>
  <si>
    <t>SE PESO AL OTRO DIA 26/1/2021</t>
  </si>
  <si>
    <t>NO SALE</t>
  </si>
  <si>
    <t>BAGAZO PRODUCCION#32</t>
  </si>
  <si>
    <t>5 BUCHE</t>
  </si>
  <si>
    <t>JAVIER CELA</t>
  </si>
  <si>
    <t>XAE-0735</t>
  </si>
  <si>
    <t>FRIGOLANDIA  - MOLPRO - CEPROFISH</t>
  </si>
  <si>
    <t>1505-1522-3711</t>
  </si>
  <si>
    <t>PARTICULA</t>
  </si>
  <si>
    <t>13732-13733</t>
  </si>
  <si>
    <t>SUB PRODUCTO DE BUCHE - VISCERAS</t>
  </si>
  <si>
    <t>SUB PRODUCTO DE ATUN COCIDO-CRUDO</t>
  </si>
  <si>
    <t>4742-4743</t>
  </si>
  <si>
    <t xml:space="preserve">SEAFMAN-BAGAZO   </t>
  </si>
  <si>
    <t>BAGAZO PRODUCCION#33</t>
  </si>
  <si>
    <t>RECHAZADO</t>
  </si>
  <si>
    <t xml:space="preserve">INGRESA 10 IBC VACIOS - 10 IBC LLENOS ACIDNOVA </t>
  </si>
  <si>
    <t>10 BINES VACIOS - 10 BINES LLENOS  - SALE 8 IBC VACIOS</t>
  </si>
  <si>
    <t>007-06-15471</t>
  </si>
  <si>
    <t xml:space="preserve">CARGIL </t>
  </si>
  <si>
    <t>SUBPRODUCTO DE ATUN COCIDO - CRUDO</t>
  </si>
  <si>
    <t>SUBPRODUCTO ALBACORA -SUB DE MERLUZA - VISCERAS</t>
  </si>
  <si>
    <t>CEPROMAR- CEPROFISH</t>
  </si>
  <si>
    <t>3724-87</t>
  </si>
  <si>
    <t xml:space="preserve">SUBP- DE DORADO - SUBP DE SELEMBA - SUBP DE ESCOLAR </t>
  </si>
  <si>
    <t xml:space="preserve">SUB PRODUCTO DE ATUN COCIDO </t>
  </si>
  <si>
    <t xml:space="preserve">PRODUCCCION JUAN DELGADO  </t>
  </si>
  <si>
    <t xml:space="preserve">BAGAZO PRODUCCION #34    </t>
  </si>
  <si>
    <t>SUSPENDIDOS</t>
  </si>
  <si>
    <t>GMP-651</t>
  </si>
  <si>
    <t>CAB-6</t>
  </si>
  <si>
    <t>13757-13758</t>
  </si>
  <si>
    <t>SUB PRODUCTO DE ATUN COCIDO - VISCERAS</t>
  </si>
  <si>
    <t>3739-88</t>
  </si>
  <si>
    <t>JOSE MEDINA</t>
  </si>
  <si>
    <t>ABB-3767</t>
  </si>
  <si>
    <t>GUAYAQUIL</t>
  </si>
  <si>
    <t xml:space="preserve">BRYAN MACIAS     </t>
  </si>
  <si>
    <t xml:space="preserve">GTA-3531 </t>
  </si>
  <si>
    <t xml:space="preserve">ENVIO DE BINES PARA REPARACION </t>
  </si>
  <si>
    <t xml:space="preserve">INBALNOR  </t>
  </si>
  <si>
    <t>CRUCITA</t>
  </si>
  <si>
    <t xml:space="preserve">ALFREDO CEDEÑO  </t>
  </si>
  <si>
    <t xml:space="preserve">CAB-11 </t>
  </si>
  <si>
    <t xml:space="preserve">INGRESO DE 12 TINAS     </t>
  </si>
  <si>
    <t xml:space="preserve">PRODUCCCION SEAFMAN  </t>
  </si>
  <si>
    <t>MANUEL PEÑAFIEL</t>
  </si>
  <si>
    <t xml:space="preserve">BAGAZO PRODUCCION #35   </t>
  </si>
  <si>
    <t>SUB PODUCTO DE ALBACORA - SUB PRODUCTO DE MERLUZA - VISCERAS</t>
  </si>
  <si>
    <t xml:space="preserve">SUB PRODUCTO DE ALBACORA-SUB PRODUCTO DE MERLUZA-VISCERAS </t>
  </si>
  <si>
    <t xml:space="preserve">                       </t>
  </si>
  <si>
    <t>CEPROFISH</t>
  </si>
  <si>
    <t>JOSE LUIS</t>
  </si>
  <si>
    <t>BAGAZO PRODUCCION #36</t>
  </si>
  <si>
    <t xml:space="preserve">SUBPRODUCTO DE ALBACORA-SUB DE DORADO-VISCERAS </t>
  </si>
  <si>
    <t>CEAEXPORT - PATRICIA MAURAD</t>
  </si>
  <si>
    <t>739--26410</t>
  </si>
  <si>
    <t>RICARDO ZAMBRANO</t>
  </si>
  <si>
    <t>GSM-5249</t>
  </si>
  <si>
    <t>PUA-0568</t>
  </si>
  <si>
    <t>ULICES MORA</t>
  </si>
  <si>
    <t>GBP-1811</t>
  </si>
  <si>
    <t>RITTER TUFIÑO</t>
  </si>
  <si>
    <t>GBO-7687</t>
  </si>
  <si>
    <t xml:space="preserve">EXPOTUNA - AQUAFISH </t>
  </si>
  <si>
    <t xml:space="preserve">HERNAN BURGOS </t>
  </si>
  <si>
    <t>940-43733</t>
  </si>
  <si>
    <t xml:space="preserve">MENOS 1104 KG DE 24 PALLET </t>
  </si>
  <si>
    <t>CALIZAS HUAYCO S.A.</t>
  </si>
  <si>
    <t>RENE MARQUEZ</t>
  </si>
  <si>
    <t>ARENA UNIFICADA</t>
  </si>
  <si>
    <t>TONELADAS</t>
  </si>
  <si>
    <t xml:space="preserve">SAN ANTONIO  </t>
  </si>
  <si>
    <t xml:space="preserve">HUGO IÑIGA  </t>
  </si>
  <si>
    <t xml:space="preserve">GMO-555   </t>
  </si>
  <si>
    <t xml:space="preserve">VOL-2 </t>
  </si>
  <si>
    <t>PIEDRA BASE</t>
  </si>
  <si>
    <t xml:space="preserve">DESPACHO DE HIDROLIZADO DE PESCADO  </t>
  </si>
  <si>
    <t>AGUAS DE COCCION</t>
  </si>
  <si>
    <t>20  BINES</t>
  </si>
  <si>
    <t xml:space="preserve">SUBP DE ALBACORA - SUBP MERLUZA  - VISCERAS </t>
  </si>
  <si>
    <t xml:space="preserve">AGALLAS VISCERAS   </t>
  </si>
  <si>
    <t xml:space="preserve">CEPROMAR-CEPROFISH-MOLPRO   </t>
  </si>
  <si>
    <t xml:space="preserve">GIY-0253   </t>
  </si>
  <si>
    <t xml:space="preserve">89-3757-1531   </t>
  </si>
  <si>
    <t>SUBPRODUCTO DE DORADO-SELEMBA</t>
  </si>
  <si>
    <t>DESPACHO DE COCENTRADO DE CAMARON</t>
  </si>
  <si>
    <t>PROMOPESCA</t>
  </si>
  <si>
    <t xml:space="preserve">DIONICIO VALENCIA    </t>
  </si>
  <si>
    <t xml:space="preserve">GJL-0684  </t>
  </si>
  <si>
    <t>JUAN ZHISPON</t>
  </si>
  <si>
    <t>PIEDRA #56</t>
  </si>
  <si>
    <t>QUIROLA</t>
  </si>
  <si>
    <t xml:space="preserve">NIRSA - HIPOCAMPUS S.A. </t>
  </si>
  <si>
    <t>SEGUNDO CAICEDO</t>
  </si>
  <si>
    <t>GNJ-122</t>
  </si>
  <si>
    <t xml:space="preserve">EDGAR CASTRO </t>
  </si>
  <si>
    <t>OBX-545</t>
  </si>
  <si>
    <t>DEVOLICION DE HIDROLIZADO DE PESCADO</t>
  </si>
  <si>
    <t>1 BIN</t>
  </si>
  <si>
    <t>BAGAZO PRODUCCION #37</t>
  </si>
  <si>
    <t>HIPOCAMPUS S.A.</t>
  </si>
  <si>
    <t>1440+26420</t>
  </si>
  <si>
    <t>MOLINO CHAMPION</t>
  </si>
  <si>
    <t xml:space="preserve">RICARDO FRANCO    </t>
  </si>
  <si>
    <t xml:space="preserve">CARLOS ROJAS     </t>
  </si>
  <si>
    <t xml:space="preserve">GMK-0671   </t>
  </si>
  <si>
    <t>CEPROMAR-CEPROFISH</t>
  </si>
  <si>
    <t xml:space="preserve">90-3778   </t>
  </si>
  <si>
    <t xml:space="preserve">SUBPRODUCTO DE SELEMBA-SUBP MERLUZA-SUBP DORADO            </t>
  </si>
  <si>
    <t>CABEZAL 7 SE DAÑO</t>
  </si>
  <si>
    <t>EDISON ROMAN</t>
  </si>
  <si>
    <t>GBO-1227</t>
  </si>
  <si>
    <t>LUIS REMACHE</t>
  </si>
  <si>
    <t>INGRESO DE HARINA DE CAMARON</t>
  </si>
  <si>
    <t xml:space="preserve">ANDERSON VALENCIA </t>
  </si>
  <si>
    <t>INGRESO BINES VACIOS</t>
  </si>
  <si>
    <t>VICTOR MENDEZ</t>
  </si>
  <si>
    <t>GQA-0656</t>
  </si>
  <si>
    <t xml:space="preserve">MAXIMO SILVA   </t>
  </si>
  <si>
    <t>XAF-0183</t>
  </si>
  <si>
    <t xml:space="preserve">JOSE ALI     </t>
  </si>
  <si>
    <t xml:space="preserve">GLN-995    </t>
  </si>
  <si>
    <t>13787-788</t>
  </si>
  <si>
    <t xml:space="preserve">ITALO OLVERA  </t>
  </si>
  <si>
    <t xml:space="preserve">3341-3343 </t>
  </si>
  <si>
    <t xml:space="preserve">DIONISIO VALENCIA      </t>
  </si>
  <si>
    <t xml:space="preserve">GLJ-0684 </t>
  </si>
  <si>
    <t xml:space="preserve">PRODUCCCION SEAFMAN    </t>
  </si>
  <si>
    <t xml:space="preserve">FRANCISCO TRONCOSO  </t>
  </si>
  <si>
    <t xml:space="preserve">S/G     </t>
  </si>
  <si>
    <t xml:space="preserve">PRODUCCION BAGAZO #38  </t>
  </si>
  <si>
    <t xml:space="preserve">INSERMANDERA </t>
  </si>
  <si>
    <t>NELSON CARRANZA</t>
  </si>
  <si>
    <t>GKZ-0429</t>
  </si>
  <si>
    <t xml:space="preserve">INGRESO DE PALLET VACIOS </t>
  </si>
  <si>
    <t>SALE AL SIGUENTE DIA 04/2/2021</t>
  </si>
  <si>
    <t xml:space="preserve">PROTEISENT </t>
  </si>
  <si>
    <t xml:space="preserve">28 PALLET VACIOS </t>
  </si>
  <si>
    <t>DISAN</t>
  </si>
  <si>
    <t>CAM-9</t>
  </si>
  <si>
    <t>ACIDO FOSFORICO</t>
  </si>
  <si>
    <t xml:space="preserve">SKRETTING </t>
  </si>
  <si>
    <t>B/P NIÑA AMYLU</t>
  </si>
  <si>
    <t xml:space="preserve">FIDEL CRESPIN </t>
  </si>
  <si>
    <t xml:space="preserve">CORBAATA RONCADOR </t>
  </si>
  <si>
    <t xml:space="preserve">SALICA </t>
  </si>
  <si>
    <t xml:space="preserve">HUGO IÑIGA    </t>
  </si>
  <si>
    <t xml:space="preserve">CAB-1 </t>
  </si>
  <si>
    <t>JULIO LAVANDA</t>
  </si>
  <si>
    <t xml:space="preserve">PRODUCCION BAGAZO #41 </t>
  </si>
  <si>
    <t>VICENTE REQUENA</t>
  </si>
  <si>
    <t>BAGAZO PRODUCCION #40</t>
  </si>
  <si>
    <t>139919-25-29</t>
  </si>
  <si>
    <t>ROMER PACHECO</t>
  </si>
  <si>
    <t>GHI-349</t>
  </si>
  <si>
    <t>INGRESO DE SACOS NUEVOS</t>
  </si>
  <si>
    <t xml:space="preserve">B/P VIRGEN DE FATIMA </t>
  </si>
  <si>
    <t xml:space="preserve">CORBATA </t>
  </si>
  <si>
    <t xml:space="preserve">17.5 BINES </t>
  </si>
  <si>
    <t>DEVOLUCION DE HARINA DE PESCADO</t>
  </si>
  <si>
    <t>7 PALLET</t>
  </si>
  <si>
    <t xml:space="preserve">B/P REGALITO DE DIOS II </t>
  </si>
  <si>
    <t>GDH-0717</t>
  </si>
  <si>
    <t>VOL-4</t>
  </si>
  <si>
    <t xml:space="preserve">BOTELLA COBATA RONCADOR </t>
  </si>
  <si>
    <t>B/P RUBEN ANDRES</t>
  </si>
  <si>
    <t>BAGRE-POLLA</t>
  </si>
  <si>
    <t>SAN JORGE</t>
  </si>
  <si>
    <t>SARDINA-RONCADOR</t>
  </si>
  <si>
    <t xml:space="preserve">ANDERSON VALENCIA   </t>
  </si>
  <si>
    <t xml:space="preserve">GSY-2875   </t>
  </si>
  <si>
    <t xml:space="preserve">CAM-9   </t>
  </si>
  <si>
    <t xml:space="preserve">GISIS   </t>
  </si>
  <si>
    <t>BINES VACIOS</t>
  </si>
  <si>
    <t>13810-13811</t>
  </si>
  <si>
    <t xml:space="preserve">VISCERAS 10 BINES-SUBP ATUN COCIDO 3 BINES   </t>
  </si>
  <si>
    <t xml:space="preserve">KLEBER BRIONES    </t>
  </si>
  <si>
    <t xml:space="preserve">HERNAN MAZZINI  </t>
  </si>
  <si>
    <t>PATRICIO VERA</t>
  </si>
  <si>
    <t>TCB-0374</t>
  </si>
  <si>
    <t>CHUHUECO</t>
  </si>
  <si>
    <t>POLLA BAGRE</t>
  </si>
  <si>
    <t>MAA-5328</t>
  </si>
  <si>
    <t>PRODUCCION BAGAZO #42</t>
  </si>
  <si>
    <t xml:space="preserve">PRODUCCCION JUAN DELGADO </t>
  </si>
  <si>
    <t>PRODUCCION BAGAZO #39</t>
  </si>
  <si>
    <t>CEPROMAR</t>
  </si>
  <si>
    <t>SUBP DE DORADO - SUBP DE MERLUZA - SUBP DE SELEMBA</t>
  </si>
  <si>
    <t>B/P REGALITO DE DIOS I</t>
  </si>
  <si>
    <t>CHULLO CORBATA</t>
  </si>
  <si>
    <t>BIOMAR - ALIMENTSA</t>
  </si>
  <si>
    <t xml:space="preserve">INGRESOS DE 20 BINES VACIOS </t>
  </si>
  <si>
    <t xml:space="preserve">B/P GUILLERMINA </t>
  </si>
  <si>
    <t>PICUDILLO</t>
  </si>
  <si>
    <t>5 BINES</t>
  </si>
  <si>
    <t xml:space="preserve">B/P REGALITO DE DIOS III - B/P VB III - B/P PARDELA </t>
  </si>
  <si>
    <t>23307-09-10</t>
  </si>
  <si>
    <t xml:space="preserve">CORBATA CHULLO BOTELLA </t>
  </si>
  <si>
    <t>PRODUCCION BAGAZO #43</t>
  </si>
  <si>
    <t xml:space="preserve">B/P VALENTINA </t>
  </si>
  <si>
    <t xml:space="preserve">B/P DOÑA BERTHA </t>
  </si>
  <si>
    <t xml:space="preserve">CORBATA - BOTELLA </t>
  </si>
  <si>
    <t xml:space="preserve">MOLPRO - CEPROFISH </t>
  </si>
  <si>
    <t>1538-3801</t>
  </si>
  <si>
    <t>26 BINES</t>
  </si>
  <si>
    <t>RONCADOR</t>
  </si>
  <si>
    <t xml:space="preserve">B/P PARDELA </t>
  </si>
  <si>
    <t>2 BINES</t>
  </si>
  <si>
    <t>MORENILLO GALLINA</t>
  </si>
  <si>
    <t>MILTON VELEZ</t>
  </si>
  <si>
    <t>TBR-520</t>
  </si>
  <si>
    <t>B/P  DOÑA BERTHA</t>
  </si>
  <si>
    <t>HOJA</t>
  </si>
  <si>
    <t>1 1/4 BIN                                                    4</t>
  </si>
  <si>
    <t>CARLOS CRESPIN</t>
  </si>
  <si>
    <t>GEZ-356</t>
  </si>
  <si>
    <t>FAUSTO GUTIERREZ</t>
  </si>
  <si>
    <t>MBA-3240</t>
  </si>
  <si>
    <t xml:space="preserve">SUBP DE ALBACORA - SUBP MERLUZA  - VISCERAS                                                                                                                                                                                                               </t>
  </si>
  <si>
    <t>B/P AMYLU</t>
  </si>
  <si>
    <t>CHUHUECO - BAGRE</t>
  </si>
  <si>
    <t>XAVIER REALPE</t>
  </si>
  <si>
    <t xml:space="preserve">SUBP DE ALBACORA - SUBP DORADO - VISCERAS                                                                                                                                                                                                               </t>
  </si>
  <si>
    <t>ANDERSON VALENCIA</t>
  </si>
  <si>
    <t>BAGRE - POLLA</t>
  </si>
  <si>
    <t>SUB PRODUCTO DE PINCHAGUA</t>
  </si>
  <si>
    <t>B/P DANIELA</t>
  </si>
  <si>
    <t>CARA</t>
  </si>
  <si>
    <t>B/P DANIELA-B/P DOÑA PATTY</t>
  </si>
  <si>
    <t>23318-319</t>
  </si>
  <si>
    <t>B/P DOÑA PATTY-B/P NIÑA TAHIZ</t>
  </si>
  <si>
    <t>23319-320</t>
  </si>
  <si>
    <t xml:space="preserve">CEPROMAR - CEPROFISH </t>
  </si>
  <si>
    <t>9291-92-21</t>
  </si>
  <si>
    <t xml:space="preserve">B/P NIÑA TAHIZ-B/P ANGEL         </t>
  </si>
  <si>
    <t xml:space="preserve">23320-321 </t>
  </si>
  <si>
    <t>CARA-HOJA-SARDINA</t>
  </si>
  <si>
    <t>15 1/2 BINES</t>
  </si>
  <si>
    <t>B/P ANGEL-B/P VALENTINA</t>
  </si>
  <si>
    <t>23321-323</t>
  </si>
  <si>
    <t>HOJA-SARDINA-MORENILLO</t>
  </si>
  <si>
    <t xml:space="preserve">MORENILLO  </t>
  </si>
  <si>
    <t xml:space="preserve">B/P VALENTINA-B/P SAN JORGE    </t>
  </si>
  <si>
    <t>23323-324</t>
  </si>
  <si>
    <t>B/P SAN JORGE</t>
  </si>
  <si>
    <t xml:space="preserve">B/P SAN JORGE-B/P PARDELA  </t>
  </si>
  <si>
    <t>23325-326</t>
  </si>
  <si>
    <t>PRODUCCION BAGAZO #44</t>
  </si>
  <si>
    <t xml:space="preserve">FABIAN OLAYA </t>
  </si>
  <si>
    <t>B/P PARDELA - B/P REGALITO DE DIOS I</t>
  </si>
  <si>
    <t>23328-26</t>
  </si>
  <si>
    <t xml:space="preserve">B/P REGALITO DE DIOS I - B/P SAN JORGE </t>
  </si>
  <si>
    <t>23329-28</t>
  </si>
  <si>
    <t>RONCADOR - MORENILLO</t>
  </si>
  <si>
    <t xml:space="preserve">B/P SAN JORGE -B/P VIRGEN DE FATIMA </t>
  </si>
  <si>
    <t>23329-30</t>
  </si>
  <si>
    <t>MORENILLO</t>
  </si>
  <si>
    <t>B/P PARDELA</t>
  </si>
  <si>
    <t xml:space="preserve">SUBPRODUCTO DE ALBACORA - SUB DORADO - VISCERAS </t>
  </si>
  <si>
    <t>MORENILLO 93% BARRIGA JUMA 7%</t>
  </si>
  <si>
    <t>B/P VOLUNTAD DE DIOS</t>
  </si>
  <si>
    <t>1 1/2 BIN</t>
  </si>
  <si>
    <t>ALFREDO CEDEÑO</t>
  </si>
  <si>
    <t>GPY-293</t>
  </si>
  <si>
    <t>26 BINES VACIOS</t>
  </si>
  <si>
    <t>B/P OFELIA - B/P REGALITO DE DIOS II</t>
  </si>
  <si>
    <t>23332-23334</t>
  </si>
  <si>
    <t>HOJA- CARA - MORENILLO - POLLA BAGRE</t>
  </si>
  <si>
    <t>B/P CAMPITO</t>
  </si>
  <si>
    <t>POMOPESCA</t>
  </si>
  <si>
    <t>EFRAIN SANTANA</t>
  </si>
  <si>
    <t>SUB PODUCTO DE PINCHAGUA</t>
  </si>
  <si>
    <t>HOJA-CARA</t>
  </si>
  <si>
    <t>MORENILLLO</t>
  </si>
  <si>
    <t>SUBPRODUCTO DE PINCHAGUA</t>
  </si>
  <si>
    <t>B/P GUILLERMINA-B/P VALENTINA</t>
  </si>
  <si>
    <t>23336-337</t>
  </si>
  <si>
    <t>B/P VALENTINA</t>
  </si>
  <si>
    <t xml:space="preserve">FERNANDO REYES  </t>
  </si>
  <si>
    <t xml:space="preserve">GMO-555    </t>
  </si>
  <si>
    <t>B/P GUILLERMINA</t>
  </si>
  <si>
    <t>17 BINES</t>
  </si>
  <si>
    <t xml:space="preserve">B/P DOÑA PATTY  </t>
  </si>
  <si>
    <t xml:space="preserve">B/P VALENTINA-B/P DOÑA PATTY          </t>
  </si>
  <si>
    <t>23337-23339</t>
  </si>
  <si>
    <t>B/P DOÑA PATTY</t>
  </si>
  <si>
    <t>23 BINES</t>
  </si>
  <si>
    <t>B/P DON FAUSTO</t>
  </si>
  <si>
    <t xml:space="preserve">B/P DON FAUSTO-B/P RUBEN ANDRES   </t>
  </si>
  <si>
    <t xml:space="preserve">23340-342  </t>
  </si>
  <si>
    <t xml:space="preserve">PROMOPESCA       </t>
  </si>
  <si>
    <t xml:space="preserve">ALFREDO CEDEÑO       </t>
  </si>
  <si>
    <t xml:space="preserve">SUBPRODUCTO DE MORENILLO  </t>
  </si>
  <si>
    <t xml:space="preserve">B/P RUBEN ANDRES   </t>
  </si>
  <si>
    <t xml:space="preserve">B/P RUBEN ANDRES-B/P MARIA JOSE </t>
  </si>
  <si>
    <t xml:space="preserve">23342-343                     </t>
  </si>
  <si>
    <t>B/P MARIA JOSE</t>
  </si>
  <si>
    <t>29 BINES</t>
  </si>
  <si>
    <t xml:space="preserve">MUELLE FORTIDEX        </t>
  </si>
  <si>
    <t xml:space="preserve">JAVIER ICAZA </t>
  </si>
  <si>
    <t xml:space="preserve">GMJ-0528  </t>
  </si>
  <si>
    <t xml:space="preserve">TANQUERO   </t>
  </si>
  <si>
    <t>LODO</t>
  </si>
  <si>
    <t>3/4 DE TANQUERO</t>
  </si>
  <si>
    <t>B/P DIJAYMAR III</t>
  </si>
  <si>
    <t>25 BINES</t>
  </si>
  <si>
    <t>ESCAMAS SOLIDO</t>
  </si>
  <si>
    <t xml:space="preserve">B/P DIJAYMAR III - B/P SAN JORGE </t>
  </si>
  <si>
    <t>23345-46</t>
  </si>
  <si>
    <t xml:space="preserve">WILSON YAGUAL </t>
  </si>
  <si>
    <t>PCG-909</t>
  </si>
  <si>
    <t xml:space="preserve">B/P SAN JORGE </t>
  </si>
  <si>
    <t xml:space="preserve">B/P SAN JORGE - B/P PARDELA </t>
  </si>
  <si>
    <t>23346-44</t>
  </si>
  <si>
    <t xml:space="preserve">SACOS </t>
  </si>
  <si>
    <t>26.5 BINES</t>
  </si>
  <si>
    <t>13824-23</t>
  </si>
  <si>
    <t xml:space="preserve">KLEVER BRIONES </t>
  </si>
  <si>
    <t>SUBPRODUCTO DE ATUN COCIDO - VISCERAS AGALLAS</t>
  </si>
  <si>
    <t>15 BINES</t>
  </si>
  <si>
    <t xml:space="preserve">FRIGOLANDIA - CEPROFISH </t>
  </si>
  <si>
    <t>1526-3822</t>
  </si>
  <si>
    <t xml:space="preserve">CEPROMAR </t>
  </si>
  <si>
    <t xml:space="preserve">SERVI SCREEN    </t>
  </si>
  <si>
    <t xml:space="preserve">BRYAN MACIAS      </t>
  </si>
  <si>
    <t xml:space="preserve">GTA-3531  </t>
  </si>
  <si>
    <t xml:space="preserve">INGRESO DE BINES BACIOS REPARADOS     </t>
  </si>
  <si>
    <t>CARGIL-RIVETO</t>
  </si>
  <si>
    <t xml:space="preserve">ANDERSON VALENCIA  </t>
  </si>
  <si>
    <t xml:space="preserve">CAM-5     </t>
  </si>
  <si>
    <t>B/P PALBERT</t>
  </si>
  <si>
    <t xml:space="preserve">FEDERICO PIONCE </t>
  </si>
  <si>
    <t xml:space="preserve">CAB-11  </t>
  </si>
  <si>
    <t xml:space="preserve">SUBPRODUCTO DE ATUN COCIDO-SUBP PINCHAGUA     </t>
  </si>
  <si>
    <t xml:space="preserve">B/P PARDELA-B/P ANGEL                  </t>
  </si>
  <si>
    <t>23349-351</t>
  </si>
  <si>
    <t xml:space="preserve">B/P ANGEL  </t>
  </si>
  <si>
    <t xml:space="preserve">COMBUSPETROL     </t>
  </si>
  <si>
    <t xml:space="preserve">EDISON ROMAN </t>
  </si>
  <si>
    <t xml:space="preserve">GBO-1227 </t>
  </si>
  <si>
    <t xml:space="preserve">TANQUERO  </t>
  </si>
  <si>
    <t xml:space="preserve">B/P RUBEN ANDRES-B/P DON FAUSTO </t>
  </si>
  <si>
    <t>23352-353</t>
  </si>
  <si>
    <t>B/P MATIA</t>
  </si>
  <si>
    <t>27 BINES</t>
  </si>
  <si>
    <t xml:space="preserve">JOSE LEON   </t>
  </si>
  <si>
    <t xml:space="preserve">GBN-5823  </t>
  </si>
  <si>
    <t xml:space="preserve">LUIS REMACHE  </t>
  </si>
  <si>
    <t xml:space="preserve">B/P DON FAUSTO-B/P VALENTINA   </t>
  </si>
  <si>
    <t>23353-354</t>
  </si>
  <si>
    <t xml:space="preserve">POLLA  </t>
  </si>
  <si>
    <t>B/P VALENTINA-B/P REGALITO DE DIOS III</t>
  </si>
  <si>
    <t>23354-356</t>
  </si>
  <si>
    <t xml:space="preserve">OSCAR LOZADA     </t>
  </si>
  <si>
    <t xml:space="preserve">GBN-4078  </t>
  </si>
  <si>
    <t xml:space="preserve">DESPACHO DE HARINA DE PESCADO CONTENEDOR #4  </t>
  </si>
  <si>
    <t xml:space="preserve">TAURA FORTIDEX           </t>
  </si>
  <si>
    <t xml:space="preserve">JORGE PALLO    </t>
  </si>
  <si>
    <t xml:space="preserve">GBN-7211 </t>
  </si>
  <si>
    <t xml:space="preserve">INGRESO DE HARINA DE CAMARON  2578-2551-2560 </t>
  </si>
  <si>
    <t xml:space="preserve">MANTA </t>
  </si>
  <si>
    <t xml:space="preserve">12 BINES + 8 BINES </t>
  </si>
  <si>
    <t xml:space="preserve">20 BINES </t>
  </si>
  <si>
    <t xml:space="preserve">SUBPRODUCTO DE ALBACOA - SUB MERLUZA - VISCERAS </t>
  </si>
  <si>
    <t>WILLIAN CASTRO</t>
  </si>
  <si>
    <t>GBN-8040</t>
  </si>
  <si>
    <t xml:space="preserve">YANDRI ORTEGA </t>
  </si>
  <si>
    <t>MGB-0979</t>
  </si>
  <si>
    <t xml:space="preserve">INGRESO CARRETA - CONTENEDOR </t>
  </si>
  <si>
    <t>LUIS CEDILLO</t>
  </si>
  <si>
    <t>MARCOS VIRI</t>
  </si>
  <si>
    <t>GBN-7254</t>
  </si>
  <si>
    <t>JHONATHAN MACIAS</t>
  </si>
  <si>
    <t>RAB-4050</t>
  </si>
  <si>
    <t xml:space="preserve">SUBPRODUCTO DE SELEMBA-SUBP DORADO  </t>
  </si>
  <si>
    <t>ANGEL COLOMA</t>
  </si>
  <si>
    <t>HCK-0341</t>
  </si>
  <si>
    <t>B/P VIOLUNTAD DE DIOS</t>
  </si>
  <si>
    <t xml:space="preserve">CARGIL - PROTEINSEC        </t>
  </si>
  <si>
    <t xml:space="preserve">ALBERTO SUAREZ  </t>
  </si>
  <si>
    <t>EAF-0819</t>
  </si>
  <si>
    <t>POLLA MACHETE</t>
  </si>
  <si>
    <t xml:space="preserve">ADISOL        </t>
  </si>
  <si>
    <t xml:space="preserve">JAYLEE TARIRA  </t>
  </si>
  <si>
    <t xml:space="preserve">GQO-0399 </t>
  </si>
  <si>
    <t xml:space="preserve">SODA CAUSTICA  </t>
  </si>
  <si>
    <t xml:space="preserve">B/P MARIA JOSE-B/P RUBEN ANDRES       </t>
  </si>
  <si>
    <t xml:space="preserve">23262-263 </t>
  </si>
  <si>
    <t xml:space="preserve">JAVIER ICAZA      </t>
  </si>
  <si>
    <t xml:space="preserve">GHD-105 </t>
  </si>
  <si>
    <t xml:space="preserve">3 PALLET DE MALLAS USADAS   </t>
  </si>
  <si>
    <t>WILLIAMS CASTRO</t>
  </si>
  <si>
    <t xml:space="preserve">B/P MARIA JOSE-B/P ALBERTO 2 </t>
  </si>
  <si>
    <t xml:space="preserve">23363-364   </t>
  </si>
  <si>
    <t xml:space="preserve">FRENTE A FORTIDEX    </t>
  </si>
  <si>
    <t xml:space="preserve">ALBERTO BOHORQUEZ   </t>
  </si>
  <si>
    <t xml:space="preserve">GBN-4802   </t>
  </si>
  <si>
    <t xml:space="preserve">VOLQUETA   </t>
  </si>
  <si>
    <t>RELLENO DE VIA</t>
  </si>
  <si>
    <t>JUAN ARDILA</t>
  </si>
  <si>
    <t>GKZ-0436</t>
  </si>
  <si>
    <t>B/P VB III</t>
  </si>
  <si>
    <t>B/P VB III-B/P VALENTINA</t>
  </si>
  <si>
    <t>23365-366</t>
  </si>
  <si>
    <t xml:space="preserve">TAURA FORTIDEX       </t>
  </si>
  <si>
    <t>LUIS MENDIETA</t>
  </si>
  <si>
    <t xml:space="preserve">LCH-0153 </t>
  </si>
  <si>
    <t xml:space="preserve">PARTICULAR        </t>
  </si>
  <si>
    <t>1/2 TANQUERO</t>
  </si>
  <si>
    <t xml:space="preserve">DATA         </t>
  </si>
  <si>
    <t xml:space="preserve">FRANKLIN LOOR    </t>
  </si>
  <si>
    <t xml:space="preserve">GFM-896 </t>
  </si>
  <si>
    <t xml:space="preserve">TANQUERO DE AGUA </t>
  </si>
  <si>
    <t>SANTA ELENA</t>
  </si>
  <si>
    <t>AGUA COLA</t>
  </si>
  <si>
    <t xml:space="preserve">PICO SALTOS ROBERT ITALO   </t>
  </si>
  <si>
    <t xml:space="preserve">GEOVANNY PIGUAVE    </t>
  </si>
  <si>
    <t xml:space="preserve">GPG-0955  </t>
  </si>
  <si>
    <t xml:space="preserve"> CAB-5</t>
  </si>
  <si>
    <t>SE DESCARGA EN SANTA ELENA</t>
  </si>
  <si>
    <t xml:space="preserve">MARCOS QUITIO </t>
  </si>
  <si>
    <t>GSP-9188</t>
  </si>
  <si>
    <t>13846-47</t>
  </si>
  <si>
    <t xml:space="preserve">POLLA BAGRE </t>
  </si>
  <si>
    <t xml:space="preserve">CARGIL - PROTEINSEC   </t>
  </si>
  <si>
    <t xml:space="preserve">JHONNY GAVILANEZ    </t>
  </si>
  <si>
    <t xml:space="preserve">OCE-0117 </t>
  </si>
  <si>
    <t xml:space="preserve">DARWIN CAMACHO    </t>
  </si>
  <si>
    <t xml:space="preserve">JHON VERA </t>
  </si>
  <si>
    <t xml:space="preserve">ABA-5483    </t>
  </si>
  <si>
    <t xml:space="preserve">VENTAS DE SACOS FUERA DE USO  </t>
  </si>
  <si>
    <t>POLLA CHUHUECO</t>
  </si>
  <si>
    <t xml:space="preserve">B/P PARDELA-B/P VALENTINA     </t>
  </si>
  <si>
    <t>23368-369</t>
  </si>
  <si>
    <t xml:space="preserve">VICTOR MANCILLA     </t>
  </si>
  <si>
    <t xml:space="preserve">GSC-4185 </t>
  </si>
  <si>
    <t>CONTIENTAL</t>
  </si>
  <si>
    <t>BYRON TOMALA</t>
  </si>
  <si>
    <t>GHA-0168</t>
  </si>
  <si>
    <t xml:space="preserve">ROBERT PICO SALTOS      </t>
  </si>
  <si>
    <t xml:space="preserve">JOSE PILOSO </t>
  </si>
  <si>
    <t xml:space="preserve">GPG-0955     </t>
  </si>
  <si>
    <t>PRODUCCION BAGAZO #45</t>
  </si>
  <si>
    <t>NUTRIFISHING S.A.</t>
  </si>
  <si>
    <t>INGRESO DE CONCENTRADO PESCADO</t>
  </si>
  <si>
    <t xml:space="preserve">ENRIQUE CHALEN </t>
  </si>
  <si>
    <t>GTI-1018</t>
  </si>
  <si>
    <t>OTTO INTRIAGO</t>
  </si>
  <si>
    <t>GSJ-9094</t>
  </si>
  <si>
    <t xml:space="preserve">INGRESOS DE SACOS NUEVOS </t>
  </si>
  <si>
    <t xml:space="preserve">INGRESO DE 22 BINES VACIOS </t>
  </si>
  <si>
    <t>1456-1530-3864</t>
  </si>
  <si>
    <t>MOLPRO - CEPROFISH  FRIGOLANDIA</t>
  </si>
  <si>
    <t xml:space="preserve">SUBPRODUCTO DE ALBACOA - SUB DORADO - VISCERAS </t>
  </si>
  <si>
    <t>NOVA INTEGRAL</t>
  </si>
  <si>
    <t>0009</t>
  </si>
  <si>
    <t>MARCELA CORAL GUERRERO</t>
  </si>
  <si>
    <t>STALIN ZORRILLA</t>
  </si>
  <si>
    <t>GBN-7147</t>
  </si>
  <si>
    <t>DEVOLUCION DE HIDROLIZADO DE PESCADO</t>
  </si>
  <si>
    <t xml:space="preserve">CARGIL - PROTEINSEC      </t>
  </si>
  <si>
    <t xml:space="preserve">JUAN ARDILA   </t>
  </si>
  <si>
    <t xml:space="preserve">GKZ-0436 </t>
  </si>
  <si>
    <t xml:space="preserve">EDGAR POVEDA   </t>
  </si>
  <si>
    <t xml:space="preserve">GBN-7024    </t>
  </si>
  <si>
    <t>3 BINES</t>
  </si>
  <si>
    <t xml:space="preserve">CARLOS PICO      </t>
  </si>
  <si>
    <t>GBN-2160</t>
  </si>
  <si>
    <t>SUN VICTORY FEEDSTUFF CO.,LTD</t>
  </si>
  <si>
    <t>ASEQUIN</t>
  </si>
  <si>
    <t>PRODUCTO QUIMICO</t>
  </si>
  <si>
    <t>DESPACHO DE HARINA DE CAMARON</t>
  </si>
  <si>
    <t xml:space="preserve">B/P REGALITO DE DIOS II           </t>
  </si>
  <si>
    <t>7 BINES</t>
  </si>
  <si>
    <t xml:space="preserve">PRODUCCION-SEAFMAN    </t>
  </si>
  <si>
    <t>PRODUCCION BAGAZO #46</t>
  </si>
  <si>
    <t xml:space="preserve">B/P MARIA JOSE-B/P VALENTINA </t>
  </si>
  <si>
    <t>23375-377</t>
  </si>
  <si>
    <t>PICO SALTOS ROBERT</t>
  </si>
  <si>
    <t xml:space="preserve">GEOVANNY PIGUAVE   </t>
  </si>
  <si>
    <t xml:space="preserve">GPG-0955   </t>
  </si>
  <si>
    <t xml:space="preserve">BINES METALICOS 23 BINES-BINES DE MADERA 1    TOTAL 24 BINES VACIOS   </t>
  </si>
  <si>
    <t xml:space="preserve">SOLVESA  </t>
  </si>
  <si>
    <t xml:space="preserve">LEONARDO AGUILERA    </t>
  </si>
  <si>
    <t xml:space="preserve">PXG-491 </t>
  </si>
  <si>
    <t xml:space="preserve">RENDOX      </t>
  </si>
  <si>
    <t xml:space="preserve">BUNKER  </t>
  </si>
  <si>
    <t>MORENILLO-BRAVO</t>
  </si>
  <si>
    <t>AGUA</t>
  </si>
  <si>
    <t>TANQUERO DE AGUA</t>
  </si>
  <si>
    <t>CHATARRA</t>
  </si>
  <si>
    <t>CAB-3</t>
  </si>
  <si>
    <t>AGUA COCCION</t>
  </si>
  <si>
    <t>13867-66</t>
  </si>
  <si>
    <t>PRODUCCION-PROMOPESCA</t>
  </si>
  <si>
    <t>PRODUCCION BAGAZO #47</t>
  </si>
  <si>
    <t xml:space="preserve">SUBPRODUCTO DE ALBACOA - VISCERAS </t>
  </si>
  <si>
    <t>JOSE CHAVEZ</t>
  </si>
  <si>
    <t xml:space="preserve">SUBPRODUCTO DE ALBACORA SUB MORENILLO- VISCERAS </t>
  </si>
  <si>
    <t>JAIME PALMIRO</t>
  </si>
  <si>
    <t>PCC-4449</t>
  </si>
  <si>
    <t xml:space="preserve">REYSAC  </t>
  </si>
  <si>
    <t xml:space="preserve">OTTO INTRIAGO  </t>
  </si>
  <si>
    <t xml:space="preserve">GSJ-9094   </t>
  </si>
  <si>
    <t xml:space="preserve">SACOS NUEVOS   </t>
  </si>
  <si>
    <t>B/P HARRY</t>
  </si>
  <si>
    <t>6 BINES</t>
  </si>
  <si>
    <t xml:space="preserve">CARLOS COBEÑA         </t>
  </si>
  <si>
    <t xml:space="preserve">GBN-5296   </t>
  </si>
  <si>
    <t>ENVIO DE AGUA COLA</t>
  </si>
  <si>
    <t xml:space="preserve">NUTRIFISHING S.A      </t>
  </si>
  <si>
    <t xml:space="preserve">INGRESO DE CONCENTRADO  </t>
  </si>
  <si>
    <t xml:space="preserve">INGRESO DE TANQUE VACIO DE SANTA ELENA     </t>
  </si>
  <si>
    <t xml:space="preserve">SACOPLAS   </t>
  </si>
  <si>
    <t xml:space="preserve">JIMMY COELLO  </t>
  </si>
  <si>
    <t>GRV-0577</t>
  </si>
  <si>
    <t xml:space="preserve">SACOS PLASTICOS    </t>
  </si>
  <si>
    <t>ALEXANDER PANCHANA</t>
  </si>
  <si>
    <t>OSWALDO VERA</t>
  </si>
  <si>
    <t>ICH-0378</t>
  </si>
  <si>
    <t>GESTION EXTERNA DE MALLAS DADA DE BAJA</t>
  </si>
  <si>
    <t>CRISTOBAL COLON GONZALEZ</t>
  </si>
  <si>
    <t>BAGRE-HOJA</t>
  </si>
  <si>
    <t>FREDDY CAMPOVERDE(MANTARO)</t>
  </si>
  <si>
    <t>31235-236</t>
  </si>
  <si>
    <t xml:space="preserve">PICO SALTO/RECICLANDO ENVASES        </t>
  </si>
  <si>
    <t xml:space="preserve">FEDERICO PIONCE     </t>
  </si>
  <si>
    <t xml:space="preserve">CAB-11    </t>
  </si>
  <si>
    <t>1200-13</t>
  </si>
  <si>
    <t xml:space="preserve">40 BINES VACIOS   </t>
  </si>
  <si>
    <t xml:space="preserve">GTI-1018  </t>
  </si>
  <si>
    <t xml:space="preserve">B/P RUBEN ANDRES        </t>
  </si>
  <si>
    <t>IVON VARGAS</t>
  </si>
  <si>
    <t>ANTONY POZO</t>
  </si>
  <si>
    <t>UCA-0521</t>
  </si>
  <si>
    <t>MORENILLO ANC</t>
  </si>
  <si>
    <t>DARWIN ZHIGUE</t>
  </si>
  <si>
    <t>PCB-3654</t>
  </si>
  <si>
    <t>ANGEL HERNANDEZ</t>
  </si>
  <si>
    <t>OAA-2135</t>
  </si>
  <si>
    <t>KEVIN BENITEZ</t>
  </si>
  <si>
    <t>OAK-0323</t>
  </si>
  <si>
    <t xml:space="preserve">JOSE OBANDO      </t>
  </si>
  <si>
    <t xml:space="preserve">TAA-3517   </t>
  </si>
  <si>
    <t xml:space="preserve">SUBPRODUCTO DE MORENILLO CABALLA    </t>
  </si>
  <si>
    <t>POLLA BAGRE-HOJA</t>
  </si>
  <si>
    <t xml:space="preserve">JOSE MENDOZA    </t>
  </si>
  <si>
    <t>OCM-0457</t>
  </si>
  <si>
    <t>ANGEL IFANTE</t>
  </si>
  <si>
    <t>OBA-5767</t>
  </si>
  <si>
    <t xml:space="preserve">FREDDY CASTILLO  </t>
  </si>
  <si>
    <t>JAA-1981</t>
  </si>
  <si>
    <t xml:space="preserve">PEDRO MALACATUS   </t>
  </si>
  <si>
    <t xml:space="preserve">OAA-2337 </t>
  </si>
  <si>
    <t>SUBPRODUCTO DE MERLUZA</t>
  </si>
  <si>
    <t xml:space="preserve">MAA-3454  </t>
  </si>
  <si>
    <t xml:space="preserve">DANNY SANCHEZ  </t>
  </si>
  <si>
    <t xml:space="preserve">LAA-1445 </t>
  </si>
  <si>
    <t xml:space="preserve">GONZALO MACAS      </t>
  </si>
  <si>
    <t xml:space="preserve">OAA-2211   </t>
  </si>
  <si>
    <t xml:space="preserve">FELIX ESPINOZA      </t>
  </si>
  <si>
    <t xml:space="preserve">LEH-0740 </t>
  </si>
  <si>
    <t xml:space="preserve">LUIS CORDOVA    </t>
  </si>
  <si>
    <t>GRE-0127</t>
  </si>
  <si>
    <t>13866-67</t>
  </si>
  <si>
    <t>PRODUCCION BAGAZO #48</t>
  </si>
  <si>
    <t xml:space="preserve">B/P VALENTINA - B/P DOÑA BERTHA </t>
  </si>
  <si>
    <t>23384-85</t>
  </si>
  <si>
    <t>MORENILLO - PICUDILLO</t>
  </si>
  <si>
    <t>PEDRO CEDÑO</t>
  </si>
  <si>
    <t>FEDERICO PIONCE</t>
  </si>
  <si>
    <t>MORENILLO PICUDILLO</t>
  </si>
  <si>
    <t>3/4 TANQUERO</t>
  </si>
  <si>
    <t>PRODUCCION BAGAZO #49</t>
  </si>
  <si>
    <t xml:space="preserve">MORENILLO </t>
  </si>
  <si>
    <t>SUBPRODUCTO ATUN COCIDO - SUB MORENILLO</t>
  </si>
  <si>
    <t xml:space="preserve">SUBPRODUCTO DE ALBACORA SUB MERLUZA - VISCERAS </t>
  </si>
  <si>
    <t>MARLENE RODRIGUEZ ZAMBRANO</t>
  </si>
  <si>
    <t>JOSE BAZURTO</t>
  </si>
  <si>
    <t>GSV-5126</t>
  </si>
  <si>
    <t xml:space="preserve">B/P MATIA </t>
  </si>
  <si>
    <t xml:space="preserve">EDUARDO CAMPOVERDE </t>
  </si>
  <si>
    <t xml:space="preserve">JHON CADENA </t>
  </si>
  <si>
    <t>GSN-3326</t>
  </si>
  <si>
    <t>B/P ANGEL</t>
  </si>
  <si>
    <t>B/P ANGEL - B/P DIJAYMAR IV</t>
  </si>
  <si>
    <t>23391-92</t>
  </si>
  <si>
    <t xml:space="preserve">B/P DIJAYMAR IV </t>
  </si>
  <si>
    <t xml:space="preserve">SUBPRODUCTO DE CABALLA </t>
  </si>
  <si>
    <t>MERLUZA-MORENILLO</t>
  </si>
  <si>
    <t>BRANKETY</t>
  </si>
  <si>
    <t>CARLOS MURGA</t>
  </si>
  <si>
    <t>GSB-6268</t>
  </si>
  <si>
    <t>MORENILLO-GALLINAZA</t>
  </si>
  <si>
    <t xml:space="preserve">SUBP DE ALBACORA - SUBP DORADO -SUBP ATUN - VISCERAS                                                                                                                                                                                                               </t>
  </si>
  <si>
    <t xml:space="preserve">LISANDRO CALZADA </t>
  </si>
  <si>
    <t>MENOS 870 KG DE 30 PALLET</t>
  </si>
  <si>
    <t>CARGIL - RIVETO</t>
  </si>
  <si>
    <t xml:space="preserve">MORENILLO BOTELLA </t>
  </si>
  <si>
    <t xml:space="preserve">JONATHAN NAPA </t>
  </si>
  <si>
    <t>BAA-1919</t>
  </si>
  <si>
    <t xml:space="preserve">TAURA FORTIDEX </t>
  </si>
  <si>
    <t xml:space="preserve">B/P DOÑA BERTHA - B/P PARDELA </t>
  </si>
  <si>
    <t>PICUDILLO MORENILLO</t>
  </si>
  <si>
    <t>23395-96</t>
  </si>
  <si>
    <t xml:space="preserve">B/P SHIRLEY </t>
  </si>
  <si>
    <t xml:space="preserve">GISIS S.A. </t>
  </si>
  <si>
    <t>MENOS 1180 K DE 30 PALLET</t>
  </si>
  <si>
    <t>EUDYS VERA</t>
  </si>
  <si>
    <t>GSN-3283</t>
  </si>
  <si>
    <t xml:space="preserve">PRODUCCION-PROMOPESCA  </t>
  </si>
  <si>
    <t>ABIAN OLAYA</t>
  </si>
  <si>
    <t>PRODUCCION BAGAZO #50</t>
  </si>
  <si>
    <t>FRIGOLANDIA -CEPROFISH</t>
  </si>
  <si>
    <t>1537-3892</t>
  </si>
  <si>
    <t>BOTELLA</t>
  </si>
  <si>
    <t xml:space="preserve">SUBPRODUCTO DE ATUN COCIDO  </t>
  </si>
  <si>
    <t xml:space="preserve">PALLET MALLAS Y CABOS USADOS </t>
  </si>
  <si>
    <t>B/P PALBER</t>
  </si>
  <si>
    <t xml:space="preserve">B/P PALBER - B/P GUILLERIMA </t>
  </si>
  <si>
    <t>23400-401</t>
  </si>
  <si>
    <t>PALLET MALLAS Y CABLES USADOS</t>
  </si>
  <si>
    <t xml:space="preserve">CARGIL - PROTEINSEC </t>
  </si>
  <si>
    <t xml:space="preserve">CESAR PAREDES </t>
  </si>
  <si>
    <t>GLZ-0541</t>
  </si>
  <si>
    <t>GSS-3794</t>
  </si>
  <si>
    <t>ALEX AMAGUAYA</t>
  </si>
  <si>
    <t>GRY-0577</t>
  </si>
  <si>
    <t>B/P PARDELA - B/P ANGEL</t>
  </si>
  <si>
    <t>23404-03</t>
  </si>
  <si>
    <t xml:space="preserve">B/P ANGEL - B/P MARIA JOSE </t>
  </si>
  <si>
    <t>23404-05</t>
  </si>
  <si>
    <t xml:space="preserve">B/P MARIA JOSE </t>
  </si>
  <si>
    <t>PALLET RED USADO - BINES CON CHATARRA</t>
  </si>
  <si>
    <t>MENOS 860 KG DE 30 PALLET</t>
  </si>
  <si>
    <t xml:space="preserve">GMJ-0528 </t>
  </si>
  <si>
    <t xml:space="preserve">PPK-030   </t>
  </si>
  <si>
    <t xml:space="preserve">13882-883 </t>
  </si>
  <si>
    <t xml:space="preserve">SUBPRODUCTO DE VISCERAS 11 BINES SUBPRODUCTO DE ATUN COCIDO 3 BINES     </t>
  </si>
  <si>
    <t xml:space="preserve">PABLO CARRERA   </t>
  </si>
  <si>
    <t>23406-07</t>
  </si>
  <si>
    <t xml:space="preserve">B/P DOÑA PATTY - B/P DON FAUSTO </t>
  </si>
  <si>
    <t>WISTONG SALAZAR</t>
  </si>
  <si>
    <t xml:space="preserve">B/P VALENTINA - B/P GUILLERMINA </t>
  </si>
  <si>
    <t>23408-09</t>
  </si>
  <si>
    <t>PRODUCCION BAGAZO #51</t>
  </si>
  <si>
    <t>B/P ISABELLA</t>
  </si>
  <si>
    <t xml:space="preserve">LADY SOLIS   </t>
  </si>
  <si>
    <t xml:space="preserve">JHONNY MUÑOZ   </t>
  </si>
  <si>
    <t xml:space="preserve">GSO-1538  </t>
  </si>
  <si>
    <t xml:space="preserve">FRIGOLANDIA-CEPROFISH    </t>
  </si>
  <si>
    <t xml:space="preserve">1540-3918   </t>
  </si>
  <si>
    <t xml:space="preserve">SUBPRODUCTO DE DORADO   </t>
  </si>
  <si>
    <t xml:space="preserve">MORENILLO CORBATA </t>
  </si>
  <si>
    <t xml:space="preserve">B/P DOÑA PATTY - B/P GUILLERMINA </t>
  </si>
  <si>
    <t>23413-14</t>
  </si>
  <si>
    <t>JUAN ACOSTA</t>
  </si>
  <si>
    <t xml:space="preserve">ALIMENTSA </t>
  </si>
  <si>
    <t>INGRESO DE 20 IBC VACIOS</t>
  </si>
  <si>
    <t xml:space="preserve">B/P MI PIEDACITA </t>
  </si>
  <si>
    <t>23417-16</t>
  </si>
  <si>
    <t xml:space="preserve">SERVICLEAN - JACINTO COLOMA </t>
  </si>
  <si>
    <t>GEOVANNY REGALADO</t>
  </si>
  <si>
    <t>REPARACION DE 20 BINES - 6 TAPAS</t>
  </si>
  <si>
    <t>GJD-0434</t>
  </si>
  <si>
    <t xml:space="preserve">SUBPRODUCTO DE ATUN COCIDO-CRUDO   </t>
  </si>
  <si>
    <t xml:space="preserve">COMBUSPETROL S.A.      </t>
  </si>
  <si>
    <t xml:space="preserve">KEVIN GOMEZ     </t>
  </si>
  <si>
    <t xml:space="preserve">GBN-7335 </t>
  </si>
  <si>
    <t>TANQUERO</t>
  </si>
  <si>
    <t xml:space="preserve">CEPROFISH-MOLPRO     </t>
  </si>
  <si>
    <t>3918-1562</t>
  </si>
  <si>
    <t xml:space="preserve">B/P REGALITO DE DIOS III  </t>
  </si>
  <si>
    <t>B/P. DIJAYMAR IV</t>
  </si>
  <si>
    <t>MORENILLO 8 1/4 BIN</t>
  </si>
  <si>
    <t>8 1/4 BINES</t>
  </si>
  <si>
    <t>POLLA-BAGRE</t>
  </si>
  <si>
    <t xml:space="preserve">B/P REGALITO DE DIOS I       </t>
  </si>
  <si>
    <t xml:space="preserve">13903-904 </t>
  </si>
  <si>
    <t xml:space="preserve">JIMMY CHAVEZ   </t>
  </si>
  <si>
    <t xml:space="preserve">SUBPRODUCTO DE DORADO -SELEMBA </t>
  </si>
  <si>
    <t>PRODUCCION BAGAZO #52</t>
  </si>
  <si>
    <t>BOTELLA MORENILLO</t>
  </si>
  <si>
    <t xml:space="preserve">B/P REGALITO DE DIOS I - B/P VALENTINA </t>
  </si>
  <si>
    <t>23423-22</t>
  </si>
  <si>
    <t>B/P PALBER - B/P DOÑA PATTY</t>
  </si>
  <si>
    <t>23424-25</t>
  </si>
  <si>
    <t>B/P SAN JORGE -B/P PIEDACITA</t>
  </si>
  <si>
    <t>23426-27</t>
  </si>
  <si>
    <t xml:space="preserve">MORENILLO GALLINA </t>
  </si>
  <si>
    <t xml:space="preserve">INGRESO DE HARINA DE CAMARON </t>
  </si>
  <si>
    <t xml:space="preserve">B/P DALMACIA </t>
  </si>
  <si>
    <t>4 BINES</t>
  </si>
  <si>
    <t xml:space="preserve">B/P VB III - B/P AMYLU - B/P ALZOMAR </t>
  </si>
  <si>
    <t xml:space="preserve">JOHANNA DELGADO </t>
  </si>
  <si>
    <t>INGRESO DE 40 IBC</t>
  </si>
  <si>
    <t xml:space="preserve">B/P JUAN CARLOS </t>
  </si>
  <si>
    <t>SARDINA</t>
  </si>
  <si>
    <t>23429-30-33</t>
  </si>
  <si>
    <t xml:space="preserve">SUB.PRODUCTO DE ALBACORA SUB. ATUN COCIDO VISCERAS </t>
  </si>
  <si>
    <t xml:space="preserve">SUB.PRODUCTO DE DORADO                                                                                                                                                                                                                                    </t>
  </si>
  <si>
    <t xml:space="preserve">SUB.PRODUCTO DE ALBACORA SUB. MERLUSA SUB. DORADO VISCERAS                                                                                                                                                                                                </t>
  </si>
  <si>
    <t>B/P.SAN JORGE</t>
  </si>
  <si>
    <t>2.5 BINES</t>
  </si>
  <si>
    <t>8.5 BINES</t>
  </si>
  <si>
    <t xml:space="preserve">GALLINA </t>
  </si>
  <si>
    <t xml:space="preserve">MORENILLO-GALLINA  </t>
  </si>
  <si>
    <t>PICUDILLO-MORENILLO</t>
  </si>
  <si>
    <t xml:space="preserve">B/P MATIA-B/P PARDELA               </t>
  </si>
  <si>
    <t>23439-440</t>
  </si>
  <si>
    <t xml:space="preserve">CEPROFISH    </t>
  </si>
  <si>
    <t xml:space="preserve">BAA-1483 </t>
  </si>
  <si>
    <t xml:space="preserve">B/P ALZOMAR-B/P REGALITO DE DIOS I </t>
  </si>
  <si>
    <t>23441-442</t>
  </si>
  <si>
    <t>MORENILLO-BOTELLA-GALLINA</t>
  </si>
  <si>
    <t xml:space="preserve">B/P ISABELLA-B/P AMYLU     </t>
  </si>
  <si>
    <t>23443-444</t>
  </si>
  <si>
    <t>MORENILLO-POLLA</t>
  </si>
  <si>
    <t xml:space="preserve">MORENILLO-BOTELLA  </t>
  </si>
  <si>
    <t>8 BINES</t>
  </si>
  <si>
    <t>31359-360</t>
  </si>
  <si>
    <t xml:space="preserve">JOSE MONTERO      </t>
  </si>
  <si>
    <t>SUBPRODUCTO DE MORENILLO</t>
  </si>
  <si>
    <t>GALLINA-PICUDILLO-SARDINA-HOJA</t>
  </si>
  <si>
    <t>POLLA BGRE</t>
  </si>
  <si>
    <t>BOTELLA-GALLINA</t>
  </si>
  <si>
    <t xml:space="preserve">FAUSTO GUTIERREZ     </t>
  </si>
  <si>
    <t>SUBPRODUCTO DE ALBACORA</t>
  </si>
  <si>
    <t xml:space="preserve">CEPROFISH-MOLPRO      </t>
  </si>
  <si>
    <t>213-1570</t>
  </si>
  <si>
    <t>GALLINA</t>
  </si>
  <si>
    <t>SERVISCREEN</t>
  </si>
  <si>
    <t>20 BINES Y 6 TAPAS</t>
  </si>
  <si>
    <t xml:space="preserve">B/P PARDELA-B/P GUILLERMINA     </t>
  </si>
  <si>
    <t>23449-450</t>
  </si>
  <si>
    <t xml:space="preserve">MUELLE FORTIDEX            </t>
  </si>
  <si>
    <t xml:space="preserve">ENVIO DE SACOS FUERA DE USO     </t>
  </si>
  <si>
    <t xml:space="preserve">B/P GUILLERMINA-B/P MARIA JOSE  </t>
  </si>
  <si>
    <t>23450-451</t>
  </si>
  <si>
    <t xml:space="preserve">SUBPRODUCTO DE ATUN COCIDO-CRUDO    </t>
  </si>
  <si>
    <t xml:space="preserve">COMBUSPETROL </t>
  </si>
  <si>
    <t xml:space="preserve">WISTONG SALAZAR   </t>
  </si>
  <si>
    <t xml:space="preserve">GBO-3314 </t>
  </si>
  <si>
    <t xml:space="preserve">B/P GEPSA </t>
  </si>
  <si>
    <t xml:space="preserve">BOTELLA </t>
  </si>
  <si>
    <t>1.5 BINES</t>
  </si>
  <si>
    <t>B/P ANGEL - B/P DOÑA PATTY</t>
  </si>
  <si>
    <t>23455-53</t>
  </si>
  <si>
    <t xml:space="preserve">RONCADOR - BOTELLA - MORENILLO GALLINA </t>
  </si>
  <si>
    <t xml:space="preserve">MUELLE FORTIDEX </t>
  </si>
  <si>
    <t>B/P ALZOMAR</t>
  </si>
  <si>
    <t xml:space="preserve">B/P ANGEL </t>
  </si>
  <si>
    <t>SUB.DE ALBACORA-MERLUSA.-VISCERAS</t>
  </si>
  <si>
    <t xml:space="preserve">SUBPRODUCTO DORADO </t>
  </si>
  <si>
    <t xml:space="preserve">OSCAR PALADINES </t>
  </si>
  <si>
    <t>LUIS JARAMILLO</t>
  </si>
  <si>
    <t>YAA-1196</t>
  </si>
  <si>
    <t>13916-17</t>
  </si>
  <si>
    <t xml:space="preserve">SUBPRODUCTO DE ATUN COCIDO-VISCERAS AGALLAS </t>
  </si>
  <si>
    <t>SUBPRODUCTO DE MELUZA SUB BOTELLA VISCERAS - GALLINAZA ENTERA</t>
  </si>
  <si>
    <t>SUBPRODUCTO DE ATUN COCIDO  - SUB SARDINA</t>
  </si>
  <si>
    <t xml:space="preserve">CARLOS COBEÑA    </t>
  </si>
  <si>
    <t>GBN-5296</t>
  </si>
  <si>
    <t>POLLA</t>
  </si>
  <si>
    <t xml:space="preserve">AQUAFEED S.A DE C.V            </t>
  </si>
  <si>
    <t xml:space="preserve">JHON FLORES </t>
  </si>
  <si>
    <t xml:space="preserve">GBN-8647   </t>
  </si>
  <si>
    <t xml:space="preserve">CARLOS PICO    </t>
  </si>
  <si>
    <t xml:space="preserve">GBN-2160  </t>
  </si>
  <si>
    <t xml:space="preserve">NEY PINARGOTE    </t>
  </si>
  <si>
    <t xml:space="preserve">GND-0866 </t>
  </si>
  <si>
    <t xml:space="preserve">ALFONSO MORA    </t>
  </si>
  <si>
    <t xml:space="preserve">GGX-0465  </t>
  </si>
  <si>
    <t>B/P DOÑA BERTHA</t>
  </si>
  <si>
    <t>18 BINES</t>
  </si>
  <si>
    <t xml:space="preserve">PRODUCCION OSCAR PALADINES  </t>
  </si>
  <si>
    <t xml:space="preserve">ANGEL DE LA A        </t>
  </si>
  <si>
    <t xml:space="preserve">MONTACARGA    </t>
  </si>
  <si>
    <t xml:space="preserve">PRODUCCION BAGAZO #53   </t>
  </si>
  <si>
    <t xml:space="preserve">AQUAFEED S.A DE C.V      </t>
  </si>
  <si>
    <t xml:space="preserve">JUAN ARREAGA    </t>
  </si>
  <si>
    <t xml:space="preserve">GGV-0531 </t>
  </si>
  <si>
    <t xml:space="preserve">ANGEL MORA      </t>
  </si>
  <si>
    <t xml:space="preserve">GIP-0950   </t>
  </si>
  <si>
    <t>IMPROSA</t>
  </si>
  <si>
    <t xml:space="preserve">JOSE ALVAREZ    </t>
  </si>
  <si>
    <t xml:space="preserve">GSY-4121  </t>
  </si>
  <si>
    <t>SUBP DE ALBACORA - SUBP DE MERLUSA - VISCERAS</t>
  </si>
  <si>
    <t>FORTIDEX TAURA</t>
  </si>
  <si>
    <t>LCH-0154</t>
  </si>
  <si>
    <t>1546-3966</t>
  </si>
  <si>
    <t>MERLUZA</t>
  </si>
  <si>
    <t>OSWALDO VELEZ</t>
  </si>
  <si>
    <t>PPE-0150</t>
  </si>
  <si>
    <t>PRODUCCION BAGAZO #54</t>
  </si>
  <si>
    <t>CARGIL - PROTEINSEC</t>
  </si>
  <si>
    <t>MENOS 830 KG DE 30 PALLET</t>
  </si>
  <si>
    <t>COMBUSPETROL</t>
  </si>
  <si>
    <t>ADISOL</t>
  </si>
  <si>
    <t>RAFAEL TARIRA</t>
  </si>
  <si>
    <t>INGRESO DE SODA CAUSTICA POLACA ESCAMAS 200 X 25 KG</t>
  </si>
  <si>
    <t>CARLOS MERO</t>
  </si>
  <si>
    <t>GSE-8664</t>
  </si>
  <si>
    <t xml:space="preserve">VENTA DE REDES USADAS </t>
  </si>
  <si>
    <t>DESPERDICIO CORTE CABALLA</t>
  </si>
  <si>
    <t>SUB PODUCTO DE DORADO - VISCERAS</t>
  </si>
  <si>
    <t>1550-3976</t>
  </si>
  <si>
    <t>SUB PRODUCTO DE TUN CRUDO Y COCIDO</t>
  </si>
  <si>
    <t>SUB PRODUCTO DE ATUN COCIDO Y VISCERAS</t>
  </si>
  <si>
    <t xml:space="preserve">HOLGER URBAN  </t>
  </si>
  <si>
    <t xml:space="preserve">ABZ-522  </t>
  </si>
  <si>
    <t xml:space="preserve">VENTA DE CHATARRA      </t>
  </si>
  <si>
    <t xml:space="preserve">ALBERTO SUAREZ </t>
  </si>
  <si>
    <t xml:space="preserve">BODEGA JAMBELI         </t>
  </si>
  <si>
    <t xml:space="preserve">CARLOS COBEÑA </t>
  </si>
  <si>
    <t xml:space="preserve">GBN-5296 </t>
  </si>
  <si>
    <t xml:space="preserve">REYSAC     </t>
  </si>
  <si>
    <t xml:space="preserve">ROMER PACHECO      </t>
  </si>
  <si>
    <t xml:space="preserve">GHI-349 </t>
  </si>
  <si>
    <t xml:space="preserve">SACOS NUEVOS </t>
  </si>
  <si>
    <t>CARGIL RIVETO</t>
  </si>
  <si>
    <t xml:space="preserve">INGRESO DE HARINA DE PESCADO </t>
  </si>
  <si>
    <t xml:space="preserve">VENTA DE ACERO INOXIDABLE FUERA DE USO </t>
  </si>
  <si>
    <t xml:space="preserve">PRODUCCION -PROMOPESCA       </t>
  </si>
  <si>
    <t xml:space="preserve">MANUEL PEÑAFIEL    </t>
  </si>
  <si>
    <t xml:space="preserve">S/G    </t>
  </si>
  <si>
    <t xml:space="preserve">PRODUCCION #55 BAGAZO      </t>
  </si>
  <si>
    <t>CARGIL -PROTEISENC</t>
  </si>
  <si>
    <t>NO SE PESA DE SALIDA - VA AOTRO DESTINO</t>
  </si>
  <si>
    <t>SUBPRODUCTO DE ATUN CRUDO</t>
  </si>
  <si>
    <t>MENOS 810 KG DE 30 PALLET</t>
  </si>
  <si>
    <t xml:space="preserve">JUAN DELGADO </t>
  </si>
  <si>
    <t>SUBPRODUCTO DE GUAJU SUB CALAMAR</t>
  </si>
  <si>
    <t>SUBPRODUCTO DE ALBACORA SUB MERLUZA VISCERAS</t>
  </si>
  <si>
    <t>MARLON MATEO</t>
  </si>
  <si>
    <t>SUB PODUCTO DE MERLUZA</t>
  </si>
  <si>
    <t xml:space="preserve">SUB PRODUCTO DE ATUN CRUDO Y COCIDO </t>
  </si>
  <si>
    <t>PRODUCCION BAGAZO #56</t>
  </si>
  <si>
    <t>PICA - PLASTICOS INDUSTRIALES</t>
  </si>
  <si>
    <t>INGRESO DE 16 BINES NUEVOS</t>
  </si>
  <si>
    <t>CARLOS  VILLACRESES</t>
  </si>
  <si>
    <t xml:space="preserve">AGUAS COCIDAS </t>
  </si>
  <si>
    <t>1551-4000</t>
  </si>
  <si>
    <t>5501-5601</t>
  </si>
  <si>
    <t xml:space="preserve">SUB PRODUCTO DE DORADO </t>
  </si>
  <si>
    <t xml:space="preserve">PRODUCCION SEAFMAN      </t>
  </si>
  <si>
    <t xml:space="preserve">CRISTHIAN CRESPIN    </t>
  </si>
  <si>
    <t xml:space="preserve">S/P     </t>
  </si>
  <si>
    <t>SUB PRODUCTO DE ATUN -VISCERAS</t>
  </si>
  <si>
    <t>PRODUCCION #57</t>
  </si>
  <si>
    <t>SUBPRODUCTO DE TILAPIA</t>
  </si>
  <si>
    <t>HIGHNESS ENTERPRISE CO.,.LTD</t>
  </si>
  <si>
    <t>EDUARDO DUARTE</t>
  </si>
  <si>
    <t>PTD-0746</t>
  </si>
  <si>
    <t>1 BIN MENOS 57 KG</t>
  </si>
  <si>
    <t>ANTONIO MALAVE PEREZ</t>
  </si>
  <si>
    <t>GOR-0016</t>
  </si>
  <si>
    <t xml:space="preserve">PAÑOS USADOS </t>
  </si>
  <si>
    <t xml:space="preserve">FRIGOLANDIA - CEPROMAR </t>
  </si>
  <si>
    <t>1552-105</t>
  </si>
  <si>
    <t xml:space="preserve">ALEXANDER PANCHANA - LIBERTAD </t>
  </si>
  <si>
    <t xml:space="preserve">DAVID GONZALEZ </t>
  </si>
  <si>
    <t xml:space="preserve">PLATAFORMA </t>
  </si>
  <si>
    <t xml:space="preserve">INGRESO DE MALLAS USADAS </t>
  </si>
  <si>
    <t xml:space="preserve">CARLOS VILLAACRESES </t>
  </si>
  <si>
    <t>GNX-0101</t>
  </si>
  <si>
    <t xml:space="preserve">DESPACHO DE HIDROLIZADO DE PESCADO </t>
  </si>
  <si>
    <t xml:space="preserve">GALO TUAZA </t>
  </si>
  <si>
    <t>MENOS 1153 KG DE 20 BINES</t>
  </si>
  <si>
    <t xml:space="preserve">DOCAPES </t>
  </si>
  <si>
    <t xml:space="preserve">JAIME ALBAN </t>
  </si>
  <si>
    <t xml:space="preserve">SANTIAGO MALDONADO </t>
  </si>
  <si>
    <t xml:space="preserve">SUBPRODUCTO DE ATUN </t>
  </si>
  <si>
    <t xml:space="preserve">ALFREDO CEDEÑO </t>
  </si>
  <si>
    <t xml:space="preserve">SUBPRODUCTO DE BUCHE </t>
  </si>
  <si>
    <t>8201-8301</t>
  </si>
  <si>
    <t>EBF-486</t>
  </si>
  <si>
    <t>CEPROFISH - MOLPO</t>
  </si>
  <si>
    <t>4039-1580</t>
  </si>
  <si>
    <t>JULIOP QUINDE</t>
  </si>
  <si>
    <t>PRODUCCION #58</t>
  </si>
  <si>
    <t xml:space="preserve">JAIVER ICAZA </t>
  </si>
  <si>
    <t xml:space="preserve">INGRESO DE MALLAS USADAS CADENA CABOS </t>
  </si>
  <si>
    <t>B/P DIEGO ARMANDO</t>
  </si>
  <si>
    <t>CORBATA BOTELLA</t>
  </si>
  <si>
    <t xml:space="preserve">CARGIL PROTEISENC </t>
  </si>
  <si>
    <t xml:space="preserve">OSWALDO VELEZ </t>
  </si>
  <si>
    <t xml:space="preserve">VICTOR QUINDE </t>
  </si>
  <si>
    <t>HERNAN MAZZINI</t>
  </si>
  <si>
    <t xml:space="preserve">FAUSTO GARCIA </t>
  </si>
  <si>
    <t>MBN-251</t>
  </si>
  <si>
    <t xml:space="preserve">CHUHUECO </t>
  </si>
  <si>
    <t>WILSON YAGUAL</t>
  </si>
  <si>
    <t>GFE-385</t>
  </si>
  <si>
    <t xml:space="preserve">CARLOS CRESPIN </t>
  </si>
  <si>
    <t xml:space="preserve">POLLA </t>
  </si>
  <si>
    <t xml:space="preserve">JUAN ARDILA </t>
  </si>
  <si>
    <t>B/P PARBERT</t>
  </si>
  <si>
    <t>B/P VALENTINA-B/P RUBEN ANDRES-PALBERT</t>
  </si>
  <si>
    <t xml:space="preserve">23466-67-68   </t>
  </si>
  <si>
    <t xml:space="preserve">CHUHUECO-GALLINA-SARDINA-HOJA   </t>
  </si>
  <si>
    <t>MARCOS QUITIO</t>
  </si>
  <si>
    <t xml:space="preserve">B/P JOSSELYN- B/P NIÑA AMYLU   </t>
  </si>
  <si>
    <t xml:space="preserve">23469-470 </t>
  </si>
  <si>
    <t xml:space="preserve">FRIGOLANDIA-CEPROMAR      </t>
  </si>
  <si>
    <t xml:space="preserve">1554-106  </t>
  </si>
  <si>
    <t xml:space="preserve">LADY SOLIS       </t>
  </si>
  <si>
    <t xml:space="preserve">JUAN MATEO    </t>
  </si>
  <si>
    <t xml:space="preserve">GSO-1538 </t>
  </si>
  <si>
    <t xml:space="preserve">SUBPRODUCTO DE MERLUZA  </t>
  </si>
  <si>
    <t>ENRIQUE CAHLEN</t>
  </si>
  <si>
    <t>VICTOR SILVA</t>
  </si>
  <si>
    <t>SUBPRODUCTO ALBACORA</t>
  </si>
  <si>
    <t xml:space="preserve">DESPACHO DE ACEITE DE PESCADO   </t>
  </si>
  <si>
    <t xml:space="preserve">CAM-7     </t>
  </si>
  <si>
    <t>GALLINA-POLLA BAGRE</t>
  </si>
  <si>
    <t>BINES VACIOS VIEJOS</t>
  </si>
  <si>
    <t>11701-11801</t>
  </si>
  <si>
    <t xml:space="preserve">SUBPRODUCTO DE VISCERAS 11 TINAS-SUBPRODUCTO DE ATUN COCIDO 3 TINAS            </t>
  </si>
  <si>
    <t xml:space="preserve">SUBPRODUCTO DE ATUN COCIDO      </t>
  </si>
  <si>
    <t xml:space="preserve">ADILISA </t>
  </si>
  <si>
    <t>JOFFRE NARANJO</t>
  </si>
  <si>
    <t>ADIMOLD 70</t>
  </si>
  <si>
    <t>500 KG</t>
  </si>
  <si>
    <t xml:space="preserve">B/P VB III </t>
  </si>
  <si>
    <t xml:space="preserve">GALLINA BOTELLA CORBATA </t>
  </si>
  <si>
    <t>B/P MANTARO</t>
  </si>
  <si>
    <t xml:space="preserve">GALLINA MORENILLO CORBATA </t>
  </si>
  <si>
    <t>MARSIPESCA S.A.</t>
  </si>
  <si>
    <t>LUIS PADILLA</t>
  </si>
  <si>
    <t>GJD-0094</t>
  </si>
  <si>
    <t xml:space="preserve">B/P ISABELLA - B/P SAN JORGE </t>
  </si>
  <si>
    <t xml:space="preserve">RENE MARQUEZ </t>
  </si>
  <si>
    <t>23474-75</t>
  </si>
  <si>
    <t xml:space="preserve">GALLINA BOTELLA </t>
  </si>
  <si>
    <t>13 BINES</t>
  </si>
  <si>
    <t xml:space="preserve">BIOMAR </t>
  </si>
  <si>
    <t>INGRESO DE 16 IBC</t>
  </si>
  <si>
    <t>MORENILLO-POLLA-GALLINAZA-SARDINA</t>
  </si>
  <si>
    <t>3 1/2 BINES</t>
  </si>
  <si>
    <t xml:space="preserve">DEVOLUCION DE 5 BINES VACIOS IBC  </t>
  </si>
  <si>
    <t>HERNAN MAZZINNI</t>
  </si>
  <si>
    <t>HENRIQUE CHALEN</t>
  </si>
  <si>
    <t>POLLA-BAGRE-GALLINA</t>
  </si>
  <si>
    <t>SALICA S.A.</t>
  </si>
  <si>
    <t>AGUA DE COCION</t>
  </si>
  <si>
    <t xml:space="preserve">CEPROFISH  </t>
  </si>
  <si>
    <t>3/4 BIN</t>
  </si>
  <si>
    <t xml:space="preserve">SUBPRODUCTO DE ATUN COCIDO-SUBP PINCHAGUA   </t>
  </si>
  <si>
    <t>PRODUCCION #59</t>
  </si>
  <si>
    <t>SACOSPLAST</t>
  </si>
  <si>
    <t xml:space="preserve">RENATO AYALA </t>
  </si>
  <si>
    <t>GSX-7085</t>
  </si>
  <si>
    <t xml:space="preserve">RETIRO DE SACOS VACIOS </t>
  </si>
  <si>
    <t>INGRESO DE SACOS VACIOS NUEVOS</t>
  </si>
  <si>
    <t>12 PACAS</t>
  </si>
  <si>
    <t>MORENILLO 94% BARRIGA JUMA 6%</t>
  </si>
  <si>
    <t>B/P DON FAUSTO - B/P DIEGO ARMANDO</t>
  </si>
  <si>
    <t>23482-83</t>
  </si>
  <si>
    <t xml:space="preserve">B/P DOÑA PATTY </t>
  </si>
  <si>
    <t>GMJ-0528</t>
  </si>
  <si>
    <t>B/P DOÑA PATTY - B/P MARIA VIOLETA</t>
  </si>
  <si>
    <t>23485-84</t>
  </si>
  <si>
    <t xml:space="preserve">B/P RUBEN ANDRES </t>
  </si>
  <si>
    <t xml:space="preserve">ESCAMAS SOLIDO </t>
  </si>
  <si>
    <t>SUB.PRODUCTO DE DORADO</t>
  </si>
  <si>
    <t>1558-4088</t>
  </si>
  <si>
    <t xml:space="preserve">SUBPRODUCTO DE VISCERAS-SUBP ATUN COCIDO  </t>
  </si>
  <si>
    <t>PABLO CARRERA</t>
  </si>
  <si>
    <t>RBA-6028</t>
  </si>
  <si>
    <t>SUB.PRODUCTO DE CABALLA</t>
  </si>
  <si>
    <t>CRISTHIAN MAGALLANES</t>
  </si>
  <si>
    <t>GSA-2826</t>
  </si>
  <si>
    <t xml:space="preserve">B/P MARIA VIOLETA </t>
  </si>
  <si>
    <t>16601-16701</t>
  </si>
  <si>
    <t>PRODUCCION #60</t>
  </si>
  <si>
    <t xml:space="preserve">BOTELLA CORBATA - RONCADOR </t>
  </si>
  <si>
    <t>MORENILLO 85% BOTELLA 10% GALLINAZA 5%</t>
  </si>
  <si>
    <t>PRODUCCION PROMOPESCA</t>
  </si>
  <si>
    <t>PRODUCCION #61</t>
  </si>
  <si>
    <t xml:space="preserve">BARRIGA JUMA </t>
  </si>
  <si>
    <t xml:space="preserve">B/P HARRY </t>
  </si>
  <si>
    <t xml:space="preserve">2 1/4 BINES </t>
  </si>
  <si>
    <t xml:space="preserve">SUBPRODUCTO DE ALBACORA - SUBPRODUCTO DE ATUN </t>
  </si>
  <si>
    <t xml:space="preserve">SUBPRODUCTO DE ALBACORA - VISCERAS </t>
  </si>
  <si>
    <t xml:space="preserve">SUBPRODUCTO DE ATUN-SUBPRODUCTO DE CABALLA </t>
  </si>
  <si>
    <t xml:space="preserve">107-4093  </t>
  </si>
  <si>
    <t xml:space="preserve">B/P REGALITO DIOS I-B/P VB III       </t>
  </si>
  <si>
    <t xml:space="preserve">JAIME ALBAN  </t>
  </si>
  <si>
    <t xml:space="preserve">GDH-0717 </t>
  </si>
  <si>
    <t xml:space="preserve">VOL-4       </t>
  </si>
  <si>
    <t>23496-497</t>
  </si>
  <si>
    <t xml:space="preserve">SARDINA-CHULLO--BOTELLA     </t>
  </si>
  <si>
    <t xml:space="preserve">B/P VB III-B/P MARIA VIOLETA-B/P DON FAUSTO                                                         </t>
  </si>
  <si>
    <t xml:space="preserve">23497-98-99  </t>
  </si>
  <si>
    <t>BOTELLA-CHUHUECO</t>
  </si>
  <si>
    <t xml:space="preserve">B/P DION FAUSTO-B/P MARIA JOSE     </t>
  </si>
  <si>
    <t>23499-450</t>
  </si>
  <si>
    <t xml:space="preserve">CHUHUECO-MORENILLO     </t>
  </si>
  <si>
    <t>MORENILLO-GALLINA</t>
  </si>
  <si>
    <t>B/P DIJAYMAR IV</t>
  </si>
  <si>
    <t>SARDINA-PICUDILLO</t>
  </si>
  <si>
    <t xml:space="preserve">FAUSTO GUTIERREZ </t>
  </si>
  <si>
    <t>MBA-8987</t>
  </si>
  <si>
    <t xml:space="preserve">HERNAN MAZZINI </t>
  </si>
  <si>
    <t>MARCO QUITIO</t>
  </si>
  <si>
    <t>POLLA_BAGRE</t>
  </si>
  <si>
    <t>108-1591</t>
  </si>
  <si>
    <t>CEPROMAR/MOLPRO</t>
  </si>
  <si>
    <t>RONNY JORDAN</t>
  </si>
  <si>
    <t>BAGRE</t>
  </si>
  <si>
    <t xml:space="preserve">B/P VALENTINA-B/P PALBERT     </t>
  </si>
  <si>
    <t>PRODUCTOS QUIMICOS</t>
  </si>
  <si>
    <t xml:space="preserve">23506-507   </t>
  </si>
  <si>
    <t xml:space="preserve">MORENILLO-SARDINA    </t>
  </si>
  <si>
    <t xml:space="preserve">B/P REGALITO DE DIOS II-B/P PARDELA    </t>
  </si>
  <si>
    <t xml:space="preserve">23508-509 </t>
  </si>
  <si>
    <t xml:space="preserve">BOTELLA-POLL BAGRE-MORENILLO    </t>
  </si>
  <si>
    <t xml:space="preserve">RICHARD QUIMI       </t>
  </si>
  <si>
    <t xml:space="preserve">MARIO AVILA  </t>
  </si>
  <si>
    <t xml:space="preserve">MBA-6858 </t>
  </si>
  <si>
    <t xml:space="preserve">PARTICULAR     </t>
  </si>
  <si>
    <t xml:space="preserve">B/P PARDELA-B/P GUILLERMINA      </t>
  </si>
  <si>
    <t xml:space="preserve">23509-510      </t>
  </si>
  <si>
    <t xml:space="preserve">RESIDUOS DE LIMPIEZAS DE EQUIPOS     </t>
  </si>
  <si>
    <t>1 1/2 BINES</t>
  </si>
  <si>
    <t xml:space="preserve">B/P DON FAUSTO        </t>
  </si>
  <si>
    <t xml:space="preserve">HERNAN MAZZNI         </t>
  </si>
  <si>
    <t xml:space="preserve">FAUSTO GARCIA     </t>
  </si>
  <si>
    <t xml:space="preserve">PPZ-0957 </t>
  </si>
  <si>
    <t xml:space="preserve">B/P REGALITO DE DIOS II   </t>
  </si>
  <si>
    <t xml:space="preserve">RONCADOR - BOTELLA </t>
  </si>
  <si>
    <t>MENOS 540 KG DE PALLET PESO NETO 20080 KG</t>
  </si>
  <si>
    <t>SUBPRODUCTO DE ALBACORA - SUB MERLUZA - VISCERAS</t>
  </si>
  <si>
    <t>1560-4099</t>
  </si>
  <si>
    <t>19301-19201</t>
  </si>
  <si>
    <t>OSCAR PALADINES</t>
  </si>
  <si>
    <t>ALFONSO FRANCO</t>
  </si>
  <si>
    <t>MAA-4140</t>
  </si>
  <si>
    <t xml:space="preserve">SUBPRODUCTO DE BOTELLA </t>
  </si>
  <si>
    <t xml:space="preserve">SUBPRODUCTO DE ATUN COCIDO - SUB PINCHAGUA </t>
  </si>
  <si>
    <t>SUBPRODUCTO DE DORADO-ESCOLAR</t>
  </si>
  <si>
    <t>PRODUCCION #62</t>
  </si>
  <si>
    <t>19201-19301</t>
  </si>
  <si>
    <t xml:space="preserve">B/P PALBERT-B/P DIEGO ARMANDO-B/P DOÑA BERTHA                                     </t>
  </si>
  <si>
    <t xml:space="preserve">23515-516-517  </t>
  </si>
  <si>
    <t xml:space="preserve">SARDINA-HOJA-MORENILLO-PICUDILLO-CARA    </t>
  </si>
  <si>
    <t>MORENILLO-PICUDILLO</t>
  </si>
  <si>
    <t>MORENILLO-PICUDILLO-CARA</t>
  </si>
  <si>
    <t xml:space="preserve">BODEGA JAMBELI           </t>
  </si>
  <si>
    <t xml:space="preserve">GALO TUAZA    </t>
  </si>
  <si>
    <t xml:space="preserve">CAB-1     </t>
  </si>
  <si>
    <t xml:space="preserve">TRASLADO DE HARINA DE PESCADO   </t>
  </si>
  <si>
    <t xml:space="preserve">MBN-251       </t>
  </si>
  <si>
    <t xml:space="preserve">B/P MARIA JOSE-B/P VALENTINA     </t>
  </si>
  <si>
    <t xml:space="preserve">23519-520 </t>
  </si>
  <si>
    <t>CARRO DAÑADO NO SALE</t>
  </si>
  <si>
    <t xml:space="preserve">CARLOS CRESPIN     </t>
  </si>
  <si>
    <t xml:space="preserve">MUELLE FORTIDEX     </t>
  </si>
  <si>
    <t xml:space="preserve">JAVIER ICAZA  </t>
  </si>
  <si>
    <t xml:space="preserve">GMJ-0528   </t>
  </si>
  <si>
    <t xml:space="preserve">LODO </t>
  </si>
  <si>
    <t xml:space="preserve">EDUARDO TOMALA   </t>
  </si>
  <si>
    <t xml:space="preserve">GCD-071 </t>
  </si>
  <si>
    <t xml:space="preserve">B/P CAMPITO </t>
  </si>
  <si>
    <t>GALO TUAZA</t>
  </si>
  <si>
    <t xml:space="preserve">B/P DON FAUSTO </t>
  </si>
  <si>
    <t>RONCADOR - CHUHUECO</t>
  </si>
  <si>
    <t>ENRIQUE CHALEN</t>
  </si>
  <si>
    <t>4115-110</t>
  </si>
  <si>
    <t xml:space="preserve">MARCELO VERA YEPEZ    </t>
  </si>
  <si>
    <t xml:space="preserve">PCN-9468   </t>
  </si>
  <si>
    <t>SUBPRODUCTO DE TROMPETA</t>
  </si>
  <si>
    <t xml:space="preserve">CARLOS CHICHANDE </t>
  </si>
  <si>
    <t xml:space="preserve">RUDYGER GONZALEZ    </t>
  </si>
  <si>
    <t xml:space="preserve">GSX-3792    </t>
  </si>
  <si>
    <t>B/P SHIRLEY</t>
  </si>
  <si>
    <t xml:space="preserve">VICTOR MANCILLA  </t>
  </si>
  <si>
    <t xml:space="preserve">GSC-4185    </t>
  </si>
  <si>
    <t>B/P MARIANITA</t>
  </si>
  <si>
    <t>B/P CAMPITO-B/P DIJAYMAR III</t>
  </si>
  <si>
    <t>23530-531</t>
  </si>
  <si>
    <t>MORENILLO-HOJA-SARDINA</t>
  </si>
  <si>
    <t>9 BINES</t>
  </si>
  <si>
    <t>B/P DALMACIA</t>
  </si>
  <si>
    <t xml:space="preserve">GSH-6859  </t>
  </si>
  <si>
    <t xml:space="preserve">SUBPRODUCTO DE TROMPETA  </t>
  </si>
  <si>
    <t xml:space="preserve">DESPACHO DE HIDROLIZADO DE PESCADO   </t>
  </si>
  <si>
    <t>ESCAMA SOLIDO</t>
  </si>
  <si>
    <t xml:space="preserve">ROSENDO LINDAO          </t>
  </si>
  <si>
    <t>MENOS 1169 KG DE 20 BINES</t>
  </si>
  <si>
    <t>B/P.JOEL</t>
  </si>
  <si>
    <t>CARA-SARDINA-RNCADOR</t>
  </si>
  <si>
    <t>SARDINA-RONCADOR-CARA</t>
  </si>
  <si>
    <t>VICTO QUINDE</t>
  </si>
  <si>
    <t>B/P. DALMACIA</t>
  </si>
  <si>
    <t>JAUN  MATEO</t>
  </si>
  <si>
    <t xml:space="preserve">SUBPRODUCTO DE ALBCORA-MERLUSA-VISCERAS     </t>
  </si>
  <si>
    <t>B/P.VALENTINA</t>
  </si>
  <si>
    <t xml:space="preserve">GALLINA-TROMPETA-MORENILLO </t>
  </si>
  <si>
    <t>23601-23701</t>
  </si>
  <si>
    <t>111-4132</t>
  </si>
  <si>
    <t>JHON AVILA</t>
  </si>
  <si>
    <t>AGRIPAC</t>
  </si>
  <si>
    <t>JONATHAN CARRASCO</t>
  </si>
  <si>
    <t>GBO-4347</t>
  </si>
  <si>
    <t xml:space="preserve">SERVIRESIDUOS-MUELLE FORTIDEX  </t>
  </si>
  <si>
    <t xml:space="preserve">EDISON CHIPRE  </t>
  </si>
  <si>
    <t xml:space="preserve">GRI-2207    </t>
  </si>
  <si>
    <t>VENTA DE ACEITE FUERA DE USO MUELLE</t>
  </si>
  <si>
    <t xml:space="preserve">JAVIER FRANCO        </t>
  </si>
  <si>
    <t xml:space="preserve">PBN-5999 </t>
  </si>
  <si>
    <t xml:space="preserve">DESECHOS SOLIDO  </t>
  </si>
  <si>
    <t xml:space="preserve">SACOPLAST   </t>
  </si>
  <si>
    <t xml:space="preserve">RENATO AYALA    </t>
  </si>
  <si>
    <t xml:space="preserve">GSX-7085  </t>
  </si>
  <si>
    <t xml:space="preserve">SACOS PLASTICOS      </t>
  </si>
  <si>
    <t xml:space="preserve">2 BINES DE CHATARRAS-1 BIN DE CABOS Y CABLES MALLAS USADAS                                                                                                                                                                                                </t>
  </si>
  <si>
    <t xml:space="preserve">SERVIRESIDUOS  </t>
  </si>
  <si>
    <t xml:space="preserve">VENTA DE ACEITE FUERA DE USO    </t>
  </si>
  <si>
    <t xml:space="preserve">B/P SAN JORGE-B/P MARIA JOSE   </t>
  </si>
  <si>
    <t>23538-539</t>
  </si>
  <si>
    <t xml:space="preserve">SARDINA-HOJA-B JUMA-MORENILLO </t>
  </si>
  <si>
    <t xml:space="preserve">B/P MARIA JOSE-B/P DIEGO ARMANDO </t>
  </si>
  <si>
    <t xml:space="preserve">23539-540  </t>
  </si>
  <si>
    <t xml:space="preserve">B/P DIEGO ARMANDO </t>
  </si>
  <si>
    <t xml:space="preserve">REYSAC       </t>
  </si>
  <si>
    <t xml:space="preserve">ROOSVELT ALVARADO  </t>
  </si>
  <si>
    <t>B/P ANTONELLA</t>
  </si>
  <si>
    <t xml:space="preserve">B/P JOEL-B/P MARIANITA            </t>
  </si>
  <si>
    <t>23543-544</t>
  </si>
  <si>
    <t xml:space="preserve">23601-701   </t>
  </si>
  <si>
    <t>PRODUCCION #63</t>
  </si>
  <si>
    <t xml:space="preserve">DESPACHO DE HARINA DE PESCADO </t>
  </si>
  <si>
    <t xml:space="preserve">B/P MARIANITA       </t>
  </si>
  <si>
    <t xml:space="preserve">RAFAEL HERRERA   </t>
  </si>
  <si>
    <t xml:space="preserve">TAM-0681 </t>
  </si>
  <si>
    <t>SE ENVIA 3 BINES VACIOS AL PROVEEDOR TOTAL 5 BINES</t>
  </si>
  <si>
    <t xml:space="preserve">B/P HARRY - B/P ALZOMAR </t>
  </si>
  <si>
    <t>23545-46</t>
  </si>
  <si>
    <t xml:space="preserve">INGRESO DE 34 IBC VACIOS </t>
  </si>
  <si>
    <t xml:space="preserve">SUBPRODUCTO DE ALBCORA-SUB.MERLUSA-VISCERAS </t>
  </si>
  <si>
    <t>DOCAPES S.A</t>
  </si>
  <si>
    <t xml:space="preserve">SUB.PRODUCTO DE MERLUSA       </t>
  </si>
  <si>
    <t>112-213</t>
  </si>
  <si>
    <t>MENOS 1980 KG DE PALLET PESO NETO 35090 KG</t>
  </si>
  <si>
    <t>XIAMEN SEASHINE CEREALS DEVELOPMENT CO., LTD</t>
  </si>
  <si>
    <t xml:space="preserve">WILSON SIMBA   </t>
  </si>
  <si>
    <t xml:space="preserve">GBN-7649   </t>
  </si>
  <si>
    <t xml:space="preserve">JOSE APO   </t>
  </si>
  <si>
    <t xml:space="preserve">GRY-4489   </t>
  </si>
  <si>
    <t xml:space="preserve">MIGUEL UNDA       </t>
  </si>
  <si>
    <t xml:space="preserve">GBN-7210 </t>
  </si>
  <si>
    <t xml:space="preserve">CARLOS MUÑIZ   </t>
  </si>
  <si>
    <t xml:space="preserve">GRY-1556    </t>
  </si>
  <si>
    <t>CHUHUECO-POLLA</t>
  </si>
  <si>
    <t xml:space="preserve">ANGEL MORA    </t>
  </si>
  <si>
    <t xml:space="preserve">ALFONSO MORA     </t>
  </si>
  <si>
    <t xml:space="preserve">B/P DIEGO ARMANDO-B/P RUBEN ANDRES                                                                  </t>
  </si>
  <si>
    <t>23549-550</t>
  </si>
  <si>
    <t xml:space="preserve">B/P RUBEN ANDRES                     </t>
  </si>
  <si>
    <t xml:space="preserve">B/P ISABELLA - B/P MARIANITA </t>
  </si>
  <si>
    <t>23548-51</t>
  </si>
  <si>
    <t xml:space="preserve">B/P ISABELLA </t>
  </si>
  <si>
    <t>13.5 BINES</t>
  </si>
  <si>
    <t xml:space="preserve">JOSELYN BRAVO BRAVO </t>
  </si>
  <si>
    <t xml:space="preserve">FERNANDO ROJAS </t>
  </si>
  <si>
    <t xml:space="preserve">INGRESO DE 10 IBC VACIOS </t>
  </si>
  <si>
    <t xml:space="preserve">GALLINA  </t>
  </si>
  <si>
    <t xml:space="preserve">B/P ALZOMAR </t>
  </si>
  <si>
    <t xml:space="preserve">SUBPRODUCTO DE TILAPIA </t>
  </si>
  <si>
    <t>PARICULAR</t>
  </si>
  <si>
    <t xml:space="preserve"> 23:08</t>
  </si>
  <si>
    <t xml:space="preserve">SARDINA </t>
  </si>
  <si>
    <t>JUAN MATEO</t>
  </si>
  <si>
    <t>28101-28201</t>
  </si>
  <si>
    <t xml:space="preserve">B/P ALZOMAR - B/P DIYAIMAR IV - B/P JOEL </t>
  </si>
  <si>
    <t>23554-23555-23556</t>
  </si>
  <si>
    <t>HOJA - CARA</t>
  </si>
  <si>
    <t>CEPROMAR - FRIGOLANDIA - CEPROFISH</t>
  </si>
  <si>
    <t>CAM--8</t>
  </si>
  <si>
    <t>113-1561-4161</t>
  </si>
  <si>
    <t>SUB PRODUCTO DE DORADO - VISCERAS</t>
  </si>
  <si>
    <t xml:space="preserve">XIAMEN SEASHINE CEREALS DEVELOPMENT CO.,LTD                                                         </t>
  </si>
  <si>
    <t xml:space="preserve">EDUARDO DUARTE      </t>
  </si>
  <si>
    <t xml:space="preserve">PTD-0746  </t>
  </si>
  <si>
    <t xml:space="preserve">ALEXIS BASANTE  </t>
  </si>
  <si>
    <t xml:space="preserve">RAB-4510  </t>
  </si>
  <si>
    <t xml:space="preserve">JOSE APO     </t>
  </si>
  <si>
    <t xml:space="preserve">B/P MARIANITA-B/P PALBERT       </t>
  </si>
  <si>
    <t>23559-560</t>
  </si>
  <si>
    <t>BOTELLA-MORENILLO</t>
  </si>
  <si>
    <t xml:space="preserve">B/P PALBERT-B/P GUILLERMINA    </t>
  </si>
  <si>
    <t>23560-561</t>
  </si>
  <si>
    <t>28101-202</t>
  </si>
  <si>
    <t>PRODUCCION #64</t>
  </si>
  <si>
    <t xml:space="preserve">B/P GUILLERMINA-B/P ALBERTO 2      </t>
  </si>
  <si>
    <t xml:space="preserve">23561-562  </t>
  </si>
  <si>
    <t>11 BINES</t>
  </si>
  <si>
    <t xml:space="preserve">B/P ALBERTO 2-B/P ANTONELLA-B/P VALENTINA                                             </t>
  </si>
  <si>
    <t xml:space="preserve">23562-63-64     </t>
  </si>
  <si>
    <t xml:space="preserve">BOTELLLA-CHULLO-HOJA-MORENILLO    </t>
  </si>
  <si>
    <t>SARDINA-HOJA</t>
  </si>
  <si>
    <t>MORENILLO-ÑATA</t>
  </si>
  <si>
    <t xml:space="preserve">B/P VALENTINA-B/P MARIA VIOLETA     </t>
  </si>
  <si>
    <t xml:space="preserve">23564-565 </t>
  </si>
  <si>
    <t>MORENILLO-HOJA-CARA</t>
  </si>
  <si>
    <t xml:space="preserve">TANQUERO      </t>
  </si>
  <si>
    <t>PALLET VACIOS</t>
  </si>
  <si>
    <t>B/P MARIA BELEN</t>
  </si>
  <si>
    <t>CHUHUECO - CARA</t>
  </si>
  <si>
    <t>B/P JOSELYN</t>
  </si>
  <si>
    <t>SUB PRODUCTO DE ALBACORA - SUB PRODUCTO DE ATUN - VISCERAS</t>
  </si>
  <si>
    <t xml:space="preserve">SUBP DE ALBACORA- SUBP DE ATUN - SUBP DE DORADO - VISCERAS </t>
  </si>
  <si>
    <t xml:space="preserve">LADY SOLIS </t>
  </si>
  <si>
    <t>214-114</t>
  </si>
  <si>
    <t xml:space="preserve">B/P GUILLERMINA - B/P MARIA JOSE </t>
  </si>
  <si>
    <t>23571-72</t>
  </si>
  <si>
    <t xml:space="preserve">GALLINA - BOTELLA </t>
  </si>
  <si>
    <t xml:space="preserve">BOTELLA GALLINA </t>
  </si>
  <si>
    <t>B/P VALENTINA - B/P DON FAUSTO III</t>
  </si>
  <si>
    <t xml:space="preserve">INGRESO PALLET VACIOS </t>
  </si>
  <si>
    <t>B/P DON FAUSTO III</t>
  </si>
  <si>
    <t>23575-76</t>
  </si>
  <si>
    <t>B/P CAMPITO 1</t>
  </si>
  <si>
    <t xml:space="preserve">B/P CAMPITO 1 - B/P DOÑA BERTHA </t>
  </si>
  <si>
    <t>23576-77</t>
  </si>
  <si>
    <t>GALLINA - MORENILLO</t>
  </si>
  <si>
    <t>SUBPRODUCTO DE ALBACORA - SUB ATUN COCIDO - VISCERAS</t>
  </si>
  <si>
    <t>B/P JOEL</t>
  </si>
  <si>
    <t xml:space="preserve">SUBPRODUCTO DE CORTE DE BOTELLA </t>
  </si>
  <si>
    <t>05;28</t>
  </si>
  <si>
    <t>MIRELLA SORIANO PLUAS</t>
  </si>
  <si>
    <t xml:space="preserve">B/P MARIANITA </t>
  </si>
  <si>
    <t>B/P REGALITO DE DIOS III</t>
  </si>
  <si>
    <t>GALLINA 93% BOTELLA 7%</t>
  </si>
  <si>
    <t>INGRESO DE CHATARRA - PALLET MALLAS USADAS</t>
  </si>
  <si>
    <t>GALLINA 86% BOTELLA 14%</t>
  </si>
  <si>
    <t>JOSE LASER</t>
  </si>
  <si>
    <t>PNK-319</t>
  </si>
  <si>
    <t>FAUSTO GARCIA</t>
  </si>
  <si>
    <t>HUMBERTO CUERO</t>
  </si>
  <si>
    <t xml:space="preserve">MORENILLO BOTELLA GALLINA </t>
  </si>
  <si>
    <t xml:space="preserve">HARINA MOJADA DE TECHO </t>
  </si>
  <si>
    <t>RICHARD QUIMI</t>
  </si>
  <si>
    <t xml:space="preserve">B/P PARDELA - B/P ISABELLA </t>
  </si>
  <si>
    <t>23584-83</t>
  </si>
  <si>
    <t>HARINA LIMPIEZA DE TECHO , SECADOR ROTATUBO</t>
  </si>
  <si>
    <t>DESPACHO DE HIDROLIZADO DE PESCADO</t>
  </si>
  <si>
    <t>FERNANDO CASTRO</t>
  </si>
  <si>
    <t>GALLINA 80% BOTELLA 20%</t>
  </si>
  <si>
    <t>MENOS 1162 KG DE 20 BINES</t>
  </si>
  <si>
    <t xml:space="preserve">HERNAN MAZZINI      </t>
  </si>
  <si>
    <t xml:space="preserve">HERNAN YAGUAL   </t>
  </si>
  <si>
    <t xml:space="preserve">GOC-0290   </t>
  </si>
  <si>
    <t xml:space="preserve">JUAN DELGADO         </t>
  </si>
  <si>
    <t xml:space="preserve">VICTOR SILVA </t>
  </si>
  <si>
    <t xml:space="preserve">HERNAN MAZZINI    </t>
  </si>
  <si>
    <t xml:space="preserve">ROSENDO LINDAO     </t>
  </si>
  <si>
    <t xml:space="preserve">GFE-385       </t>
  </si>
  <si>
    <t xml:space="preserve">PAULINA PALADINES      </t>
  </si>
  <si>
    <t>30901-31001</t>
  </si>
  <si>
    <t xml:space="preserve">GCD-071  </t>
  </si>
  <si>
    <t>SUBPRODUCTO DE ATUN COCIDO -SUBP DE CABALLA</t>
  </si>
  <si>
    <t>PRODUCCION #65</t>
  </si>
  <si>
    <t xml:space="preserve">GERARDO GUEVARA </t>
  </si>
  <si>
    <t>XAI-0392</t>
  </si>
  <si>
    <t xml:space="preserve">B/P CAMILA B/P MARIANITA </t>
  </si>
  <si>
    <t>23590-89</t>
  </si>
  <si>
    <t>VENTA DE REDES USADAS</t>
  </si>
  <si>
    <t>FREDDY GARCIA</t>
  </si>
  <si>
    <t>GUATAQUIL - IPAC</t>
  </si>
  <si>
    <t xml:space="preserve">INGRESO DE MATERIAL PLAT LAM 2X 1/2 </t>
  </si>
  <si>
    <t>3 PLAT</t>
  </si>
  <si>
    <t>14 BINES</t>
  </si>
  <si>
    <t>MORENILLO 95% GALLINA 5%</t>
  </si>
  <si>
    <t>INGRESO DE 4 BINES ACIDNOVA</t>
  </si>
  <si>
    <t xml:space="preserve">VICENTE REQUENA </t>
  </si>
  <si>
    <t>GISIS-SKRETTING</t>
  </si>
  <si>
    <t xml:space="preserve">MARIANA QUIJIJE - ALBERTO HIDALGO </t>
  </si>
  <si>
    <t>OSCAR HERNANDEZ</t>
  </si>
  <si>
    <t>OAA-4338</t>
  </si>
  <si>
    <t>MENOS 1161 KG DE 20 BINES</t>
  </si>
  <si>
    <t>1562-115</t>
  </si>
  <si>
    <t>CAB_11</t>
  </si>
  <si>
    <t xml:space="preserve">ALIMENTSA S.A </t>
  </si>
  <si>
    <t>SUBPRODUCTO DE MERLUZA-MORENILLLO</t>
  </si>
  <si>
    <t>BAGRE-SARDINA</t>
  </si>
  <si>
    <t xml:space="preserve">DARWIN CAMACHO         </t>
  </si>
  <si>
    <t xml:space="preserve">ABA-5483   </t>
  </si>
  <si>
    <t xml:space="preserve">VENTAS DE SACOS FUERA DE USO   </t>
  </si>
  <si>
    <t xml:space="preserve">GALLINA-MORENILLO   </t>
  </si>
  <si>
    <t xml:space="preserve">B/P DOÑA BERTHA-B/P SHIRLEY     </t>
  </si>
  <si>
    <t>23597-598</t>
  </si>
  <si>
    <t>B/P PALBET</t>
  </si>
  <si>
    <t xml:space="preserve">B/P PALBERT-B/P REGALITO DE DIOS I   </t>
  </si>
  <si>
    <t xml:space="preserve">23599-23600  </t>
  </si>
  <si>
    <t>B/P DOÑA LETI</t>
  </si>
  <si>
    <t xml:space="preserve">IMPROSA        </t>
  </si>
  <si>
    <t xml:space="preserve">KLEVER PITA    </t>
  </si>
  <si>
    <t xml:space="preserve">GKT-0925 </t>
  </si>
  <si>
    <t xml:space="preserve">B/P CAMPITO II     </t>
  </si>
  <si>
    <t xml:space="preserve">GEOVANNY VERA     </t>
  </si>
  <si>
    <t>MCJ-201</t>
  </si>
  <si>
    <t>VAMATLAB</t>
  </si>
  <si>
    <t>EDGARDO MORA</t>
  </si>
  <si>
    <t>GTG-6005</t>
  </si>
  <si>
    <t>DESTILADOR DE KENDALK</t>
  </si>
  <si>
    <t xml:space="preserve">GISIS  </t>
  </si>
  <si>
    <t xml:space="preserve">TAURA FORTIDEX          </t>
  </si>
  <si>
    <t xml:space="preserve">LUIS MENDIETA      </t>
  </si>
  <si>
    <t xml:space="preserve">LCH-0153  </t>
  </si>
  <si>
    <t xml:space="preserve">INGRESO DE HARINA DE CAMARON  </t>
  </si>
  <si>
    <t xml:space="preserve">ALBERTO SUAREZ     </t>
  </si>
  <si>
    <t xml:space="preserve">VICENTE REQUENA    </t>
  </si>
  <si>
    <t>MORENILLO - GALLINA</t>
  </si>
  <si>
    <t>LADY SOLIS</t>
  </si>
  <si>
    <t>SUB PRODUCTO DE ATUN COCIDO  - VISCERAS AGALLAS</t>
  </si>
  <si>
    <t>35501-35601</t>
  </si>
  <si>
    <t>CEPROFISH - CEPROMAR - MOLPRO</t>
  </si>
  <si>
    <t>4213-114-116-1605</t>
  </si>
  <si>
    <t>SOLORCAMP - MANTARO</t>
  </si>
  <si>
    <t>GINO ZAMBRANO</t>
  </si>
  <si>
    <t xml:space="preserve">HOJA SARDINA CARA </t>
  </si>
  <si>
    <t>ELOY AVEIGA</t>
  </si>
  <si>
    <t>CARLOS QUILLUPANQUI</t>
  </si>
  <si>
    <t>PUK-0256</t>
  </si>
  <si>
    <t xml:space="preserve">DESALOJO DE CHATARRA </t>
  </si>
  <si>
    <t xml:space="preserve">INGRESO 20 BINES VACIOS </t>
  </si>
  <si>
    <t>B/P MARIA JOSE - B/P PALBERT</t>
  </si>
  <si>
    <t>23606-07</t>
  </si>
  <si>
    <t xml:space="preserve">B/P PALBERT </t>
  </si>
  <si>
    <t>PRODUCCION #66</t>
  </si>
  <si>
    <t>FABIAN OLAYA</t>
  </si>
  <si>
    <t xml:space="preserve">B/P VALENTINA    </t>
  </si>
  <si>
    <t>JUNIOR LINDAO</t>
  </si>
  <si>
    <t xml:space="preserve">GEOVANNY VERA        </t>
  </si>
  <si>
    <t>10 1/2 BINES</t>
  </si>
  <si>
    <t xml:space="preserve">HERNAN MAZZINI     </t>
  </si>
  <si>
    <t xml:space="preserve">FAUSTO GARCIA  </t>
  </si>
  <si>
    <t xml:space="preserve">MBN-251   </t>
  </si>
  <si>
    <t>GKF-208</t>
  </si>
  <si>
    <t xml:space="preserve">KEVIN GARCIA     </t>
  </si>
  <si>
    <t>PPZ-0957</t>
  </si>
  <si>
    <t>B/P.DIJAYMAR IV</t>
  </si>
  <si>
    <t xml:space="preserve">HILARIO TOMALA </t>
  </si>
  <si>
    <t>TBR-235</t>
  </si>
  <si>
    <t>B/P.AMYLU</t>
  </si>
  <si>
    <t xml:space="preserve">DESPERDICIO DE ATUN COCINADO    </t>
  </si>
  <si>
    <t>HERNAN TOVAR</t>
  </si>
  <si>
    <t>GRV-0662</t>
  </si>
  <si>
    <t>JULIO AYALA</t>
  </si>
  <si>
    <t>IAK-801</t>
  </si>
  <si>
    <t>CHINA NATIONAL TOWNSHIP ENTERPRISES CO.,. LTD - JAMBELI</t>
  </si>
  <si>
    <t>35338-387</t>
  </si>
  <si>
    <t>INGRESO DE SACOS VACIOS NUEVOS 6000 ENTREGADOS - 1972 SACOS NUEVOS POR FACTURAR</t>
  </si>
  <si>
    <t xml:space="preserve">B/P REGALITO DE DIOS III - B/P RUBEN ANDRES </t>
  </si>
  <si>
    <t>23618-19</t>
  </si>
  <si>
    <t>LEONARDO LOZANO</t>
  </si>
  <si>
    <t>GJV-0906</t>
  </si>
  <si>
    <t>24 BINES</t>
  </si>
  <si>
    <t xml:space="preserve">ANGEL MORA     </t>
  </si>
  <si>
    <t xml:space="preserve">JUAN ARREAGA      </t>
  </si>
  <si>
    <t xml:space="preserve">GGV-0531   </t>
  </si>
  <si>
    <t xml:space="preserve">NEY PINARGOTE     </t>
  </si>
  <si>
    <t xml:space="preserve">GND-0866  </t>
  </si>
  <si>
    <t xml:space="preserve">LUIS MENDIETA  </t>
  </si>
  <si>
    <t>LCH-0153</t>
  </si>
  <si>
    <t xml:space="preserve">SUB PRODUCTO DE ALBACORA  </t>
  </si>
  <si>
    <t>SUB PRODUCTO DE ATUN COCIDO - VISCERAS AGALLAS</t>
  </si>
  <si>
    <t>40301-40401</t>
  </si>
  <si>
    <t>FRIGOLANDIA - MOLPRO- CEPROMAR</t>
  </si>
  <si>
    <t>1564-1616-1617-117</t>
  </si>
  <si>
    <t>SUBP DE DORADO - SUBP DE MERLUZA - SUBP DE SELEMBA -SUBP DE ESCOLAR - VISCERAS</t>
  </si>
  <si>
    <t xml:space="preserve">XIAMEN XIANGYU AGRICULTURAL PRODUCTS CO.,.LTD                                                       </t>
  </si>
  <si>
    <t>MEDARDO SAA</t>
  </si>
  <si>
    <t>GRY-7961</t>
  </si>
  <si>
    <t xml:space="preserve">NESTOR VACA </t>
  </si>
  <si>
    <t>GBN-7391</t>
  </si>
  <si>
    <t>ALEXIS BASANTES</t>
  </si>
  <si>
    <t xml:space="preserve">WALTER GUEVARA </t>
  </si>
  <si>
    <t>SHYE YIH FEEDING CO.,.LTD</t>
  </si>
  <si>
    <t>MORENILLO 70% GALLINA 25% GALLINAZA 5%</t>
  </si>
  <si>
    <t>B/P RUBEN ANDRES - B/P PALBERT</t>
  </si>
  <si>
    <t>23627-28</t>
  </si>
  <si>
    <t>MORENILLO 96% GALLINA 4%</t>
  </si>
  <si>
    <t>PRODUCCION #67</t>
  </si>
  <si>
    <t>B/P JOSELIN</t>
  </si>
  <si>
    <t>SUBPRODUCTO DE ALBACORA-ATUN</t>
  </si>
  <si>
    <t xml:space="preserve">B/P DANIELA ALEJANDRA-B/P PARDELA     </t>
  </si>
  <si>
    <t>23633-634</t>
  </si>
  <si>
    <t xml:space="preserve">ALBERTO HIDALGO           </t>
  </si>
  <si>
    <t xml:space="preserve">JOSE HERRERA      </t>
  </si>
  <si>
    <t xml:space="preserve">GSL-7587 </t>
  </si>
  <si>
    <t>GALLINA-MORENILLO-PICUDILLO</t>
  </si>
  <si>
    <t xml:space="preserve">B/P MARIA JOSE-B/P VALENTINA    </t>
  </si>
  <si>
    <t>MORENILLO-PICUDILLO-GALLINA</t>
  </si>
  <si>
    <t>GALLINA-MORENILLO</t>
  </si>
  <si>
    <t>23639-636</t>
  </si>
  <si>
    <t>CEPROFISH - MOLPRO- CEPROMAR</t>
  </si>
  <si>
    <t xml:space="preserve">FERNANDO CASTRO </t>
  </si>
  <si>
    <t>POLLA - HOJA</t>
  </si>
  <si>
    <t xml:space="preserve">SUB PRODUCTO DE ALBACORA </t>
  </si>
  <si>
    <t>B/P GEPSA</t>
  </si>
  <si>
    <t>GALLINA-LISA</t>
  </si>
  <si>
    <t xml:space="preserve">PLATAFORMA  </t>
  </si>
  <si>
    <t>MALLAS USADA</t>
  </si>
  <si>
    <t xml:space="preserve">JOSE LEON       </t>
  </si>
  <si>
    <t xml:space="preserve">B/P REGALITO DE DIOS I   </t>
  </si>
  <si>
    <t xml:space="preserve">GONZAPESCA  </t>
  </si>
  <si>
    <t xml:space="preserve">B/P GEPSA-B/P CAMPITO      </t>
  </si>
  <si>
    <t xml:space="preserve">23644-646    </t>
  </si>
  <si>
    <t xml:space="preserve">GALLINA-MORENILLO  </t>
  </si>
  <si>
    <t xml:space="preserve">SUBPODUCTO DE ATUN COCIDO-CRUDO  </t>
  </si>
  <si>
    <t>SUBPODUCTO DE ATUN COCIDO</t>
  </si>
  <si>
    <t>MANUEL YAGUAL</t>
  </si>
  <si>
    <t>HBD-995</t>
  </si>
  <si>
    <t>ALEJANDRO BAZAN</t>
  </si>
  <si>
    <t>IBF-710</t>
  </si>
  <si>
    <t>CARLOS YAGUAL</t>
  </si>
  <si>
    <t>GDF-301</t>
  </si>
  <si>
    <t>SUBPRODUCTO DE ALBACORA SUB MERLUZA - SUB DORADO VISCERAS</t>
  </si>
  <si>
    <t>43101-43001</t>
  </si>
  <si>
    <t>SUBPRODUCTO DE ATUN CODIDO - VISCERAS</t>
  </si>
  <si>
    <t>CEPROMAR - FRIGOLANDIA</t>
  </si>
  <si>
    <t>1565-118</t>
  </si>
  <si>
    <t xml:space="preserve">DESPERDICIO DE ATUN COCIDO </t>
  </si>
  <si>
    <t xml:space="preserve">PLAYAS </t>
  </si>
  <si>
    <t>HUMBERTO MATAMOROS</t>
  </si>
  <si>
    <t>GBN-1231</t>
  </si>
  <si>
    <t xml:space="preserve">ARENA </t>
  </si>
  <si>
    <t>XIAMEN SEASHINE CEREALS DEVELOPMENT CO., LTD - JAMBELI</t>
  </si>
  <si>
    <t xml:space="preserve">ERICK ONOFRE      </t>
  </si>
  <si>
    <t xml:space="preserve">TAV-767 </t>
  </si>
  <si>
    <t xml:space="preserve">MEDARDO SAA    </t>
  </si>
  <si>
    <t xml:space="preserve">GRY-7961     </t>
  </si>
  <si>
    <t xml:space="preserve">ALEXIS BASANTE        </t>
  </si>
  <si>
    <t xml:space="preserve">RAB-4510 </t>
  </si>
  <si>
    <t xml:space="preserve">NESTOR VACA      </t>
  </si>
  <si>
    <t xml:space="preserve">GBN-7391  </t>
  </si>
  <si>
    <t>VOLADORA-GALLINA</t>
  </si>
  <si>
    <t xml:space="preserve">CARLOS MUÑIZ     </t>
  </si>
  <si>
    <t>GRY-1556</t>
  </si>
  <si>
    <t xml:space="preserve">B/P PALBERT-B/P RUBEN ANDRES </t>
  </si>
  <si>
    <t>23651-652</t>
  </si>
  <si>
    <t xml:space="preserve">NEY PINARGOTE  </t>
  </si>
  <si>
    <t xml:space="preserve">JUAN ARREAGA   </t>
  </si>
  <si>
    <t xml:space="preserve">GGV-0531  </t>
  </si>
  <si>
    <t xml:space="preserve">JOSELYN BRAVO BRAVO     </t>
  </si>
  <si>
    <t xml:space="preserve">ROSENDO FLORES        </t>
  </si>
  <si>
    <t xml:space="preserve">JBC-180 </t>
  </si>
  <si>
    <t>BINES VACIOS IBC</t>
  </si>
  <si>
    <t xml:space="preserve">ANGEL MORA                                                  </t>
  </si>
  <si>
    <t xml:space="preserve">GIP-0950  </t>
  </si>
  <si>
    <t xml:space="preserve">VICTOR MANCILLA    </t>
  </si>
  <si>
    <t xml:space="preserve">GSC-4185  </t>
  </si>
  <si>
    <t xml:space="preserve">GOC-0290 </t>
  </si>
  <si>
    <t xml:space="preserve">JAIME VERA </t>
  </si>
  <si>
    <t xml:space="preserve">JBA-0368 </t>
  </si>
  <si>
    <t xml:space="preserve">DESPACHO DE HIDROLIZADO DE PESCADO       </t>
  </si>
  <si>
    <t>4250-4213</t>
  </si>
  <si>
    <t>B/P DOÑA LETTY</t>
  </si>
  <si>
    <t>GALLINA-PICUDILLO</t>
  </si>
  <si>
    <t>16 BINES</t>
  </si>
  <si>
    <t xml:space="preserve">FERNANDO CASTRO   </t>
  </si>
  <si>
    <t>GDR-820</t>
  </si>
  <si>
    <t xml:space="preserve">CAB-10  </t>
  </si>
  <si>
    <t xml:space="preserve">SUB DE DORADO -SUB DE MERLUZA -SUB DE ALBACORA- VISCERAS </t>
  </si>
  <si>
    <t>FUZHOU MING CAI TRADE CO., LTD.</t>
  </si>
  <si>
    <t xml:space="preserve">JORGE LANDIVAR         </t>
  </si>
  <si>
    <t>GRY-1258</t>
  </si>
  <si>
    <t xml:space="preserve">SERGIO PINOS  </t>
  </si>
  <si>
    <t xml:space="preserve">EBH-0936 </t>
  </si>
  <si>
    <t xml:space="preserve">ANGEL ARREAGA     </t>
  </si>
  <si>
    <t>XAF-0673</t>
  </si>
  <si>
    <t xml:space="preserve">B/P PARDELA-B/P MARIA JOSE   </t>
  </si>
  <si>
    <t xml:space="preserve">23660-661  </t>
  </si>
  <si>
    <t xml:space="preserve">MORENILLO-B JUMA-GALLINA   </t>
  </si>
  <si>
    <t xml:space="preserve">HERNAN MAZZINI          </t>
  </si>
  <si>
    <t xml:space="preserve">FAUSTO GARCIA    </t>
  </si>
  <si>
    <t xml:space="preserve">MBN-251 </t>
  </si>
  <si>
    <t xml:space="preserve">MANUEL BARRE   </t>
  </si>
  <si>
    <t xml:space="preserve">GSS-3794  </t>
  </si>
  <si>
    <t xml:space="preserve">HERNAN YAGUAL </t>
  </si>
  <si>
    <t xml:space="preserve">CEPROFISH       </t>
  </si>
  <si>
    <t xml:space="preserve">JAVIER REALPE                                               </t>
  </si>
  <si>
    <t xml:space="preserve">B/P VIRGEN DE FATIMA-B/P CAMPITO       </t>
  </si>
  <si>
    <t xml:space="preserve">23663-664  </t>
  </si>
  <si>
    <t>GEJ-189</t>
  </si>
  <si>
    <t>CALOS CRESPIN</t>
  </si>
  <si>
    <t>TBR--235</t>
  </si>
  <si>
    <t>MORENILLO PEQUEÑO</t>
  </si>
  <si>
    <t>HERNAN YAGUAL</t>
  </si>
  <si>
    <t>GOC-0290</t>
  </si>
  <si>
    <t>B/P REGALITO DE DIOS II</t>
  </si>
  <si>
    <t>SUBP DE ALBACORA - SUBP DORADO - VICERAS</t>
  </si>
  <si>
    <t xml:space="preserve">CEPROFISH - CEPROMAR   </t>
  </si>
  <si>
    <t>4294-120</t>
  </si>
  <si>
    <t>SUB PODUCTO DE DORADO</t>
  </si>
  <si>
    <t>7601-7501</t>
  </si>
  <si>
    <t>VISCERAS AGALLAS</t>
  </si>
  <si>
    <t>GLE-0705</t>
  </si>
  <si>
    <t>CAM-2</t>
  </si>
  <si>
    <t>GSL-8732</t>
  </si>
  <si>
    <t>70 CANECAS DES K 100</t>
  </si>
  <si>
    <t>PRODUCCION #68</t>
  </si>
  <si>
    <t>MENOS 1147 KG DE 20 BINES</t>
  </si>
  <si>
    <t xml:space="preserve">ACEITE </t>
  </si>
  <si>
    <t>MAA_3454</t>
  </si>
  <si>
    <t xml:space="preserve">ROSENDO LINDAO </t>
  </si>
  <si>
    <t xml:space="preserve">PATRICIO VERA </t>
  </si>
  <si>
    <t>PAARTICULAR</t>
  </si>
  <si>
    <t>SUBPRODUCTO DE ALBACORA-SUB.MERLUZA-VICERAS</t>
  </si>
  <si>
    <t>SUBPRODUCTO DE CABALLA</t>
  </si>
  <si>
    <t xml:space="preserve">PALLET DE MALLAS 1-1 BIN  DE CHATARRA                                                                                                                                                                                                                     </t>
  </si>
  <si>
    <t>JEISON BAILON</t>
  </si>
  <si>
    <t xml:space="preserve">GEOVANNY VERA </t>
  </si>
  <si>
    <t>SUBPRODUCTO DE ALBACORA SUB.MERLUZA SUB TROMPETA VICERAS</t>
  </si>
  <si>
    <t xml:space="preserve">SOLORCAMP </t>
  </si>
  <si>
    <t>JOSE LUIS MACIAS</t>
  </si>
  <si>
    <t>52301-522201</t>
  </si>
  <si>
    <t>CEPROFISH - MOLPO - CEPROMAR</t>
  </si>
  <si>
    <t>4314-1630-121</t>
  </si>
  <si>
    <t>SUB PODUCTO DE ATUN COCIDO</t>
  </si>
  <si>
    <t>52201-52301</t>
  </si>
  <si>
    <t>PRODUCCION #69</t>
  </si>
  <si>
    <t>PALLETS VACIOS</t>
  </si>
  <si>
    <t>SUBPODUCTO DE ATUN COCIDO - CRUDO</t>
  </si>
  <si>
    <t>GJL-850</t>
  </si>
  <si>
    <t xml:space="preserve">MENOS 1154 KG DE 20 BINES </t>
  </si>
  <si>
    <t xml:space="preserve">SUBPODUCTO DE ATUN COCIDO </t>
  </si>
  <si>
    <t>MENOS 1156 KG DE 20 BINES</t>
  </si>
  <si>
    <t xml:space="preserve">HERNAN MAZZINI   </t>
  </si>
  <si>
    <t xml:space="preserve">SUBPRODUCTO DE MERLUZA     </t>
  </si>
  <si>
    <t xml:space="preserve">VICTOR SILVA   </t>
  </si>
  <si>
    <t xml:space="preserve">MAA-5328  </t>
  </si>
  <si>
    <t xml:space="preserve">MBN-251     </t>
  </si>
  <si>
    <t xml:space="preserve">55301-55401    </t>
  </si>
  <si>
    <t xml:space="preserve">SUBPRODUCTO DE ATUN COCIDO-VISCERAS </t>
  </si>
  <si>
    <t xml:space="preserve">RAMON BECERRA   </t>
  </si>
  <si>
    <t xml:space="preserve">GPK-209 </t>
  </si>
  <si>
    <t xml:space="preserve">CEPROMAR-CEPROFISH-FRIGOLANDIA-MOLPRO                                                               </t>
  </si>
  <si>
    <t xml:space="preserve">122-4337-1566-1634            </t>
  </si>
  <si>
    <t xml:space="preserve">SUBPRODUCTO DE ATUN COCIDO   </t>
  </si>
  <si>
    <t xml:space="preserve">XIAMEN SEASHINE CEREALS DEVELOPMENT CO., LTD - JAMBELI </t>
  </si>
  <si>
    <t>RAB-4510</t>
  </si>
  <si>
    <t>MATERIAL RELLENO</t>
  </si>
  <si>
    <t>AL FRENTE DE LA PLANTA</t>
  </si>
  <si>
    <t xml:space="preserve">OSWALDO VERA </t>
  </si>
  <si>
    <t>ALEXANDER PANCHANA LIBERTAD</t>
  </si>
  <si>
    <t>GESTION EXTERNO</t>
  </si>
  <si>
    <t>VENTAS DE REDES FUERA DE USO</t>
  </si>
  <si>
    <t xml:space="preserve">INGRESO DE IBC VACIOS </t>
  </si>
  <si>
    <t>26500 CERRADO LE SACARON 3 SACOS</t>
  </si>
  <si>
    <t>SUB PRODUCTO DE ALBACORA - SUBPRODUCTO DE MERLUZA - VISCERAS</t>
  </si>
  <si>
    <t>SUB PODUCTO DE ATUN CRUDO Y COCIDO</t>
  </si>
  <si>
    <t>SUBPRODUCTO DE ATUN COCIDO-CRUDO</t>
  </si>
  <si>
    <t xml:space="preserve">PABLO VILLON   </t>
  </si>
  <si>
    <t xml:space="preserve">GMP-651 </t>
  </si>
  <si>
    <t>SUB PRODUCTO DE ATUN COCIDO - CRUDO</t>
  </si>
  <si>
    <t>CEPROFISH - FRIGOLANDIA - MOLPRO - CEPROMAR</t>
  </si>
  <si>
    <t>4364-1567-1637-123</t>
  </si>
  <si>
    <t>SUBPRODUCTO DE ATUN COCIDO-VISCERAS AGALLAS</t>
  </si>
  <si>
    <t>60201-60301</t>
  </si>
  <si>
    <t>14BINES</t>
  </si>
  <si>
    <t xml:space="preserve">SACOS VACIOS USADOS </t>
  </si>
  <si>
    <t>BOTELLA 50% CORBATA 46% RONCADOR 4%</t>
  </si>
  <si>
    <t>PETROECUADOR - LIDER</t>
  </si>
  <si>
    <t>BYRON BRIONES</t>
  </si>
  <si>
    <t>HAL-0837</t>
  </si>
  <si>
    <t>INGRESO DE BUNKER</t>
  </si>
  <si>
    <t>60201-301</t>
  </si>
  <si>
    <t>PRODUCCION #71</t>
  </si>
  <si>
    <t>DEVOLUCION DE BINES IBC</t>
  </si>
  <si>
    <t>SARDINA-CARA</t>
  </si>
  <si>
    <t xml:space="preserve">SEGUNDO CACHAGO    </t>
  </si>
  <si>
    <t>TBB-6690</t>
  </si>
  <si>
    <t xml:space="preserve">HUMBERTO REYES  </t>
  </si>
  <si>
    <t xml:space="preserve">JAVIER REYES </t>
  </si>
  <si>
    <t xml:space="preserve">HBZ-0373 </t>
  </si>
  <si>
    <t>CHUMUMO</t>
  </si>
  <si>
    <t>B/P ALBERTO - B/P REGALITO DE DIOS I</t>
  </si>
  <si>
    <t>23671-72</t>
  </si>
  <si>
    <t>B JUMA CORBATA MORENILLO</t>
  </si>
  <si>
    <t>SACOS CON HIELO</t>
  </si>
  <si>
    <t xml:space="preserve">MARIANA QUIJIJE </t>
  </si>
  <si>
    <t>MORENILLO 78% BARRIGA JUMA 20 CARA 2%</t>
  </si>
  <si>
    <t>B/P RUBEN ANDRES - B/P REGALITO DE DIOS III</t>
  </si>
  <si>
    <t xml:space="preserve">MORENILLO RONCADOR </t>
  </si>
  <si>
    <t>23674-75</t>
  </si>
  <si>
    <t>1/2 BIN</t>
  </si>
  <si>
    <t>HIELO</t>
  </si>
  <si>
    <t xml:space="preserve">CEPROMAR - CEPEROFISH </t>
  </si>
  <si>
    <t>21-124</t>
  </si>
  <si>
    <t>SUBPRODUCTO DE ALBACORA-DORADO-MERLUZA-VICERAS</t>
  </si>
  <si>
    <t>SUBPRODUCTO DE ALBACORA-ATUN COCIDO-VICERAS</t>
  </si>
  <si>
    <t xml:space="preserve">EDUARDO CAMPOVERDE   </t>
  </si>
  <si>
    <t xml:space="preserve">JORGE RONQUILLO  </t>
  </si>
  <si>
    <t xml:space="preserve">GRY-2607  </t>
  </si>
  <si>
    <t>MORENILLO-GALLINA-CALAMAR</t>
  </si>
  <si>
    <t xml:space="preserve">B/P REGALITO DE DIOS II-B/P VB III  </t>
  </si>
  <si>
    <t xml:space="preserve">23677-678   </t>
  </si>
  <si>
    <t xml:space="preserve">B/P VB III-B/P REGALITO DE DIOS I       </t>
  </si>
  <si>
    <t xml:space="preserve">23678-679   </t>
  </si>
  <si>
    <t xml:space="preserve">MORENILLO-GALLINA   </t>
  </si>
  <si>
    <t xml:space="preserve">B/P DON TEMO-B/P MARIANITA </t>
  </si>
  <si>
    <t>23680-681</t>
  </si>
  <si>
    <t xml:space="preserve">B/P MARIANITA-B/P GUILLERMINA       </t>
  </si>
  <si>
    <t>23681-682</t>
  </si>
  <si>
    <t xml:space="preserve">JOSSELYN BRAVO BRAVO           </t>
  </si>
  <si>
    <t>ALFREDO CUJILAN</t>
  </si>
  <si>
    <t>BINES IBC</t>
  </si>
  <si>
    <t>CESAR CHAGERBEN</t>
  </si>
  <si>
    <t>MORENILLO-BOTELLA</t>
  </si>
  <si>
    <t>JUANN DELGADO</t>
  </si>
  <si>
    <t>POLLA MERLUZA</t>
  </si>
  <si>
    <t xml:space="preserve">B/P PALBER-B/P CATALINA  </t>
  </si>
  <si>
    <t>23687-688</t>
  </si>
  <si>
    <t>BOEGA JAMBELI</t>
  </si>
  <si>
    <t>GLE-705</t>
  </si>
  <si>
    <t xml:space="preserve">B/P MARIA JOSE-B/P ANGEL    </t>
  </si>
  <si>
    <t>23689-690</t>
  </si>
  <si>
    <t>MORENILLO P</t>
  </si>
  <si>
    <t xml:space="preserve">CARLOS VILLACRESES      </t>
  </si>
  <si>
    <t xml:space="preserve">GON-687   </t>
  </si>
  <si>
    <t xml:space="preserve">B/P ISABELLA-B/P VALENTINA                 </t>
  </si>
  <si>
    <t>23691-692</t>
  </si>
  <si>
    <t xml:space="preserve">GALLINA-MORENILLO </t>
  </si>
  <si>
    <t xml:space="preserve">DESDESPACHO DE HIDROLIZADO DE PESCADO </t>
  </si>
  <si>
    <t xml:space="preserve">MORENILLO LISA </t>
  </si>
  <si>
    <t>B/P DOÑA LETTI</t>
  </si>
  <si>
    <t>GALLINA MORENILLO</t>
  </si>
  <si>
    <t>SUBPRODUCTO DE ALBACORA SUB TILAPIA SUB TROMPETA VISCERAS</t>
  </si>
  <si>
    <t xml:space="preserve">EFRAIN SANTANA </t>
  </si>
  <si>
    <t>JOSE ZAMORA</t>
  </si>
  <si>
    <t>65201-65301</t>
  </si>
  <si>
    <t>SUBPRODUCTO DE ATUN COCIDO - VISCERAS AGALLLA</t>
  </si>
  <si>
    <t>SUBPRODUCTO DE ATUN COCIDO SUB CABALLA</t>
  </si>
  <si>
    <t xml:space="preserve">ELOY AVEIGA     </t>
  </si>
  <si>
    <t xml:space="preserve">KEVIN SANCHEZ </t>
  </si>
  <si>
    <t xml:space="preserve">PAU-454  </t>
  </si>
  <si>
    <t>VENTA DE CHATARRA</t>
  </si>
  <si>
    <t xml:space="preserve">HERNAN MAZZINI        </t>
  </si>
  <si>
    <t xml:space="preserve">EDUARDO TOMALA </t>
  </si>
  <si>
    <t xml:space="preserve">B/P PALBER-B/P REGALITO DE DIOS II-B/P DIJAYMAR III                                                 </t>
  </si>
  <si>
    <t xml:space="preserve">23700-701-702 </t>
  </si>
  <si>
    <t xml:space="preserve">MORENILLO-PICUDILLO  </t>
  </si>
  <si>
    <t>PRODUCCION #72</t>
  </si>
  <si>
    <t xml:space="preserve">B/P DIJAYMAR III-B/P VB III    </t>
  </si>
  <si>
    <t xml:space="preserve">23702-703  </t>
  </si>
  <si>
    <t xml:space="preserve">MORENILLO-PICUDILLO </t>
  </si>
  <si>
    <t xml:space="preserve">B/P VB III-B/P JOSSELYN      </t>
  </si>
  <si>
    <t xml:space="preserve">23703-704 </t>
  </si>
  <si>
    <t xml:space="preserve">MORENILLO-GALLINA-POLLA-BAGRE          </t>
  </si>
  <si>
    <t xml:space="preserve">JUAN MATEO   </t>
  </si>
  <si>
    <t xml:space="preserve">B/P JUAN HIDALGO        </t>
  </si>
  <si>
    <t xml:space="preserve">DEVOLUCION DE BINES    </t>
  </si>
  <si>
    <t>ITALO YAGUAL</t>
  </si>
  <si>
    <t>GEOVANNY VERA</t>
  </si>
  <si>
    <t>B/P VIRGEN DE FATIMA</t>
  </si>
  <si>
    <t xml:space="preserve">CALIZAS HUAYCO     </t>
  </si>
  <si>
    <t xml:space="preserve">PIEDRA CALIZA   </t>
  </si>
  <si>
    <t xml:space="preserve">ARENA CALIZA   </t>
  </si>
  <si>
    <t xml:space="preserve">PIEDRA CALIZA  </t>
  </si>
  <si>
    <t>PIEDRA # 56</t>
  </si>
  <si>
    <t>MORENILLO 70% GALLINA 30%</t>
  </si>
  <si>
    <t xml:space="preserve">FRIGOLANDIA - MOLPRO - CEPROMAR - CEPROFISH </t>
  </si>
  <si>
    <t>1568-1649-125-4444</t>
  </si>
  <si>
    <t>MORENILLO CALAMAR</t>
  </si>
  <si>
    <t>60701-60801</t>
  </si>
  <si>
    <t xml:space="preserve">CARGIL - PROTEINSEC    </t>
  </si>
  <si>
    <t xml:space="preserve">STALYN CRESPIN   </t>
  </si>
  <si>
    <t xml:space="preserve">JOSE QUINDE    </t>
  </si>
  <si>
    <t xml:space="preserve">PZD-086   </t>
  </si>
  <si>
    <t xml:space="preserve">VENTA DE TANQUES PLASTICOS FUERA DE USOS   </t>
  </si>
  <si>
    <t>PRODUCCION #73</t>
  </si>
  <si>
    <t xml:space="preserve">69701-69801 </t>
  </si>
  <si>
    <t xml:space="preserve">B/P MARIANITA  </t>
  </si>
  <si>
    <t xml:space="preserve">B/P SAN JORGE-B/P GUILLERMINA    </t>
  </si>
  <si>
    <t>23720-721</t>
  </si>
  <si>
    <t xml:space="preserve">B/P GUILLERMINA-B/P CAMPITO-B/P ISABELLA                                                            </t>
  </si>
  <si>
    <t xml:space="preserve">23721-723-725  </t>
  </si>
  <si>
    <t xml:space="preserve">B/P MARIA JOSE     </t>
  </si>
  <si>
    <t>B/P MARIA JOSE - B/P DOÑA BERTHA</t>
  </si>
  <si>
    <t>23726-27</t>
  </si>
  <si>
    <t xml:space="preserve">GALLINA    </t>
  </si>
  <si>
    <t>MARCELO VERA YEPEZ</t>
  </si>
  <si>
    <t xml:space="preserve">ANDY VERA </t>
  </si>
  <si>
    <t>GSH-6859</t>
  </si>
  <si>
    <t xml:space="preserve">B/P ANITA </t>
  </si>
  <si>
    <t xml:space="preserve">3 BINES </t>
  </si>
  <si>
    <t>B/P ANITA - B/P DALMACIA - B/P JOSELYN - B/P DON FAUSTO - B/P REGALITO DE DIOS II</t>
  </si>
  <si>
    <t>23729-30-31-32-33</t>
  </si>
  <si>
    <t>B/P DANIELA ALEJANDRA</t>
  </si>
  <si>
    <t>3.5 BINES</t>
  </si>
  <si>
    <t xml:space="preserve">GALLINA GALLIANAZA </t>
  </si>
  <si>
    <t>11/2BINES</t>
  </si>
  <si>
    <t>PCN-9468</t>
  </si>
  <si>
    <t xml:space="preserve">CARLOS BECERRA </t>
  </si>
  <si>
    <t>GPK-209</t>
  </si>
  <si>
    <t>0.75 BIN</t>
  </si>
  <si>
    <t>0.5 BIN</t>
  </si>
  <si>
    <t>B/P DEMARCO</t>
  </si>
  <si>
    <t>GALLINAZA</t>
  </si>
  <si>
    <t xml:space="preserve">1 BINES </t>
  </si>
  <si>
    <t>ENRIQUE CRUZ</t>
  </si>
  <si>
    <t xml:space="preserve">JULIO MUÑOZ </t>
  </si>
  <si>
    <t>AFV-0499</t>
  </si>
  <si>
    <t>01;49</t>
  </si>
  <si>
    <t xml:space="preserve">MARCELO CEDEÑO </t>
  </si>
  <si>
    <t xml:space="preserve">GEOVANNY REGALADO </t>
  </si>
  <si>
    <t xml:space="preserve">SUBPRODUCTO DE TROMPETA </t>
  </si>
  <si>
    <t>SUB DE ALBACORA-SUB DE ATUN COCIDO-SUB DE VICERAS-SUB DE TROMPETA</t>
  </si>
  <si>
    <t>MORENILLO-GALLINA-PICUDA</t>
  </si>
  <si>
    <t xml:space="preserve">JAVIER LUNA   </t>
  </si>
  <si>
    <t xml:space="preserve">GSF-9786  </t>
  </si>
  <si>
    <t>B/P PARDELA-B/P DOÑA BERTHA</t>
  </si>
  <si>
    <t xml:space="preserve">23742-743                     </t>
  </si>
  <si>
    <t xml:space="preserve">MARSIPESCA S.A         </t>
  </si>
  <si>
    <t>DARWIN CAMACHO</t>
  </si>
  <si>
    <t>ABA-5483</t>
  </si>
  <si>
    <t>VENTAS DE SACOS FUERA DE USO</t>
  </si>
  <si>
    <t xml:space="preserve">B/P VALENTINA-B/P PIEDACITA </t>
  </si>
  <si>
    <t>23744-745</t>
  </si>
  <si>
    <t xml:space="preserve">NOVA INTEGRAL    </t>
  </si>
  <si>
    <t xml:space="preserve">ACIDNOVA </t>
  </si>
  <si>
    <t xml:space="preserve">PETROECUADOR - LIDER  </t>
  </si>
  <si>
    <t xml:space="preserve">BYRON BRIONES     </t>
  </si>
  <si>
    <t xml:space="preserve">HAL-0837   </t>
  </si>
  <si>
    <t xml:space="preserve">JANEC S.A-GEPSA   </t>
  </si>
  <si>
    <t xml:space="preserve">JUAN HIDALGO      </t>
  </si>
  <si>
    <t xml:space="preserve">OSCAR HERNANDEZ </t>
  </si>
  <si>
    <t xml:space="preserve">OAA-4338 </t>
  </si>
  <si>
    <t xml:space="preserve">B/P VIRGEN DE FATIMA-B/P DIJAYMAR III    </t>
  </si>
  <si>
    <t xml:space="preserve">23747-749    </t>
  </si>
  <si>
    <t xml:space="preserve">MORENILLO-GALLINA-BOTELLA   </t>
  </si>
  <si>
    <t>LLEVA 7 BINES VACIOS</t>
  </si>
  <si>
    <t xml:space="preserve">B/P REGALITO DE DIOS II-B/P HARRY   </t>
  </si>
  <si>
    <t>23748-750</t>
  </si>
  <si>
    <t xml:space="preserve">MORENILLO-GALLINA       </t>
  </si>
  <si>
    <t xml:space="preserve">B/P REGALITO DE DIOS I </t>
  </si>
  <si>
    <t xml:space="preserve">B/P ANGEL - B/P VIRGEN DE FATIMA </t>
  </si>
  <si>
    <t>23754-51</t>
  </si>
  <si>
    <t>SUBPRODUCTO DE TILAPIA - SUB TROMPETA</t>
  </si>
  <si>
    <t>SUBPRODUCTO DE ALBACORA - SUB MERLUZA VISCERAS</t>
  </si>
  <si>
    <t>75301-75201</t>
  </si>
  <si>
    <t>PRODUCCION #74</t>
  </si>
  <si>
    <t xml:space="preserve">75201-75301  </t>
  </si>
  <si>
    <t xml:space="preserve">SOLORCAMP     </t>
  </si>
  <si>
    <t xml:space="preserve">GSN-3283  </t>
  </si>
  <si>
    <t xml:space="preserve">B/P VB III-B/P HARRY      </t>
  </si>
  <si>
    <t xml:space="preserve">23756-757  </t>
  </si>
  <si>
    <t>HOJA-PICUDILLO-GALLINA-MORENILLO</t>
  </si>
  <si>
    <t xml:space="preserve">B/P REGALITO DE DIOS II      </t>
  </si>
  <si>
    <t xml:space="preserve">GALLINA-MORENILLO P   </t>
  </si>
  <si>
    <t xml:space="preserve">B/P MELINA C       </t>
  </si>
  <si>
    <t xml:space="preserve">SUBPRODUCTO DE ALBACORA-SUB DE ATUN </t>
  </si>
  <si>
    <t>PAULINA PALADINES</t>
  </si>
  <si>
    <t xml:space="preserve">DARIO PINCAY </t>
  </si>
  <si>
    <t>GSM-8271</t>
  </si>
  <si>
    <t>SUB PRODUCTO DE BOTELLA - SUB PRODUCTO DE MERLUZA</t>
  </si>
  <si>
    <t xml:space="preserve">CEPROFISH - CEPROMAR </t>
  </si>
  <si>
    <t>4484-126</t>
  </si>
  <si>
    <t xml:space="preserve">JOSE CHAVEZ </t>
  </si>
  <si>
    <t xml:space="preserve">SUBPRODUCTO DE ALBACORA-SUB DE DORADO </t>
  </si>
  <si>
    <t>B/P CAMPITO - B/P GEPSA</t>
  </si>
  <si>
    <t>23767-68</t>
  </si>
  <si>
    <t>GALLINA 80% MORENILLO 15% BOTELLA 5%</t>
  </si>
  <si>
    <t xml:space="preserve">GALLINA CORBATA </t>
  </si>
  <si>
    <t>CORBATA GALLINA</t>
  </si>
  <si>
    <t>B/P VIRGEN DE FATIMA - B/P REGALITO DE DIOS I</t>
  </si>
  <si>
    <t>23772-71</t>
  </si>
  <si>
    <t>GALLINA 62% PICUDILLO 38%</t>
  </si>
  <si>
    <t xml:space="preserve">BOTELLA RONCADOR </t>
  </si>
  <si>
    <t>FUZ.HOU DAH CHONG SHING FEED CO.,. LTD - JAMBELI</t>
  </si>
  <si>
    <t>COVER VALLADARES</t>
  </si>
  <si>
    <t>GBP-2022</t>
  </si>
  <si>
    <t>ASEQUIM S.A.</t>
  </si>
  <si>
    <t>60 CANECAS DES K100</t>
  </si>
  <si>
    <t xml:space="preserve">BOTELLA CORBATA RONCADOR </t>
  </si>
  <si>
    <t>20595-14372</t>
  </si>
  <si>
    <t>SACOS HIELO</t>
  </si>
  <si>
    <t>18.5 BINES</t>
  </si>
  <si>
    <t xml:space="preserve">OSCAR PALADINES        </t>
  </si>
  <si>
    <t xml:space="preserve">JUAN FRANCO     </t>
  </si>
  <si>
    <t>SUBPRODUCTO DE BOTELLA</t>
  </si>
  <si>
    <t xml:space="preserve">RAMON BECERRA    </t>
  </si>
  <si>
    <t xml:space="preserve">GPK-209    </t>
  </si>
  <si>
    <t xml:space="preserve">MAA-1707  </t>
  </si>
  <si>
    <t>78101-201</t>
  </si>
  <si>
    <t>CORBATA TENIENTE</t>
  </si>
  <si>
    <t>MORENILLO 64% BOTELLA 23% GALLINA 13%</t>
  </si>
  <si>
    <t>PRODUCCION #75</t>
  </si>
  <si>
    <t xml:space="preserve">B/P CAMPITO II </t>
  </si>
  <si>
    <t xml:space="preserve">GALLINA 41% ALACRAN 45% GALLINAZA 7% SARDINA 7% </t>
  </si>
  <si>
    <t>CRISTHIAN INTRIAGO</t>
  </si>
  <si>
    <t>GNR-951</t>
  </si>
  <si>
    <t>SACOS NUEVOS VACIOS</t>
  </si>
  <si>
    <t>CORBATA CHULLO</t>
  </si>
  <si>
    <t>MENOS 860 KG DE PALLET</t>
  </si>
  <si>
    <t>MENOS 850 KG DE PALLET</t>
  </si>
  <si>
    <t>SUB PRODUCTO DE DORADO - SUB PODUCTO DE MERLUZA</t>
  </si>
  <si>
    <t>NIXON PONCE</t>
  </si>
  <si>
    <t>GSG-8977</t>
  </si>
  <si>
    <t>SUB PRODUCTO DE MERLUZA</t>
  </si>
  <si>
    <t>FRIGOLANDIA - CEPROFISH - CEPROMAR</t>
  </si>
  <si>
    <t>1569-4516-127</t>
  </si>
  <si>
    <t xml:space="preserve">BODEGA JAMBELI   </t>
  </si>
  <si>
    <t xml:space="preserve">ASEQUIN  </t>
  </si>
  <si>
    <t xml:space="preserve">CARLOS ALARCON          </t>
  </si>
  <si>
    <t xml:space="preserve">GSL-8732      </t>
  </si>
  <si>
    <t xml:space="preserve">10 TANQUES DE SALMOQUIN      </t>
  </si>
  <si>
    <t>PALBER REGALIA</t>
  </si>
  <si>
    <t xml:space="preserve">MORENILLO-GALLINA-POLLA  </t>
  </si>
  <si>
    <t xml:space="preserve">SARDINA-GALLINA </t>
  </si>
  <si>
    <t>PESCA MALA ENTERRADA</t>
  </si>
  <si>
    <t xml:space="preserve">INBALNOR   </t>
  </si>
  <si>
    <t xml:space="preserve">CARGIL - PROTEINSEC  </t>
  </si>
  <si>
    <t xml:space="preserve">JUAN ARDILA      </t>
  </si>
  <si>
    <t xml:space="preserve">DESPACHO DE HARINA DE PESCADO    </t>
  </si>
  <si>
    <t>B/P.DIJAYMAR III</t>
  </si>
  <si>
    <t>SARDINA - POLLA</t>
  </si>
  <si>
    <t>83001-83101</t>
  </si>
  <si>
    <t>7134-813</t>
  </si>
  <si>
    <t>OSCAR PALADINEZ</t>
  </si>
  <si>
    <t>PRODUCCION #76</t>
  </si>
  <si>
    <t xml:space="preserve">IBC VACIOS 40 INGRESO </t>
  </si>
  <si>
    <t>BOTELLA MORENILLO RONCADOR</t>
  </si>
  <si>
    <t>TRASLADO PALLET VACIOS DE TAURA</t>
  </si>
  <si>
    <t>BOTELLA - GALLINA</t>
  </si>
  <si>
    <t>B/P ALBERTO</t>
  </si>
  <si>
    <t xml:space="preserve">B/P ALBERTO   </t>
  </si>
  <si>
    <t>CORBATA RONCADOR</t>
  </si>
  <si>
    <t xml:space="preserve">GALLINA GALLINAZA </t>
  </si>
  <si>
    <t>BOTELLA 70% CHUMUMO 15% CARA 15%</t>
  </si>
  <si>
    <t>GALLINA-GALLINAZA</t>
  </si>
  <si>
    <t>GALLINA-GALLINAZA-MORENILLO</t>
  </si>
  <si>
    <t xml:space="preserve">B/P DOÑA BERTHA-B/P ANGEL        </t>
  </si>
  <si>
    <t xml:space="preserve">23799-800   </t>
  </si>
  <si>
    <t xml:space="preserve">GLE-0705    </t>
  </si>
  <si>
    <t xml:space="preserve">CAM-2 </t>
  </si>
  <si>
    <t xml:space="preserve">24 BINES BINES VACIOS IBC   </t>
  </si>
  <si>
    <t>CARA-POLLA</t>
  </si>
  <si>
    <t>24 PALLET VACIOS 353 SACOS HARINA PESCADO</t>
  </si>
  <si>
    <t>GALLINA 56% BOTELLA 44%</t>
  </si>
  <si>
    <t>MORENILLO BOTELLA</t>
  </si>
  <si>
    <t>6 BINES ACIDNOVA</t>
  </si>
  <si>
    <t xml:space="preserve">GCD-071   </t>
  </si>
  <si>
    <t>CHUHUECO P</t>
  </si>
  <si>
    <t xml:space="preserve">B/P REGALITO DE DIOS II-B/P VB III       </t>
  </si>
  <si>
    <t xml:space="preserve">23805-807 </t>
  </si>
  <si>
    <t>NGRESO DE HARINA DE PESCADO</t>
  </si>
  <si>
    <t xml:space="preserve">DEVOLUCION DE 16 BINES VACIOS    </t>
  </si>
  <si>
    <t xml:space="preserve">PETROECUADOR - LIDER   </t>
  </si>
  <si>
    <t xml:space="preserve">MIGUEL JARAMILLO </t>
  </si>
  <si>
    <t xml:space="preserve">HAA-2690 </t>
  </si>
  <si>
    <t xml:space="preserve">JOSELYN BRAVO BRAVO   </t>
  </si>
  <si>
    <t xml:space="preserve">GLE-0705 </t>
  </si>
  <si>
    <t xml:space="preserve">CAM-2  </t>
  </si>
  <si>
    <t xml:space="preserve">DEVOLUCION DE 12 BINES VACIOS    </t>
  </si>
  <si>
    <t xml:space="preserve">PETROECUADOR - LIDER </t>
  </si>
  <si>
    <t xml:space="preserve">FELIX GUANOLUIZA    </t>
  </si>
  <si>
    <t xml:space="preserve">HAA-1377  </t>
  </si>
  <si>
    <t xml:space="preserve">840 SACOS DE HARINA DE CAMARON </t>
  </si>
  <si>
    <t xml:space="preserve">SUBPRODUCTO DE ALBACORA </t>
  </si>
  <si>
    <t>87901-88001</t>
  </si>
  <si>
    <t>SUBPRODUCTO DE ATUN COCIDO-BICERAS-AGALLA</t>
  </si>
  <si>
    <t>TAURA -FORTIDEX</t>
  </si>
  <si>
    <t>LIZANDRO CALZADA</t>
  </si>
  <si>
    <t>SUBPRODUCTO DE ATUN COCINADO</t>
  </si>
  <si>
    <t>816-7138</t>
  </si>
  <si>
    <t xml:space="preserve">B/P GEPSA - B/P VALENTINA </t>
  </si>
  <si>
    <t>23810-11</t>
  </si>
  <si>
    <t>GALLINA - PICUDILLO</t>
  </si>
  <si>
    <t>PRODUCCION #77</t>
  </si>
  <si>
    <t xml:space="preserve">PRODUCCION SEAFMAN </t>
  </si>
  <si>
    <t xml:space="preserve">B/P VALENTINA - B/P CAMPITO </t>
  </si>
  <si>
    <t>23812-11</t>
  </si>
  <si>
    <t>MORENILLO 86% GALLINA 14%</t>
  </si>
  <si>
    <t xml:space="preserve">CORBATA RONCADOR  </t>
  </si>
  <si>
    <t xml:space="preserve">KIILOS </t>
  </si>
  <si>
    <t>4.5 BINES</t>
  </si>
  <si>
    <t>GCV-657</t>
  </si>
  <si>
    <t>MOLPRO-FRIGOLANDIA-CEPROMAR-CEPROFISH</t>
  </si>
  <si>
    <t>4566-128-1571-1669</t>
  </si>
  <si>
    <t xml:space="preserve">POLLA-BAGRE </t>
  </si>
  <si>
    <t>SUBPRODUCTO DE ALBACORA-SUB DE MERLUZA-VICERAS</t>
  </si>
  <si>
    <t>SUBPRODUCTO DE ALBACORA-SUB DE ATUN COCIDO-VICERAS</t>
  </si>
  <si>
    <t>POLLA -BAGRE</t>
  </si>
  <si>
    <t>SUBPRODUCTO DE DORADO-SUB DE SELEMBA</t>
  </si>
  <si>
    <t>GALLINAZA-GALLINAZA</t>
  </si>
  <si>
    <t>GALLLINA-MORENILLO-GALLINAZA</t>
  </si>
  <si>
    <t xml:space="preserve">B/P VALENTINA-B/P JOSELIN          </t>
  </si>
  <si>
    <t>23815-816</t>
  </si>
  <si>
    <t>GALLLINA-MORENILLO-GALLINAZA-CHULLO RONCADOR</t>
  </si>
  <si>
    <t xml:space="preserve">23817-818 </t>
  </si>
  <si>
    <t xml:space="preserve">B/P DOÑA BERTHA-B/P CAMPITO  II  </t>
  </si>
  <si>
    <t xml:space="preserve">B/P CAMPITO-B/P MARIANITA-B/P PARDELA                                                </t>
  </si>
  <si>
    <t xml:space="preserve">23818-819-820    </t>
  </si>
  <si>
    <t xml:space="preserve">B/P GEPSA-B/P DIJAYMAR III        </t>
  </si>
  <si>
    <t>23823-824</t>
  </si>
  <si>
    <t>GALLINA-RONCADOR</t>
  </si>
  <si>
    <t>POLLA BAGRE-CHUHUECO</t>
  </si>
  <si>
    <t xml:space="preserve">B/P VIRGEN DE FATIMA     </t>
  </si>
  <si>
    <t>2 1/2BINES</t>
  </si>
  <si>
    <t>FUJIAN COLAND ENTERPRISRS CO.,LTD</t>
  </si>
  <si>
    <t xml:space="preserve">ARTURO URBANO      </t>
  </si>
  <si>
    <t xml:space="preserve">GBN-4872    </t>
  </si>
  <si>
    <t xml:space="preserve">WILSON SIMBA      </t>
  </si>
  <si>
    <t xml:space="preserve">MILGUEL UNDA     </t>
  </si>
  <si>
    <t xml:space="preserve">HENRY PAUCAR  </t>
  </si>
  <si>
    <t xml:space="preserve">GBN-4853  </t>
  </si>
  <si>
    <t xml:space="preserve">NEY PINARGOTE   </t>
  </si>
  <si>
    <t xml:space="preserve">JUAN ARREAGA        </t>
  </si>
  <si>
    <t xml:space="preserve">B/P MELINA  </t>
  </si>
  <si>
    <t xml:space="preserve">B/P DIJAYMAR III                </t>
  </si>
  <si>
    <t xml:space="preserve">OSCAR LOZADA        </t>
  </si>
  <si>
    <t xml:space="preserve">GBN-4078 </t>
  </si>
  <si>
    <t xml:space="preserve">ADILISA    </t>
  </si>
  <si>
    <t xml:space="preserve">JONATHAN CHAVEZ   </t>
  </si>
  <si>
    <t>GSG-4091</t>
  </si>
  <si>
    <t xml:space="preserve">GRENOX </t>
  </si>
  <si>
    <t xml:space="preserve">B/P DIJAYMAR III-B/P DALMACIA          </t>
  </si>
  <si>
    <t>23829-830</t>
  </si>
  <si>
    <t>CHULLO</t>
  </si>
  <si>
    <t xml:space="preserve">CALIZAS HUAYCO  </t>
  </si>
  <si>
    <t>MENOS 354 KG DE 6 BINES</t>
  </si>
  <si>
    <t>SUB ALBACORA SUB MERLUZA Y VISCERAS</t>
  </si>
  <si>
    <t>90901-90801</t>
  </si>
  <si>
    <t>SUBPRODUCTO DE ATUN COCIDO- VISCERAS-AGALLA</t>
  </si>
  <si>
    <t xml:space="preserve">SUBPRODUCTO DE ATUN COCIDO SUB SARINA - SUB CABALLA </t>
  </si>
  <si>
    <t>PRODUCCION #78</t>
  </si>
  <si>
    <t xml:space="preserve">OSWALDO VERA  </t>
  </si>
  <si>
    <t xml:space="preserve">ICH-0378   </t>
  </si>
  <si>
    <t>BOLLA FLOTANTES</t>
  </si>
  <si>
    <t xml:space="preserve">B/P REGALITO II-B/P DIJAYMAR III-B/P VB III </t>
  </si>
  <si>
    <t xml:space="preserve">23835-836-837  </t>
  </si>
  <si>
    <t xml:space="preserve">GALLINA-MORENILLO     </t>
  </si>
  <si>
    <t xml:space="preserve">ALEXANDER PANCHANA    </t>
  </si>
  <si>
    <t>UNIDADES</t>
  </si>
  <si>
    <t xml:space="preserve">VENTA DE MALLAS FUERA DE USOS     </t>
  </si>
  <si>
    <t>2 1/2 BINES</t>
  </si>
  <si>
    <t xml:space="preserve">B/P REGALITO DE DIOS I      </t>
  </si>
  <si>
    <t>MORENILLO-B JUMA</t>
  </si>
  <si>
    <t xml:space="preserve">BRYAN CEVALLOS </t>
  </si>
  <si>
    <t xml:space="preserve">SUBPRODUCTO DE PESCADO </t>
  </si>
  <si>
    <t>SUB PRODUCTO ALBACORA - SUB PRODUCTO MERLUZA - VISCERAS</t>
  </si>
  <si>
    <t xml:space="preserve">SUBPRODUCTO DE ATUN -SUB DE SARDINA </t>
  </si>
  <si>
    <t>1674-129-4609</t>
  </si>
  <si>
    <t>CEPROMAR CEPROFISH - MOLPRO</t>
  </si>
  <si>
    <t>CESAR PAREDES</t>
  </si>
  <si>
    <t>B/P REGALITO DE DIOS II - B/P CAMPITO II</t>
  </si>
  <si>
    <t>23841-42</t>
  </si>
  <si>
    <t>CORBATA RONCADOR - BOTELLA CHUMUMO MORENILLO</t>
  </si>
  <si>
    <t>JHONNY GAVILANEZ</t>
  </si>
  <si>
    <t>OCE-0117</t>
  </si>
  <si>
    <t xml:space="preserve">B/P ANGGEL </t>
  </si>
  <si>
    <t>SOVELSA</t>
  </si>
  <si>
    <t>JESUS VARGAS</t>
  </si>
  <si>
    <t>GLI-0385</t>
  </si>
  <si>
    <t>RENDOX AT 20 LIQ</t>
  </si>
  <si>
    <t>B/P DON ARMANDO II</t>
  </si>
  <si>
    <t>MENOS 820 KG DE PALLET</t>
  </si>
  <si>
    <t>REDES - GESTION EXTERNA</t>
  </si>
  <si>
    <t xml:space="preserve">MENOS 1148 KG DE 20 BINES </t>
  </si>
  <si>
    <t>SARDINA - POLLA BAGRE</t>
  </si>
  <si>
    <t>3BINES</t>
  </si>
  <si>
    <t>SUB PRODUCTO DE ATUN CRUDO - COCIDO - SUB PRODUCTO DE SARDINA</t>
  </si>
  <si>
    <t>95701-95801</t>
  </si>
  <si>
    <t>B/P JENY PINARGOTE</t>
  </si>
  <si>
    <t>1BIN</t>
  </si>
  <si>
    <t>FUZHOU MING YAO TRADE CO.,LTD</t>
  </si>
  <si>
    <t xml:space="preserve">NEY PINARGOTE       </t>
  </si>
  <si>
    <t xml:space="preserve">PTD-0746 </t>
  </si>
  <si>
    <t xml:space="preserve">ALEXIS BASANTE      </t>
  </si>
  <si>
    <t xml:space="preserve">SERGIO PINOS     </t>
  </si>
  <si>
    <t xml:space="preserve">EBH-0936  </t>
  </si>
  <si>
    <t xml:space="preserve">ALFONSO MORA      </t>
  </si>
  <si>
    <t>PRODUCCION #79</t>
  </si>
  <si>
    <t>95801-701</t>
  </si>
  <si>
    <t>GQO-399</t>
  </si>
  <si>
    <t>SODA CAUSTICA</t>
  </si>
  <si>
    <t>IBC</t>
  </si>
  <si>
    <t xml:space="preserve">MOJARRA </t>
  </si>
  <si>
    <t>SUBPRODUCTO DE ALBACORA - SUB MERLUZA - SUB ATUN COCIDO VISCERAS</t>
  </si>
  <si>
    <t>7164-822</t>
  </si>
  <si>
    <t>SUBPRODUCTO DE ATUN COCINADO-SUBPRODUCTO DE COCINADO DE SARDINA</t>
  </si>
  <si>
    <t xml:space="preserve">B/P REGALITO DE DIOS III    </t>
  </si>
  <si>
    <t>41912-913</t>
  </si>
  <si>
    <t xml:space="preserve">NOVA INTEGRAL     </t>
  </si>
  <si>
    <t xml:space="preserve">RAFAEL HERRERA       </t>
  </si>
  <si>
    <t xml:space="preserve">6 BINES ADICIONAL LLEVA 9 BINES VACIOS </t>
  </si>
  <si>
    <t xml:space="preserve">BAGRE </t>
  </si>
  <si>
    <t>1677-1572-4659</t>
  </si>
  <si>
    <t xml:space="preserve">MOLPRO FRIGOLANDIA CEPROFISH </t>
  </si>
  <si>
    <t>HENRY MONTERO</t>
  </si>
  <si>
    <t>GNS-1250</t>
  </si>
  <si>
    <t>101001-101101</t>
  </si>
  <si>
    <t xml:space="preserve">SUB PRODUCTO DE ATUN COCIDO-VISCERAS AGALLAS </t>
  </si>
  <si>
    <t>OSCAR CRUZ</t>
  </si>
  <si>
    <t>NAE-0705</t>
  </si>
  <si>
    <t>PRODUCCION #80</t>
  </si>
  <si>
    <t>ATUN REGADO EN LA ENTRADA A FORTIDEX</t>
  </si>
  <si>
    <t>GREGORIO QUINDE</t>
  </si>
  <si>
    <t>GTA-363</t>
  </si>
  <si>
    <t>CAMION</t>
  </si>
  <si>
    <t xml:space="preserve">IBC VACIO  </t>
  </si>
  <si>
    <t>IBC VACIO  LLENO HIDROLIZADO DE PESCADO</t>
  </si>
  <si>
    <t>1 IBC</t>
  </si>
  <si>
    <t xml:space="preserve">20 BINES MENOS 1153 KG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</si>
</sst>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/>
    <xf numFmtId="0" fontId="0" fillId="0" borderId="0" xfId="0" applyFill="1"/>
    <xf numFmtId="0" fontId="2" fillId="0" borderId="13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4" fillId="0" borderId="15" xfId="0" applyNumberFormat="1" applyFont="1" applyFill="1" applyBorder="1" applyAlignment="1">
      <alignment horizontal="center"/>
    </xf>
    <xf numFmtId="16" fontId="4" fillId="0" borderId="15" xfId="0" applyNumberFormat="1" applyFont="1" applyFill="1" applyBorder="1" applyAlignment="1">
      <alignment horizontal="center"/>
    </xf>
    <xf numFmtId="0" fontId="1" fillId="0" borderId="15" xfId="0" applyFont="1" applyFill="1" applyBorder="1" applyAlignment="1">
      <alignment horizontal="left" indent="2"/>
    </xf>
    <xf numFmtId="0" fontId="1" fillId="0" borderId="15" xfId="0" applyFont="1" applyFill="1" applyBorder="1" applyAlignment="1">
      <alignment horizontal="center"/>
    </xf>
    <xf numFmtId="0" fontId="4" fillId="0" borderId="15" xfId="0" applyFont="1" applyFill="1" applyBorder="1" applyAlignment="1">
      <alignment horizontal="center"/>
    </xf>
    <xf numFmtId="0" fontId="4" fillId="0" borderId="15" xfId="0" applyFont="1" applyFill="1" applyBorder="1" applyAlignment="1"/>
    <xf numFmtId="2" fontId="4" fillId="0" borderId="10" xfId="0" applyNumberFormat="1" applyFont="1" applyFill="1" applyBorder="1" applyAlignment="1">
      <alignment horizontal="right"/>
    </xf>
    <xf numFmtId="0" fontId="4" fillId="0" borderId="8" xfId="0" applyFont="1" applyFill="1" applyBorder="1" applyAlignment="1">
      <alignment horizontal="left"/>
    </xf>
    <xf numFmtId="0" fontId="5" fillId="0" borderId="15" xfId="0" applyFont="1" applyFill="1" applyBorder="1"/>
    <xf numFmtId="16" fontId="4" fillId="2" borderId="15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left" indent="2"/>
    </xf>
    <xf numFmtId="20" fontId="1" fillId="0" borderId="15" xfId="0" applyNumberFormat="1" applyFont="1" applyFill="1" applyBorder="1" applyAlignment="1">
      <alignment horizontal="center"/>
    </xf>
    <xf numFmtId="2" fontId="0" fillId="0" borderId="0" xfId="0" applyNumberFormat="1"/>
    <xf numFmtId="2" fontId="0" fillId="0" borderId="0" xfId="0" applyNumberFormat="1" applyFill="1"/>
    <xf numFmtId="0" fontId="0" fillId="2" borderId="0" xfId="0" applyFill="1"/>
    <xf numFmtId="0" fontId="1" fillId="2" borderId="15" xfId="0" applyFont="1" applyFill="1" applyBorder="1" applyAlignment="1">
      <alignment horizontal="center"/>
    </xf>
    <xf numFmtId="0" fontId="5" fillId="2" borderId="15" xfId="0" applyFont="1" applyFill="1" applyBorder="1"/>
    <xf numFmtId="0" fontId="0" fillId="0" borderId="0" xfId="0" applyFill="1" applyBorder="1"/>
    <xf numFmtId="16" fontId="0" fillId="0" borderId="0" xfId="0" applyNumberFormat="1"/>
    <xf numFmtId="1" fontId="0" fillId="0" borderId="0" xfId="0" applyNumberFormat="1"/>
    <xf numFmtId="0" fontId="0" fillId="0" borderId="7" xfId="0" applyFill="1" applyBorder="1"/>
    <xf numFmtId="164" fontId="0" fillId="0" borderId="0" xfId="0" applyNumberFormat="1"/>
    <xf numFmtId="0" fontId="4" fillId="0" borderId="8" xfId="0" quotePrefix="1" applyFont="1" applyFill="1" applyBorder="1" applyAlignment="1">
      <alignment horizontal="left"/>
    </xf>
    <xf numFmtId="0" fontId="4" fillId="3" borderId="15" xfId="0" applyNumberFormat="1" applyFont="1" applyFill="1" applyBorder="1" applyAlignment="1">
      <alignment horizontal="center"/>
    </xf>
    <xf numFmtId="16" fontId="4" fillId="3" borderId="15" xfId="0" applyNumberFormat="1" applyFont="1" applyFill="1" applyBorder="1" applyAlignment="1">
      <alignment horizontal="center"/>
    </xf>
    <xf numFmtId="0" fontId="1" fillId="3" borderId="15" xfId="0" applyFont="1" applyFill="1" applyBorder="1" applyAlignment="1">
      <alignment horizontal="left" indent="2"/>
    </xf>
    <xf numFmtId="0" fontId="1" fillId="3" borderId="15" xfId="0" applyFont="1" applyFill="1" applyBorder="1" applyAlignment="1">
      <alignment horizontal="center"/>
    </xf>
    <xf numFmtId="20" fontId="1" fillId="3" borderId="15" xfId="0" applyNumberFormat="1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5" xfId="0" applyFont="1" applyFill="1" applyBorder="1" applyAlignment="1"/>
    <xf numFmtId="2" fontId="4" fillId="3" borderId="10" xfId="0" applyNumberFormat="1" applyFont="1" applyFill="1" applyBorder="1" applyAlignment="1">
      <alignment horizontal="right"/>
    </xf>
    <xf numFmtId="0" fontId="4" fillId="3" borderId="8" xfId="0" applyFont="1" applyFill="1" applyBorder="1" applyAlignment="1">
      <alignment horizontal="left"/>
    </xf>
    <xf numFmtId="0" fontId="5" fillId="3" borderId="15" xfId="0" applyFont="1" applyFill="1" applyBorder="1"/>
    <xf numFmtId="0" fontId="0" fillId="3" borderId="0" xfId="0" applyFill="1"/>
    <xf numFmtId="2" fontId="5" fillId="0" borderId="15" xfId="0" applyNumberFormat="1" applyFont="1" applyFill="1" applyBorder="1"/>
    <xf numFmtId="0" fontId="4" fillId="4" borderId="15" xfId="0" applyNumberFormat="1" applyFont="1" applyFill="1" applyBorder="1" applyAlignment="1">
      <alignment horizontal="center"/>
    </xf>
    <xf numFmtId="16" fontId="4" fillId="4" borderId="15" xfId="0" applyNumberFormat="1" applyFont="1" applyFill="1" applyBorder="1" applyAlignment="1">
      <alignment horizontal="center"/>
    </xf>
    <xf numFmtId="0" fontId="1" fillId="4" borderId="15" xfId="0" applyFont="1" applyFill="1" applyBorder="1" applyAlignment="1">
      <alignment horizontal="left" indent="2"/>
    </xf>
    <xf numFmtId="0" fontId="1" fillId="4" borderId="15" xfId="0" applyFont="1" applyFill="1" applyBorder="1" applyAlignment="1">
      <alignment horizontal="center"/>
    </xf>
    <xf numFmtId="20" fontId="1" fillId="4" borderId="15" xfId="0" applyNumberFormat="1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15" xfId="0" applyFont="1" applyFill="1" applyBorder="1" applyAlignment="1"/>
    <xf numFmtId="2" fontId="4" fillId="4" borderId="10" xfId="0" applyNumberFormat="1" applyFont="1" applyFill="1" applyBorder="1" applyAlignment="1">
      <alignment horizontal="right"/>
    </xf>
    <xf numFmtId="0" fontId="4" fillId="4" borderId="8" xfId="0" applyFont="1" applyFill="1" applyBorder="1" applyAlignment="1">
      <alignment horizontal="left"/>
    </xf>
    <xf numFmtId="0" fontId="5" fillId="4" borderId="15" xfId="0" applyFont="1" applyFill="1" applyBorder="1"/>
    <xf numFmtId="0" fontId="0" fillId="4" borderId="0" xfId="0" applyFill="1"/>
    <xf numFmtId="0" fontId="1" fillId="5" borderId="15" xfId="0" applyFont="1" applyFill="1" applyBorder="1" applyAlignment="1">
      <alignment horizontal="left" indent="2"/>
    </xf>
    <xf numFmtId="0" fontId="1" fillId="5" borderId="15" xfId="0" applyFont="1" applyFill="1" applyBorder="1" applyAlignment="1">
      <alignment horizontal="center"/>
    </xf>
    <xf numFmtId="20" fontId="1" fillId="5" borderId="15" xfId="0" applyNumberFormat="1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5" borderId="15" xfId="0" applyFont="1" applyFill="1" applyBorder="1" applyAlignment="1"/>
    <xf numFmtId="2" fontId="4" fillId="5" borderId="10" xfId="0" applyNumberFormat="1" applyFont="1" applyFill="1" applyBorder="1" applyAlignment="1">
      <alignment horizontal="right"/>
    </xf>
    <xf numFmtId="0" fontId="4" fillId="5" borderId="8" xfId="0" applyFont="1" applyFill="1" applyBorder="1" applyAlignment="1">
      <alignment horizontal="left"/>
    </xf>
    <xf numFmtId="20" fontId="1" fillId="2" borderId="15" xfId="0" applyNumberFormat="1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5" xfId="0" applyFont="1" applyFill="1" applyBorder="1" applyAlignment="1"/>
    <xf numFmtId="2" fontId="4" fillId="2" borderId="10" xfId="0" applyNumberFormat="1" applyFont="1" applyFill="1" applyBorder="1" applyAlignment="1">
      <alignment horizontal="right"/>
    </xf>
    <xf numFmtId="0" fontId="4" fillId="2" borderId="8" xfId="0" applyFont="1" applyFill="1" applyBorder="1" applyAlignment="1">
      <alignment horizontal="left"/>
    </xf>
    <xf numFmtId="16" fontId="4" fillId="6" borderId="15" xfId="0" applyNumberFormat="1" applyFont="1" applyFill="1" applyBorder="1" applyAlignment="1">
      <alignment horizontal="center"/>
    </xf>
    <xf numFmtId="0" fontId="1" fillId="6" borderId="15" xfId="0" applyFont="1" applyFill="1" applyBorder="1" applyAlignment="1">
      <alignment horizontal="left" indent="2"/>
    </xf>
    <xf numFmtId="0" fontId="4" fillId="7" borderId="15" xfId="0" applyNumberFormat="1" applyFont="1" applyFill="1" applyBorder="1" applyAlignment="1">
      <alignment horizontal="center"/>
    </xf>
    <xf numFmtId="16" fontId="4" fillId="7" borderId="15" xfId="0" applyNumberFormat="1" applyFont="1" applyFill="1" applyBorder="1" applyAlignment="1">
      <alignment horizontal="center"/>
    </xf>
    <xf numFmtId="0" fontId="1" fillId="7" borderId="15" xfId="0" applyFont="1" applyFill="1" applyBorder="1" applyAlignment="1">
      <alignment horizontal="left" indent="2"/>
    </xf>
    <xf numFmtId="0" fontId="1" fillId="7" borderId="15" xfId="0" applyFont="1" applyFill="1" applyBorder="1" applyAlignment="1">
      <alignment horizontal="center"/>
    </xf>
    <xf numFmtId="20" fontId="1" fillId="7" borderId="15" xfId="0" applyNumberFormat="1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4" fillId="7" borderId="15" xfId="0" applyFont="1" applyFill="1" applyBorder="1" applyAlignment="1"/>
    <xf numFmtId="2" fontId="4" fillId="7" borderId="10" xfId="0" applyNumberFormat="1" applyFont="1" applyFill="1" applyBorder="1" applyAlignment="1">
      <alignment horizontal="right"/>
    </xf>
    <xf numFmtId="0" fontId="4" fillId="7" borderId="8" xfId="0" applyFont="1" applyFill="1" applyBorder="1" applyAlignment="1">
      <alignment horizontal="left"/>
    </xf>
    <xf numFmtId="0" fontId="5" fillId="7" borderId="15" xfId="0" applyFont="1" applyFill="1" applyBorder="1"/>
    <xf numFmtId="0" fontId="0" fillId="7" borderId="0" xfId="0" applyFill="1"/>
    <xf numFmtId="20" fontId="1" fillId="7" borderId="13" xfId="0" applyNumberFormat="1" applyFont="1" applyFill="1" applyBorder="1" applyAlignment="1">
      <alignment horizontal="center"/>
    </xf>
    <xf numFmtId="12" fontId="5" fillId="0" borderId="15" xfId="0" applyNumberFormat="1" applyFont="1" applyFill="1" applyBorder="1"/>
    <xf numFmtId="0" fontId="4" fillId="5" borderId="15" xfId="0" applyNumberFormat="1" applyFont="1" applyFill="1" applyBorder="1" applyAlignment="1">
      <alignment horizontal="center"/>
    </xf>
    <xf numFmtId="16" fontId="4" fillId="5" borderId="15" xfId="0" applyNumberFormat="1" applyFont="1" applyFill="1" applyBorder="1" applyAlignment="1">
      <alignment horizontal="center"/>
    </xf>
    <xf numFmtId="0" fontId="5" fillId="5" borderId="15" xfId="0" applyFont="1" applyFill="1" applyBorder="1"/>
    <xf numFmtId="0" fontId="0" fillId="5" borderId="0" xfId="0" applyFill="1"/>
    <xf numFmtId="49" fontId="4" fillId="0" borderId="15" xfId="0" applyNumberFormat="1" applyFont="1" applyFill="1" applyBorder="1" applyAlignment="1">
      <alignment horizontal="center"/>
    </xf>
    <xf numFmtId="20" fontId="0" fillId="0" borderId="0" xfId="0" applyNumberFormat="1"/>
    <xf numFmtId="0" fontId="1" fillId="0" borderId="15" xfId="0" quotePrefix="1" applyFont="1" applyFill="1" applyBorder="1" applyAlignment="1">
      <alignment horizontal="center"/>
    </xf>
    <xf numFmtId="0" fontId="1" fillId="8" borderId="15" xfId="0" applyFont="1" applyFill="1" applyBorder="1" applyAlignment="1">
      <alignment horizontal="left" indent="2"/>
    </xf>
    <xf numFmtId="0" fontId="1" fillId="8" borderId="15" xfId="0" applyFont="1" applyFill="1" applyBorder="1" applyAlignment="1">
      <alignment horizontal="center"/>
    </xf>
    <xf numFmtId="20" fontId="1" fillId="8" borderId="15" xfId="0" applyNumberFormat="1" applyFont="1" applyFill="1" applyBorder="1" applyAlignment="1">
      <alignment horizontal="center"/>
    </xf>
    <xf numFmtId="0" fontId="4" fillId="8" borderId="15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left"/>
    </xf>
    <xf numFmtId="0" fontId="5" fillId="8" borderId="15" xfId="0" applyFont="1" applyFill="1" applyBorder="1"/>
    <xf numFmtId="2" fontId="4" fillId="0" borderId="4" xfId="0" applyNumberFormat="1" applyFont="1" applyFill="1" applyBorder="1" applyAlignment="1">
      <alignment horizontal="right"/>
    </xf>
    <xf numFmtId="0" fontId="1" fillId="0" borderId="13" xfId="0" applyFont="1" applyFill="1" applyBorder="1" applyAlignment="1">
      <alignment horizontal="center"/>
    </xf>
    <xf numFmtId="16" fontId="4" fillId="8" borderId="15" xfId="0" applyNumberFormat="1" applyFont="1" applyFill="1" applyBorder="1" applyAlignment="1">
      <alignment horizontal="center"/>
    </xf>
    <xf numFmtId="0" fontId="1" fillId="0" borderId="15" xfId="0" applyFont="1" applyFill="1" applyBorder="1" applyAlignment="1">
      <alignment horizontal="left"/>
    </xf>
    <xf numFmtId="0" fontId="4" fillId="0" borderId="13" xfId="0" applyFont="1" applyFill="1" applyBorder="1" applyAlignment="1"/>
    <xf numFmtId="0" fontId="4" fillId="0" borderId="15" xfId="0" applyFont="1" applyFill="1" applyBorder="1" applyAlignment="1">
      <alignment horizontal="left"/>
    </xf>
    <xf numFmtId="0" fontId="4" fillId="2" borderId="15" xfId="0" applyNumberFormat="1" applyFont="1" applyFill="1" applyBorder="1" applyAlignment="1">
      <alignment horizontal="center"/>
    </xf>
    <xf numFmtId="1" fontId="0" fillId="2" borderId="0" xfId="0" applyNumberFormat="1" applyFill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33"/>
  <sheetViews>
    <sheetView topLeftCell="B85" zoomScale="77" zoomScaleNormal="77" workbookViewId="0">
      <selection activeCell="M101" sqref="M101"/>
    </sheetView>
  </sheetViews>
  <sheetFormatPr baseColWidth="10" defaultRowHeight="15" x14ac:dyDescent="0.25"/>
  <cols>
    <col min="1" max="1" width="11.42578125" hidden="1" customWidth="1"/>
    <col min="2" max="2" width="6.5703125" customWidth="1"/>
    <col min="3" max="3" width="25.5703125" customWidth="1"/>
    <col min="4" max="4" width="23.5703125" customWidth="1"/>
    <col min="6" max="6" width="15.28515625" customWidth="1"/>
    <col min="7" max="7" width="14.7109375" bestFit="1" customWidth="1"/>
    <col min="13" max="13" width="30.85546875" customWidth="1"/>
    <col min="16" max="16" width="31.7109375" customWidth="1"/>
  </cols>
  <sheetData>
    <row r="1" spans="1:22" x14ac:dyDescent="0.25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2"/>
      <c r="Q1" s="1"/>
      <c r="R1" s="1"/>
      <c r="S1" s="1"/>
      <c r="T1" s="1"/>
      <c r="U1" s="1"/>
      <c r="V1" s="1"/>
    </row>
    <row r="2" spans="1:22" x14ac:dyDescent="0.25">
      <c r="A2" s="103" t="s">
        <v>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5"/>
      <c r="Q2" s="1"/>
      <c r="R2" s="1"/>
      <c r="S2" s="1"/>
      <c r="T2" s="1"/>
      <c r="U2" s="1"/>
      <c r="V2" s="1"/>
    </row>
    <row r="3" spans="1:22" x14ac:dyDescent="0.25">
      <c r="A3" s="106" t="s">
        <v>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8"/>
      <c r="Q3" s="1"/>
      <c r="R3" s="1"/>
      <c r="S3" s="1"/>
      <c r="T3" s="1"/>
      <c r="U3" s="1"/>
      <c r="V3" s="1"/>
    </row>
    <row r="4" spans="1:22" x14ac:dyDescent="0.25">
      <c r="A4" s="109" t="s">
        <v>3</v>
      </c>
      <c r="B4" s="109" t="s">
        <v>4</v>
      </c>
      <c r="C4" s="109" t="s">
        <v>5</v>
      </c>
      <c r="D4" s="109" t="s">
        <v>6</v>
      </c>
      <c r="E4" s="109" t="s">
        <v>7</v>
      </c>
      <c r="F4" s="111" t="s">
        <v>8</v>
      </c>
      <c r="G4" s="112"/>
      <c r="H4" s="113"/>
      <c r="I4" s="111" t="s">
        <v>9</v>
      </c>
      <c r="J4" s="113"/>
      <c r="K4" s="109" t="s">
        <v>10</v>
      </c>
      <c r="L4" s="109" t="s">
        <v>11</v>
      </c>
      <c r="M4" s="109" t="s">
        <v>12</v>
      </c>
      <c r="N4" s="109" t="s">
        <v>13</v>
      </c>
      <c r="O4" s="3" t="s">
        <v>14</v>
      </c>
      <c r="P4" s="114"/>
      <c r="Q4" s="1"/>
      <c r="R4" s="1"/>
      <c r="S4" s="1"/>
      <c r="T4" s="1"/>
      <c r="U4" s="1"/>
      <c r="V4" s="1"/>
    </row>
    <row r="5" spans="1:22" x14ac:dyDescent="0.25">
      <c r="A5" s="110"/>
      <c r="B5" s="110"/>
      <c r="C5" s="110"/>
      <c r="D5" s="110"/>
      <c r="E5" s="110"/>
      <c r="F5" s="4" t="s">
        <v>15</v>
      </c>
      <c r="G5" s="4" t="s">
        <v>16</v>
      </c>
      <c r="H5" s="4" t="s">
        <v>17</v>
      </c>
      <c r="I5" s="4" t="s">
        <v>16</v>
      </c>
      <c r="J5" s="4" t="s">
        <v>17</v>
      </c>
      <c r="K5" s="110"/>
      <c r="L5" s="110"/>
      <c r="M5" s="110"/>
      <c r="N5" s="110"/>
      <c r="O5" s="5" t="s">
        <v>18</v>
      </c>
      <c r="P5" s="115"/>
      <c r="Q5" s="1"/>
      <c r="R5" s="1"/>
      <c r="S5" s="1"/>
      <c r="T5" s="1"/>
      <c r="U5" s="1"/>
      <c r="V5" s="1"/>
    </row>
    <row r="6" spans="1:22" x14ac:dyDescent="0.25">
      <c r="A6" s="6"/>
      <c r="B6" s="7">
        <v>44198</v>
      </c>
      <c r="C6" s="8" t="s">
        <v>28</v>
      </c>
      <c r="D6" s="8" t="s">
        <v>29</v>
      </c>
      <c r="E6" s="9" t="s">
        <v>30</v>
      </c>
      <c r="F6" s="9" t="s">
        <v>36</v>
      </c>
      <c r="G6" s="17">
        <v>0.62083333333333335</v>
      </c>
      <c r="H6" s="17">
        <v>0.67152777777777783</v>
      </c>
      <c r="I6" s="9">
        <v>6630</v>
      </c>
      <c r="J6" s="9">
        <v>3350</v>
      </c>
      <c r="K6" s="10">
        <f>+I6-J6</f>
        <v>3280</v>
      </c>
      <c r="L6" s="10">
        <v>5160</v>
      </c>
      <c r="M6" s="11" t="s">
        <v>31</v>
      </c>
      <c r="N6" s="12">
        <v>3280</v>
      </c>
      <c r="O6" s="13" t="s">
        <v>32</v>
      </c>
      <c r="P6" s="14"/>
      <c r="Q6" s="1"/>
      <c r="R6" s="1"/>
      <c r="S6" s="1"/>
      <c r="T6" s="1"/>
      <c r="U6" s="1"/>
      <c r="V6" s="1"/>
    </row>
    <row r="7" spans="1:22" x14ac:dyDescent="0.25">
      <c r="A7" s="6"/>
      <c r="B7" s="7">
        <v>44198</v>
      </c>
      <c r="C7" s="8" t="s">
        <v>33</v>
      </c>
      <c r="D7" s="8" t="s">
        <v>34</v>
      </c>
      <c r="E7" s="9" t="s">
        <v>35</v>
      </c>
      <c r="F7" s="9" t="s">
        <v>36</v>
      </c>
      <c r="G7" s="17">
        <v>0.69236111111111109</v>
      </c>
      <c r="H7" s="17">
        <v>0.71666666666666667</v>
      </c>
      <c r="I7" s="9">
        <v>9820</v>
      </c>
      <c r="J7" s="9">
        <v>5310</v>
      </c>
      <c r="K7" s="10">
        <f t="shared" ref="K7:K70" si="0">+I7-J7</f>
        <v>4510</v>
      </c>
      <c r="L7" s="10">
        <v>26242</v>
      </c>
      <c r="M7" s="11" t="s">
        <v>31</v>
      </c>
      <c r="N7" s="12">
        <v>4510</v>
      </c>
      <c r="O7" s="13" t="s">
        <v>32</v>
      </c>
      <c r="P7" s="14"/>
      <c r="Q7" s="1"/>
      <c r="R7" s="1"/>
      <c r="S7" s="1"/>
      <c r="T7" s="1"/>
      <c r="U7" s="1"/>
      <c r="V7" s="1"/>
    </row>
    <row r="8" spans="1:22" x14ac:dyDescent="0.25">
      <c r="A8" s="6"/>
      <c r="B8" s="7">
        <v>44198</v>
      </c>
      <c r="C8" s="8" t="s">
        <v>37</v>
      </c>
      <c r="D8" s="8" t="s">
        <v>38</v>
      </c>
      <c r="E8" s="9" t="s">
        <v>39</v>
      </c>
      <c r="F8" s="9" t="s">
        <v>36</v>
      </c>
      <c r="G8" s="17">
        <v>0.74791666666666667</v>
      </c>
      <c r="H8" s="17">
        <v>0.77569444444444446</v>
      </c>
      <c r="I8" s="9">
        <v>9945</v>
      </c>
      <c r="J8" s="9">
        <v>6200</v>
      </c>
      <c r="K8" s="10">
        <f t="shared" si="0"/>
        <v>3745</v>
      </c>
      <c r="L8" s="10">
        <v>26243</v>
      </c>
      <c r="M8" s="11" t="s">
        <v>40</v>
      </c>
      <c r="N8" s="12">
        <v>3745</v>
      </c>
      <c r="O8" s="13" t="s">
        <v>32</v>
      </c>
      <c r="P8" s="14"/>
      <c r="Q8" s="1"/>
      <c r="R8" s="1"/>
      <c r="S8" s="1"/>
      <c r="T8" s="1"/>
      <c r="U8" s="1"/>
      <c r="V8" s="1"/>
    </row>
    <row r="9" spans="1:22" x14ac:dyDescent="0.25">
      <c r="A9" s="6"/>
      <c r="B9" s="7">
        <v>44198</v>
      </c>
      <c r="C9" s="8" t="s">
        <v>37</v>
      </c>
      <c r="D9" s="8" t="s">
        <v>41</v>
      </c>
      <c r="E9" s="9" t="s">
        <v>42</v>
      </c>
      <c r="F9" s="9" t="s">
        <v>36</v>
      </c>
      <c r="G9" s="17">
        <v>0.86875000000000002</v>
      </c>
      <c r="H9" s="17">
        <v>0.88194444444444453</v>
      </c>
      <c r="I9" s="9">
        <v>14205</v>
      </c>
      <c r="J9" s="9">
        <v>6260</v>
      </c>
      <c r="K9" s="10">
        <f t="shared" si="0"/>
        <v>7945</v>
      </c>
      <c r="L9" s="10">
        <v>26244</v>
      </c>
      <c r="M9" s="11" t="s">
        <v>40</v>
      </c>
      <c r="N9" s="12">
        <v>7945</v>
      </c>
      <c r="O9" s="13" t="s">
        <v>32</v>
      </c>
      <c r="P9" s="14"/>
      <c r="Q9" s="1"/>
      <c r="R9" s="1"/>
      <c r="S9" s="1"/>
      <c r="T9" s="1"/>
      <c r="U9" s="1"/>
      <c r="V9" s="1"/>
    </row>
    <row r="10" spans="1:22" x14ac:dyDescent="0.25">
      <c r="A10" s="6"/>
      <c r="B10" s="7">
        <v>44198</v>
      </c>
      <c r="C10" s="8" t="s">
        <v>43</v>
      </c>
      <c r="D10" s="8" t="s">
        <v>44</v>
      </c>
      <c r="E10" s="9" t="s">
        <v>45</v>
      </c>
      <c r="F10" s="9" t="s">
        <v>46</v>
      </c>
      <c r="G10" s="17">
        <v>0.87638888888888899</v>
      </c>
      <c r="H10" s="17">
        <v>0.39999999999999997</v>
      </c>
      <c r="I10" s="9">
        <v>17360</v>
      </c>
      <c r="J10" s="9">
        <v>8290</v>
      </c>
      <c r="K10" s="10">
        <f t="shared" si="0"/>
        <v>9070</v>
      </c>
      <c r="L10" s="10" t="s">
        <v>47</v>
      </c>
      <c r="M10" s="11" t="s">
        <v>48</v>
      </c>
      <c r="N10" s="12">
        <v>18236.400000000001</v>
      </c>
      <c r="O10" s="13" t="s">
        <v>49</v>
      </c>
      <c r="P10" s="14"/>
      <c r="Q10" s="1"/>
      <c r="R10" s="1"/>
      <c r="S10" s="1"/>
      <c r="T10" s="1"/>
      <c r="U10" s="1"/>
      <c r="V10" s="1"/>
    </row>
    <row r="11" spans="1:22" x14ac:dyDescent="0.25">
      <c r="A11" s="6"/>
      <c r="B11" s="7">
        <v>44199</v>
      </c>
      <c r="C11" s="8" t="s">
        <v>55</v>
      </c>
      <c r="D11" s="8" t="s">
        <v>50</v>
      </c>
      <c r="E11" s="9" t="s">
        <v>51</v>
      </c>
      <c r="F11" s="9" t="s">
        <v>52</v>
      </c>
      <c r="G11" s="17">
        <v>0.38472222222222219</v>
      </c>
      <c r="H11" s="17">
        <v>0.4458333333333333</v>
      </c>
      <c r="I11" s="9">
        <v>14890</v>
      </c>
      <c r="J11" s="9">
        <v>50000</v>
      </c>
      <c r="K11" s="10">
        <f t="shared" si="0"/>
        <v>-35110</v>
      </c>
      <c r="L11" s="10">
        <v>5644</v>
      </c>
      <c r="M11" s="11" t="s">
        <v>53</v>
      </c>
      <c r="N11" s="12">
        <v>700</v>
      </c>
      <c r="O11" s="13" t="s">
        <v>54</v>
      </c>
      <c r="P11" s="14"/>
      <c r="Q11" s="1"/>
      <c r="R11" s="1"/>
      <c r="S11" s="1"/>
      <c r="T11" s="1"/>
      <c r="U11" s="1"/>
      <c r="V11" s="1"/>
    </row>
    <row r="12" spans="1:22" x14ac:dyDescent="0.25">
      <c r="A12" s="6"/>
      <c r="B12" s="7">
        <v>44199</v>
      </c>
      <c r="C12" s="8" t="s">
        <v>56</v>
      </c>
      <c r="D12" s="8" t="s">
        <v>57</v>
      </c>
      <c r="E12" s="9" t="s">
        <v>58</v>
      </c>
      <c r="F12" s="9" t="s">
        <v>59</v>
      </c>
      <c r="G12" s="17">
        <v>0.79791666666666661</v>
      </c>
      <c r="H12" s="17">
        <v>0.84236111111111101</v>
      </c>
      <c r="I12" s="9">
        <v>11110</v>
      </c>
      <c r="J12" s="9">
        <v>4930</v>
      </c>
      <c r="K12" s="10">
        <f t="shared" si="0"/>
        <v>6180</v>
      </c>
      <c r="L12" s="10">
        <v>44242</v>
      </c>
      <c r="M12" s="11" t="s">
        <v>31</v>
      </c>
      <c r="N12" s="12">
        <v>14290</v>
      </c>
      <c r="O12" s="13" t="s">
        <v>49</v>
      </c>
      <c r="P12" s="14"/>
      <c r="Q12" s="1"/>
      <c r="R12" s="1"/>
      <c r="S12" s="1"/>
      <c r="T12" s="1"/>
      <c r="U12" s="1"/>
      <c r="V12" s="1"/>
    </row>
    <row r="13" spans="1:22" x14ac:dyDescent="0.25">
      <c r="A13" s="6"/>
      <c r="B13" s="7">
        <v>44199</v>
      </c>
      <c r="C13" s="8" t="s">
        <v>60</v>
      </c>
      <c r="D13" s="8" t="s">
        <v>61</v>
      </c>
      <c r="E13" s="9" t="s">
        <v>62</v>
      </c>
      <c r="F13" s="9" t="s">
        <v>59</v>
      </c>
      <c r="G13" s="17">
        <v>0.7993055555555556</v>
      </c>
      <c r="H13" s="17">
        <v>0.83680555555555547</v>
      </c>
      <c r="I13" s="9">
        <v>5630</v>
      </c>
      <c r="J13" s="9">
        <v>3400</v>
      </c>
      <c r="K13" s="10">
        <f t="shared" si="0"/>
        <v>2230</v>
      </c>
      <c r="L13" s="10" t="s">
        <v>63</v>
      </c>
      <c r="M13" s="11" t="s">
        <v>31</v>
      </c>
      <c r="N13" s="12">
        <f>3625+800</f>
        <v>4425</v>
      </c>
      <c r="O13" s="13" t="s">
        <v>49</v>
      </c>
      <c r="P13" s="14"/>
      <c r="Q13" s="1"/>
      <c r="R13" s="1"/>
      <c r="S13" s="18"/>
      <c r="T13" s="1"/>
      <c r="U13" s="1"/>
      <c r="V13" s="1"/>
    </row>
    <row r="14" spans="1:22" x14ac:dyDescent="0.25">
      <c r="A14" s="6"/>
      <c r="B14" s="7">
        <v>44199</v>
      </c>
      <c r="C14" s="8" t="s">
        <v>64</v>
      </c>
      <c r="D14" s="8" t="s">
        <v>65</v>
      </c>
      <c r="E14" s="9" t="s">
        <v>66</v>
      </c>
      <c r="F14" s="9" t="s">
        <v>59</v>
      </c>
      <c r="G14" s="17">
        <v>0.83472222222222225</v>
      </c>
      <c r="H14" s="17">
        <v>0.85069444444444453</v>
      </c>
      <c r="I14" s="9">
        <v>4580</v>
      </c>
      <c r="J14" s="9">
        <v>3280</v>
      </c>
      <c r="K14" s="10">
        <f t="shared" si="0"/>
        <v>1300</v>
      </c>
      <c r="L14" s="10">
        <v>4015</v>
      </c>
      <c r="M14" s="11" t="s">
        <v>31</v>
      </c>
      <c r="N14" s="12">
        <f>1050+1626.2+200</f>
        <v>2876.2</v>
      </c>
      <c r="O14" s="13" t="s">
        <v>49</v>
      </c>
      <c r="P14" s="14"/>
      <c r="Q14" s="1"/>
      <c r="R14" s="18"/>
      <c r="S14" s="1"/>
      <c r="T14" s="1"/>
      <c r="U14" s="1"/>
      <c r="V14" s="1"/>
    </row>
    <row r="15" spans="1:22" x14ac:dyDescent="0.25">
      <c r="A15" s="6"/>
      <c r="B15" s="7">
        <v>44199</v>
      </c>
      <c r="C15" s="8" t="s">
        <v>67</v>
      </c>
      <c r="D15" s="8" t="s">
        <v>68</v>
      </c>
      <c r="E15" s="9" t="s">
        <v>69</v>
      </c>
      <c r="F15" s="9" t="s">
        <v>59</v>
      </c>
      <c r="G15" s="17">
        <v>0.84513888888888899</v>
      </c>
      <c r="H15" s="17">
        <v>0.87847222222222221</v>
      </c>
      <c r="I15" s="9">
        <v>6600</v>
      </c>
      <c r="J15" s="9">
        <v>4890</v>
      </c>
      <c r="K15" s="10">
        <f t="shared" si="0"/>
        <v>1710</v>
      </c>
      <c r="L15" s="10">
        <v>872</v>
      </c>
      <c r="M15" s="11" t="s">
        <v>31</v>
      </c>
      <c r="N15" s="12">
        <v>3192.5</v>
      </c>
      <c r="O15" s="13" t="s">
        <v>49</v>
      </c>
      <c r="P15" s="14"/>
      <c r="Q15" s="1"/>
      <c r="R15" s="1"/>
      <c r="S15" s="1"/>
      <c r="T15" s="1"/>
      <c r="U15" s="1"/>
      <c r="V15" s="1"/>
    </row>
    <row r="16" spans="1:22" x14ac:dyDescent="0.25">
      <c r="A16" s="6"/>
      <c r="B16" s="7">
        <v>44199</v>
      </c>
      <c r="C16" s="8" t="s">
        <v>70</v>
      </c>
      <c r="D16" s="8" t="s">
        <v>71</v>
      </c>
      <c r="E16" s="9" t="s">
        <v>72</v>
      </c>
      <c r="F16" s="9" t="s">
        <v>59</v>
      </c>
      <c r="G16" s="17">
        <v>0.84583333333333333</v>
      </c>
      <c r="H16" s="17">
        <v>0.89513888888888893</v>
      </c>
      <c r="I16" s="9">
        <v>10560</v>
      </c>
      <c r="J16" s="9">
        <v>5920</v>
      </c>
      <c r="K16" s="10">
        <f t="shared" si="0"/>
        <v>4640</v>
      </c>
      <c r="L16" s="10">
        <v>119903</v>
      </c>
      <c r="M16" s="11" t="s">
        <v>31</v>
      </c>
      <c r="N16" s="12">
        <v>4640</v>
      </c>
      <c r="O16" s="13" t="s">
        <v>32</v>
      </c>
      <c r="P16" s="14"/>
      <c r="Q16" s="2"/>
      <c r="R16" s="1"/>
      <c r="S16" s="18"/>
      <c r="T16" s="18"/>
      <c r="U16" s="1"/>
      <c r="V16" s="23"/>
    </row>
    <row r="17" spans="1:26" x14ac:dyDescent="0.25">
      <c r="A17" s="6"/>
      <c r="B17" s="7">
        <v>44199</v>
      </c>
      <c r="C17" s="8" t="s">
        <v>67</v>
      </c>
      <c r="D17" s="8" t="s">
        <v>73</v>
      </c>
      <c r="E17" s="9" t="s">
        <v>74</v>
      </c>
      <c r="F17" s="9" t="s">
        <v>59</v>
      </c>
      <c r="G17" s="17">
        <v>0.85625000000000007</v>
      </c>
      <c r="H17" s="17">
        <v>0.91180555555555554</v>
      </c>
      <c r="I17" s="9">
        <v>9790</v>
      </c>
      <c r="J17" s="9">
        <v>5040</v>
      </c>
      <c r="K17" s="10">
        <f t="shared" si="0"/>
        <v>4750</v>
      </c>
      <c r="L17" s="10">
        <v>1702</v>
      </c>
      <c r="M17" s="11" t="s">
        <v>31</v>
      </c>
      <c r="N17" s="12">
        <v>9660.4</v>
      </c>
      <c r="O17" s="13" t="s">
        <v>49</v>
      </c>
      <c r="P17" s="14"/>
      <c r="Q17" s="1"/>
      <c r="R17" s="1"/>
      <c r="S17" s="1"/>
      <c r="T17" s="18"/>
      <c r="U17" s="1"/>
      <c r="V17" s="23"/>
      <c r="W17" s="1"/>
      <c r="X17" s="1"/>
      <c r="Y17" s="1"/>
      <c r="Z17" s="1"/>
    </row>
    <row r="18" spans="1:26" x14ac:dyDescent="0.25">
      <c r="A18" s="6"/>
      <c r="B18" s="7">
        <v>44199</v>
      </c>
      <c r="C18" s="8" t="s">
        <v>75</v>
      </c>
      <c r="D18" s="8" t="s">
        <v>79</v>
      </c>
      <c r="E18" s="9" t="s">
        <v>76</v>
      </c>
      <c r="F18" s="9" t="s">
        <v>59</v>
      </c>
      <c r="G18" s="17">
        <v>0.85763888888888884</v>
      </c>
      <c r="H18" s="17">
        <v>0.87013888888888891</v>
      </c>
      <c r="I18" s="9">
        <v>7010</v>
      </c>
      <c r="J18" s="9">
        <v>8580</v>
      </c>
      <c r="K18" s="10">
        <f t="shared" si="0"/>
        <v>-1570</v>
      </c>
      <c r="L18" s="10">
        <v>80713</v>
      </c>
      <c r="M18" s="11" t="s">
        <v>77</v>
      </c>
      <c r="N18" s="12">
        <v>12</v>
      </c>
      <c r="O18" s="13" t="s">
        <v>80</v>
      </c>
      <c r="P18" s="14"/>
      <c r="Q18" s="1" t="s">
        <v>93</v>
      </c>
      <c r="R18" s="1"/>
      <c r="S18" s="1"/>
      <c r="T18" s="18"/>
      <c r="U18" s="1"/>
      <c r="V18" s="23"/>
      <c r="W18" s="1"/>
      <c r="X18" s="1"/>
      <c r="Y18" s="1"/>
      <c r="Z18" s="1"/>
    </row>
    <row r="19" spans="1:26" x14ac:dyDescent="0.25">
      <c r="A19" s="6"/>
      <c r="B19" s="7">
        <v>44199</v>
      </c>
      <c r="C19" s="8" t="s">
        <v>37</v>
      </c>
      <c r="D19" s="8" t="s">
        <v>41</v>
      </c>
      <c r="E19" s="9" t="s">
        <v>42</v>
      </c>
      <c r="F19" s="9" t="s">
        <v>36</v>
      </c>
      <c r="G19" s="17">
        <v>0.86041666666666661</v>
      </c>
      <c r="H19" s="17">
        <v>0.87361111111111101</v>
      </c>
      <c r="I19" s="9">
        <v>12190</v>
      </c>
      <c r="J19" s="9">
        <v>6240</v>
      </c>
      <c r="K19" s="10">
        <f t="shared" si="0"/>
        <v>5950</v>
      </c>
      <c r="L19" s="10">
        <v>26245</v>
      </c>
      <c r="M19" s="11" t="s">
        <v>78</v>
      </c>
      <c r="N19" s="12">
        <v>5950</v>
      </c>
      <c r="O19" s="13" t="s">
        <v>32</v>
      </c>
      <c r="P19" s="14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6"/>
      <c r="B20" s="15">
        <v>44200</v>
      </c>
      <c r="C20" s="8" t="s">
        <v>55</v>
      </c>
      <c r="D20" s="8" t="s">
        <v>81</v>
      </c>
      <c r="E20" s="9" t="s">
        <v>82</v>
      </c>
      <c r="F20" s="9" t="s">
        <v>36</v>
      </c>
      <c r="G20" s="17">
        <v>0.33611111111111108</v>
      </c>
      <c r="H20" s="17">
        <v>0.3923611111111111</v>
      </c>
      <c r="I20" s="9">
        <v>10490</v>
      </c>
      <c r="J20" s="9">
        <v>30460</v>
      </c>
      <c r="K20" s="10">
        <f t="shared" si="0"/>
        <v>-19970</v>
      </c>
      <c r="L20" s="10">
        <v>5646</v>
      </c>
      <c r="M20" s="11" t="s">
        <v>83</v>
      </c>
      <c r="N20" s="12">
        <v>5747</v>
      </c>
      <c r="O20" s="13" t="s">
        <v>84</v>
      </c>
      <c r="P20" s="14"/>
      <c r="Q20" s="2"/>
      <c r="R20" s="1" t="s">
        <v>90</v>
      </c>
      <c r="S20" s="1">
        <v>8</v>
      </c>
      <c r="T20" s="18">
        <v>58</v>
      </c>
      <c r="U20" s="1">
        <f>+T20*S20</f>
        <v>464</v>
      </c>
      <c r="V20" s="23"/>
      <c r="W20" s="1"/>
      <c r="X20" s="1"/>
      <c r="Y20" s="1"/>
      <c r="Z20" s="1"/>
    </row>
    <row r="21" spans="1:26" x14ac:dyDescent="0.25">
      <c r="A21" s="6"/>
      <c r="B21" s="7">
        <v>44200</v>
      </c>
      <c r="C21" s="8" t="s">
        <v>85</v>
      </c>
      <c r="D21" s="8" t="s">
        <v>86</v>
      </c>
      <c r="E21" s="9" t="s">
        <v>87</v>
      </c>
      <c r="F21" s="9" t="s">
        <v>88</v>
      </c>
      <c r="G21" s="17">
        <v>0.36180555555555555</v>
      </c>
      <c r="H21" s="17">
        <v>0.38541666666666669</v>
      </c>
      <c r="I21" s="9">
        <v>16190</v>
      </c>
      <c r="J21" s="9">
        <v>37620</v>
      </c>
      <c r="K21" s="10">
        <f t="shared" si="0"/>
        <v>-21430</v>
      </c>
      <c r="L21" s="10">
        <v>5645</v>
      </c>
      <c r="M21" s="11" t="s">
        <v>89</v>
      </c>
      <c r="N21" s="12">
        <v>20282</v>
      </c>
      <c r="O21" s="13" t="s">
        <v>32</v>
      </c>
      <c r="P21" s="14" t="s">
        <v>92</v>
      </c>
      <c r="Q21" s="2"/>
      <c r="R21" s="1" t="s">
        <v>91</v>
      </c>
      <c r="S21" s="1">
        <v>12</v>
      </c>
      <c r="T21" s="18">
        <v>57</v>
      </c>
      <c r="U21" s="1">
        <f>+T21*S21</f>
        <v>684</v>
      </c>
      <c r="V21" s="23"/>
      <c r="W21" s="1"/>
      <c r="X21" s="1"/>
      <c r="Y21" s="1"/>
      <c r="Z21" s="1"/>
    </row>
    <row r="22" spans="1:26" x14ac:dyDescent="0.25">
      <c r="A22" s="6"/>
      <c r="B22" s="7">
        <v>44200</v>
      </c>
      <c r="C22" s="8" t="s">
        <v>98</v>
      </c>
      <c r="D22" s="8" t="s">
        <v>94</v>
      </c>
      <c r="E22" s="9" t="s">
        <v>95</v>
      </c>
      <c r="F22" s="9" t="s">
        <v>99</v>
      </c>
      <c r="G22" s="17">
        <v>0.45277777777777778</v>
      </c>
      <c r="H22" s="17">
        <v>0.47152777777777777</v>
      </c>
      <c r="I22" s="9">
        <v>6040</v>
      </c>
      <c r="J22" s="9">
        <v>8390</v>
      </c>
      <c r="K22" s="10">
        <f t="shared" si="0"/>
        <v>-2350</v>
      </c>
      <c r="L22" s="10">
        <v>15209</v>
      </c>
      <c r="M22" s="11" t="s">
        <v>97</v>
      </c>
      <c r="N22" s="12">
        <v>51</v>
      </c>
      <c r="O22" s="13" t="s">
        <v>96</v>
      </c>
      <c r="P22" s="14"/>
      <c r="Q22" s="1"/>
      <c r="R22" s="1"/>
      <c r="S22" s="1">
        <f>+S21+S20</f>
        <v>20</v>
      </c>
      <c r="T22" s="18"/>
      <c r="U22" s="1">
        <f>+U21+U20</f>
        <v>1148</v>
      </c>
      <c r="V22" s="23"/>
      <c r="W22" s="1"/>
      <c r="X22" s="1"/>
      <c r="Y22" s="1"/>
      <c r="Z22" s="1"/>
    </row>
    <row r="23" spans="1:26" x14ac:dyDescent="0.25">
      <c r="A23" s="6"/>
      <c r="B23" s="7">
        <v>44200</v>
      </c>
      <c r="C23" s="16" t="s">
        <v>105</v>
      </c>
      <c r="D23" s="8" t="s">
        <v>101</v>
      </c>
      <c r="E23" s="9" t="s">
        <v>102</v>
      </c>
      <c r="F23" s="9" t="s">
        <v>36</v>
      </c>
      <c r="G23" s="17">
        <v>0.54375000000000007</v>
      </c>
      <c r="H23" s="17"/>
      <c r="I23" s="9">
        <v>16120</v>
      </c>
      <c r="J23" s="9"/>
      <c r="K23" s="10">
        <f t="shared" si="0"/>
        <v>16120</v>
      </c>
      <c r="L23" s="10"/>
      <c r="M23" s="11" t="s">
        <v>53</v>
      </c>
      <c r="N23" s="12"/>
      <c r="O23" s="13" t="s">
        <v>54</v>
      </c>
      <c r="P23" s="14" t="s">
        <v>100</v>
      </c>
      <c r="Q23" s="1">
        <v>12</v>
      </c>
      <c r="R23" s="1">
        <f>+Q23*4</f>
        <v>48</v>
      </c>
      <c r="S23" s="1"/>
      <c r="T23" s="1"/>
      <c r="U23" s="1">
        <v>21430</v>
      </c>
      <c r="V23" s="1"/>
      <c r="W23" s="1"/>
      <c r="X23" s="1"/>
      <c r="Y23" s="1"/>
      <c r="Z23" s="1"/>
    </row>
    <row r="24" spans="1:26" x14ac:dyDescent="0.25">
      <c r="A24" s="6"/>
      <c r="B24" s="7">
        <v>44200</v>
      </c>
      <c r="C24" s="8" t="s">
        <v>105</v>
      </c>
      <c r="D24" s="8" t="s">
        <v>103</v>
      </c>
      <c r="E24" s="9" t="s">
        <v>104</v>
      </c>
      <c r="F24" s="9" t="s">
        <v>36</v>
      </c>
      <c r="G24" s="17">
        <v>0.54652777777777783</v>
      </c>
      <c r="H24" s="17">
        <v>0.8652777777777777</v>
      </c>
      <c r="I24" s="9">
        <v>16910</v>
      </c>
      <c r="J24" s="9">
        <v>48170</v>
      </c>
      <c r="K24" s="10">
        <f t="shared" si="0"/>
        <v>-31260</v>
      </c>
      <c r="L24" s="10">
        <v>5648</v>
      </c>
      <c r="M24" s="11" t="s">
        <v>53</v>
      </c>
      <c r="N24" s="12">
        <v>600</v>
      </c>
      <c r="O24" s="13" t="s">
        <v>54</v>
      </c>
      <c r="P24" s="14" t="s">
        <v>167</v>
      </c>
      <c r="Q24" s="1"/>
      <c r="R24" s="1">
        <f>+R23+3</f>
        <v>51</v>
      </c>
      <c r="S24" s="18"/>
      <c r="T24" s="18"/>
      <c r="U24" s="1">
        <f>+U23-U22</f>
        <v>20282</v>
      </c>
      <c r="V24" s="1"/>
      <c r="W24" s="1"/>
      <c r="X24" s="1"/>
      <c r="Y24" s="1"/>
      <c r="Z24" s="1"/>
    </row>
    <row r="25" spans="1:26" x14ac:dyDescent="0.25">
      <c r="A25" s="6"/>
      <c r="B25" s="7">
        <v>44200</v>
      </c>
      <c r="C25" s="8" t="s">
        <v>106</v>
      </c>
      <c r="D25" s="8" t="s">
        <v>107</v>
      </c>
      <c r="E25" s="9" t="s">
        <v>108</v>
      </c>
      <c r="F25" s="9" t="s">
        <v>36</v>
      </c>
      <c r="G25" s="17">
        <v>0.59166666666666667</v>
      </c>
      <c r="H25" s="17">
        <v>0.63263888888888886</v>
      </c>
      <c r="I25" s="9">
        <v>3750</v>
      </c>
      <c r="J25" s="9">
        <v>9850</v>
      </c>
      <c r="K25" s="10">
        <f t="shared" si="0"/>
        <v>-6100</v>
      </c>
      <c r="L25" s="10">
        <v>5747</v>
      </c>
      <c r="M25" s="11" t="s">
        <v>53</v>
      </c>
      <c r="N25" s="12">
        <v>120</v>
      </c>
      <c r="O25" s="13" t="s">
        <v>54</v>
      </c>
      <c r="P25" s="14"/>
      <c r="Q25" s="1"/>
      <c r="R25" s="1"/>
      <c r="S25" s="1"/>
      <c r="T25" s="1">
        <v>2</v>
      </c>
      <c r="U25" s="1"/>
      <c r="V25" s="1"/>
      <c r="W25" s="1"/>
      <c r="X25" s="1"/>
      <c r="Y25" s="1"/>
      <c r="Z25" s="1"/>
    </row>
    <row r="26" spans="1:26" x14ac:dyDescent="0.25">
      <c r="A26" s="6"/>
      <c r="B26" s="7">
        <v>44200</v>
      </c>
      <c r="C26" s="8" t="s">
        <v>109</v>
      </c>
      <c r="D26" s="8" t="s">
        <v>44</v>
      </c>
      <c r="E26" s="9" t="s">
        <v>110</v>
      </c>
      <c r="F26" s="9" t="s">
        <v>111</v>
      </c>
      <c r="G26" s="17">
        <v>0.68680555555555556</v>
      </c>
      <c r="H26" s="17">
        <v>0.35833333333333334</v>
      </c>
      <c r="I26" s="9">
        <v>8500</v>
      </c>
      <c r="J26" s="9">
        <v>6580</v>
      </c>
      <c r="K26" s="10">
        <f t="shared" si="0"/>
        <v>1920</v>
      </c>
      <c r="L26" s="10">
        <v>3482</v>
      </c>
      <c r="M26" s="11" t="s">
        <v>48</v>
      </c>
      <c r="N26" s="12">
        <v>2845</v>
      </c>
      <c r="O26" s="13" t="s">
        <v>49</v>
      </c>
      <c r="P26" s="14"/>
      <c r="Q26" s="1">
        <v>2350</v>
      </c>
      <c r="R26" s="1"/>
      <c r="S26" s="1"/>
      <c r="T26" s="1">
        <v>5</v>
      </c>
      <c r="U26" s="1"/>
      <c r="V26" s="1"/>
      <c r="W26" s="1"/>
      <c r="X26" s="1"/>
      <c r="Y26" s="1"/>
      <c r="Z26" s="1"/>
    </row>
    <row r="27" spans="1:26" x14ac:dyDescent="0.25">
      <c r="A27" s="6"/>
      <c r="B27" s="7">
        <v>44200</v>
      </c>
      <c r="C27" s="8" t="s">
        <v>112</v>
      </c>
      <c r="D27" s="8" t="s">
        <v>61</v>
      </c>
      <c r="E27" s="9" t="s">
        <v>62</v>
      </c>
      <c r="F27" s="9" t="s">
        <v>36</v>
      </c>
      <c r="G27" s="17">
        <v>0.8041666666666667</v>
      </c>
      <c r="H27" s="17">
        <v>0.87708333333333333</v>
      </c>
      <c r="I27" s="9">
        <v>8520</v>
      </c>
      <c r="J27" s="9">
        <v>3410</v>
      </c>
      <c r="K27" s="10">
        <f t="shared" si="0"/>
        <v>5110</v>
      </c>
      <c r="L27" s="10" t="s">
        <v>113</v>
      </c>
      <c r="M27" s="11" t="s">
        <v>31</v>
      </c>
      <c r="N27" s="12">
        <v>5110</v>
      </c>
      <c r="O27" s="13" t="s">
        <v>32</v>
      </c>
      <c r="P27" s="14"/>
      <c r="Q27" s="1">
        <f>+Q26/51</f>
        <v>46.078431372549019</v>
      </c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6"/>
      <c r="B28" s="7">
        <v>44200</v>
      </c>
      <c r="C28" s="8" t="s">
        <v>114</v>
      </c>
      <c r="D28" s="8" t="s">
        <v>115</v>
      </c>
      <c r="E28" s="9" t="s">
        <v>116</v>
      </c>
      <c r="F28" s="9" t="s">
        <v>36</v>
      </c>
      <c r="G28" s="17">
        <v>0.85277777777777775</v>
      </c>
      <c r="H28" s="17">
        <v>0.87569444444444444</v>
      </c>
      <c r="I28" s="9">
        <v>4940</v>
      </c>
      <c r="J28" s="9">
        <v>3920</v>
      </c>
      <c r="K28" s="10">
        <f t="shared" si="0"/>
        <v>1020</v>
      </c>
      <c r="L28" s="10">
        <v>26246</v>
      </c>
      <c r="M28" s="11" t="s">
        <v>31</v>
      </c>
      <c r="N28" s="12">
        <v>1020</v>
      </c>
      <c r="O28" s="13" t="s">
        <v>32</v>
      </c>
      <c r="P28" s="14"/>
      <c r="Q28" s="1">
        <v>46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6"/>
      <c r="B29" s="7">
        <v>44200</v>
      </c>
      <c r="C29" s="8" t="s">
        <v>117</v>
      </c>
      <c r="D29" s="8" t="s">
        <v>118</v>
      </c>
      <c r="E29" s="9" t="s">
        <v>119</v>
      </c>
      <c r="F29" s="9" t="s">
        <v>36</v>
      </c>
      <c r="G29" s="17">
        <v>0.85416666666666663</v>
      </c>
      <c r="H29" s="17">
        <v>0.87847222222222221</v>
      </c>
      <c r="I29" s="9">
        <v>5430</v>
      </c>
      <c r="J29" s="9">
        <v>3880</v>
      </c>
      <c r="K29" s="10">
        <f t="shared" si="0"/>
        <v>1550</v>
      </c>
      <c r="L29" s="10" t="s">
        <v>120</v>
      </c>
      <c r="M29" s="11" t="s">
        <v>31</v>
      </c>
      <c r="N29" s="12">
        <v>1550</v>
      </c>
      <c r="O29" s="13" t="s">
        <v>32</v>
      </c>
      <c r="P29" s="14"/>
      <c r="Q29" s="1">
        <f>+Q28*24</f>
        <v>1104</v>
      </c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6"/>
      <c r="B30" s="7">
        <v>44200</v>
      </c>
      <c r="C30" s="8" t="s">
        <v>121</v>
      </c>
      <c r="D30" s="8" t="s">
        <v>122</v>
      </c>
      <c r="E30" s="9" t="s">
        <v>123</v>
      </c>
      <c r="F30" s="9" t="s">
        <v>36</v>
      </c>
      <c r="G30" s="17">
        <v>0.88958333333333339</v>
      </c>
      <c r="H30" s="17">
        <v>1.5972222222222224E-2</v>
      </c>
      <c r="I30" s="9">
        <v>11760</v>
      </c>
      <c r="J30" s="9">
        <v>6300</v>
      </c>
      <c r="K30" s="10">
        <f t="shared" si="0"/>
        <v>5460</v>
      </c>
      <c r="L30" s="10">
        <v>26247</v>
      </c>
      <c r="M30" s="11" t="s">
        <v>124</v>
      </c>
      <c r="N30" s="12">
        <v>5460</v>
      </c>
      <c r="O30" s="13" t="s">
        <v>32</v>
      </c>
      <c r="P30" s="14"/>
      <c r="Q30" s="1"/>
      <c r="R30" s="1">
        <v>31340</v>
      </c>
      <c r="S30" s="1">
        <f>+R30-Q29</f>
        <v>30236</v>
      </c>
      <c r="T30" s="1"/>
      <c r="U30" s="1"/>
      <c r="V30" s="1"/>
      <c r="W30" s="1"/>
      <c r="X30" s="1"/>
      <c r="Y30" s="1"/>
      <c r="Z30" s="1"/>
    </row>
    <row r="31" spans="1:26" x14ac:dyDescent="0.25">
      <c r="A31" s="6"/>
      <c r="B31" s="7">
        <v>44200</v>
      </c>
      <c r="C31" s="8" t="s">
        <v>125</v>
      </c>
      <c r="D31" s="8" t="s">
        <v>126</v>
      </c>
      <c r="E31" s="9" t="s">
        <v>127</v>
      </c>
      <c r="F31" s="9" t="s">
        <v>128</v>
      </c>
      <c r="G31" s="17">
        <v>0.92291666666666661</v>
      </c>
      <c r="H31" s="17">
        <v>0.12986111111111112</v>
      </c>
      <c r="I31" s="9">
        <v>6430</v>
      </c>
      <c r="J31" s="9">
        <v>5660</v>
      </c>
      <c r="K31" s="10">
        <f t="shared" si="0"/>
        <v>770</v>
      </c>
      <c r="L31" s="10">
        <v>80731</v>
      </c>
      <c r="M31" s="11" t="s">
        <v>129</v>
      </c>
      <c r="N31" s="12">
        <v>770</v>
      </c>
      <c r="O31" s="13" t="s">
        <v>32</v>
      </c>
      <c r="P31" s="14"/>
      <c r="Q31" s="1"/>
      <c r="R31" s="1"/>
      <c r="S31" s="1"/>
      <c r="T31" s="1"/>
      <c r="U31" s="1"/>
      <c r="V31" s="1"/>
      <c r="W31" s="1"/>
      <c r="X31" s="1"/>
      <c r="Y31" s="1">
        <v>4770</v>
      </c>
      <c r="Z31" s="1">
        <v>0.68240343347639487</v>
      </c>
    </row>
    <row r="32" spans="1:26" x14ac:dyDescent="0.25">
      <c r="A32" s="6"/>
      <c r="B32" s="7">
        <v>44200</v>
      </c>
      <c r="C32" s="8" t="s">
        <v>130</v>
      </c>
      <c r="D32" s="8" t="s">
        <v>131</v>
      </c>
      <c r="E32" s="9" t="s">
        <v>132</v>
      </c>
      <c r="F32" s="9" t="s">
        <v>36</v>
      </c>
      <c r="G32" s="17">
        <v>0.90972222222222221</v>
      </c>
      <c r="H32" s="17">
        <v>0.93125000000000002</v>
      </c>
      <c r="I32" s="9">
        <v>50780</v>
      </c>
      <c r="J32" s="9">
        <v>18440</v>
      </c>
      <c r="K32" s="10">
        <f t="shared" si="0"/>
        <v>32340</v>
      </c>
      <c r="L32" s="10">
        <v>5141</v>
      </c>
      <c r="M32" s="11" t="s">
        <v>31</v>
      </c>
      <c r="N32" s="12">
        <v>32340</v>
      </c>
      <c r="O32" s="13" t="s">
        <v>32</v>
      </c>
      <c r="P32" s="14"/>
      <c r="Q32" s="1"/>
      <c r="R32" s="1"/>
      <c r="S32" s="1"/>
      <c r="T32" s="1"/>
      <c r="U32" s="1"/>
      <c r="V32" s="1"/>
      <c r="W32" s="1"/>
      <c r="X32" s="1"/>
      <c r="Y32" s="1">
        <v>2220</v>
      </c>
      <c r="Z32" s="1">
        <v>0.31759656652360513</v>
      </c>
    </row>
    <row r="33" spans="1:26" x14ac:dyDescent="0.25">
      <c r="A33" s="6"/>
      <c r="B33" s="7">
        <v>44200</v>
      </c>
      <c r="C33" s="8" t="s">
        <v>33</v>
      </c>
      <c r="D33" s="8" t="s">
        <v>34</v>
      </c>
      <c r="E33" s="9" t="s">
        <v>35</v>
      </c>
      <c r="F33" s="9" t="s">
        <v>36</v>
      </c>
      <c r="G33" s="17">
        <v>0.96388888888888891</v>
      </c>
      <c r="H33" s="17">
        <v>0.98958333333333337</v>
      </c>
      <c r="I33" s="9">
        <v>11500</v>
      </c>
      <c r="J33" s="9">
        <v>5300</v>
      </c>
      <c r="K33" s="10">
        <f t="shared" si="0"/>
        <v>6200</v>
      </c>
      <c r="L33" s="10">
        <v>26248</v>
      </c>
      <c r="M33" s="11" t="s">
        <v>31</v>
      </c>
      <c r="N33" s="12">
        <v>6200</v>
      </c>
      <c r="O33" s="13" t="s">
        <v>32</v>
      </c>
      <c r="P33" s="14"/>
      <c r="Q33" s="1"/>
      <c r="R33" s="1"/>
      <c r="S33" s="1"/>
      <c r="T33" s="1"/>
      <c r="U33" s="1"/>
      <c r="V33" s="1"/>
      <c r="W33" s="1"/>
      <c r="X33" s="1"/>
      <c r="Y33" s="1">
        <v>6990</v>
      </c>
      <c r="Z33" s="1">
        <v>-565</v>
      </c>
    </row>
    <row r="34" spans="1:26" x14ac:dyDescent="0.25">
      <c r="A34" s="6"/>
      <c r="B34" s="7">
        <v>44201</v>
      </c>
      <c r="C34" s="8" t="s">
        <v>133</v>
      </c>
      <c r="D34" s="8" t="s">
        <v>134</v>
      </c>
      <c r="E34" s="9" t="s">
        <v>135</v>
      </c>
      <c r="F34" s="9" t="s">
        <v>36</v>
      </c>
      <c r="G34" s="17">
        <v>7.3611111111111113E-2</v>
      </c>
      <c r="H34" s="17">
        <v>0.23124999999999998</v>
      </c>
      <c r="I34" s="9">
        <v>19600</v>
      </c>
      <c r="J34" s="9">
        <v>8570</v>
      </c>
      <c r="K34" s="10">
        <f t="shared" si="0"/>
        <v>11030</v>
      </c>
      <c r="L34" s="10" t="s">
        <v>136</v>
      </c>
      <c r="M34" s="11" t="s">
        <v>137</v>
      </c>
      <c r="N34" s="12">
        <v>11092</v>
      </c>
      <c r="O34" s="13" t="s">
        <v>32</v>
      </c>
      <c r="P34" s="14"/>
      <c r="Q34" s="1"/>
      <c r="R34" s="1"/>
      <c r="S34" s="1"/>
      <c r="T34" s="1"/>
      <c r="U34" s="1"/>
      <c r="V34" s="1"/>
      <c r="W34" s="1"/>
      <c r="X34" s="1"/>
      <c r="Y34" s="1">
        <v>7555</v>
      </c>
      <c r="Z34" s="1"/>
    </row>
    <row r="35" spans="1:26" x14ac:dyDescent="0.25">
      <c r="A35" s="6"/>
      <c r="B35" s="7">
        <v>44201</v>
      </c>
      <c r="C35" s="8" t="s">
        <v>138</v>
      </c>
      <c r="D35" s="8" t="s">
        <v>139</v>
      </c>
      <c r="E35" s="9" t="s">
        <v>45</v>
      </c>
      <c r="F35" s="9" t="s">
        <v>140</v>
      </c>
      <c r="G35" s="17">
        <v>0.10972222222222222</v>
      </c>
      <c r="H35" s="17">
        <v>0.12569444444444444</v>
      </c>
      <c r="I35" s="9">
        <v>11910</v>
      </c>
      <c r="J35" s="9">
        <v>8130</v>
      </c>
      <c r="K35" s="10">
        <f t="shared" si="0"/>
        <v>3780</v>
      </c>
      <c r="L35" s="10">
        <v>80730</v>
      </c>
      <c r="M35" s="11" t="s">
        <v>141</v>
      </c>
      <c r="N35" s="12">
        <v>3780</v>
      </c>
      <c r="O35" s="13" t="s">
        <v>32</v>
      </c>
      <c r="P35" s="14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6"/>
      <c r="B36" s="7">
        <v>44201</v>
      </c>
      <c r="C36" s="8" t="s">
        <v>142</v>
      </c>
      <c r="D36" s="8" t="s">
        <v>143</v>
      </c>
      <c r="E36" s="9" t="s">
        <v>144</v>
      </c>
      <c r="F36" s="9" t="s">
        <v>145</v>
      </c>
      <c r="G36" s="17">
        <v>0.14791666666666667</v>
      </c>
      <c r="H36" s="17">
        <v>0.16041666666666668</v>
      </c>
      <c r="I36" s="9">
        <v>22070</v>
      </c>
      <c r="J36" s="9">
        <v>15630</v>
      </c>
      <c r="K36" s="10">
        <f t="shared" si="0"/>
        <v>6440</v>
      </c>
      <c r="L36" s="10">
        <v>718</v>
      </c>
      <c r="M36" s="11" t="s">
        <v>146</v>
      </c>
      <c r="N36" s="12">
        <v>5899</v>
      </c>
      <c r="O36" s="13" t="s">
        <v>32</v>
      </c>
      <c r="P36" s="14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6"/>
      <c r="B37" s="7">
        <v>44201</v>
      </c>
      <c r="C37" s="8" t="s">
        <v>147</v>
      </c>
      <c r="D37" s="8" t="s">
        <v>148</v>
      </c>
      <c r="E37" s="9" t="s">
        <v>149</v>
      </c>
      <c r="F37" s="9" t="s">
        <v>36</v>
      </c>
      <c r="G37" s="17">
        <v>0.25416666666666665</v>
      </c>
      <c r="H37" s="17">
        <v>0.27916666666666667</v>
      </c>
      <c r="I37" s="9">
        <v>53170</v>
      </c>
      <c r="J37" s="9">
        <v>18890</v>
      </c>
      <c r="K37" s="10">
        <f t="shared" si="0"/>
        <v>34280</v>
      </c>
      <c r="L37" s="10">
        <v>5142</v>
      </c>
      <c r="M37" s="11" t="s">
        <v>31</v>
      </c>
      <c r="N37" s="12">
        <v>34280</v>
      </c>
      <c r="O37" s="13" t="s">
        <v>32</v>
      </c>
      <c r="P37" s="14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6"/>
      <c r="B38" s="7">
        <v>44201</v>
      </c>
      <c r="C38" s="8" t="s">
        <v>151</v>
      </c>
      <c r="D38" s="8" t="s">
        <v>126</v>
      </c>
      <c r="E38" s="9" t="s">
        <v>127</v>
      </c>
      <c r="F38" s="9" t="s">
        <v>128</v>
      </c>
      <c r="G38" s="17">
        <v>0.2951388888888889</v>
      </c>
      <c r="H38" s="17">
        <v>0.30972222222222223</v>
      </c>
      <c r="I38" s="9">
        <v>6780</v>
      </c>
      <c r="J38" s="9">
        <v>5470</v>
      </c>
      <c r="K38" s="10">
        <f t="shared" si="0"/>
        <v>1310</v>
      </c>
      <c r="L38" s="10">
        <v>80735</v>
      </c>
      <c r="M38" s="11" t="s">
        <v>150</v>
      </c>
      <c r="N38" s="12">
        <v>1310</v>
      </c>
      <c r="O38" s="13" t="s">
        <v>32</v>
      </c>
      <c r="P38" s="14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6"/>
      <c r="B39" s="15">
        <v>44201</v>
      </c>
      <c r="C39" s="8" t="s">
        <v>105</v>
      </c>
      <c r="D39" s="8" t="s">
        <v>152</v>
      </c>
      <c r="E39" s="9" t="s">
        <v>153</v>
      </c>
      <c r="F39" s="9" t="s">
        <v>154</v>
      </c>
      <c r="G39" s="17">
        <v>0.29722222222222222</v>
      </c>
      <c r="H39" s="17">
        <v>0.5229166666666667</v>
      </c>
      <c r="I39" s="9">
        <v>16630</v>
      </c>
      <c r="J39" s="9">
        <v>47970</v>
      </c>
      <c r="K39" s="10">
        <f t="shared" si="0"/>
        <v>-31340</v>
      </c>
      <c r="L39" s="10">
        <v>5651</v>
      </c>
      <c r="M39" s="11" t="s">
        <v>53</v>
      </c>
      <c r="N39" s="12">
        <v>600</v>
      </c>
      <c r="O39" s="13" t="s">
        <v>54</v>
      </c>
      <c r="P39" s="14" t="s">
        <v>168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6"/>
      <c r="B40" s="7">
        <v>44201</v>
      </c>
      <c r="C40" s="8" t="s">
        <v>85</v>
      </c>
      <c r="D40" s="8" t="s">
        <v>86</v>
      </c>
      <c r="E40" s="9" t="s">
        <v>87</v>
      </c>
      <c r="F40" s="9" t="s">
        <v>88</v>
      </c>
      <c r="G40" s="17">
        <v>0.33124999999999999</v>
      </c>
      <c r="H40" s="17">
        <v>0.35555555555555557</v>
      </c>
      <c r="I40" s="9">
        <v>16430</v>
      </c>
      <c r="J40" s="9">
        <v>27860</v>
      </c>
      <c r="K40" s="10">
        <f t="shared" si="0"/>
        <v>-11430</v>
      </c>
      <c r="L40" s="10">
        <v>5649</v>
      </c>
      <c r="M40" s="11" t="s">
        <v>89</v>
      </c>
      <c r="N40" s="12">
        <v>10852</v>
      </c>
      <c r="O40" s="13" t="s">
        <v>32</v>
      </c>
      <c r="P40" s="14" t="s">
        <v>155</v>
      </c>
      <c r="Q40" s="1"/>
      <c r="R40" s="1"/>
      <c r="S40" s="1">
        <v>8</v>
      </c>
      <c r="T40" s="1">
        <f>+S40*58</f>
        <v>464</v>
      </c>
      <c r="U40" s="1"/>
      <c r="V40" s="1"/>
      <c r="W40" s="1"/>
      <c r="X40" s="1"/>
      <c r="Y40" s="1"/>
      <c r="Z40" s="1"/>
    </row>
    <row r="41" spans="1:26" x14ac:dyDescent="0.25">
      <c r="A41" s="6"/>
      <c r="B41" s="7">
        <v>44201</v>
      </c>
      <c r="C41" s="8" t="s">
        <v>55</v>
      </c>
      <c r="D41" s="8" t="s">
        <v>81</v>
      </c>
      <c r="E41" s="9" t="s">
        <v>82</v>
      </c>
      <c r="F41" s="9" t="s">
        <v>36</v>
      </c>
      <c r="G41" s="17">
        <v>0.33819444444444446</v>
      </c>
      <c r="H41" s="17">
        <v>0.54305555555555551</v>
      </c>
      <c r="I41" s="9">
        <v>10480</v>
      </c>
      <c r="J41" s="9">
        <v>29460</v>
      </c>
      <c r="K41" s="10">
        <f t="shared" si="0"/>
        <v>-18980</v>
      </c>
      <c r="L41" s="10">
        <v>5650</v>
      </c>
      <c r="M41" s="11" t="s">
        <v>83</v>
      </c>
      <c r="N41" s="12">
        <v>5462</v>
      </c>
      <c r="O41" s="13" t="s">
        <v>84</v>
      </c>
      <c r="P41" s="14"/>
      <c r="Q41" s="1"/>
      <c r="R41" s="1"/>
      <c r="S41" s="1">
        <v>2</v>
      </c>
      <c r="T41" s="1">
        <f>+S41*57</f>
        <v>114</v>
      </c>
      <c r="U41" s="1"/>
      <c r="V41" s="1"/>
      <c r="W41" s="1"/>
      <c r="X41" s="1"/>
      <c r="Y41" s="1"/>
      <c r="Z41" s="1"/>
    </row>
    <row r="42" spans="1:26" x14ac:dyDescent="0.25">
      <c r="A42" s="6"/>
      <c r="B42" s="7">
        <v>44201</v>
      </c>
      <c r="C42" s="8" t="s">
        <v>156</v>
      </c>
      <c r="D42" s="8" t="s">
        <v>157</v>
      </c>
      <c r="E42" s="9" t="s">
        <v>158</v>
      </c>
      <c r="F42" s="9" t="s">
        <v>36</v>
      </c>
      <c r="G42" s="17">
        <v>0.37847222222222227</v>
      </c>
      <c r="H42" s="17">
        <v>0.40277777777777773</v>
      </c>
      <c r="I42" s="9">
        <v>8000</v>
      </c>
      <c r="J42" s="9">
        <v>4700</v>
      </c>
      <c r="K42" s="10">
        <f t="shared" si="0"/>
        <v>3300</v>
      </c>
      <c r="L42" s="10">
        <v>26249</v>
      </c>
      <c r="M42" s="11" t="s">
        <v>159</v>
      </c>
      <c r="N42" s="12">
        <v>3300</v>
      </c>
      <c r="O42" s="13" t="s">
        <v>32</v>
      </c>
      <c r="P42" s="14"/>
      <c r="Q42" s="1"/>
      <c r="R42" s="1"/>
      <c r="S42" s="1">
        <f>+S41+S40</f>
        <v>10</v>
      </c>
      <c r="T42" s="1">
        <f>+T41+T40</f>
        <v>578</v>
      </c>
      <c r="U42" s="1"/>
      <c r="V42" s="1"/>
      <c r="W42" s="1"/>
      <c r="X42" s="1"/>
      <c r="Y42" s="1"/>
      <c r="Z42" s="1"/>
    </row>
    <row r="43" spans="1:26" x14ac:dyDescent="0.25">
      <c r="A43" s="6"/>
      <c r="B43" s="7">
        <v>44201</v>
      </c>
      <c r="C43" s="8" t="s">
        <v>98</v>
      </c>
      <c r="D43" s="8" t="s">
        <v>94</v>
      </c>
      <c r="E43" s="9" t="s">
        <v>95</v>
      </c>
      <c r="F43" s="9" t="s">
        <v>99</v>
      </c>
      <c r="G43" s="17">
        <v>0.38958333333333334</v>
      </c>
      <c r="H43" s="17">
        <v>0.49374999999999997</v>
      </c>
      <c r="I43" s="9">
        <v>9520</v>
      </c>
      <c r="J43" s="9">
        <v>6120</v>
      </c>
      <c r="K43" s="10">
        <f t="shared" si="0"/>
        <v>3400</v>
      </c>
      <c r="L43" s="10">
        <v>15210</v>
      </c>
      <c r="M43" s="11" t="s">
        <v>97</v>
      </c>
      <c r="N43" s="12">
        <v>72</v>
      </c>
      <c r="O43" s="13" t="s">
        <v>96</v>
      </c>
      <c r="P43" s="14"/>
      <c r="Q43" s="1"/>
      <c r="R43" s="1"/>
      <c r="S43" s="1"/>
      <c r="T43" s="1">
        <v>11430</v>
      </c>
      <c r="U43" s="1"/>
      <c r="V43" s="1"/>
      <c r="W43" s="1"/>
      <c r="X43" s="1"/>
      <c r="Y43" s="1"/>
      <c r="Z43" s="1"/>
    </row>
    <row r="44" spans="1:26" x14ac:dyDescent="0.25">
      <c r="A44" s="6"/>
      <c r="B44" s="7">
        <v>44201</v>
      </c>
      <c r="C44" s="8" t="s">
        <v>130</v>
      </c>
      <c r="D44" s="8" t="s">
        <v>198</v>
      </c>
      <c r="E44" s="9" t="s">
        <v>160</v>
      </c>
      <c r="F44" s="9" t="s">
        <v>161</v>
      </c>
      <c r="G44" s="17">
        <v>0.4069444444444445</v>
      </c>
      <c r="H44" s="17">
        <v>0.83263888888888893</v>
      </c>
      <c r="I44" s="9">
        <v>18040</v>
      </c>
      <c r="J44" s="9">
        <v>34310</v>
      </c>
      <c r="K44" s="10">
        <f t="shared" si="0"/>
        <v>-16270</v>
      </c>
      <c r="L44" s="10">
        <v>15214</v>
      </c>
      <c r="M44" s="11" t="s">
        <v>240</v>
      </c>
      <c r="N44" s="12">
        <v>16270</v>
      </c>
      <c r="O44" s="13" t="s">
        <v>32</v>
      </c>
      <c r="P44" s="14"/>
      <c r="Q44" s="1"/>
      <c r="R44" s="1"/>
      <c r="S44" s="1"/>
      <c r="T44" s="1">
        <f>+T43-T42</f>
        <v>10852</v>
      </c>
      <c r="U44" s="1"/>
      <c r="V44" s="1"/>
      <c r="W44" s="1"/>
      <c r="X44" s="1"/>
      <c r="Y44" s="1"/>
      <c r="Z44" s="1"/>
    </row>
    <row r="45" spans="1:26" x14ac:dyDescent="0.25">
      <c r="A45" s="6"/>
      <c r="B45" s="7">
        <v>44201</v>
      </c>
      <c r="C45" s="8" t="s">
        <v>147</v>
      </c>
      <c r="D45" s="8" t="s">
        <v>162</v>
      </c>
      <c r="E45" s="9" t="s">
        <v>163</v>
      </c>
      <c r="F45" s="9" t="s">
        <v>36</v>
      </c>
      <c r="G45" s="17">
        <v>0.47013888888888888</v>
      </c>
      <c r="H45" s="17">
        <v>0.49861111111111112</v>
      </c>
      <c r="I45" s="9">
        <v>44170</v>
      </c>
      <c r="J45" s="9">
        <v>18530</v>
      </c>
      <c r="K45" s="10">
        <f t="shared" si="0"/>
        <v>25640</v>
      </c>
      <c r="L45" s="10">
        <v>5143</v>
      </c>
      <c r="M45" s="11" t="s">
        <v>31</v>
      </c>
      <c r="N45" s="12">
        <v>56650</v>
      </c>
      <c r="O45" s="13" t="s">
        <v>49</v>
      </c>
      <c r="P45" s="14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6"/>
      <c r="B46" s="7">
        <v>44201</v>
      </c>
      <c r="C46" s="8" t="s">
        <v>164</v>
      </c>
      <c r="D46" s="8" t="s">
        <v>94</v>
      </c>
      <c r="E46" s="9" t="s">
        <v>95</v>
      </c>
      <c r="F46" s="9" t="s">
        <v>99</v>
      </c>
      <c r="G46" s="17">
        <v>0.47569444444444442</v>
      </c>
      <c r="H46" s="17">
        <v>0.50138888888888888</v>
      </c>
      <c r="I46" s="9">
        <v>15840</v>
      </c>
      <c r="J46" s="9">
        <v>6730</v>
      </c>
      <c r="K46" s="10">
        <f t="shared" si="0"/>
        <v>9110</v>
      </c>
      <c r="L46" s="10">
        <v>15163</v>
      </c>
      <c r="M46" s="11" t="s">
        <v>165</v>
      </c>
      <c r="N46" s="12">
        <v>180</v>
      </c>
      <c r="O46" s="13" t="s">
        <v>54</v>
      </c>
      <c r="P46" s="14"/>
      <c r="Q46" s="1">
        <f>25640*2.2</f>
        <v>56408.000000000007</v>
      </c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6"/>
      <c r="B47" s="7">
        <v>44201</v>
      </c>
      <c r="C47" s="8" t="s">
        <v>164</v>
      </c>
      <c r="D47" s="8" t="s">
        <v>94</v>
      </c>
      <c r="E47" s="9" t="s">
        <v>95</v>
      </c>
      <c r="F47" s="9" t="s">
        <v>99</v>
      </c>
      <c r="G47" s="17">
        <v>0.50138888888888888</v>
      </c>
      <c r="H47" s="17"/>
      <c r="I47" s="9">
        <v>6750</v>
      </c>
      <c r="J47" s="9"/>
      <c r="K47" s="10">
        <f t="shared" si="0"/>
        <v>6750</v>
      </c>
      <c r="L47" s="10"/>
      <c r="M47" s="11" t="s">
        <v>166</v>
      </c>
      <c r="N47" s="12"/>
      <c r="O47" s="13" t="s">
        <v>54</v>
      </c>
      <c r="P47" s="14" t="s">
        <v>785</v>
      </c>
      <c r="Q47" s="1">
        <v>15000</v>
      </c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6"/>
      <c r="B48" s="7">
        <v>44201</v>
      </c>
      <c r="C48" s="8" t="s">
        <v>169</v>
      </c>
      <c r="D48" s="8" t="s">
        <v>34</v>
      </c>
      <c r="E48" s="9" t="s">
        <v>35</v>
      </c>
      <c r="F48" s="9" t="s">
        <v>36</v>
      </c>
      <c r="G48" s="17">
        <v>0.57708333333333328</v>
      </c>
      <c r="H48" s="17">
        <v>0.61875000000000002</v>
      </c>
      <c r="I48" s="9">
        <v>13270</v>
      </c>
      <c r="J48" s="9">
        <v>5340</v>
      </c>
      <c r="K48" s="10">
        <f t="shared" si="0"/>
        <v>7930</v>
      </c>
      <c r="L48" s="10">
        <v>3179</v>
      </c>
      <c r="M48" s="11" t="s">
        <v>31</v>
      </c>
      <c r="N48" s="12">
        <v>17251</v>
      </c>
      <c r="O48" s="13" t="s">
        <v>49</v>
      </c>
      <c r="P48" s="14"/>
      <c r="Q48" s="1">
        <f>+Q47-Q46</f>
        <v>-41408.000000000007</v>
      </c>
      <c r="R48" s="1"/>
      <c r="S48" s="1"/>
      <c r="T48" s="1"/>
      <c r="U48" s="1"/>
      <c r="V48" s="1"/>
      <c r="W48" s="1"/>
      <c r="X48" s="1"/>
      <c r="Y48" s="1"/>
      <c r="Z48" s="1"/>
    </row>
    <row r="49" spans="1:19" x14ac:dyDescent="0.25">
      <c r="A49" s="6"/>
      <c r="B49" s="7">
        <v>44201</v>
      </c>
      <c r="C49" s="8" t="s">
        <v>60</v>
      </c>
      <c r="D49" s="8" t="s">
        <v>170</v>
      </c>
      <c r="E49" s="9" t="s">
        <v>171</v>
      </c>
      <c r="F49" s="9" t="s">
        <v>36</v>
      </c>
      <c r="G49" s="17">
        <v>0.57916666666666672</v>
      </c>
      <c r="H49" s="17">
        <v>0.62013888888888891</v>
      </c>
      <c r="I49" s="9">
        <v>9660</v>
      </c>
      <c r="J49" s="9">
        <v>4540</v>
      </c>
      <c r="K49" s="10">
        <f t="shared" si="0"/>
        <v>5120</v>
      </c>
      <c r="L49" s="10">
        <v>3232</v>
      </c>
      <c r="M49" s="11" t="s">
        <v>31</v>
      </c>
      <c r="N49" s="12">
        <v>12000</v>
      </c>
      <c r="O49" s="13" t="s">
        <v>49</v>
      </c>
      <c r="P49" s="14"/>
      <c r="Q49" s="1"/>
      <c r="R49" s="1"/>
      <c r="S49" s="1"/>
    </row>
    <row r="50" spans="1:19" x14ac:dyDescent="0.25">
      <c r="A50" s="6"/>
      <c r="B50" s="7">
        <v>44201</v>
      </c>
      <c r="C50" s="8" t="s">
        <v>164</v>
      </c>
      <c r="D50" s="8" t="s">
        <v>174</v>
      </c>
      <c r="E50" s="9" t="s">
        <v>172</v>
      </c>
      <c r="F50" s="9" t="s">
        <v>173</v>
      </c>
      <c r="G50" s="17">
        <v>0.58750000000000002</v>
      </c>
      <c r="H50" s="17"/>
      <c r="I50" s="9">
        <v>6490</v>
      </c>
      <c r="J50" s="9"/>
      <c r="K50" s="10">
        <f t="shared" si="0"/>
        <v>6490</v>
      </c>
      <c r="L50" s="10"/>
      <c r="M50" s="11" t="s">
        <v>166</v>
      </c>
      <c r="N50" s="12"/>
      <c r="O50" s="13" t="s">
        <v>54</v>
      </c>
      <c r="P50" s="14" t="s">
        <v>759</v>
      </c>
      <c r="Q50" s="1">
        <v>24</v>
      </c>
      <c r="R50" s="1"/>
      <c r="S50" s="1"/>
    </row>
    <row r="51" spans="1:19" x14ac:dyDescent="0.25">
      <c r="A51" s="6"/>
      <c r="B51" s="7">
        <v>44201</v>
      </c>
      <c r="C51" s="8" t="s">
        <v>169</v>
      </c>
      <c r="D51" s="8" t="s">
        <v>175</v>
      </c>
      <c r="E51" s="9" t="s">
        <v>176</v>
      </c>
      <c r="F51" s="9" t="s">
        <v>36</v>
      </c>
      <c r="G51" s="17">
        <v>0.63611111111111118</v>
      </c>
      <c r="H51" s="17">
        <v>0.65625</v>
      </c>
      <c r="I51" s="9">
        <v>9780</v>
      </c>
      <c r="J51" s="9">
        <v>4260</v>
      </c>
      <c r="K51" s="10">
        <f t="shared" si="0"/>
        <v>5520</v>
      </c>
      <c r="L51" s="10">
        <v>3180</v>
      </c>
      <c r="M51" s="11" t="s">
        <v>31</v>
      </c>
      <c r="N51" s="12">
        <v>11943</v>
      </c>
      <c r="O51" s="13" t="s">
        <v>49</v>
      </c>
      <c r="P51" s="14"/>
      <c r="Q51" s="1"/>
      <c r="R51" s="1"/>
      <c r="S51" s="1"/>
    </row>
    <row r="52" spans="1:19" x14ac:dyDescent="0.25">
      <c r="A52" s="6"/>
      <c r="B52" s="7">
        <v>44201</v>
      </c>
      <c r="C52" s="8" t="s">
        <v>105</v>
      </c>
      <c r="D52" s="8" t="s">
        <v>103</v>
      </c>
      <c r="E52" s="9" t="s">
        <v>104</v>
      </c>
      <c r="F52" s="9" t="s">
        <v>36</v>
      </c>
      <c r="G52" s="17">
        <v>0.6479166666666667</v>
      </c>
      <c r="H52" s="17">
        <v>0.83611111111111114</v>
      </c>
      <c r="I52" s="9">
        <v>16710</v>
      </c>
      <c r="J52" s="9">
        <v>48000</v>
      </c>
      <c r="K52" s="10">
        <f t="shared" si="0"/>
        <v>-31290</v>
      </c>
      <c r="L52" s="10">
        <v>5653</v>
      </c>
      <c r="M52" s="11" t="s">
        <v>53</v>
      </c>
      <c r="N52" s="12">
        <v>600</v>
      </c>
      <c r="O52" s="13" t="s">
        <v>54</v>
      </c>
      <c r="P52" s="14"/>
      <c r="Q52" s="1"/>
      <c r="R52" s="1"/>
      <c r="S52" s="1"/>
    </row>
    <row r="53" spans="1:19" x14ac:dyDescent="0.25">
      <c r="A53" s="6"/>
      <c r="B53" s="7">
        <v>44201</v>
      </c>
      <c r="C53" s="8" t="s">
        <v>188</v>
      </c>
      <c r="D53" s="8" t="s">
        <v>50</v>
      </c>
      <c r="E53" s="9" t="s">
        <v>177</v>
      </c>
      <c r="F53" s="9" t="s">
        <v>178</v>
      </c>
      <c r="G53" s="17">
        <v>0.66527777777777775</v>
      </c>
      <c r="H53" s="17">
        <v>0.79166666666666663</v>
      </c>
      <c r="I53" s="9">
        <v>15580</v>
      </c>
      <c r="J53" s="9">
        <v>50910</v>
      </c>
      <c r="K53" s="10">
        <f t="shared" si="0"/>
        <v>-35330</v>
      </c>
      <c r="L53" s="10">
        <v>5652</v>
      </c>
      <c r="M53" s="11" t="s">
        <v>53</v>
      </c>
      <c r="N53" s="12">
        <v>700</v>
      </c>
      <c r="O53" s="13" t="s">
        <v>54</v>
      </c>
      <c r="P53" s="14"/>
      <c r="Q53" s="1"/>
      <c r="R53" s="1"/>
      <c r="S53" s="1"/>
    </row>
    <row r="54" spans="1:19" x14ac:dyDescent="0.25">
      <c r="A54" s="6"/>
      <c r="B54" s="7">
        <v>44201</v>
      </c>
      <c r="C54" s="8" t="s">
        <v>33</v>
      </c>
      <c r="D54" s="8" t="s">
        <v>180</v>
      </c>
      <c r="E54" s="9" t="s">
        <v>181</v>
      </c>
      <c r="F54" s="9" t="s">
        <v>36</v>
      </c>
      <c r="G54" s="17">
        <v>0.67361111111111116</v>
      </c>
      <c r="H54" s="17">
        <v>0.72430555555555554</v>
      </c>
      <c r="I54" s="9">
        <v>8620</v>
      </c>
      <c r="J54" s="9">
        <v>4060</v>
      </c>
      <c r="K54" s="10">
        <f t="shared" si="0"/>
        <v>4560</v>
      </c>
      <c r="L54" s="10">
        <v>26250</v>
      </c>
      <c r="M54" s="11" t="s">
        <v>31</v>
      </c>
      <c r="N54" s="12">
        <v>4560</v>
      </c>
      <c r="O54" s="13" t="s">
        <v>32</v>
      </c>
      <c r="P54" s="14" t="s">
        <v>179</v>
      </c>
      <c r="Q54" s="1"/>
      <c r="R54" s="1"/>
      <c r="S54" s="1"/>
    </row>
    <row r="55" spans="1:19" x14ac:dyDescent="0.25">
      <c r="A55" s="6"/>
      <c r="B55" s="7">
        <v>44201</v>
      </c>
      <c r="C55" s="8" t="s">
        <v>33</v>
      </c>
      <c r="D55" s="8" t="s">
        <v>183</v>
      </c>
      <c r="E55" s="9" t="s">
        <v>184</v>
      </c>
      <c r="F55" s="9" t="s">
        <v>36</v>
      </c>
      <c r="G55" s="17">
        <v>0.67638888888888893</v>
      </c>
      <c r="H55" s="17">
        <v>0.73749999999999993</v>
      </c>
      <c r="I55" s="9">
        <v>10020</v>
      </c>
      <c r="J55" s="9">
        <v>4420</v>
      </c>
      <c r="K55" s="10">
        <f t="shared" si="0"/>
        <v>5600</v>
      </c>
      <c r="L55" s="10">
        <v>25251</v>
      </c>
      <c r="M55" s="11" t="s">
        <v>31</v>
      </c>
      <c r="N55" s="12">
        <v>5600</v>
      </c>
      <c r="O55" s="13" t="s">
        <v>32</v>
      </c>
      <c r="P55" s="14" t="s">
        <v>182</v>
      </c>
      <c r="Q55" s="1">
        <f>10*30</f>
        <v>300</v>
      </c>
      <c r="R55" s="1"/>
      <c r="S55" s="1"/>
    </row>
    <row r="56" spans="1:19" x14ac:dyDescent="0.25">
      <c r="A56" s="6"/>
      <c r="B56" s="7">
        <v>44201</v>
      </c>
      <c r="C56" s="8" t="s">
        <v>185</v>
      </c>
      <c r="D56" s="8" t="s">
        <v>186</v>
      </c>
      <c r="E56" s="9" t="s">
        <v>189</v>
      </c>
      <c r="F56" s="9" t="s">
        <v>36</v>
      </c>
      <c r="G56" s="17">
        <v>0.6791666666666667</v>
      </c>
      <c r="H56" s="17">
        <v>0.68541666666666667</v>
      </c>
      <c r="I56" s="9">
        <v>2090</v>
      </c>
      <c r="J56" s="9">
        <v>1710</v>
      </c>
      <c r="K56" s="10">
        <f t="shared" si="0"/>
        <v>380</v>
      </c>
      <c r="L56" s="10">
        <v>138934</v>
      </c>
      <c r="M56" s="11" t="s">
        <v>187</v>
      </c>
      <c r="N56" s="12">
        <v>3000</v>
      </c>
      <c r="O56" s="13" t="s">
        <v>54</v>
      </c>
      <c r="P56" s="14"/>
      <c r="Q56" s="1"/>
      <c r="R56" s="1"/>
      <c r="S56" s="1"/>
    </row>
    <row r="57" spans="1:19" x14ac:dyDescent="0.25">
      <c r="A57" s="6"/>
      <c r="B57" s="7">
        <v>44201</v>
      </c>
      <c r="C57" s="8" t="s">
        <v>190</v>
      </c>
      <c r="D57" s="8" t="s">
        <v>191</v>
      </c>
      <c r="E57" s="9" t="s">
        <v>192</v>
      </c>
      <c r="F57" s="9" t="s">
        <v>59</v>
      </c>
      <c r="G57" s="17">
        <v>0.71180555555555547</v>
      </c>
      <c r="H57" s="17">
        <v>0.78819444444444453</v>
      </c>
      <c r="I57" s="9">
        <v>12330</v>
      </c>
      <c r="J57" s="9">
        <v>4900</v>
      </c>
      <c r="K57" s="10">
        <f t="shared" si="0"/>
        <v>7430</v>
      </c>
      <c r="L57" s="10">
        <v>347818</v>
      </c>
      <c r="M57" s="11" t="s">
        <v>31</v>
      </c>
      <c r="N57" s="12">
        <f>12750+1440+990</f>
        <v>15180</v>
      </c>
      <c r="O57" s="13" t="s">
        <v>49</v>
      </c>
      <c r="P57" s="14"/>
      <c r="Q57" s="1"/>
      <c r="R57" s="1"/>
      <c r="S57" s="1"/>
    </row>
    <row r="58" spans="1:19" x14ac:dyDescent="0.25">
      <c r="A58" s="6"/>
      <c r="B58" s="7">
        <v>44201</v>
      </c>
      <c r="C58" s="8" t="s">
        <v>193</v>
      </c>
      <c r="D58" s="8" t="s">
        <v>194</v>
      </c>
      <c r="E58" s="9" t="s">
        <v>127</v>
      </c>
      <c r="F58" s="9" t="s">
        <v>128</v>
      </c>
      <c r="G58" s="17">
        <v>0.72291666666666676</v>
      </c>
      <c r="H58" s="17">
        <v>0.73055555555555562</v>
      </c>
      <c r="I58" s="9">
        <v>270</v>
      </c>
      <c r="J58" s="9">
        <v>50</v>
      </c>
      <c r="K58" s="10">
        <f t="shared" si="0"/>
        <v>220</v>
      </c>
      <c r="L58" s="10" t="s">
        <v>196</v>
      </c>
      <c r="M58" s="11" t="s">
        <v>195</v>
      </c>
      <c r="N58" s="12">
        <v>220</v>
      </c>
      <c r="O58" s="13" t="s">
        <v>32</v>
      </c>
      <c r="P58" s="14"/>
      <c r="Q58" s="1">
        <f>4560*2.2</f>
        <v>10032</v>
      </c>
      <c r="R58" s="1"/>
      <c r="S58" s="1"/>
    </row>
    <row r="59" spans="1:19" x14ac:dyDescent="0.25">
      <c r="A59" s="6"/>
      <c r="B59" s="7">
        <v>44201</v>
      </c>
      <c r="C59" s="8" t="s">
        <v>33</v>
      </c>
      <c r="D59" s="8" t="s">
        <v>170</v>
      </c>
      <c r="E59" s="9" t="s">
        <v>197</v>
      </c>
      <c r="F59" s="9" t="s">
        <v>36</v>
      </c>
      <c r="G59" s="17">
        <v>0.75277777777777777</v>
      </c>
      <c r="H59" s="17">
        <v>0.84861111111111109</v>
      </c>
      <c r="I59" s="9">
        <v>10260</v>
      </c>
      <c r="J59" s="9">
        <v>4610</v>
      </c>
      <c r="K59" s="10">
        <f t="shared" si="0"/>
        <v>5650</v>
      </c>
      <c r="L59" s="10">
        <v>26252</v>
      </c>
      <c r="M59" s="11" t="s">
        <v>31</v>
      </c>
      <c r="N59" s="12">
        <v>5650</v>
      </c>
      <c r="O59" s="13" t="s">
        <v>32</v>
      </c>
      <c r="P59" s="14"/>
      <c r="Q59" s="1">
        <v>1500</v>
      </c>
      <c r="R59" s="1"/>
      <c r="S59" s="1"/>
    </row>
    <row r="60" spans="1:19" x14ac:dyDescent="0.25">
      <c r="A60" s="6"/>
      <c r="B60" s="7">
        <v>44201</v>
      </c>
      <c r="C60" s="8" t="s">
        <v>199</v>
      </c>
      <c r="D60" s="8" t="s">
        <v>50</v>
      </c>
      <c r="E60" s="9" t="s">
        <v>51</v>
      </c>
      <c r="F60" s="9" t="s">
        <v>52</v>
      </c>
      <c r="G60" s="17">
        <v>0.7680555555555556</v>
      </c>
      <c r="H60" s="17"/>
      <c r="I60" s="9">
        <v>15920</v>
      </c>
      <c r="J60" s="9"/>
      <c r="K60" s="10">
        <f t="shared" si="0"/>
        <v>15920</v>
      </c>
      <c r="L60" s="10">
        <v>2864</v>
      </c>
      <c r="M60" s="11" t="s">
        <v>77</v>
      </c>
      <c r="N60" s="12">
        <v>30</v>
      </c>
      <c r="O60" s="13" t="s">
        <v>80</v>
      </c>
      <c r="P60" s="14"/>
      <c r="Q60" s="1">
        <f>+Q59-Q58</f>
        <v>-8532</v>
      </c>
      <c r="R60" s="1"/>
      <c r="S60" s="1"/>
    </row>
    <row r="61" spans="1:19" x14ac:dyDescent="0.25">
      <c r="A61" s="6"/>
      <c r="B61" s="7">
        <v>44201</v>
      </c>
      <c r="C61" s="8" t="s">
        <v>85</v>
      </c>
      <c r="D61" s="8" t="s">
        <v>86</v>
      </c>
      <c r="E61" s="9" t="s">
        <v>87</v>
      </c>
      <c r="F61" s="9" t="s">
        <v>88</v>
      </c>
      <c r="G61" s="17">
        <v>0.77777777777777779</v>
      </c>
      <c r="H61" s="17">
        <v>0.35972222222222222</v>
      </c>
      <c r="I61" s="9">
        <v>35450</v>
      </c>
      <c r="J61" s="9">
        <v>16280</v>
      </c>
      <c r="K61" s="10">
        <f t="shared" si="0"/>
        <v>19170</v>
      </c>
      <c r="L61" s="10">
        <v>5649</v>
      </c>
      <c r="M61" s="11" t="s">
        <v>227</v>
      </c>
      <c r="N61" s="12">
        <v>19170</v>
      </c>
      <c r="O61" s="13" t="s">
        <v>32</v>
      </c>
      <c r="P61" s="11" t="s">
        <v>226</v>
      </c>
      <c r="Q61" s="1"/>
      <c r="R61" s="1"/>
      <c r="S61" s="1"/>
    </row>
    <row r="62" spans="1:19" x14ac:dyDescent="0.25">
      <c r="A62" s="6"/>
      <c r="B62" s="7">
        <v>44201</v>
      </c>
      <c r="C62" s="8" t="s">
        <v>200</v>
      </c>
      <c r="D62" s="8" t="s">
        <v>175</v>
      </c>
      <c r="E62" s="9" t="s">
        <v>201</v>
      </c>
      <c r="F62" s="9" t="s">
        <v>154</v>
      </c>
      <c r="G62" s="17">
        <v>0.84375</v>
      </c>
      <c r="H62" s="17">
        <v>0.87986111111111109</v>
      </c>
      <c r="I62" s="9">
        <v>7040</v>
      </c>
      <c r="J62" s="9">
        <v>4250</v>
      </c>
      <c r="K62" s="10">
        <f t="shared" si="0"/>
        <v>2790</v>
      </c>
      <c r="L62" s="10">
        <v>26253</v>
      </c>
      <c r="M62" s="11" t="s">
        <v>31</v>
      </c>
      <c r="N62" s="12">
        <v>2790</v>
      </c>
      <c r="O62" s="13" t="s">
        <v>32</v>
      </c>
      <c r="P62" s="14"/>
      <c r="Q62" s="1"/>
      <c r="R62" s="1"/>
      <c r="S62" s="1"/>
    </row>
    <row r="63" spans="1:19" x14ac:dyDescent="0.25">
      <c r="A63" s="6"/>
      <c r="B63" s="7">
        <v>44201</v>
      </c>
      <c r="C63" s="8" t="s">
        <v>200</v>
      </c>
      <c r="D63" s="8" t="s">
        <v>34</v>
      </c>
      <c r="E63" s="9" t="s">
        <v>35</v>
      </c>
      <c r="F63" s="9" t="s">
        <v>36</v>
      </c>
      <c r="G63" s="17">
        <v>0.8520833333333333</v>
      </c>
      <c r="H63" s="17">
        <v>0.87847222222222221</v>
      </c>
      <c r="I63" s="9">
        <v>9150</v>
      </c>
      <c r="J63" s="9">
        <v>5290</v>
      </c>
      <c r="K63" s="10">
        <f t="shared" si="0"/>
        <v>3860</v>
      </c>
      <c r="L63" s="10">
        <v>26254</v>
      </c>
      <c r="M63" s="11" t="s">
        <v>31</v>
      </c>
      <c r="N63" s="12">
        <v>3860</v>
      </c>
      <c r="O63" s="13" t="s">
        <v>32</v>
      </c>
      <c r="P63" s="14"/>
      <c r="Q63" s="2"/>
      <c r="R63" s="1"/>
      <c r="S63" s="1"/>
    </row>
    <row r="64" spans="1:19" x14ac:dyDescent="0.25">
      <c r="A64" s="6"/>
      <c r="B64" s="7">
        <v>44201</v>
      </c>
      <c r="C64" s="8" t="s">
        <v>200</v>
      </c>
      <c r="D64" s="8" t="s">
        <v>202</v>
      </c>
      <c r="E64" s="9" t="s">
        <v>203</v>
      </c>
      <c r="F64" s="9" t="s">
        <v>36</v>
      </c>
      <c r="G64" s="17">
        <v>0.87291666666666667</v>
      </c>
      <c r="H64" s="17">
        <v>0.90208333333333324</v>
      </c>
      <c r="I64" s="9">
        <v>8580</v>
      </c>
      <c r="J64" s="9">
        <v>4160</v>
      </c>
      <c r="K64" s="10">
        <f t="shared" si="0"/>
        <v>4420</v>
      </c>
      <c r="L64" s="10">
        <v>26255</v>
      </c>
      <c r="M64" s="11" t="s">
        <v>31</v>
      </c>
      <c r="N64" s="12">
        <v>4420</v>
      </c>
      <c r="O64" s="13" t="s">
        <v>32</v>
      </c>
      <c r="P64" s="14"/>
      <c r="Q64" s="1"/>
      <c r="R64" s="1"/>
      <c r="S64" s="1"/>
    </row>
    <row r="65" spans="1:19" x14ac:dyDescent="0.25">
      <c r="A65" s="6"/>
      <c r="B65" s="7">
        <v>44201</v>
      </c>
      <c r="C65" s="8" t="s">
        <v>204</v>
      </c>
      <c r="D65" s="8" t="s">
        <v>205</v>
      </c>
      <c r="E65" s="9" t="s">
        <v>206</v>
      </c>
      <c r="F65" s="9" t="s">
        <v>36</v>
      </c>
      <c r="G65" s="17">
        <v>0.89374999999999993</v>
      </c>
      <c r="H65" s="17">
        <v>5.6250000000000001E-2</v>
      </c>
      <c r="I65" s="9">
        <v>10975</v>
      </c>
      <c r="J65" s="9">
        <v>3970</v>
      </c>
      <c r="K65" s="10">
        <f t="shared" si="0"/>
        <v>7005</v>
      </c>
      <c r="L65" s="10">
        <v>26257</v>
      </c>
      <c r="M65" s="11" t="s">
        <v>207</v>
      </c>
      <c r="N65" s="12">
        <v>7005</v>
      </c>
      <c r="O65" s="13" t="s">
        <v>32</v>
      </c>
      <c r="P65" s="14"/>
      <c r="Q65" s="1"/>
      <c r="R65" s="1"/>
      <c r="S65" s="1"/>
    </row>
    <row r="66" spans="1:19" x14ac:dyDescent="0.25">
      <c r="A66" s="6"/>
      <c r="B66" s="7">
        <v>44201</v>
      </c>
      <c r="C66" s="8" t="s">
        <v>208</v>
      </c>
      <c r="D66" s="8" t="s">
        <v>209</v>
      </c>
      <c r="E66" s="9" t="s">
        <v>210</v>
      </c>
      <c r="F66" s="9" t="s">
        <v>211</v>
      </c>
      <c r="G66" s="17">
        <v>0.89513888888888893</v>
      </c>
      <c r="H66" s="17">
        <v>0.69027777777777777</v>
      </c>
      <c r="I66" s="9">
        <v>31220</v>
      </c>
      <c r="J66" s="9">
        <v>16120</v>
      </c>
      <c r="K66" s="10">
        <f t="shared" si="0"/>
        <v>15100</v>
      </c>
      <c r="L66" s="10">
        <v>39557</v>
      </c>
      <c r="M66" s="11" t="s">
        <v>212</v>
      </c>
      <c r="N66" s="12">
        <v>15150</v>
      </c>
      <c r="O66" s="13" t="s">
        <v>32</v>
      </c>
      <c r="P66" s="14"/>
      <c r="Q66" s="1"/>
      <c r="R66" s="1"/>
      <c r="S66" s="1"/>
    </row>
    <row r="67" spans="1:19" x14ac:dyDescent="0.25">
      <c r="A67" s="6"/>
      <c r="B67" s="7">
        <v>44201</v>
      </c>
      <c r="C67" s="8" t="s">
        <v>213</v>
      </c>
      <c r="D67" s="8" t="s">
        <v>214</v>
      </c>
      <c r="E67" s="9" t="s">
        <v>215</v>
      </c>
      <c r="F67" s="9" t="s">
        <v>36</v>
      </c>
      <c r="G67" s="17">
        <v>0.90833333333333333</v>
      </c>
      <c r="H67" s="17">
        <v>2.5694444444444447E-2</v>
      </c>
      <c r="I67" s="9">
        <v>9470</v>
      </c>
      <c r="J67" s="9">
        <v>4560</v>
      </c>
      <c r="K67" s="10">
        <f t="shared" si="0"/>
        <v>4910</v>
      </c>
      <c r="L67" s="10">
        <v>26256</v>
      </c>
      <c r="M67" s="11" t="s">
        <v>31</v>
      </c>
      <c r="N67" s="12">
        <v>4910</v>
      </c>
      <c r="O67" s="13" t="s">
        <v>32</v>
      </c>
      <c r="P67" s="14"/>
      <c r="Q67" s="2"/>
      <c r="R67" s="1"/>
      <c r="S67" s="1"/>
    </row>
    <row r="68" spans="1:19" x14ac:dyDescent="0.25">
      <c r="A68" s="6"/>
      <c r="B68" s="7">
        <v>44201</v>
      </c>
      <c r="C68" s="8" t="s">
        <v>121</v>
      </c>
      <c r="D68" s="8" t="s">
        <v>122</v>
      </c>
      <c r="E68" s="9" t="s">
        <v>123</v>
      </c>
      <c r="F68" s="9" t="s">
        <v>36</v>
      </c>
      <c r="G68" s="17">
        <v>0.91875000000000007</v>
      </c>
      <c r="H68" s="17">
        <v>0.27499999999999997</v>
      </c>
      <c r="I68" s="9">
        <v>16025</v>
      </c>
      <c r="J68" s="9">
        <v>6420</v>
      </c>
      <c r="K68" s="10">
        <f t="shared" si="0"/>
        <v>9605</v>
      </c>
      <c r="L68" s="10">
        <v>26258</v>
      </c>
      <c r="M68" s="11" t="s">
        <v>124</v>
      </c>
      <c r="N68" s="12">
        <v>9605</v>
      </c>
      <c r="O68" s="13" t="s">
        <v>32</v>
      </c>
      <c r="P68" s="14"/>
      <c r="Q68" s="1"/>
      <c r="R68" s="1"/>
      <c r="S68" s="1"/>
    </row>
    <row r="69" spans="1:19" x14ac:dyDescent="0.25">
      <c r="A69" s="6"/>
      <c r="B69" s="7">
        <v>44201</v>
      </c>
      <c r="C69" s="8" t="s">
        <v>133</v>
      </c>
      <c r="D69" s="8" t="s">
        <v>126</v>
      </c>
      <c r="E69" s="9" t="s">
        <v>127</v>
      </c>
      <c r="F69" s="9" t="s">
        <v>128</v>
      </c>
      <c r="G69" s="17">
        <v>0.92499999999999993</v>
      </c>
      <c r="H69" s="17">
        <v>0.34236111111111112</v>
      </c>
      <c r="I69" s="9">
        <v>240</v>
      </c>
      <c r="J69" s="9">
        <v>80</v>
      </c>
      <c r="K69" s="10">
        <f t="shared" si="0"/>
        <v>160</v>
      </c>
      <c r="L69" s="10" t="s">
        <v>196</v>
      </c>
      <c r="M69" s="11" t="s">
        <v>195</v>
      </c>
      <c r="N69" s="12">
        <v>160</v>
      </c>
      <c r="O69" s="13" t="s">
        <v>32</v>
      </c>
      <c r="P69" s="14"/>
      <c r="Q69" s="1"/>
      <c r="R69" s="1"/>
      <c r="S69" s="1"/>
    </row>
    <row r="70" spans="1:19" x14ac:dyDescent="0.25">
      <c r="A70" s="6"/>
      <c r="B70" s="7">
        <v>44201</v>
      </c>
      <c r="C70" s="8" t="s">
        <v>216</v>
      </c>
      <c r="D70" s="8" t="s">
        <v>217</v>
      </c>
      <c r="E70" s="9" t="s">
        <v>218</v>
      </c>
      <c r="F70" s="9" t="s">
        <v>36</v>
      </c>
      <c r="G70" s="17">
        <v>0.93125000000000002</v>
      </c>
      <c r="H70" s="17">
        <v>0.96111111111111114</v>
      </c>
      <c r="I70" s="9">
        <v>51370</v>
      </c>
      <c r="J70" s="9">
        <v>19480</v>
      </c>
      <c r="K70" s="10">
        <f t="shared" si="0"/>
        <v>31890</v>
      </c>
      <c r="L70" s="10">
        <v>5144</v>
      </c>
      <c r="M70" s="11" t="s">
        <v>31</v>
      </c>
      <c r="N70" s="12">
        <v>31890</v>
      </c>
      <c r="O70" s="13" t="s">
        <v>32</v>
      </c>
      <c r="P70" s="14"/>
      <c r="Q70" s="1"/>
      <c r="R70" s="1"/>
      <c r="S70" s="1"/>
    </row>
    <row r="71" spans="1:19" x14ac:dyDescent="0.25">
      <c r="A71" s="6"/>
      <c r="B71" s="7">
        <v>44201</v>
      </c>
      <c r="C71" s="8" t="s">
        <v>216</v>
      </c>
      <c r="D71" s="8" t="s">
        <v>219</v>
      </c>
      <c r="E71" s="9" t="s">
        <v>220</v>
      </c>
      <c r="F71" s="9" t="s">
        <v>221</v>
      </c>
      <c r="G71" s="17">
        <v>0.96597222222222223</v>
      </c>
      <c r="H71" s="17">
        <v>0.4291666666666667</v>
      </c>
      <c r="I71" s="9">
        <v>15230</v>
      </c>
      <c r="J71" s="9">
        <v>8480</v>
      </c>
      <c r="K71" s="10">
        <f t="shared" ref="K71:K136" si="1">+I71-J71</f>
        <v>6750</v>
      </c>
      <c r="L71" s="10">
        <v>4583</v>
      </c>
      <c r="M71" s="11" t="s">
        <v>222</v>
      </c>
      <c r="N71" s="12">
        <v>6750</v>
      </c>
      <c r="O71" s="13" t="s">
        <v>32</v>
      </c>
      <c r="P71" s="14">
        <v>150</v>
      </c>
      <c r="Q71" s="1" t="s">
        <v>230</v>
      </c>
      <c r="R71" s="1"/>
      <c r="S71" s="1"/>
    </row>
    <row r="72" spans="1:19" x14ac:dyDescent="0.25">
      <c r="A72" s="6"/>
      <c r="B72" s="7">
        <v>44202</v>
      </c>
      <c r="C72" s="8" t="s">
        <v>142</v>
      </c>
      <c r="D72" s="8" t="s">
        <v>143</v>
      </c>
      <c r="E72" s="9" t="s">
        <v>144</v>
      </c>
      <c r="F72" s="9" t="s">
        <v>145</v>
      </c>
      <c r="G72" s="17">
        <v>0.13958333333333334</v>
      </c>
      <c r="H72" s="17">
        <v>0.14791666666666667</v>
      </c>
      <c r="I72" s="9">
        <v>28260</v>
      </c>
      <c r="J72" s="9">
        <v>15630</v>
      </c>
      <c r="K72" s="10">
        <f t="shared" si="1"/>
        <v>12630</v>
      </c>
      <c r="L72" s="10">
        <v>719</v>
      </c>
      <c r="M72" s="11" t="s">
        <v>146</v>
      </c>
      <c r="N72" s="12">
        <v>13051</v>
      </c>
      <c r="O72" s="13" t="s">
        <v>32</v>
      </c>
      <c r="P72" s="14" t="s">
        <v>231</v>
      </c>
      <c r="Q72" s="1"/>
      <c r="R72" s="1"/>
      <c r="S72" s="1"/>
    </row>
    <row r="73" spans="1:19" x14ac:dyDescent="0.25">
      <c r="A73" s="6"/>
      <c r="B73" s="7">
        <v>44202</v>
      </c>
      <c r="C73" s="8" t="s">
        <v>223</v>
      </c>
      <c r="D73" s="8" t="s">
        <v>139</v>
      </c>
      <c r="E73" s="9" t="s">
        <v>45</v>
      </c>
      <c r="F73" s="9" t="s">
        <v>140</v>
      </c>
      <c r="G73" s="17">
        <v>0.15833333333333333</v>
      </c>
      <c r="H73" s="17">
        <v>0.38055555555555554</v>
      </c>
      <c r="I73" s="9">
        <v>17740</v>
      </c>
      <c r="J73" s="9">
        <v>8230</v>
      </c>
      <c r="K73" s="10">
        <f t="shared" si="1"/>
        <v>9510</v>
      </c>
      <c r="L73" s="10" t="s">
        <v>224</v>
      </c>
      <c r="M73" s="11" t="s">
        <v>225</v>
      </c>
      <c r="N73" s="12">
        <v>21783.4</v>
      </c>
      <c r="O73" s="13" t="s">
        <v>49</v>
      </c>
      <c r="P73" s="14"/>
      <c r="Q73" s="1"/>
      <c r="R73" s="1"/>
      <c r="S73" s="1"/>
    </row>
    <row r="74" spans="1:19" x14ac:dyDescent="0.25">
      <c r="A74" s="6"/>
      <c r="B74" s="7">
        <v>44202</v>
      </c>
      <c r="C74" s="8" t="s">
        <v>147</v>
      </c>
      <c r="D74" s="8" t="s">
        <v>148</v>
      </c>
      <c r="E74" s="9" t="s">
        <v>149</v>
      </c>
      <c r="F74" s="9" t="s">
        <v>36</v>
      </c>
      <c r="G74" s="17">
        <v>0.25</v>
      </c>
      <c r="H74" s="17">
        <v>0.28333333333333333</v>
      </c>
      <c r="I74" s="9">
        <v>44790</v>
      </c>
      <c r="J74" s="9">
        <v>18750</v>
      </c>
      <c r="K74" s="10">
        <f t="shared" si="1"/>
        <v>26040</v>
      </c>
      <c r="L74" s="10">
        <v>5145</v>
      </c>
      <c r="M74" s="11" t="s">
        <v>31</v>
      </c>
      <c r="N74" s="12">
        <v>26040</v>
      </c>
      <c r="O74" s="13" t="s">
        <v>32</v>
      </c>
      <c r="P74" s="14"/>
      <c r="Q74" s="1"/>
      <c r="R74" s="1"/>
      <c r="S74" s="1"/>
    </row>
    <row r="75" spans="1:19" x14ac:dyDescent="0.25">
      <c r="A75" s="6"/>
      <c r="B75" s="15">
        <v>44202</v>
      </c>
      <c r="C75" s="8" t="s">
        <v>193</v>
      </c>
      <c r="D75" s="8" t="s">
        <v>228</v>
      </c>
      <c r="E75" s="9" t="s">
        <v>127</v>
      </c>
      <c r="F75" s="9" t="s">
        <v>229</v>
      </c>
      <c r="G75" s="17">
        <v>0.38958333333333334</v>
      </c>
      <c r="H75" s="17"/>
      <c r="I75" s="9">
        <v>130</v>
      </c>
      <c r="J75" s="9"/>
      <c r="K75" s="10">
        <f t="shared" si="1"/>
        <v>130</v>
      </c>
      <c r="L75" s="10" t="s">
        <v>196</v>
      </c>
      <c r="M75" s="11" t="s">
        <v>195</v>
      </c>
      <c r="N75" s="12">
        <v>130</v>
      </c>
      <c r="O75" s="13" t="s">
        <v>32</v>
      </c>
      <c r="P75" s="14"/>
      <c r="Q75" s="1"/>
      <c r="R75" s="1"/>
      <c r="S75" s="1"/>
    </row>
    <row r="76" spans="1:19" x14ac:dyDescent="0.25">
      <c r="A76" s="6"/>
      <c r="B76" s="7">
        <v>44202</v>
      </c>
      <c r="C76" s="8" t="s">
        <v>232</v>
      </c>
      <c r="D76" s="8" t="s">
        <v>233</v>
      </c>
      <c r="E76" s="9" t="s">
        <v>234</v>
      </c>
      <c r="F76" s="9" t="s">
        <v>36</v>
      </c>
      <c r="G76" s="17">
        <v>0.44513888888888892</v>
      </c>
      <c r="H76" s="17">
        <v>0.49722222222222223</v>
      </c>
      <c r="I76" s="9">
        <v>8980</v>
      </c>
      <c r="J76" s="9">
        <v>3900</v>
      </c>
      <c r="K76" s="10">
        <f t="shared" si="1"/>
        <v>5080</v>
      </c>
      <c r="L76" s="10" t="s">
        <v>235</v>
      </c>
      <c r="M76" s="11" t="s">
        <v>31</v>
      </c>
      <c r="N76" s="12">
        <v>5080</v>
      </c>
      <c r="O76" s="13" t="s">
        <v>32</v>
      </c>
      <c r="P76" s="14"/>
      <c r="Q76" s="1"/>
      <c r="R76" s="1"/>
      <c r="S76" s="1"/>
    </row>
    <row r="77" spans="1:19" x14ac:dyDescent="0.25">
      <c r="A77" s="6"/>
      <c r="B77" s="7">
        <v>44202</v>
      </c>
      <c r="C77" s="8" t="s">
        <v>164</v>
      </c>
      <c r="D77" s="8" t="s">
        <v>94</v>
      </c>
      <c r="E77" s="9" t="s">
        <v>95</v>
      </c>
      <c r="F77" s="9" t="s">
        <v>99</v>
      </c>
      <c r="G77" s="17">
        <v>0.4465277777777778</v>
      </c>
      <c r="H77" s="17">
        <v>0.46388888888888885</v>
      </c>
      <c r="I77" s="9">
        <v>15790</v>
      </c>
      <c r="J77" s="9">
        <v>6700</v>
      </c>
      <c r="K77" s="10">
        <f t="shared" si="1"/>
        <v>9090</v>
      </c>
      <c r="L77" s="10">
        <v>15168</v>
      </c>
      <c r="M77" s="11" t="s">
        <v>165</v>
      </c>
      <c r="N77" s="12">
        <v>180</v>
      </c>
      <c r="O77" s="13" t="s">
        <v>54</v>
      </c>
      <c r="P77" s="14"/>
      <c r="Q77" s="1">
        <v>7642.85</v>
      </c>
      <c r="R77" s="18"/>
      <c r="S77" s="1"/>
    </row>
    <row r="78" spans="1:19" x14ac:dyDescent="0.25">
      <c r="A78" s="6"/>
      <c r="B78" s="7">
        <v>44202</v>
      </c>
      <c r="C78" s="8" t="s">
        <v>185</v>
      </c>
      <c r="D78" s="8" t="s">
        <v>236</v>
      </c>
      <c r="E78" s="9" t="s">
        <v>237</v>
      </c>
      <c r="F78" s="9" t="s">
        <v>36</v>
      </c>
      <c r="G78" s="17">
        <v>0.45277777777777778</v>
      </c>
      <c r="H78" s="17">
        <v>0.4770833333333333</v>
      </c>
      <c r="I78" s="9">
        <v>8250</v>
      </c>
      <c r="J78" s="9">
        <v>5480</v>
      </c>
      <c r="K78" s="10">
        <f t="shared" si="1"/>
        <v>2770</v>
      </c>
      <c r="L78" s="10">
        <v>138940</v>
      </c>
      <c r="M78" s="11" t="s">
        <v>187</v>
      </c>
      <c r="N78" s="12">
        <v>22000</v>
      </c>
      <c r="O78" s="13" t="s">
        <v>54</v>
      </c>
      <c r="P78" s="14"/>
      <c r="Q78" s="1"/>
      <c r="R78" s="1"/>
      <c r="S78" s="1"/>
    </row>
    <row r="79" spans="1:19" x14ac:dyDescent="0.25">
      <c r="A79" s="6"/>
      <c r="B79" s="7">
        <v>44202</v>
      </c>
      <c r="C79" s="8" t="s">
        <v>98</v>
      </c>
      <c r="D79" s="8" t="s">
        <v>101</v>
      </c>
      <c r="E79" s="9" t="s">
        <v>238</v>
      </c>
      <c r="F79" s="9" t="s">
        <v>36</v>
      </c>
      <c r="G79" s="17">
        <v>0.4680555555555555</v>
      </c>
      <c r="H79" s="17">
        <v>0.61527777777777781</v>
      </c>
      <c r="I79" s="9">
        <v>17720</v>
      </c>
      <c r="J79" s="9">
        <v>48850</v>
      </c>
      <c r="K79" s="10">
        <f t="shared" si="1"/>
        <v>-31130</v>
      </c>
      <c r="L79" s="10">
        <v>5654</v>
      </c>
      <c r="M79" s="11" t="s">
        <v>53</v>
      </c>
      <c r="N79" s="12">
        <v>600</v>
      </c>
      <c r="O79" s="13" t="s">
        <v>54</v>
      </c>
      <c r="P79" s="14" t="s">
        <v>100</v>
      </c>
      <c r="Q79" s="1"/>
      <c r="R79" s="1"/>
      <c r="S79" s="1"/>
    </row>
    <row r="80" spans="1:19" x14ac:dyDescent="0.25">
      <c r="A80" s="6"/>
      <c r="B80" s="7">
        <v>44202</v>
      </c>
      <c r="C80" s="8" t="s">
        <v>130</v>
      </c>
      <c r="D80" s="8" t="s">
        <v>143</v>
      </c>
      <c r="E80" s="9" t="s">
        <v>144</v>
      </c>
      <c r="F80" s="9" t="s">
        <v>239</v>
      </c>
      <c r="G80" s="17">
        <v>0.4916666666666667</v>
      </c>
      <c r="H80" s="17">
        <v>0.60902777777777783</v>
      </c>
      <c r="I80" s="9">
        <v>16590</v>
      </c>
      <c r="J80" s="9">
        <v>30490</v>
      </c>
      <c r="K80" s="10">
        <f t="shared" si="1"/>
        <v>-13900</v>
      </c>
      <c r="L80" s="10">
        <v>15219</v>
      </c>
      <c r="M80" s="11" t="s">
        <v>240</v>
      </c>
      <c r="N80" s="12">
        <v>13900</v>
      </c>
      <c r="O80" s="13" t="s">
        <v>32</v>
      </c>
      <c r="P80" s="14"/>
      <c r="Q80" s="1"/>
      <c r="R80" s="1"/>
      <c r="S80" s="1">
        <f>46*21</f>
        <v>966</v>
      </c>
    </row>
    <row r="81" spans="1:19" x14ac:dyDescent="0.25">
      <c r="A81" s="6"/>
      <c r="B81" s="7">
        <v>44202</v>
      </c>
      <c r="C81" s="8" t="s">
        <v>164</v>
      </c>
      <c r="D81" s="8" t="s">
        <v>174</v>
      </c>
      <c r="E81" s="9" t="s">
        <v>172</v>
      </c>
      <c r="F81" s="9" t="s">
        <v>173</v>
      </c>
      <c r="G81" s="17">
        <v>0.55347222222222225</v>
      </c>
      <c r="H81" s="17">
        <v>0.57500000000000007</v>
      </c>
      <c r="I81" s="9">
        <v>15590</v>
      </c>
      <c r="J81" s="9">
        <v>6460</v>
      </c>
      <c r="K81" s="10">
        <f t="shared" si="1"/>
        <v>9130</v>
      </c>
      <c r="L81" s="10">
        <v>15169</v>
      </c>
      <c r="M81" s="11" t="s">
        <v>165</v>
      </c>
      <c r="N81" s="12">
        <v>180</v>
      </c>
      <c r="O81" s="13" t="s">
        <v>54</v>
      </c>
      <c r="P81" s="14"/>
      <c r="Q81" s="1"/>
      <c r="R81" s="1"/>
      <c r="S81" s="1">
        <v>31130</v>
      </c>
    </row>
    <row r="82" spans="1:19" x14ac:dyDescent="0.25">
      <c r="A82" s="6"/>
      <c r="B82" s="7">
        <v>44202</v>
      </c>
      <c r="C82" s="8" t="s">
        <v>164</v>
      </c>
      <c r="D82" s="8" t="s">
        <v>94</v>
      </c>
      <c r="E82" s="9" t="s">
        <v>95</v>
      </c>
      <c r="F82" s="9" t="s">
        <v>99</v>
      </c>
      <c r="G82" s="17">
        <v>0.56736111111111109</v>
      </c>
      <c r="H82" s="17">
        <v>0.58194444444444449</v>
      </c>
      <c r="I82" s="9">
        <v>15800</v>
      </c>
      <c r="J82" s="9">
        <v>6710</v>
      </c>
      <c r="K82" s="10">
        <f t="shared" si="1"/>
        <v>9090</v>
      </c>
      <c r="L82" s="10">
        <v>15170</v>
      </c>
      <c r="M82" s="11" t="s">
        <v>165</v>
      </c>
      <c r="N82" s="12">
        <v>180</v>
      </c>
      <c r="O82" s="13" t="s">
        <v>54</v>
      </c>
      <c r="P82" s="14"/>
      <c r="Q82" s="1"/>
      <c r="R82" s="1"/>
      <c r="S82" s="1">
        <f>+S81-S80</f>
        <v>30164</v>
      </c>
    </row>
    <row r="83" spans="1:19" x14ac:dyDescent="0.25">
      <c r="A83" s="6"/>
      <c r="B83" s="7">
        <v>44202</v>
      </c>
      <c r="C83" s="8" t="s">
        <v>169</v>
      </c>
      <c r="D83" s="8" t="s">
        <v>34</v>
      </c>
      <c r="E83" s="9" t="s">
        <v>35</v>
      </c>
      <c r="F83" s="9" t="s">
        <v>36</v>
      </c>
      <c r="G83" s="17">
        <v>0.5708333333333333</v>
      </c>
      <c r="H83" s="17">
        <v>0.61249999999999993</v>
      </c>
      <c r="I83" s="9">
        <v>12270</v>
      </c>
      <c r="J83" s="9">
        <v>5340</v>
      </c>
      <c r="K83" s="10">
        <f t="shared" si="1"/>
        <v>6930</v>
      </c>
      <c r="L83" s="10">
        <v>3195</v>
      </c>
      <c r="M83" s="11" t="s">
        <v>31</v>
      </c>
      <c r="N83" s="12">
        <f>14351+262</f>
        <v>14613</v>
      </c>
      <c r="O83" s="13" t="s">
        <v>49</v>
      </c>
      <c r="P83" s="14"/>
      <c r="Q83" s="1"/>
      <c r="R83" s="1"/>
      <c r="S83" s="1"/>
    </row>
    <row r="84" spans="1:19" x14ac:dyDescent="0.25">
      <c r="A84" s="6"/>
      <c r="B84" s="7">
        <v>44202</v>
      </c>
      <c r="C84" s="8" t="s">
        <v>164</v>
      </c>
      <c r="D84" s="8" t="s">
        <v>174</v>
      </c>
      <c r="E84" s="9" t="s">
        <v>172</v>
      </c>
      <c r="F84" s="9" t="s">
        <v>173</v>
      </c>
      <c r="G84" s="17">
        <v>0.57500000000000007</v>
      </c>
      <c r="H84" s="17">
        <v>0.62361111111111112</v>
      </c>
      <c r="I84" s="9">
        <v>6460</v>
      </c>
      <c r="J84" s="9">
        <v>15540</v>
      </c>
      <c r="K84" s="10">
        <f t="shared" si="1"/>
        <v>-9080</v>
      </c>
      <c r="L84" s="10">
        <v>15218</v>
      </c>
      <c r="M84" s="11" t="s">
        <v>166</v>
      </c>
      <c r="N84" s="12">
        <v>180</v>
      </c>
      <c r="O84" s="13" t="s">
        <v>54</v>
      </c>
      <c r="P84" s="14"/>
      <c r="Q84" s="1"/>
      <c r="R84" s="1"/>
      <c r="S84" s="1"/>
    </row>
    <row r="85" spans="1:19" x14ac:dyDescent="0.25">
      <c r="A85" s="6"/>
      <c r="B85" s="7">
        <v>44202</v>
      </c>
      <c r="C85" s="8" t="s">
        <v>164</v>
      </c>
      <c r="D85" s="8" t="s">
        <v>94</v>
      </c>
      <c r="E85" s="9" t="s">
        <v>95</v>
      </c>
      <c r="F85" s="9" t="s">
        <v>99</v>
      </c>
      <c r="G85" s="17">
        <v>0.6381944444444444</v>
      </c>
      <c r="H85" s="17">
        <v>0.37777777777777777</v>
      </c>
      <c r="I85" s="9">
        <v>15640</v>
      </c>
      <c r="J85" s="9">
        <v>6700</v>
      </c>
      <c r="K85" s="10">
        <f t="shared" si="1"/>
        <v>8940</v>
      </c>
      <c r="L85" s="10">
        <v>15220</v>
      </c>
      <c r="M85" s="11" t="s">
        <v>166</v>
      </c>
      <c r="N85" s="12">
        <v>178</v>
      </c>
      <c r="O85" s="13" t="s">
        <v>54</v>
      </c>
      <c r="P85" s="14"/>
      <c r="Q85" s="1"/>
      <c r="R85" s="1"/>
      <c r="S85" s="1"/>
    </row>
    <row r="86" spans="1:19" x14ac:dyDescent="0.25">
      <c r="A86" s="6"/>
      <c r="B86" s="7">
        <v>44202</v>
      </c>
      <c r="C86" s="8" t="s">
        <v>98</v>
      </c>
      <c r="D86" s="8" t="s">
        <v>103</v>
      </c>
      <c r="E86" s="9" t="s">
        <v>104</v>
      </c>
      <c r="F86" s="9" t="s">
        <v>36</v>
      </c>
      <c r="G86" s="17">
        <v>0.66666666666666663</v>
      </c>
      <c r="H86" s="17">
        <v>0.71527777777777779</v>
      </c>
      <c r="I86" s="9">
        <v>16810</v>
      </c>
      <c r="J86" s="9">
        <v>47990</v>
      </c>
      <c r="K86" s="10">
        <f t="shared" si="1"/>
        <v>-31180</v>
      </c>
      <c r="L86" s="10">
        <v>5655</v>
      </c>
      <c r="M86" s="11" t="s">
        <v>53</v>
      </c>
      <c r="N86" s="12">
        <v>31180</v>
      </c>
      <c r="O86" s="13" t="s">
        <v>54</v>
      </c>
      <c r="P86" s="14" t="s">
        <v>167</v>
      </c>
      <c r="Q86" s="1">
        <v>31180</v>
      </c>
      <c r="R86" s="1"/>
      <c r="S86" s="1"/>
    </row>
    <row r="87" spans="1:19" x14ac:dyDescent="0.25">
      <c r="A87" s="6"/>
      <c r="B87" s="7">
        <v>44202</v>
      </c>
      <c r="C87" s="8" t="s">
        <v>147</v>
      </c>
      <c r="D87" s="8" t="s">
        <v>162</v>
      </c>
      <c r="E87" s="9" t="s">
        <v>163</v>
      </c>
      <c r="F87" s="9" t="s">
        <v>36</v>
      </c>
      <c r="G87" s="17">
        <v>0.70694444444444438</v>
      </c>
      <c r="H87" s="17">
        <v>0.73541666666666661</v>
      </c>
      <c r="I87" s="9">
        <v>43340</v>
      </c>
      <c r="J87" s="9">
        <v>18380</v>
      </c>
      <c r="K87" s="10">
        <f t="shared" si="1"/>
        <v>24960</v>
      </c>
      <c r="L87" s="10">
        <v>5146</v>
      </c>
      <c r="M87" s="11" t="s">
        <v>31</v>
      </c>
      <c r="N87" s="12">
        <v>55044</v>
      </c>
      <c r="O87" s="13" t="s">
        <v>49</v>
      </c>
      <c r="P87" s="14"/>
      <c r="Q87" s="1">
        <v>1104</v>
      </c>
      <c r="R87" s="1"/>
      <c r="S87" s="1"/>
    </row>
    <row r="88" spans="1:19" x14ac:dyDescent="0.25">
      <c r="A88" s="6"/>
      <c r="B88" s="7">
        <v>44202</v>
      </c>
      <c r="C88" s="8" t="s">
        <v>241</v>
      </c>
      <c r="D88" s="8" t="s">
        <v>86</v>
      </c>
      <c r="E88" s="9" t="s">
        <v>87</v>
      </c>
      <c r="F88" s="9" t="s">
        <v>88</v>
      </c>
      <c r="G88" s="17">
        <v>0.75138888888888899</v>
      </c>
      <c r="H88" s="17">
        <v>0.67499999999999993</v>
      </c>
      <c r="I88" s="9">
        <v>18800</v>
      </c>
      <c r="J88" s="9">
        <v>16460</v>
      </c>
      <c r="K88" s="10">
        <f t="shared" si="1"/>
        <v>2340</v>
      </c>
      <c r="L88" s="10">
        <v>1154</v>
      </c>
      <c r="M88" s="11" t="s">
        <v>242</v>
      </c>
      <c r="N88" s="12">
        <v>40</v>
      </c>
      <c r="O88" s="13" t="s">
        <v>80</v>
      </c>
      <c r="P88" s="14"/>
      <c r="Q88" s="2">
        <f>+Q87-Q86</f>
        <v>-30076</v>
      </c>
      <c r="R88" s="1"/>
      <c r="S88" s="1"/>
    </row>
    <row r="89" spans="1:19" x14ac:dyDescent="0.25">
      <c r="A89" s="6"/>
      <c r="B89" s="7">
        <v>44202</v>
      </c>
      <c r="C89" s="8" t="s">
        <v>208</v>
      </c>
      <c r="D89" s="8" t="s">
        <v>243</v>
      </c>
      <c r="E89" s="9" t="s">
        <v>210</v>
      </c>
      <c r="F89" s="9" t="s">
        <v>211</v>
      </c>
      <c r="G89" s="17">
        <v>0.7909722222222223</v>
      </c>
      <c r="H89" s="17">
        <v>0.4770833333333333</v>
      </c>
      <c r="I89" s="9">
        <v>33150</v>
      </c>
      <c r="J89" s="9">
        <v>16120</v>
      </c>
      <c r="K89" s="10">
        <f t="shared" si="1"/>
        <v>17030</v>
      </c>
      <c r="L89" s="10">
        <v>39582</v>
      </c>
      <c r="M89" s="11" t="s">
        <v>212</v>
      </c>
      <c r="N89" s="12">
        <v>17100</v>
      </c>
      <c r="O89" s="13" t="s">
        <v>32</v>
      </c>
      <c r="P89" s="14"/>
      <c r="Q89" s="1"/>
      <c r="R89" s="1"/>
      <c r="S89" s="1"/>
    </row>
    <row r="90" spans="1:19" x14ac:dyDescent="0.25">
      <c r="A90" s="6"/>
      <c r="B90" s="7">
        <v>44202</v>
      </c>
      <c r="C90" s="8" t="s">
        <v>33</v>
      </c>
      <c r="D90" s="8" t="s">
        <v>247</v>
      </c>
      <c r="E90" s="9" t="s">
        <v>184</v>
      </c>
      <c r="F90" s="9" t="s">
        <v>36</v>
      </c>
      <c r="G90" s="17">
        <v>0.79236111111111107</v>
      </c>
      <c r="H90" s="17">
        <v>0.86458333333333337</v>
      </c>
      <c r="I90" s="9">
        <v>8650</v>
      </c>
      <c r="J90" s="9">
        <v>4440</v>
      </c>
      <c r="K90" s="10">
        <f t="shared" si="1"/>
        <v>4210</v>
      </c>
      <c r="L90" s="10">
        <v>26260</v>
      </c>
      <c r="M90" s="11" t="s">
        <v>31</v>
      </c>
      <c r="N90" s="12">
        <v>4210</v>
      </c>
      <c r="O90" s="13" t="s">
        <v>32</v>
      </c>
      <c r="P90" s="14"/>
      <c r="Q90" s="1"/>
      <c r="R90" s="1"/>
      <c r="S90" s="1"/>
    </row>
    <row r="91" spans="1:19" x14ac:dyDescent="0.25">
      <c r="A91" s="6"/>
      <c r="B91" s="7">
        <v>44202</v>
      </c>
      <c r="C91" s="8" t="s">
        <v>244</v>
      </c>
      <c r="D91" s="8" t="s">
        <v>245</v>
      </c>
      <c r="E91" s="9" t="s">
        <v>246</v>
      </c>
      <c r="F91" s="9" t="s">
        <v>36</v>
      </c>
      <c r="G91" s="17">
        <v>0.83611111111111114</v>
      </c>
      <c r="H91" s="17">
        <v>0.96666666666666667</v>
      </c>
      <c r="I91" s="9">
        <v>30790</v>
      </c>
      <c r="J91" s="9">
        <v>14630</v>
      </c>
      <c r="K91" s="10">
        <f t="shared" si="1"/>
        <v>16160</v>
      </c>
      <c r="L91" s="10">
        <v>26263</v>
      </c>
      <c r="M91" s="11" t="s">
        <v>159</v>
      </c>
      <c r="N91" s="12">
        <v>16160</v>
      </c>
      <c r="O91" s="13" t="s">
        <v>32</v>
      </c>
      <c r="P91" s="14"/>
      <c r="Q91" s="1"/>
      <c r="R91" s="1"/>
      <c r="S91" s="1"/>
    </row>
    <row r="92" spans="1:19" x14ac:dyDescent="0.25">
      <c r="A92" s="6"/>
      <c r="B92" s="7">
        <v>44202</v>
      </c>
      <c r="C92" s="8" t="s">
        <v>200</v>
      </c>
      <c r="D92" s="8" t="s">
        <v>34</v>
      </c>
      <c r="E92" s="9" t="s">
        <v>35</v>
      </c>
      <c r="F92" s="9" t="s">
        <v>36</v>
      </c>
      <c r="G92" s="17">
        <v>0.86736111111111114</v>
      </c>
      <c r="H92" s="17">
        <v>0.88750000000000007</v>
      </c>
      <c r="I92" s="9">
        <v>8460</v>
      </c>
      <c r="J92" s="9">
        <v>5310</v>
      </c>
      <c r="K92" s="10">
        <f t="shared" si="1"/>
        <v>3150</v>
      </c>
      <c r="L92" s="10">
        <v>26261</v>
      </c>
      <c r="M92" s="11" t="s">
        <v>31</v>
      </c>
      <c r="N92" s="12">
        <v>3150</v>
      </c>
      <c r="O92" s="13" t="s">
        <v>32</v>
      </c>
      <c r="P92" s="14"/>
      <c r="Q92" s="1"/>
      <c r="R92" s="1"/>
      <c r="S92" s="1"/>
    </row>
    <row r="93" spans="1:19" x14ac:dyDescent="0.25">
      <c r="A93" s="6"/>
      <c r="B93" s="7">
        <v>44202</v>
      </c>
      <c r="C93" s="8" t="s">
        <v>248</v>
      </c>
      <c r="D93" s="8" t="s">
        <v>249</v>
      </c>
      <c r="E93" s="9" t="s">
        <v>250</v>
      </c>
      <c r="F93" s="9" t="s">
        <v>36</v>
      </c>
      <c r="G93" s="17">
        <v>0.88194444444444453</v>
      </c>
      <c r="H93" s="17">
        <v>0.92569444444444438</v>
      </c>
      <c r="I93" s="9">
        <v>6540</v>
      </c>
      <c r="J93" s="9">
        <v>3770</v>
      </c>
      <c r="K93" s="10">
        <f t="shared" si="1"/>
        <v>2770</v>
      </c>
      <c r="L93" s="10" t="s">
        <v>251</v>
      </c>
      <c r="M93" s="11" t="s">
        <v>31</v>
      </c>
      <c r="N93" s="12">
        <v>2770</v>
      </c>
      <c r="O93" s="13" t="s">
        <v>32</v>
      </c>
      <c r="P93" s="14"/>
      <c r="Q93" s="1"/>
      <c r="R93" s="1"/>
      <c r="S93" s="1"/>
    </row>
    <row r="94" spans="1:19" x14ac:dyDescent="0.25">
      <c r="A94" s="6"/>
      <c r="B94" s="7">
        <v>44202</v>
      </c>
      <c r="C94" s="8" t="s">
        <v>121</v>
      </c>
      <c r="D94" s="8" t="s">
        <v>122</v>
      </c>
      <c r="E94" s="9" t="s">
        <v>123</v>
      </c>
      <c r="F94" s="9" t="s">
        <v>36</v>
      </c>
      <c r="G94" s="17">
        <v>0.92847222222222225</v>
      </c>
      <c r="H94" s="17">
        <v>3.4722222222222224E-2</v>
      </c>
      <c r="I94" s="9">
        <v>17850</v>
      </c>
      <c r="J94" s="9">
        <v>6380</v>
      </c>
      <c r="K94" s="10">
        <f t="shared" si="1"/>
        <v>11470</v>
      </c>
      <c r="L94" s="10">
        <v>26266</v>
      </c>
      <c r="M94" s="11" t="s">
        <v>252</v>
      </c>
      <c r="N94" s="12">
        <v>11470</v>
      </c>
      <c r="O94" s="13" t="s">
        <v>32</v>
      </c>
      <c r="P94" s="14"/>
      <c r="Q94" s="1"/>
      <c r="R94" s="1"/>
      <c r="S94" s="1"/>
    </row>
    <row r="95" spans="1:19" x14ac:dyDescent="0.25">
      <c r="A95" s="6"/>
      <c r="B95" s="7">
        <v>44202</v>
      </c>
      <c r="C95" s="8" t="s">
        <v>213</v>
      </c>
      <c r="D95" s="8" t="s">
        <v>214</v>
      </c>
      <c r="E95" s="9" t="s">
        <v>215</v>
      </c>
      <c r="F95" s="9" t="s">
        <v>36</v>
      </c>
      <c r="G95" s="17">
        <v>0.93125000000000002</v>
      </c>
      <c r="H95" s="17">
        <v>0.98263888888888884</v>
      </c>
      <c r="I95" s="9">
        <v>6000</v>
      </c>
      <c r="J95" s="9">
        <v>4600</v>
      </c>
      <c r="K95" s="10">
        <f t="shared" si="1"/>
        <v>1400</v>
      </c>
      <c r="L95" s="10">
        <v>26264</v>
      </c>
      <c r="M95" s="11" t="s">
        <v>31</v>
      </c>
      <c r="N95" s="12">
        <v>1400</v>
      </c>
      <c r="O95" s="13" t="s">
        <v>32</v>
      </c>
      <c r="P95" s="14"/>
      <c r="Q95" s="1"/>
      <c r="R95" s="1"/>
      <c r="S95" s="1"/>
    </row>
    <row r="96" spans="1:19" x14ac:dyDescent="0.25">
      <c r="A96" s="6"/>
      <c r="B96" s="7">
        <v>44202</v>
      </c>
      <c r="C96" s="8" t="s">
        <v>253</v>
      </c>
      <c r="D96" s="8" t="s">
        <v>170</v>
      </c>
      <c r="E96" s="9" t="s">
        <v>171</v>
      </c>
      <c r="F96" s="9" t="s">
        <v>36</v>
      </c>
      <c r="G96" s="17">
        <v>0.93194444444444446</v>
      </c>
      <c r="H96" s="17">
        <v>0.98402777777777783</v>
      </c>
      <c r="I96" s="9">
        <v>9960</v>
      </c>
      <c r="J96" s="9">
        <v>4630</v>
      </c>
      <c r="K96" s="10">
        <f t="shared" si="1"/>
        <v>5330</v>
      </c>
      <c r="L96" s="10">
        <v>9845</v>
      </c>
      <c r="M96" s="11" t="s">
        <v>31</v>
      </c>
      <c r="N96" s="12">
        <v>5330</v>
      </c>
      <c r="O96" s="13" t="s">
        <v>32</v>
      </c>
      <c r="P96" s="14"/>
      <c r="Q96" s="1"/>
      <c r="R96" s="1"/>
      <c r="S96" s="1"/>
    </row>
    <row r="97" spans="1:21" x14ac:dyDescent="0.25">
      <c r="A97" s="6"/>
      <c r="B97" s="7">
        <v>44202</v>
      </c>
      <c r="C97" s="8" t="s">
        <v>254</v>
      </c>
      <c r="D97" s="8" t="s">
        <v>255</v>
      </c>
      <c r="E97" s="9" t="s">
        <v>256</v>
      </c>
      <c r="F97" s="9" t="s">
        <v>36</v>
      </c>
      <c r="G97" s="17">
        <v>0.97361111111111109</v>
      </c>
      <c r="H97" s="17">
        <v>3.2638888888888891E-2</v>
      </c>
      <c r="I97" s="9">
        <v>9310</v>
      </c>
      <c r="J97" s="9">
        <v>4040</v>
      </c>
      <c r="K97" s="10">
        <f t="shared" si="1"/>
        <v>5270</v>
      </c>
      <c r="L97" s="10">
        <v>26265</v>
      </c>
      <c r="M97" s="11" t="s">
        <v>31</v>
      </c>
      <c r="N97" s="12">
        <v>5270</v>
      </c>
      <c r="O97" s="13" t="s">
        <v>32</v>
      </c>
      <c r="P97" s="14"/>
      <c r="Q97" s="20"/>
      <c r="R97" s="1"/>
      <c r="S97" s="1"/>
      <c r="T97" s="1"/>
      <c r="U97" s="1"/>
    </row>
    <row r="98" spans="1:21" x14ac:dyDescent="0.25">
      <c r="A98" s="6"/>
      <c r="B98" s="7">
        <v>44203</v>
      </c>
      <c r="C98" s="8" t="s">
        <v>216</v>
      </c>
      <c r="D98" s="8" t="s">
        <v>217</v>
      </c>
      <c r="E98" s="9" t="s">
        <v>218</v>
      </c>
      <c r="F98" s="9" t="s">
        <v>36</v>
      </c>
      <c r="G98" s="17">
        <v>5.0694444444444452E-2</v>
      </c>
      <c r="H98" s="17">
        <v>7.0833333333333331E-2</v>
      </c>
      <c r="I98" s="9">
        <v>44300</v>
      </c>
      <c r="J98" s="9">
        <v>19420</v>
      </c>
      <c r="K98" s="10">
        <f t="shared" si="1"/>
        <v>24880</v>
      </c>
      <c r="L98" s="10">
        <v>5147</v>
      </c>
      <c r="M98" s="11" t="s">
        <v>31</v>
      </c>
      <c r="N98" s="12">
        <v>24880</v>
      </c>
      <c r="O98" s="13" t="s">
        <v>32</v>
      </c>
      <c r="P98" s="14"/>
      <c r="Q98" s="1"/>
      <c r="R98" s="1"/>
      <c r="S98" s="1"/>
      <c r="T98" s="1"/>
      <c r="U98" s="1" t="e">
        <v>#VALUE!</v>
      </c>
    </row>
    <row r="99" spans="1:21" x14ac:dyDescent="0.25">
      <c r="A99" s="6"/>
      <c r="B99" s="7">
        <v>44203</v>
      </c>
      <c r="C99" s="8" t="s">
        <v>142</v>
      </c>
      <c r="D99" s="8" t="s">
        <v>219</v>
      </c>
      <c r="E99" s="9" t="s">
        <v>220</v>
      </c>
      <c r="F99" s="9" t="s">
        <v>221</v>
      </c>
      <c r="G99" s="17">
        <v>5.347222222222222E-2</v>
      </c>
      <c r="H99" s="17">
        <v>0.52569444444444446</v>
      </c>
      <c r="I99" s="9">
        <v>21480</v>
      </c>
      <c r="J99" s="9">
        <v>8480</v>
      </c>
      <c r="K99" s="10">
        <f t="shared" si="1"/>
        <v>13000</v>
      </c>
      <c r="L99" s="10">
        <v>720</v>
      </c>
      <c r="M99" s="11" t="s">
        <v>257</v>
      </c>
      <c r="N99" s="12">
        <v>13391</v>
      </c>
      <c r="O99" s="13" t="s">
        <v>32</v>
      </c>
      <c r="P99" s="14"/>
      <c r="Q99" s="1"/>
      <c r="R99" s="1"/>
      <c r="S99" s="1"/>
      <c r="T99" s="1"/>
      <c r="U99" s="1"/>
    </row>
    <row r="100" spans="1:21" x14ac:dyDescent="0.25">
      <c r="A100" s="6"/>
      <c r="B100" s="7">
        <v>44203</v>
      </c>
      <c r="C100" s="8" t="s">
        <v>133</v>
      </c>
      <c r="D100" s="8" t="s">
        <v>258</v>
      </c>
      <c r="E100" s="9" t="s">
        <v>259</v>
      </c>
      <c r="F100" s="9" t="s">
        <v>260</v>
      </c>
      <c r="G100" s="17">
        <v>0.16041666666666668</v>
      </c>
      <c r="H100" s="17">
        <v>0.31111111111111112</v>
      </c>
      <c r="I100" s="9">
        <v>19360</v>
      </c>
      <c r="J100" s="9">
        <v>8600</v>
      </c>
      <c r="K100" s="10">
        <f t="shared" si="1"/>
        <v>10760</v>
      </c>
      <c r="L100" s="10" t="s">
        <v>261</v>
      </c>
      <c r="M100" s="11" t="s">
        <v>262</v>
      </c>
      <c r="N100" s="12">
        <v>10821</v>
      </c>
      <c r="O100" s="13" t="s">
        <v>32</v>
      </c>
      <c r="P100" s="14" t="s">
        <v>263</v>
      </c>
      <c r="Q100" s="1"/>
      <c r="R100" s="1"/>
      <c r="S100" s="1"/>
      <c r="T100" s="1"/>
      <c r="U100" s="1"/>
    </row>
    <row r="101" spans="1:21" x14ac:dyDescent="0.25">
      <c r="A101" s="6"/>
      <c r="B101" s="7">
        <v>44203</v>
      </c>
      <c r="C101" s="8" t="s">
        <v>264</v>
      </c>
      <c r="D101" s="8" t="s">
        <v>126</v>
      </c>
      <c r="E101" s="9" t="s">
        <v>265</v>
      </c>
      <c r="F101" s="9" t="s">
        <v>266</v>
      </c>
      <c r="G101" s="17">
        <v>0.22777777777777777</v>
      </c>
      <c r="H101" s="17"/>
      <c r="I101" s="9">
        <v>6570</v>
      </c>
      <c r="J101" s="9"/>
      <c r="K101" s="10">
        <f t="shared" si="1"/>
        <v>6570</v>
      </c>
      <c r="L101" s="10"/>
      <c r="M101" s="11" t="s">
        <v>267</v>
      </c>
      <c r="N101" s="12"/>
      <c r="O101" s="13" t="s">
        <v>32</v>
      </c>
      <c r="P101" s="14"/>
      <c r="Q101" s="1"/>
      <c r="R101" s="1"/>
      <c r="S101" s="1"/>
      <c r="T101" s="1"/>
      <c r="U101" s="1"/>
    </row>
    <row r="102" spans="1:21" x14ac:dyDescent="0.25">
      <c r="A102" s="6"/>
      <c r="B102" s="15">
        <v>44203</v>
      </c>
      <c r="C102" s="8" t="s">
        <v>164</v>
      </c>
      <c r="D102" s="8" t="s">
        <v>94</v>
      </c>
      <c r="E102" s="9" t="s">
        <v>95</v>
      </c>
      <c r="F102" s="9" t="s">
        <v>99</v>
      </c>
      <c r="G102" s="17">
        <v>0.36527777777777781</v>
      </c>
      <c r="H102" s="17">
        <v>0.37777777777777777</v>
      </c>
      <c r="I102" s="9">
        <v>16980</v>
      </c>
      <c r="J102" s="9">
        <v>6700</v>
      </c>
      <c r="K102" s="10">
        <f t="shared" si="1"/>
        <v>10280</v>
      </c>
      <c r="L102" s="10">
        <v>15172</v>
      </c>
      <c r="M102" s="11" t="s">
        <v>165</v>
      </c>
      <c r="N102" s="12">
        <v>204</v>
      </c>
      <c r="O102" s="13" t="s">
        <v>54</v>
      </c>
      <c r="P102" s="14"/>
      <c r="Q102" s="1"/>
      <c r="R102" s="1"/>
      <c r="S102" s="1"/>
      <c r="T102" s="1"/>
      <c r="U102" s="1"/>
    </row>
    <row r="103" spans="1:21" x14ac:dyDescent="0.25">
      <c r="A103" s="6"/>
      <c r="B103" s="7">
        <v>44203</v>
      </c>
      <c r="C103" s="8" t="s">
        <v>164</v>
      </c>
      <c r="D103" s="8" t="s">
        <v>174</v>
      </c>
      <c r="E103" s="9" t="s">
        <v>172</v>
      </c>
      <c r="F103" s="9" t="s">
        <v>173</v>
      </c>
      <c r="G103" s="17">
        <v>0.3666666666666667</v>
      </c>
      <c r="H103" s="17">
        <v>0.41041666666666665</v>
      </c>
      <c r="I103" s="9">
        <v>15540</v>
      </c>
      <c r="J103" s="9">
        <v>6470</v>
      </c>
      <c r="K103" s="10">
        <f t="shared" si="1"/>
        <v>9070</v>
      </c>
      <c r="L103" s="10">
        <v>15171</v>
      </c>
      <c r="M103" s="11" t="s">
        <v>165</v>
      </c>
      <c r="N103" s="12">
        <v>180</v>
      </c>
      <c r="O103" s="13" t="s">
        <v>54</v>
      </c>
      <c r="P103" s="14"/>
      <c r="Q103" s="1"/>
      <c r="R103" s="1"/>
      <c r="S103" s="1"/>
      <c r="T103" s="1"/>
      <c r="U103" s="1"/>
    </row>
    <row r="104" spans="1:21" x14ac:dyDescent="0.25">
      <c r="A104" s="6"/>
      <c r="B104" s="7">
        <v>44203</v>
      </c>
      <c r="C104" s="8" t="s">
        <v>268</v>
      </c>
      <c r="D104" s="8" t="s">
        <v>269</v>
      </c>
      <c r="E104" s="9" t="s">
        <v>270</v>
      </c>
      <c r="F104" s="9" t="s">
        <v>36</v>
      </c>
      <c r="G104" s="17">
        <v>0.44166666666666665</v>
      </c>
      <c r="H104" s="17">
        <v>0.6020833333333333</v>
      </c>
      <c r="I104" s="9">
        <v>3920</v>
      </c>
      <c r="J104" s="9">
        <v>6920</v>
      </c>
      <c r="K104" s="10">
        <f t="shared" si="1"/>
        <v>-3000</v>
      </c>
      <c r="L104" s="10">
        <v>5656</v>
      </c>
      <c r="M104" s="11" t="s">
        <v>89</v>
      </c>
      <c r="N104" s="12">
        <v>3000</v>
      </c>
      <c r="O104" s="13" t="s">
        <v>32</v>
      </c>
      <c r="P104" s="14"/>
      <c r="Q104" s="1"/>
      <c r="R104" s="1"/>
      <c r="S104" s="1"/>
      <c r="T104" s="1"/>
      <c r="U104" s="1"/>
    </row>
    <row r="105" spans="1:21" x14ac:dyDescent="0.25">
      <c r="A105" s="6"/>
      <c r="B105" s="7">
        <v>44203</v>
      </c>
      <c r="C105" s="8" t="s">
        <v>33</v>
      </c>
      <c r="D105" s="8" t="s">
        <v>175</v>
      </c>
      <c r="E105" s="9" t="s">
        <v>273</v>
      </c>
      <c r="F105" s="9" t="s">
        <v>36</v>
      </c>
      <c r="G105" s="17">
        <v>0.50486111111111109</v>
      </c>
      <c r="H105" s="17">
        <v>0.52152777777777781</v>
      </c>
      <c r="I105" s="9">
        <v>5700</v>
      </c>
      <c r="J105" s="9">
        <v>4280</v>
      </c>
      <c r="K105" s="10">
        <f t="shared" si="1"/>
        <v>1420</v>
      </c>
      <c r="L105" s="10">
        <v>26267</v>
      </c>
      <c r="M105" s="11" t="s">
        <v>31</v>
      </c>
      <c r="N105" s="12">
        <v>3430</v>
      </c>
      <c r="O105" s="13" t="s">
        <v>32</v>
      </c>
      <c r="P105" s="14" t="s">
        <v>271</v>
      </c>
      <c r="Q105" s="1">
        <f>70*35</f>
        <v>2450</v>
      </c>
      <c r="R105" s="1"/>
      <c r="S105" s="1"/>
      <c r="T105" s="1"/>
      <c r="U105" s="1"/>
    </row>
    <row r="106" spans="1:21" x14ac:dyDescent="0.25">
      <c r="A106" s="6"/>
      <c r="B106" s="7">
        <v>44203</v>
      </c>
      <c r="C106" s="8" t="s">
        <v>185</v>
      </c>
      <c r="D106" s="8" t="s">
        <v>272</v>
      </c>
      <c r="E106" s="9" t="s">
        <v>273</v>
      </c>
      <c r="F106" s="9" t="s">
        <v>36</v>
      </c>
      <c r="G106" s="17">
        <v>0.55069444444444449</v>
      </c>
      <c r="H106" s="17">
        <v>0.5625</v>
      </c>
      <c r="I106" s="9">
        <v>5700</v>
      </c>
      <c r="J106" s="9">
        <v>4160</v>
      </c>
      <c r="K106" s="10">
        <f t="shared" ref="K106:K109" si="2">+I106-J106</f>
        <v>1540</v>
      </c>
      <c r="L106" s="10">
        <v>138984</v>
      </c>
      <c r="M106" s="11" t="s">
        <v>187</v>
      </c>
      <c r="N106" s="12">
        <v>12500</v>
      </c>
      <c r="O106" s="13" t="s">
        <v>54</v>
      </c>
      <c r="P106" s="14"/>
      <c r="Q106" s="1"/>
      <c r="R106" s="1"/>
      <c r="S106" s="1"/>
      <c r="T106" s="1"/>
      <c r="U106" s="1"/>
    </row>
    <row r="107" spans="1:21" x14ac:dyDescent="0.25">
      <c r="A107" s="6"/>
      <c r="B107" s="7">
        <v>44203</v>
      </c>
      <c r="C107" s="8" t="s">
        <v>106</v>
      </c>
      <c r="D107" s="8" t="s">
        <v>274</v>
      </c>
      <c r="E107" s="9" t="s">
        <v>275</v>
      </c>
      <c r="F107" s="9" t="s">
        <v>36</v>
      </c>
      <c r="G107" s="17">
        <v>0.57013888888888886</v>
      </c>
      <c r="H107" s="17">
        <v>0.63888888888888895</v>
      </c>
      <c r="I107" s="9">
        <v>7380</v>
      </c>
      <c r="J107" s="9">
        <v>17590</v>
      </c>
      <c r="K107" s="10">
        <f t="shared" si="2"/>
        <v>-10210</v>
      </c>
      <c r="L107" s="10">
        <v>5657</v>
      </c>
      <c r="M107" s="11" t="s">
        <v>53</v>
      </c>
      <c r="N107" s="12">
        <v>200</v>
      </c>
      <c r="O107" s="13" t="s">
        <v>54</v>
      </c>
      <c r="P107" s="14"/>
      <c r="Q107" s="1"/>
      <c r="R107" s="1"/>
      <c r="S107" s="1"/>
      <c r="T107" s="1"/>
      <c r="U107" s="1"/>
    </row>
    <row r="108" spans="1:21" s="1" customFormat="1" x14ac:dyDescent="0.25">
      <c r="A108" s="6"/>
      <c r="B108" s="7">
        <v>44203</v>
      </c>
      <c r="C108" s="8" t="s">
        <v>98</v>
      </c>
      <c r="D108" s="8" t="s">
        <v>101</v>
      </c>
      <c r="E108" s="9" t="s">
        <v>238</v>
      </c>
      <c r="F108" s="9" t="s">
        <v>36</v>
      </c>
      <c r="G108" s="17">
        <v>0.65</v>
      </c>
      <c r="H108" s="17">
        <v>0.7270833333333333</v>
      </c>
      <c r="I108" s="9">
        <v>17550</v>
      </c>
      <c r="J108" s="9">
        <v>48780</v>
      </c>
      <c r="K108" s="10">
        <f t="shared" si="2"/>
        <v>-31230</v>
      </c>
      <c r="L108" s="10">
        <v>5658</v>
      </c>
      <c r="M108" s="11" t="s">
        <v>53</v>
      </c>
      <c r="N108" s="12">
        <v>600</v>
      </c>
      <c r="O108" s="13" t="s">
        <v>54</v>
      </c>
      <c r="P108" s="14" t="s">
        <v>167</v>
      </c>
    </row>
    <row r="109" spans="1:21" x14ac:dyDescent="0.25">
      <c r="A109" s="6"/>
      <c r="B109" s="7">
        <v>44203</v>
      </c>
      <c r="C109" s="8" t="s">
        <v>33</v>
      </c>
      <c r="D109" s="8" t="s">
        <v>170</v>
      </c>
      <c r="E109" s="9" t="s">
        <v>197</v>
      </c>
      <c r="F109" s="9" t="s">
        <v>36</v>
      </c>
      <c r="G109" s="17">
        <v>0.66249999999999998</v>
      </c>
      <c r="H109" s="17">
        <v>0.7416666666666667</v>
      </c>
      <c r="I109" s="9">
        <v>9300</v>
      </c>
      <c r="J109" s="9">
        <v>4630</v>
      </c>
      <c r="K109" s="10">
        <f t="shared" si="2"/>
        <v>4670</v>
      </c>
      <c r="L109" s="10">
        <v>26258</v>
      </c>
      <c r="M109" s="11" t="s">
        <v>31</v>
      </c>
      <c r="N109" s="12">
        <v>4670</v>
      </c>
      <c r="O109" s="13" t="s">
        <v>32</v>
      </c>
      <c r="P109" s="14"/>
      <c r="Q109" s="1"/>
      <c r="R109" s="1"/>
      <c r="S109" s="1"/>
      <c r="T109" s="1"/>
      <c r="U109" s="1"/>
    </row>
    <row r="110" spans="1:21" x14ac:dyDescent="0.25">
      <c r="A110" s="6"/>
      <c r="B110" s="7">
        <v>44203</v>
      </c>
      <c r="C110" s="8" t="s">
        <v>276</v>
      </c>
      <c r="D110" s="8" t="s">
        <v>194</v>
      </c>
      <c r="E110" s="9" t="s">
        <v>277</v>
      </c>
      <c r="F110" s="9" t="s">
        <v>266</v>
      </c>
      <c r="G110" s="17">
        <v>0.68472222222222223</v>
      </c>
      <c r="H110" s="17">
        <v>0.9916666666666667</v>
      </c>
      <c r="I110" s="9">
        <v>350</v>
      </c>
      <c r="J110" s="9">
        <v>60</v>
      </c>
      <c r="K110" s="10">
        <f t="shared" si="1"/>
        <v>290</v>
      </c>
      <c r="L110" s="10">
        <v>21375</v>
      </c>
      <c r="M110" s="11" t="s">
        <v>195</v>
      </c>
      <c r="N110" s="12">
        <v>290</v>
      </c>
      <c r="O110" s="13" t="s">
        <v>32</v>
      </c>
      <c r="P110" s="14"/>
      <c r="Q110" s="1"/>
      <c r="R110" s="1"/>
      <c r="S110" s="1"/>
      <c r="T110" s="1"/>
      <c r="U110" s="1"/>
    </row>
    <row r="111" spans="1:21" x14ac:dyDescent="0.25">
      <c r="A111" s="6"/>
      <c r="B111" s="7">
        <v>44203</v>
      </c>
      <c r="C111" s="8" t="s">
        <v>130</v>
      </c>
      <c r="D111" s="8" t="s">
        <v>243</v>
      </c>
      <c r="E111" s="9" t="s">
        <v>144</v>
      </c>
      <c r="F111" s="9" t="s">
        <v>145</v>
      </c>
      <c r="G111" s="17">
        <v>0.68680555555555556</v>
      </c>
      <c r="H111" s="17"/>
      <c r="I111" s="9">
        <v>27480</v>
      </c>
      <c r="J111" s="9"/>
      <c r="K111" s="10">
        <f t="shared" si="1"/>
        <v>27480</v>
      </c>
      <c r="L111" s="10">
        <v>4584</v>
      </c>
      <c r="M111" s="11" t="s">
        <v>278</v>
      </c>
      <c r="N111" s="12"/>
      <c r="O111" s="13" t="s">
        <v>32</v>
      </c>
      <c r="P111" s="14"/>
      <c r="Q111" s="1"/>
      <c r="R111" s="1"/>
      <c r="S111" s="1"/>
      <c r="T111" s="1"/>
      <c r="U111" s="1"/>
    </row>
    <row r="112" spans="1:21" x14ac:dyDescent="0.25">
      <c r="A112" s="6"/>
      <c r="B112" s="7">
        <v>44203</v>
      </c>
      <c r="C112" s="8" t="s">
        <v>98</v>
      </c>
      <c r="D112" s="8" t="s">
        <v>103</v>
      </c>
      <c r="E112" s="9" t="s">
        <v>104</v>
      </c>
      <c r="F112" s="9" t="s">
        <v>36</v>
      </c>
      <c r="G112" s="17">
        <v>0.69166666666666676</v>
      </c>
      <c r="H112" s="17">
        <v>0.72083333333333333</v>
      </c>
      <c r="I112" s="9">
        <v>16660</v>
      </c>
      <c r="J112" s="9">
        <v>48030</v>
      </c>
      <c r="K112" s="10">
        <f t="shared" si="1"/>
        <v>-31370</v>
      </c>
      <c r="L112" s="10">
        <v>5659</v>
      </c>
      <c r="M112" s="11" t="s">
        <v>53</v>
      </c>
      <c r="N112" s="12">
        <v>600</v>
      </c>
      <c r="O112" s="13" t="s">
        <v>54</v>
      </c>
      <c r="P112" s="14" t="s">
        <v>167</v>
      </c>
      <c r="Q112" s="1">
        <v>5658</v>
      </c>
      <c r="R112" s="1">
        <v>24</v>
      </c>
      <c r="S112" s="1">
        <v>600</v>
      </c>
      <c r="T112" s="1"/>
      <c r="U112" s="1"/>
    </row>
    <row r="113" spans="1:23" x14ac:dyDescent="0.25">
      <c r="A113" s="6"/>
      <c r="B113" s="7">
        <v>44203</v>
      </c>
      <c r="C113" s="8" t="s">
        <v>190</v>
      </c>
      <c r="D113" s="8" t="s">
        <v>191</v>
      </c>
      <c r="E113" s="9" t="s">
        <v>192</v>
      </c>
      <c r="F113" s="9" t="s">
        <v>59</v>
      </c>
      <c r="G113" s="17">
        <v>0.71111111111111114</v>
      </c>
      <c r="H113" s="17">
        <v>0.77013888888888893</v>
      </c>
      <c r="I113" s="9">
        <v>14520</v>
      </c>
      <c r="J113" s="9">
        <v>4910</v>
      </c>
      <c r="K113" s="10">
        <f t="shared" si="1"/>
        <v>9610</v>
      </c>
      <c r="L113" s="10">
        <v>348067</v>
      </c>
      <c r="M113" s="11" t="s">
        <v>31</v>
      </c>
      <c r="N113" s="12">
        <v>23840</v>
      </c>
      <c r="O113" s="13" t="s">
        <v>49</v>
      </c>
      <c r="P113" s="14"/>
      <c r="Q113" s="1"/>
      <c r="R113" s="1"/>
      <c r="S113" s="1"/>
      <c r="T113" s="1"/>
      <c r="U113" s="1"/>
    </row>
    <row r="114" spans="1:23" x14ac:dyDescent="0.25">
      <c r="A114" s="6"/>
      <c r="B114" s="7">
        <v>44203</v>
      </c>
      <c r="C114" s="8" t="s">
        <v>33</v>
      </c>
      <c r="D114" s="8" t="s">
        <v>175</v>
      </c>
      <c r="E114" s="9" t="s">
        <v>176</v>
      </c>
      <c r="F114" s="9" t="s">
        <v>36</v>
      </c>
      <c r="G114" s="17">
        <v>0.71180555555555547</v>
      </c>
      <c r="H114" s="17">
        <v>0.74652777777777779</v>
      </c>
      <c r="I114" s="9">
        <v>8200</v>
      </c>
      <c r="J114" s="9">
        <v>4280</v>
      </c>
      <c r="K114" s="10">
        <f t="shared" si="1"/>
        <v>3920</v>
      </c>
      <c r="L114" s="10">
        <v>26269</v>
      </c>
      <c r="M114" s="11" t="s">
        <v>31</v>
      </c>
      <c r="N114" s="12">
        <v>3950</v>
      </c>
      <c r="O114" s="13" t="s">
        <v>32</v>
      </c>
      <c r="P114" s="14" t="s">
        <v>279</v>
      </c>
      <c r="Q114" s="1">
        <v>1104</v>
      </c>
      <c r="R114" s="1">
        <v>31370</v>
      </c>
      <c r="S114" s="1">
        <f>+R114-Q114</f>
        <v>30266</v>
      </c>
      <c r="T114" s="1"/>
      <c r="U114">
        <v>3950</v>
      </c>
      <c r="V114">
        <f>+U114*2.2</f>
        <v>8690</v>
      </c>
    </row>
    <row r="115" spans="1:23" x14ac:dyDescent="0.25">
      <c r="A115" s="6"/>
      <c r="B115" s="7">
        <v>44203</v>
      </c>
      <c r="C115" s="8" t="s">
        <v>281</v>
      </c>
      <c r="D115" s="8" t="s">
        <v>180</v>
      </c>
      <c r="E115" s="9" t="s">
        <v>181</v>
      </c>
      <c r="F115" s="9" t="s">
        <v>36</v>
      </c>
      <c r="G115" s="17">
        <v>0.7368055555555556</v>
      </c>
      <c r="H115" s="17">
        <v>0.77986111111111101</v>
      </c>
      <c r="I115" s="9">
        <v>6990</v>
      </c>
      <c r="J115" s="9">
        <v>4040</v>
      </c>
      <c r="K115" s="10">
        <f t="shared" si="1"/>
        <v>2950</v>
      </c>
      <c r="L115" s="10" t="s">
        <v>282</v>
      </c>
      <c r="M115" s="11" t="s">
        <v>31</v>
      </c>
      <c r="N115" s="12">
        <v>2950</v>
      </c>
      <c r="O115" s="13" t="s">
        <v>32</v>
      </c>
      <c r="P115" s="14" t="s">
        <v>280</v>
      </c>
      <c r="Q115" s="1"/>
      <c r="R115" s="1"/>
      <c r="S115" s="1"/>
      <c r="T115" s="1"/>
    </row>
    <row r="116" spans="1:23" x14ac:dyDescent="0.25">
      <c r="A116" s="6"/>
      <c r="B116" s="7">
        <v>44203</v>
      </c>
      <c r="C116" s="8" t="s">
        <v>33</v>
      </c>
      <c r="D116" s="8" t="s">
        <v>247</v>
      </c>
      <c r="E116" s="9" t="s">
        <v>184</v>
      </c>
      <c r="F116" s="9" t="s">
        <v>36</v>
      </c>
      <c r="G116" s="17">
        <v>0.74861111111111101</v>
      </c>
      <c r="H116" s="17">
        <v>0.83888888888888891</v>
      </c>
      <c r="I116" s="9">
        <v>9690</v>
      </c>
      <c r="J116" s="9">
        <v>4460</v>
      </c>
      <c r="K116" s="10">
        <f t="shared" si="1"/>
        <v>5230</v>
      </c>
      <c r="L116" s="10">
        <v>26271</v>
      </c>
      <c r="M116" s="11" t="s">
        <v>31</v>
      </c>
      <c r="N116" s="12">
        <v>5230</v>
      </c>
      <c r="O116" s="13" t="s">
        <v>32</v>
      </c>
      <c r="P116" s="14"/>
      <c r="Q116" s="1"/>
      <c r="R116" s="1"/>
      <c r="S116" s="1"/>
      <c r="T116" s="1"/>
      <c r="V116">
        <f>4*1600</f>
        <v>6400</v>
      </c>
    </row>
    <row r="117" spans="1:23" x14ac:dyDescent="0.25">
      <c r="A117" s="6"/>
      <c r="B117" s="7">
        <v>44203</v>
      </c>
      <c r="C117" s="8" t="s">
        <v>33</v>
      </c>
      <c r="D117" s="8" t="s">
        <v>34</v>
      </c>
      <c r="E117" s="9" t="s">
        <v>35</v>
      </c>
      <c r="F117" s="9" t="s">
        <v>36</v>
      </c>
      <c r="G117" s="17">
        <v>0.74930555555555556</v>
      </c>
      <c r="H117" s="17">
        <v>0.79791666666666661</v>
      </c>
      <c r="I117" s="9">
        <v>12760</v>
      </c>
      <c r="J117" s="9">
        <v>5360</v>
      </c>
      <c r="K117" s="10">
        <f t="shared" si="1"/>
        <v>7400</v>
      </c>
      <c r="L117" s="10">
        <v>26272</v>
      </c>
      <c r="M117" s="11" t="s">
        <v>31</v>
      </c>
      <c r="N117" s="12">
        <v>7400</v>
      </c>
      <c r="O117" s="13" t="s">
        <v>32</v>
      </c>
      <c r="P117" s="14"/>
      <c r="Q117" s="1"/>
      <c r="R117" s="1">
        <f>4670*2.2</f>
        <v>10274</v>
      </c>
      <c r="S117" s="1"/>
      <c r="T117" s="1"/>
      <c r="V117">
        <f>+V114-V116</f>
        <v>2290</v>
      </c>
    </row>
    <row r="118" spans="1:23" x14ac:dyDescent="0.25">
      <c r="A118" s="6"/>
      <c r="B118" s="7">
        <v>44203</v>
      </c>
      <c r="C118" s="8" t="s">
        <v>200</v>
      </c>
      <c r="D118" s="8" t="s">
        <v>202</v>
      </c>
      <c r="E118" s="9" t="s">
        <v>203</v>
      </c>
      <c r="F118" s="9" t="s">
        <v>36</v>
      </c>
      <c r="G118" s="17">
        <v>0.76597222222222217</v>
      </c>
      <c r="H118" s="17">
        <v>0.81944444444444453</v>
      </c>
      <c r="I118" s="9">
        <v>9410</v>
      </c>
      <c r="J118" s="9">
        <v>4160</v>
      </c>
      <c r="K118" s="10">
        <f t="shared" si="1"/>
        <v>5250</v>
      </c>
      <c r="L118" s="10">
        <v>26273</v>
      </c>
      <c r="M118" s="11" t="s">
        <v>31</v>
      </c>
      <c r="N118" s="12">
        <v>5250</v>
      </c>
      <c r="O118" s="13" t="s">
        <v>32</v>
      </c>
      <c r="P118" s="14"/>
      <c r="Q118" s="1"/>
      <c r="R118" s="1">
        <f>1000+150</f>
        <v>1150</v>
      </c>
      <c r="S118" s="1"/>
      <c r="T118" s="1"/>
      <c r="V118">
        <f>+V117+V116</f>
        <v>8690</v>
      </c>
      <c r="W118">
        <f>+V117+150</f>
        <v>2440</v>
      </c>
    </row>
    <row r="119" spans="1:23" x14ac:dyDescent="0.25">
      <c r="A119" s="6"/>
      <c r="B119" s="7">
        <v>44203</v>
      </c>
      <c r="C119" s="8" t="s">
        <v>283</v>
      </c>
      <c r="D119" s="8" t="s">
        <v>284</v>
      </c>
      <c r="E119" s="9" t="s">
        <v>285</v>
      </c>
      <c r="F119" s="9" t="s">
        <v>286</v>
      </c>
      <c r="G119" s="17">
        <v>0.78749999999999998</v>
      </c>
      <c r="H119" s="17">
        <v>0.64583333333333337</v>
      </c>
      <c r="I119" s="9">
        <v>15910</v>
      </c>
      <c r="J119" s="9">
        <v>30540</v>
      </c>
      <c r="K119" s="10">
        <f t="shared" si="1"/>
        <v>-14630</v>
      </c>
      <c r="L119" s="10">
        <v>15222</v>
      </c>
      <c r="M119" s="11" t="s">
        <v>287</v>
      </c>
      <c r="N119" s="12">
        <v>14630</v>
      </c>
      <c r="O119" s="13" t="s">
        <v>32</v>
      </c>
      <c r="P119" s="14"/>
      <c r="Q119" s="1"/>
      <c r="R119" s="1">
        <f>+R118-R117</f>
        <v>-9124</v>
      </c>
      <c r="S119" s="1"/>
      <c r="T119" s="1"/>
      <c r="W119">
        <f>+W118-V114</f>
        <v>-6250</v>
      </c>
    </row>
    <row r="120" spans="1:23" x14ac:dyDescent="0.25">
      <c r="A120" s="6"/>
      <c r="B120" s="7">
        <v>44203</v>
      </c>
      <c r="C120" s="8" t="s">
        <v>208</v>
      </c>
      <c r="D120" s="8" t="s">
        <v>243</v>
      </c>
      <c r="E120" s="9" t="s">
        <v>210</v>
      </c>
      <c r="F120" s="9" t="s">
        <v>211</v>
      </c>
      <c r="G120" s="17">
        <v>0.7895833333333333</v>
      </c>
      <c r="H120" s="17">
        <v>0.70000000000000007</v>
      </c>
      <c r="I120" s="9">
        <v>33950</v>
      </c>
      <c r="J120" s="9">
        <v>16110</v>
      </c>
      <c r="K120" s="10">
        <f t="shared" si="1"/>
        <v>17840</v>
      </c>
      <c r="L120" s="10">
        <v>39632</v>
      </c>
      <c r="M120" s="11" t="s">
        <v>212</v>
      </c>
      <c r="N120" s="12">
        <v>17820</v>
      </c>
      <c r="O120" s="13" t="s">
        <v>32</v>
      </c>
      <c r="P120" s="14"/>
      <c r="Q120" s="1"/>
      <c r="R120" s="1"/>
      <c r="S120" s="1"/>
      <c r="T120" s="24"/>
    </row>
    <row r="121" spans="1:23" x14ac:dyDescent="0.25">
      <c r="A121" s="6"/>
      <c r="B121" s="7">
        <v>44203</v>
      </c>
      <c r="C121" s="8" t="s">
        <v>288</v>
      </c>
      <c r="D121" s="8" t="s">
        <v>249</v>
      </c>
      <c r="E121" s="9" t="s">
        <v>250</v>
      </c>
      <c r="F121" s="9" t="s">
        <v>36</v>
      </c>
      <c r="G121" s="17">
        <v>0.79652777777777783</v>
      </c>
      <c r="H121" s="17">
        <v>0.88263888888888886</v>
      </c>
      <c r="I121" s="9">
        <v>8160</v>
      </c>
      <c r="J121" s="9">
        <v>3780</v>
      </c>
      <c r="K121" s="10">
        <f t="shared" si="1"/>
        <v>4380</v>
      </c>
      <c r="L121" s="10">
        <v>44278</v>
      </c>
      <c r="M121" s="11" t="s">
        <v>31</v>
      </c>
      <c r="N121" s="12">
        <v>4380</v>
      </c>
      <c r="O121" s="13" t="s">
        <v>32</v>
      </c>
      <c r="P121" s="14"/>
      <c r="Q121" s="1"/>
      <c r="R121" s="1"/>
      <c r="S121" s="1"/>
      <c r="T121" s="1"/>
    </row>
    <row r="122" spans="1:23" x14ac:dyDescent="0.25">
      <c r="A122" s="6"/>
      <c r="B122" s="7">
        <v>44203</v>
      </c>
      <c r="C122" s="8" t="s">
        <v>190</v>
      </c>
      <c r="D122" s="8" t="s">
        <v>191</v>
      </c>
      <c r="E122" s="9" t="s">
        <v>192</v>
      </c>
      <c r="F122" s="9" t="s">
        <v>59</v>
      </c>
      <c r="G122" s="17">
        <v>0.84236111111111101</v>
      </c>
      <c r="H122" s="17">
        <v>0.9472222222222223</v>
      </c>
      <c r="I122" s="9">
        <v>15830</v>
      </c>
      <c r="J122" s="9">
        <v>4930</v>
      </c>
      <c r="K122" s="10">
        <f t="shared" si="1"/>
        <v>10900</v>
      </c>
      <c r="L122" s="10">
        <v>348074</v>
      </c>
      <c r="M122" s="11" t="s">
        <v>31</v>
      </c>
      <c r="N122" s="12">
        <v>10900</v>
      </c>
      <c r="O122" s="13" t="s">
        <v>32</v>
      </c>
      <c r="P122" s="14"/>
      <c r="Q122" s="1"/>
      <c r="R122" s="1"/>
      <c r="S122" s="1"/>
      <c r="T122" s="1"/>
    </row>
    <row r="123" spans="1:23" x14ac:dyDescent="0.25">
      <c r="A123" s="6"/>
      <c r="B123" s="7">
        <v>44203</v>
      </c>
      <c r="C123" s="8" t="s">
        <v>147</v>
      </c>
      <c r="D123" s="8" t="s">
        <v>148</v>
      </c>
      <c r="E123" s="9" t="s">
        <v>149</v>
      </c>
      <c r="F123" s="9" t="s">
        <v>36</v>
      </c>
      <c r="G123" s="17">
        <v>0.8618055555555556</v>
      </c>
      <c r="H123" s="17">
        <v>0.91805555555555562</v>
      </c>
      <c r="I123" s="9">
        <v>49440</v>
      </c>
      <c r="J123" s="9">
        <v>18840</v>
      </c>
      <c r="K123" s="10">
        <f t="shared" si="1"/>
        <v>30600</v>
      </c>
      <c r="L123" s="10">
        <v>5148</v>
      </c>
      <c r="M123" s="11" t="s">
        <v>31</v>
      </c>
      <c r="N123" s="12">
        <v>30600</v>
      </c>
      <c r="O123" s="13" t="s">
        <v>32</v>
      </c>
      <c r="P123" s="14"/>
      <c r="Q123" s="1"/>
      <c r="R123" s="1"/>
      <c r="S123" s="1"/>
      <c r="T123" s="1"/>
    </row>
    <row r="124" spans="1:23" x14ac:dyDescent="0.25">
      <c r="A124" s="6"/>
      <c r="B124" s="7">
        <v>44203</v>
      </c>
      <c r="C124" s="8" t="s">
        <v>289</v>
      </c>
      <c r="D124" s="8" t="s">
        <v>174</v>
      </c>
      <c r="E124" s="9" t="s">
        <v>45</v>
      </c>
      <c r="F124" s="9" t="s">
        <v>46</v>
      </c>
      <c r="G124" s="17">
        <v>0.87083333333333324</v>
      </c>
      <c r="H124" s="17">
        <v>0.13819444444444443</v>
      </c>
      <c r="I124" s="9">
        <v>16780</v>
      </c>
      <c r="J124" s="9">
        <v>8220</v>
      </c>
      <c r="K124" s="10">
        <f t="shared" si="1"/>
        <v>8560</v>
      </c>
      <c r="L124" s="10">
        <v>9029</v>
      </c>
      <c r="M124" s="11" t="s">
        <v>48</v>
      </c>
      <c r="N124" s="12">
        <v>8560</v>
      </c>
      <c r="O124" s="13" t="s">
        <v>32</v>
      </c>
      <c r="P124" s="14"/>
      <c r="Q124" s="1"/>
      <c r="R124" s="1"/>
      <c r="S124" s="1"/>
      <c r="T124" s="1"/>
    </row>
    <row r="125" spans="1:23" x14ac:dyDescent="0.25">
      <c r="A125" s="6"/>
      <c r="B125" s="7">
        <v>44203</v>
      </c>
      <c r="C125" s="8" t="s">
        <v>60</v>
      </c>
      <c r="D125" s="8" t="s">
        <v>29</v>
      </c>
      <c r="E125" s="9" t="s">
        <v>30</v>
      </c>
      <c r="F125" s="9" t="s">
        <v>36</v>
      </c>
      <c r="G125" s="17">
        <v>0.89861111111111114</v>
      </c>
      <c r="H125" s="17">
        <v>0.95833333333333337</v>
      </c>
      <c r="I125" s="9">
        <v>7640</v>
      </c>
      <c r="J125" s="9">
        <v>3370</v>
      </c>
      <c r="K125" s="10">
        <f t="shared" si="1"/>
        <v>4270</v>
      </c>
      <c r="L125" s="10" t="s">
        <v>290</v>
      </c>
      <c r="M125" s="11" t="s">
        <v>31</v>
      </c>
      <c r="N125" s="12">
        <v>4270</v>
      </c>
      <c r="O125" s="13" t="s">
        <v>32</v>
      </c>
      <c r="P125" s="14"/>
      <c r="Q125" s="1"/>
      <c r="R125" s="1"/>
      <c r="S125" s="1"/>
      <c r="T125" s="1"/>
    </row>
    <row r="126" spans="1:23" x14ac:dyDescent="0.25">
      <c r="A126" s="6"/>
      <c r="B126" s="7">
        <v>44203</v>
      </c>
      <c r="C126" s="8" t="s">
        <v>213</v>
      </c>
      <c r="D126" s="8" t="s">
        <v>214</v>
      </c>
      <c r="E126" s="9" t="s">
        <v>215</v>
      </c>
      <c r="F126" s="9" t="s">
        <v>36</v>
      </c>
      <c r="G126" s="17">
        <v>0.91527777777777775</v>
      </c>
      <c r="H126" s="17">
        <v>0.97361111111111109</v>
      </c>
      <c r="I126" s="9">
        <v>9130</v>
      </c>
      <c r="J126" s="9">
        <v>4570</v>
      </c>
      <c r="K126" s="10">
        <f t="shared" si="1"/>
        <v>4560</v>
      </c>
      <c r="L126" s="10">
        <v>26274</v>
      </c>
      <c r="M126" s="11" t="s">
        <v>31</v>
      </c>
      <c r="N126" s="12">
        <v>4560</v>
      </c>
      <c r="O126" s="13" t="s">
        <v>32</v>
      </c>
      <c r="P126" s="14"/>
      <c r="Q126" s="1"/>
      <c r="R126" s="1"/>
      <c r="S126" s="1"/>
      <c r="T126" s="1"/>
    </row>
    <row r="127" spans="1:23" s="1" customFormat="1" x14ac:dyDescent="0.25">
      <c r="A127" s="6"/>
      <c r="B127" s="7">
        <v>44203</v>
      </c>
      <c r="C127" s="8" t="s">
        <v>121</v>
      </c>
      <c r="D127" s="8" t="s">
        <v>122</v>
      </c>
      <c r="E127" s="9" t="s">
        <v>123</v>
      </c>
      <c r="F127" s="9" t="s">
        <v>36</v>
      </c>
      <c r="G127" s="17">
        <v>0.96736111111111101</v>
      </c>
      <c r="H127" s="17">
        <v>0.9902777777777777</v>
      </c>
      <c r="I127" s="9">
        <v>18125</v>
      </c>
      <c r="J127" s="9">
        <v>6400</v>
      </c>
      <c r="K127" s="10">
        <f t="shared" ref="K127" si="3">+I127-J127</f>
        <v>11725</v>
      </c>
      <c r="L127" s="10">
        <v>26275</v>
      </c>
      <c r="M127" s="11" t="s">
        <v>252</v>
      </c>
      <c r="N127" s="12">
        <v>11725</v>
      </c>
      <c r="O127" s="13" t="s">
        <v>32</v>
      </c>
      <c r="P127" s="14"/>
    </row>
    <row r="128" spans="1:23" x14ac:dyDescent="0.25">
      <c r="A128" s="6"/>
      <c r="B128" s="7">
        <v>44203</v>
      </c>
      <c r="C128" s="8" t="s">
        <v>291</v>
      </c>
      <c r="D128" s="8" t="s">
        <v>292</v>
      </c>
      <c r="E128" s="9" t="s">
        <v>127</v>
      </c>
      <c r="F128" s="9" t="s">
        <v>128</v>
      </c>
      <c r="G128" s="17">
        <v>0.98611111111111116</v>
      </c>
      <c r="H128" s="17">
        <v>0.9916666666666667</v>
      </c>
      <c r="I128" s="9">
        <v>5720</v>
      </c>
      <c r="J128" s="9">
        <v>5780</v>
      </c>
      <c r="K128" s="10">
        <f t="shared" si="1"/>
        <v>-60</v>
      </c>
      <c r="L128" s="10">
        <v>21393</v>
      </c>
      <c r="M128" s="11" t="s">
        <v>195</v>
      </c>
      <c r="N128" s="12">
        <v>240</v>
      </c>
      <c r="O128" s="13" t="s">
        <v>32</v>
      </c>
      <c r="P128" s="14"/>
      <c r="Q128" s="1"/>
      <c r="R128" s="1"/>
      <c r="S128" s="1"/>
      <c r="T128" s="1"/>
    </row>
    <row r="129" spans="1:20" x14ac:dyDescent="0.25">
      <c r="A129" s="6"/>
      <c r="B129" s="7">
        <v>44203</v>
      </c>
      <c r="C129" s="8" t="s">
        <v>125</v>
      </c>
      <c r="D129" s="8" t="s">
        <v>126</v>
      </c>
      <c r="E129" s="9" t="s">
        <v>265</v>
      </c>
      <c r="F129" s="9" t="s">
        <v>266</v>
      </c>
      <c r="G129" s="17">
        <v>3.125E-2</v>
      </c>
      <c r="H129" s="17">
        <v>0.22430555555555556</v>
      </c>
      <c r="I129" s="9">
        <v>6780</v>
      </c>
      <c r="J129" s="9">
        <v>5510</v>
      </c>
      <c r="K129" s="10">
        <f t="shared" si="1"/>
        <v>1270</v>
      </c>
      <c r="L129" s="10">
        <v>21394</v>
      </c>
      <c r="M129" s="11" t="s">
        <v>293</v>
      </c>
      <c r="N129" s="12">
        <v>1270</v>
      </c>
      <c r="O129" s="13" t="s">
        <v>32</v>
      </c>
      <c r="P129" s="14"/>
      <c r="Q129" s="1"/>
      <c r="R129" s="1"/>
      <c r="S129" s="1"/>
      <c r="T129" s="1"/>
    </row>
    <row r="130" spans="1:20" x14ac:dyDescent="0.25">
      <c r="A130" s="6"/>
      <c r="B130" s="7">
        <v>44204</v>
      </c>
      <c r="C130" s="8" t="s">
        <v>294</v>
      </c>
      <c r="D130" s="8" t="s">
        <v>295</v>
      </c>
      <c r="E130" s="9" t="s">
        <v>296</v>
      </c>
      <c r="F130" s="9" t="s">
        <v>297</v>
      </c>
      <c r="G130" s="17">
        <v>9.3055555555555558E-2</v>
      </c>
      <c r="H130" s="17">
        <v>0.39583333333333331</v>
      </c>
      <c r="I130" s="9">
        <v>11080</v>
      </c>
      <c r="J130" s="9">
        <v>6450</v>
      </c>
      <c r="K130" s="10">
        <f t="shared" si="1"/>
        <v>4630</v>
      </c>
      <c r="L130" s="10" t="s">
        <v>298</v>
      </c>
      <c r="M130" s="11" t="s">
        <v>48</v>
      </c>
      <c r="N130" s="12">
        <v>9562</v>
      </c>
      <c r="O130" s="13" t="s">
        <v>49</v>
      </c>
      <c r="P130" s="14"/>
      <c r="Q130" s="1"/>
      <c r="R130" s="1"/>
      <c r="S130" s="1"/>
      <c r="T130" s="1"/>
    </row>
    <row r="131" spans="1:20" x14ac:dyDescent="0.25">
      <c r="A131" s="6"/>
      <c r="B131" s="7">
        <v>44204</v>
      </c>
      <c r="C131" s="8" t="s">
        <v>142</v>
      </c>
      <c r="D131" s="8" t="s">
        <v>299</v>
      </c>
      <c r="E131" s="9" t="s">
        <v>220</v>
      </c>
      <c r="F131" s="9" t="s">
        <v>221</v>
      </c>
      <c r="G131" s="17">
        <v>0.13055555555555556</v>
      </c>
      <c r="H131" s="17">
        <v>0.28125</v>
      </c>
      <c r="I131" s="9">
        <v>21320</v>
      </c>
      <c r="J131" s="9">
        <v>8520</v>
      </c>
      <c r="K131" s="10">
        <f t="shared" si="1"/>
        <v>12800</v>
      </c>
      <c r="L131" s="10">
        <v>721</v>
      </c>
      <c r="M131" s="11" t="s">
        <v>257</v>
      </c>
      <c r="N131" s="12">
        <v>13189</v>
      </c>
      <c r="O131" s="13" t="s">
        <v>32</v>
      </c>
      <c r="P131" s="14"/>
      <c r="Q131" s="1"/>
    </row>
    <row r="132" spans="1:20" x14ac:dyDescent="0.25">
      <c r="A132" s="6"/>
      <c r="B132" s="7">
        <v>44204</v>
      </c>
      <c r="C132" s="8" t="s">
        <v>125</v>
      </c>
      <c r="D132" s="8" t="s">
        <v>126</v>
      </c>
      <c r="E132" s="9" t="s">
        <v>265</v>
      </c>
      <c r="F132" s="9" t="s">
        <v>266</v>
      </c>
      <c r="G132" s="17">
        <v>0.20416666666666669</v>
      </c>
      <c r="H132" s="17">
        <v>0.27777777777777779</v>
      </c>
      <c r="I132" s="9">
        <v>6770</v>
      </c>
      <c r="J132" s="9">
        <v>6110</v>
      </c>
      <c r="K132" s="10">
        <f t="shared" si="1"/>
        <v>660</v>
      </c>
      <c r="L132" s="10">
        <v>21397</v>
      </c>
      <c r="M132" s="11" t="s">
        <v>293</v>
      </c>
      <c r="N132" s="12">
        <v>660</v>
      </c>
      <c r="O132" s="13" t="s">
        <v>32</v>
      </c>
      <c r="P132" s="14"/>
      <c r="Q132" s="1"/>
    </row>
    <row r="133" spans="1:20" x14ac:dyDescent="0.25">
      <c r="A133" s="6"/>
      <c r="B133" s="7">
        <v>44204</v>
      </c>
      <c r="C133" s="8" t="s">
        <v>147</v>
      </c>
      <c r="D133" s="8" t="s">
        <v>162</v>
      </c>
      <c r="E133" s="9" t="s">
        <v>163</v>
      </c>
      <c r="F133" s="9" t="s">
        <v>36</v>
      </c>
      <c r="G133" s="17">
        <v>0.25347222222222221</v>
      </c>
      <c r="H133" s="17">
        <v>0.27847222222222223</v>
      </c>
      <c r="I133" s="9">
        <v>45480</v>
      </c>
      <c r="J133" s="9">
        <v>18420</v>
      </c>
      <c r="K133" s="10">
        <f t="shared" si="1"/>
        <v>27060</v>
      </c>
      <c r="L133" s="10">
        <v>5149</v>
      </c>
      <c r="M133" s="11" t="s">
        <v>31</v>
      </c>
      <c r="N133" s="12">
        <v>27060</v>
      </c>
      <c r="O133" s="13" t="s">
        <v>32</v>
      </c>
      <c r="P133" s="14"/>
      <c r="Q133" s="1"/>
    </row>
    <row r="134" spans="1:20" x14ac:dyDescent="0.25">
      <c r="A134" s="6"/>
      <c r="B134" s="15">
        <v>44204</v>
      </c>
      <c r="C134" s="8" t="s">
        <v>300</v>
      </c>
      <c r="D134" s="8" t="s">
        <v>301</v>
      </c>
      <c r="E134" s="9" t="s">
        <v>302</v>
      </c>
      <c r="F134" s="9" t="s">
        <v>36</v>
      </c>
      <c r="G134" s="17">
        <v>0.37777777777777777</v>
      </c>
      <c r="H134" s="17">
        <v>0.4201388888888889</v>
      </c>
      <c r="I134" s="9">
        <v>22300</v>
      </c>
      <c r="J134" s="9">
        <v>16020</v>
      </c>
      <c r="K134" s="10">
        <f t="shared" si="1"/>
        <v>6280</v>
      </c>
      <c r="L134" s="10">
        <v>80820</v>
      </c>
      <c r="M134" s="11" t="s">
        <v>97</v>
      </c>
      <c r="N134" s="12">
        <v>117</v>
      </c>
      <c r="O134" s="13" t="s">
        <v>96</v>
      </c>
      <c r="P134" s="14"/>
      <c r="Q134" s="1"/>
    </row>
    <row r="135" spans="1:20" x14ac:dyDescent="0.25">
      <c r="A135" s="6"/>
      <c r="B135" s="7">
        <v>44204</v>
      </c>
      <c r="C135" s="8" t="s">
        <v>33</v>
      </c>
      <c r="D135" s="8" t="s">
        <v>170</v>
      </c>
      <c r="E135" s="9" t="s">
        <v>197</v>
      </c>
      <c r="F135" s="9" t="s">
        <v>36</v>
      </c>
      <c r="G135" s="17">
        <v>0.3888888888888889</v>
      </c>
      <c r="H135" s="17">
        <v>0.44097222222222227</v>
      </c>
      <c r="I135" s="9">
        <v>7780</v>
      </c>
      <c r="J135" s="9">
        <v>4650</v>
      </c>
      <c r="K135" s="10">
        <f t="shared" si="1"/>
        <v>3130</v>
      </c>
      <c r="L135" s="10">
        <v>26276</v>
      </c>
      <c r="M135" s="11" t="s">
        <v>31</v>
      </c>
      <c r="N135" s="12">
        <v>3130</v>
      </c>
      <c r="O135" s="13" t="s">
        <v>32</v>
      </c>
      <c r="P135" s="14" t="s">
        <v>307</v>
      </c>
      <c r="Q135" s="1"/>
    </row>
    <row r="136" spans="1:20" x14ac:dyDescent="0.25">
      <c r="A136" s="6"/>
      <c r="B136" s="7">
        <v>44204</v>
      </c>
      <c r="C136" s="8" t="s">
        <v>98</v>
      </c>
      <c r="D136" s="8" t="s">
        <v>301</v>
      </c>
      <c r="E136" s="9" t="s">
        <v>302</v>
      </c>
      <c r="F136" s="9" t="s">
        <v>36</v>
      </c>
      <c r="G136" s="17">
        <v>0.42083333333333334</v>
      </c>
      <c r="H136" s="17">
        <v>0.65</v>
      </c>
      <c r="I136" s="9">
        <v>16030</v>
      </c>
      <c r="J136" s="9">
        <v>47240</v>
      </c>
      <c r="K136" s="10">
        <f t="shared" si="1"/>
        <v>-31210</v>
      </c>
      <c r="L136" s="10">
        <v>5661</v>
      </c>
      <c r="M136" s="11" t="s">
        <v>53</v>
      </c>
      <c r="N136" s="12">
        <v>600</v>
      </c>
      <c r="O136" s="13" t="s">
        <v>54</v>
      </c>
      <c r="P136" s="14" t="s">
        <v>167</v>
      </c>
      <c r="Q136" s="1"/>
      <c r="R136">
        <v>31210</v>
      </c>
      <c r="S136">
        <f>+R136-1104</f>
        <v>30106</v>
      </c>
    </row>
    <row r="137" spans="1:20" x14ac:dyDescent="0.25">
      <c r="A137" s="6"/>
      <c r="B137" s="7">
        <v>44204</v>
      </c>
      <c r="C137" s="8" t="s">
        <v>164</v>
      </c>
      <c r="D137" s="8" t="s">
        <v>174</v>
      </c>
      <c r="E137" s="9" t="s">
        <v>172</v>
      </c>
      <c r="F137" s="9" t="s">
        <v>173</v>
      </c>
      <c r="G137" s="17">
        <v>0.4236111111111111</v>
      </c>
      <c r="H137" s="17">
        <v>0.44305555555555554</v>
      </c>
      <c r="I137" s="9">
        <v>15560</v>
      </c>
      <c r="J137" s="9">
        <v>6410</v>
      </c>
      <c r="K137" s="10">
        <f t="shared" ref="K137:K200" si="4">+I137-J137</f>
        <v>9150</v>
      </c>
      <c r="L137" s="10">
        <v>15173</v>
      </c>
      <c r="M137" s="11" t="s">
        <v>165</v>
      </c>
      <c r="N137" s="12">
        <v>180</v>
      </c>
      <c r="O137" s="13" t="s">
        <v>54</v>
      </c>
      <c r="P137" s="14"/>
      <c r="Q137" s="1"/>
    </row>
    <row r="138" spans="1:20" x14ac:dyDescent="0.25">
      <c r="A138" s="6"/>
      <c r="B138" s="7">
        <v>44204</v>
      </c>
      <c r="C138" s="8" t="s">
        <v>303</v>
      </c>
      <c r="D138" s="8" t="s">
        <v>304</v>
      </c>
      <c r="E138" s="9" t="s">
        <v>305</v>
      </c>
      <c r="F138" s="9" t="s">
        <v>36</v>
      </c>
      <c r="G138" s="17">
        <v>0.43472222222222223</v>
      </c>
      <c r="H138" s="17">
        <v>0.5854166666666667</v>
      </c>
      <c r="I138" s="9">
        <v>51050</v>
      </c>
      <c r="J138" s="9">
        <v>15850</v>
      </c>
      <c r="K138" s="10">
        <f t="shared" si="4"/>
        <v>35200</v>
      </c>
      <c r="L138" s="10">
        <v>4539</v>
      </c>
      <c r="M138" s="11" t="s">
        <v>306</v>
      </c>
      <c r="N138" s="12">
        <v>10000</v>
      </c>
      <c r="O138" s="13" t="s">
        <v>84</v>
      </c>
      <c r="P138" s="14"/>
      <c r="Q138" s="19"/>
    </row>
    <row r="139" spans="1:20" x14ac:dyDescent="0.25">
      <c r="A139" s="6"/>
      <c r="B139" s="7">
        <v>44204</v>
      </c>
      <c r="C139" s="8" t="s">
        <v>130</v>
      </c>
      <c r="D139" s="8" t="s">
        <v>217</v>
      </c>
      <c r="E139" s="9" t="s">
        <v>218</v>
      </c>
      <c r="F139" s="9" t="s">
        <v>36</v>
      </c>
      <c r="G139" s="17">
        <v>0.43611111111111112</v>
      </c>
      <c r="H139" s="17">
        <v>0.46111111111111108</v>
      </c>
      <c r="I139" s="9">
        <v>54150</v>
      </c>
      <c r="J139" s="9">
        <v>19480</v>
      </c>
      <c r="K139" s="10">
        <f t="shared" si="4"/>
        <v>34670</v>
      </c>
      <c r="L139" s="10">
        <v>5150</v>
      </c>
      <c r="M139" s="11" t="s">
        <v>31</v>
      </c>
      <c r="N139" s="12">
        <v>76384</v>
      </c>
      <c r="O139" s="13" t="s">
        <v>49</v>
      </c>
      <c r="P139" s="14"/>
      <c r="Q139" s="1"/>
    </row>
    <row r="140" spans="1:20" x14ac:dyDescent="0.25">
      <c r="A140" s="6"/>
      <c r="B140" s="7">
        <v>44204</v>
      </c>
      <c r="C140" s="8" t="s">
        <v>164</v>
      </c>
      <c r="D140" s="8" t="s">
        <v>94</v>
      </c>
      <c r="E140" s="9" t="s">
        <v>95</v>
      </c>
      <c r="F140" s="9" t="s">
        <v>99</v>
      </c>
      <c r="G140" s="17">
        <v>0.50902777777777775</v>
      </c>
      <c r="H140" s="17">
        <v>0.59722222222222221</v>
      </c>
      <c r="I140" s="9">
        <v>17060</v>
      </c>
      <c r="J140" s="9">
        <v>6640</v>
      </c>
      <c r="K140" s="10">
        <f t="shared" si="4"/>
        <v>10420</v>
      </c>
      <c r="L140" s="10">
        <v>15176</v>
      </c>
      <c r="M140" s="11" t="s">
        <v>165</v>
      </c>
      <c r="N140" s="12">
        <f>180+19+5</f>
        <v>204</v>
      </c>
      <c r="O140" s="13" t="s">
        <v>54</v>
      </c>
      <c r="P140" s="14"/>
      <c r="Q140" s="1"/>
    </row>
    <row r="141" spans="1:20" x14ac:dyDescent="0.25">
      <c r="A141" s="6"/>
      <c r="B141" s="7">
        <v>44204</v>
      </c>
      <c r="C141" s="8" t="s">
        <v>164</v>
      </c>
      <c r="D141" s="8" t="s">
        <v>308</v>
      </c>
      <c r="E141" s="9" t="s">
        <v>172</v>
      </c>
      <c r="F141" s="9" t="s">
        <v>173</v>
      </c>
      <c r="G141" s="17">
        <v>0.54236111111111118</v>
      </c>
      <c r="H141" s="17">
        <v>0.57361111111111118</v>
      </c>
      <c r="I141" s="9">
        <v>15550</v>
      </c>
      <c r="J141" s="9">
        <v>6430</v>
      </c>
      <c r="K141" s="10">
        <f t="shared" si="4"/>
        <v>9120</v>
      </c>
      <c r="L141" s="10">
        <v>15177</v>
      </c>
      <c r="M141" s="11" t="s">
        <v>165</v>
      </c>
      <c r="N141" s="12">
        <v>180</v>
      </c>
      <c r="O141" s="13" t="s">
        <v>54</v>
      </c>
      <c r="P141" s="14"/>
      <c r="Q141" s="1"/>
    </row>
    <row r="142" spans="1:20" x14ac:dyDescent="0.25">
      <c r="A142" s="6"/>
      <c r="B142" s="7">
        <v>44204</v>
      </c>
      <c r="C142" s="8" t="s">
        <v>309</v>
      </c>
      <c r="D142" s="8" t="s">
        <v>194</v>
      </c>
      <c r="E142" s="9" t="s">
        <v>277</v>
      </c>
      <c r="F142" s="9" t="s">
        <v>266</v>
      </c>
      <c r="G142" s="17">
        <v>0.57013888888888886</v>
      </c>
      <c r="H142" s="17">
        <v>0.5756944444444444</v>
      </c>
      <c r="I142" s="9">
        <v>110</v>
      </c>
      <c r="J142" s="9">
        <v>500</v>
      </c>
      <c r="K142" s="10">
        <f t="shared" si="4"/>
        <v>-390</v>
      </c>
      <c r="L142" s="10" t="s">
        <v>196</v>
      </c>
      <c r="M142" s="11" t="s">
        <v>195</v>
      </c>
      <c r="N142" s="12">
        <v>390</v>
      </c>
      <c r="O142" s="13" t="s">
        <v>32</v>
      </c>
      <c r="P142" s="14"/>
      <c r="Q142" s="1"/>
    </row>
    <row r="143" spans="1:20" x14ac:dyDescent="0.25">
      <c r="A143" s="6"/>
      <c r="B143" s="7">
        <v>44204</v>
      </c>
      <c r="C143" s="8" t="s">
        <v>310</v>
      </c>
      <c r="D143" s="8" t="s">
        <v>311</v>
      </c>
      <c r="E143" s="9" t="s">
        <v>312</v>
      </c>
      <c r="F143" s="9" t="s">
        <v>36</v>
      </c>
      <c r="G143" s="17">
        <v>0.57222222222222219</v>
      </c>
      <c r="H143" s="17">
        <v>0.58333333333333337</v>
      </c>
      <c r="I143" s="9">
        <v>4300</v>
      </c>
      <c r="J143" s="9">
        <v>3240</v>
      </c>
      <c r="K143" s="10">
        <f t="shared" si="4"/>
        <v>1060</v>
      </c>
      <c r="L143" s="10">
        <v>10989</v>
      </c>
      <c r="M143" s="11" t="s">
        <v>313</v>
      </c>
      <c r="N143" s="12">
        <v>1000</v>
      </c>
      <c r="O143" s="13" t="s">
        <v>32</v>
      </c>
      <c r="P143" s="14"/>
      <c r="Q143" s="1"/>
    </row>
    <row r="144" spans="1:20" x14ac:dyDescent="0.25">
      <c r="A144" s="6"/>
      <c r="B144" s="7">
        <v>44204</v>
      </c>
      <c r="C144" s="8" t="s">
        <v>106</v>
      </c>
      <c r="D144" s="8" t="s">
        <v>274</v>
      </c>
      <c r="E144" s="9" t="s">
        <v>275</v>
      </c>
      <c r="F144" s="9" t="s">
        <v>36</v>
      </c>
      <c r="G144" s="17">
        <v>0.57500000000000007</v>
      </c>
      <c r="H144" s="17">
        <v>0.58819444444444446</v>
      </c>
      <c r="I144" s="9">
        <v>7320</v>
      </c>
      <c r="J144" s="9">
        <v>11390</v>
      </c>
      <c r="K144" s="10">
        <f t="shared" si="4"/>
        <v>-4070</v>
      </c>
      <c r="L144" s="10">
        <v>5660</v>
      </c>
      <c r="M144" s="11" t="s">
        <v>53</v>
      </c>
      <c r="N144" s="12">
        <v>80</v>
      </c>
      <c r="O144" s="13" t="s">
        <v>54</v>
      </c>
      <c r="P144" s="14"/>
      <c r="Q144" s="1"/>
    </row>
    <row r="145" spans="1:19" x14ac:dyDescent="0.25">
      <c r="A145" s="6"/>
      <c r="B145" s="7">
        <v>44204</v>
      </c>
      <c r="C145" s="8" t="s">
        <v>314</v>
      </c>
      <c r="D145" s="8" t="s">
        <v>247</v>
      </c>
      <c r="E145" s="9" t="s">
        <v>184</v>
      </c>
      <c r="F145" s="9" t="s">
        <v>36</v>
      </c>
      <c r="G145" s="17">
        <v>0.58472222222222225</v>
      </c>
      <c r="H145" s="17">
        <v>0.60972222222222217</v>
      </c>
      <c r="I145" s="9">
        <v>8060</v>
      </c>
      <c r="J145" s="9">
        <v>4510</v>
      </c>
      <c r="K145" s="10">
        <f t="shared" si="4"/>
        <v>3550</v>
      </c>
      <c r="L145" s="10">
        <v>1405</v>
      </c>
      <c r="M145" s="11" t="s">
        <v>31</v>
      </c>
      <c r="N145" s="12">
        <v>9000</v>
      </c>
      <c r="O145" s="13" t="s">
        <v>49</v>
      </c>
      <c r="P145" s="14"/>
      <c r="Q145" s="1"/>
    </row>
    <row r="146" spans="1:19" x14ac:dyDescent="0.25">
      <c r="A146" s="6"/>
      <c r="B146" s="7">
        <v>44204</v>
      </c>
      <c r="C146" s="8" t="s">
        <v>315</v>
      </c>
      <c r="D146" s="8" t="s">
        <v>86</v>
      </c>
      <c r="E146" s="9" t="s">
        <v>87</v>
      </c>
      <c r="F146" s="9" t="s">
        <v>88</v>
      </c>
      <c r="G146" s="17">
        <v>0.59305555555555556</v>
      </c>
      <c r="H146" s="17">
        <v>0.6743055555555556</v>
      </c>
      <c r="I146" s="9">
        <v>38400</v>
      </c>
      <c r="J146" s="9">
        <v>16460</v>
      </c>
      <c r="K146" s="10">
        <f t="shared" si="4"/>
        <v>21940</v>
      </c>
      <c r="L146" s="10">
        <v>325</v>
      </c>
      <c r="M146" s="11" t="s">
        <v>316</v>
      </c>
      <c r="N146" s="12">
        <v>840</v>
      </c>
      <c r="O146" s="13" t="s">
        <v>54</v>
      </c>
      <c r="P146" s="14" t="s">
        <v>322</v>
      </c>
      <c r="Q146" s="1"/>
    </row>
    <row r="147" spans="1:19" x14ac:dyDescent="0.25">
      <c r="A147" s="6"/>
      <c r="B147" s="7">
        <v>44204</v>
      </c>
      <c r="C147" s="8" t="s">
        <v>303</v>
      </c>
      <c r="D147" s="8" t="s">
        <v>317</v>
      </c>
      <c r="E147" s="9" t="s">
        <v>318</v>
      </c>
      <c r="F147" s="9" t="s">
        <v>36</v>
      </c>
      <c r="G147" s="17">
        <v>0.59583333333333333</v>
      </c>
      <c r="H147" s="17">
        <v>0.65902777777777777</v>
      </c>
      <c r="I147" s="9">
        <v>55530</v>
      </c>
      <c r="J147" s="9">
        <v>20130</v>
      </c>
      <c r="K147" s="10">
        <f t="shared" si="4"/>
        <v>35400</v>
      </c>
      <c r="L147" s="10">
        <v>4540</v>
      </c>
      <c r="M147" s="11" t="s">
        <v>306</v>
      </c>
      <c r="N147" s="12">
        <v>10000</v>
      </c>
      <c r="O147" s="13" t="s">
        <v>84</v>
      </c>
      <c r="P147" s="14"/>
      <c r="Q147" s="1"/>
      <c r="R147" s="1"/>
      <c r="S147" s="1"/>
    </row>
    <row r="148" spans="1:19" x14ac:dyDescent="0.25">
      <c r="A148" s="6"/>
      <c r="B148" s="7">
        <v>44204</v>
      </c>
      <c r="C148" s="8" t="s">
        <v>33</v>
      </c>
      <c r="D148" s="8" t="s">
        <v>34</v>
      </c>
      <c r="E148" s="9" t="s">
        <v>35</v>
      </c>
      <c r="F148" s="9" t="s">
        <v>36</v>
      </c>
      <c r="G148" s="17">
        <v>0.59861111111111109</v>
      </c>
      <c r="H148" s="17">
        <v>0.62430555555555556</v>
      </c>
      <c r="I148" s="9">
        <v>12160</v>
      </c>
      <c r="J148" s="9">
        <v>5360</v>
      </c>
      <c r="K148" s="10">
        <f t="shared" si="4"/>
        <v>6800</v>
      </c>
      <c r="L148" s="10">
        <v>26277</v>
      </c>
      <c r="M148" s="11" t="s">
        <v>31</v>
      </c>
      <c r="N148" s="12">
        <v>6800</v>
      </c>
      <c r="O148" s="13" t="s">
        <v>32</v>
      </c>
      <c r="P148" s="14" t="s">
        <v>319</v>
      </c>
      <c r="Q148" s="1"/>
      <c r="R148" s="1"/>
      <c r="S148" s="1"/>
    </row>
    <row r="149" spans="1:19" x14ac:dyDescent="0.25">
      <c r="A149" s="6"/>
      <c r="B149" s="7">
        <v>44204</v>
      </c>
      <c r="C149" s="8" t="s">
        <v>320</v>
      </c>
      <c r="D149" s="8" t="s">
        <v>243</v>
      </c>
      <c r="E149" s="9" t="s">
        <v>51</v>
      </c>
      <c r="F149" s="9" t="s">
        <v>52</v>
      </c>
      <c r="G149" s="17">
        <v>0.67083333333333339</v>
      </c>
      <c r="H149" s="17"/>
      <c r="I149" s="9">
        <v>18130</v>
      </c>
      <c r="J149" s="9"/>
      <c r="K149" s="10">
        <f t="shared" si="4"/>
        <v>18130</v>
      </c>
      <c r="L149" s="10">
        <v>4275</v>
      </c>
      <c r="M149" s="11" t="s">
        <v>321</v>
      </c>
      <c r="N149" s="12"/>
      <c r="O149" s="13" t="s">
        <v>32</v>
      </c>
      <c r="P149" s="14"/>
      <c r="Q149" s="1"/>
      <c r="R149" s="1"/>
      <c r="S149" s="1"/>
    </row>
    <row r="150" spans="1:19" x14ac:dyDescent="0.25">
      <c r="A150" s="6"/>
      <c r="B150" s="7">
        <v>44204</v>
      </c>
      <c r="C150" s="8" t="s">
        <v>98</v>
      </c>
      <c r="D150" s="8" t="s">
        <v>101</v>
      </c>
      <c r="E150" s="9" t="s">
        <v>238</v>
      </c>
      <c r="F150" s="9" t="s">
        <v>36</v>
      </c>
      <c r="G150" s="17">
        <v>0.67083333333333339</v>
      </c>
      <c r="H150" s="17">
        <v>0.7090277777777777</v>
      </c>
      <c r="I150" s="9">
        <v>17600</v>
      </c>
      <c r="J150" s="9">
        <v>48890</v>
      </c>
      <c r="K150" s="10">
        <f t="shared" si="4"/>
        <v>-31290</v>
      </c>
      <c r="L150" s="10">
        <v>5662</v>
      </c>
      <c r="M150" s="11" t="s">
        <v>53</v>
      </c>
      <c r="N150" s="12">
        <v>600</v>
      </c>
      <c r="O150" s="13" t="s">
        <v>54</v>
      </c>
      <c r="P150" s="14" t="s">
        <v>167</v>
      </c>
      <c r="Q150" s="1"/>
      <c r="R150" s="1"/>
      <c r="S150" s="1"/>
    </row>
    <row r="151" spans="1:19" x14ac:dyDescent="0.25">
      <c r="A151" s="6"/>
      <c r="B151" s="7">
        <v>44204</v>
      </c>
      <c r="C151" s="8" t="s">
        <v>33</v>
      </c>
      <c r="D151" s="8" t="s">
        <v>324</v>
      </c>
      <c r="E151" s="9" t="s">
        <v>197</v>
      </c>
      <c r="F151" s="9" t="s">
        <v>36</v>
      </c>
      <c r="G151" s="17">
        <v>0.69305555555555554</v>
      </c>
      <c r="H151" s="17">
        <v>0.74444444444444446</v>
      </c>
      <c r="I151" s="9">
        <v>9910</v>
      </c>
      <c r="J151" s="9">
        <v>4610</v>
      </c>
      <c r="K151" s="10">
        <f t="shared" si="4"/>
        <v>5300</v>
      </c>
      <c r="L151" s="10">
        <v>26278</v>
      </c>
      <c r="M151" s="11" t="s">
        <v>31</v>
      </c>
      <c r="N151" s="12">
        <v>5300</v>
      </c>
      <c r="O151" s="13" t="s">
        <v>32</v>
      </c>
      <c r="P151" s="14" t="s">
        <v>323</v>
      </c>
      <c r="Q151" s="1"/>
      <c r="R151" s="1"/>
      <c r="S151" s="1"/>
    </row>
    <row r="152" spans="1:19" x14ac:dyDescent="0.25">
      <c r="A152" s="6"/>
      <c r="B152" s="7">
        <v>44204</v>
      </c>
      <c r="C152" s="8" t="s">
        <v>98</v>
      </c>
      <c r="D152" s="8" t="s">
        <v>103</v>
      </c>
      <c r="E152" s="9" t="s">
        <v>104</v>
      </c>
      <c r="F152" s="9" t="s">
        <v>36</v>
      </c>
      <c r="G152" s="17">
        <v>0.69791666666666663</v>
      </c>
      <c r="H152" s="17">
        <v>0.72916666666666663</v>
      </c>
      <c r="I152" s="9">
        <v>16760</v>
      </c>
      <c r="J152" s="9">
        <v>47990</v>
      </c>
      <c r="K152" s="10">
        <f t="shared" si="4"/>
        <v>-31230</v>
      </c>
      <c r="L152" s="10">
        <v>5663</v>
      </c>
      <c r="M152" s="11" t="s">
        <v>53</v>
      </c>
      <c r="N152" s="12">
        <v>600</v>
      </c>
      <c r="O152" s="13" t="s">
        <v>54</v>
      </c>
      <c r="P152" s="14"/>
      <c r="Q152" s="1">
        <f>84+60</f>
        <v>144</v>
      </c>
      <c r="R152" s="1"/>
      <c r="S152" s="1"/>
    </row>
    <row r="153" spans="1:19" x14ac:dyDescent="0.25">
      <c r="A153" s="6"/>
      <c r="B153" s="7">
        <v>44204</v>
      </c>
      <c r="C153" s="8" t="s">
        <v>190</v>
      </c>
      <c r="D153" s="8" t="s">
        <v>191</v>
      </c>
      <c r="E153" s="9" t="s">
        <v>192</v>
      </c>
      <c r="F153" s="9" t="s">
        <v>59</v>
      </c>
      <c r="G153" s="17">
        <v>0.70138888888888884</v>
      </c>
      <c r="H153" s="17">
        <v>0.76666666666666661</v>
      </c>
      <c r="I153" s="9">
        <v>11330</v>
      </c>
      <c r="J153" s="9">
        <v>4900</v>
      </c>
      <c r="K153" s="10">
        <f t="shared" si="4"/>
        <v>6430</v>
      </c>
      <c r="L153" s="10">
        <v>348571</v>
      </c>
      <c r="M153" s="11" t="s">
        <v>31</v>
      </c>
      <c r="N153" s="12">
        <v>17970</v>
      </c>
      <c r="O153" s="13" t="s">
        <v>49</v>
      </c>
      <c r="P153" s="14"/>
      <c r="Q153" s="1"/>
      <c r="R153" s="1"/>
      <c r="S153" s="1"/>
    </row>
    <row r="154" spans="1:19" x14ac:dyDescent="0.25">
      <c r="A154" s="6"/>
      <c r="B154" s="7">
        <v>44204</v>
      </c>
      <c r="C154" s="8" t="s">
        <v>303</v>
      </c>
      <c r="D154" s="8" t="s">
        <v>325</v>
      </c>
      <c r="E154" s="9" t="s">
        <v>326</v>
      </c>
      <c r="F154" s="9" t="s">
        <v>36</v>
      </c>
      <c r="G154" s="17">
        <v>0.72291666666666676</v>
      </c>
      <c r="H154" s="17">
        <v>0.78611111111111109</v>
      </c>
      <c r="I154" s="9">
        <v>54240</v>
      </c>
      <c r="J154" s="9">
        <v>18970</v>
      </c>
      <c r="K154" s="10">
        <f t="shared" si="4"/>
        <v>35270</v>
      </c>
      <c r="L154" s="10">
        <v>4541</v>
      </c>
      <c r="M154" s="11" t="s">
        <v>306</v>
      </c>
      <c r="N154" s="12">
        <v>10000</v>
      </c>
      <c r="O154" s="13" t="s">
        <v>84</v>
      </c>
      <c r="P154" s="14"/>
      <c r="Q154" s="1"/>
      <c r="R154" s="1"/>
      <c r="S154" s="1"/>
    </row>
    <row r="155" spans="1:19" x14ac:dyDescent="0.25">
      <c r="A155" s="6"/>
      <c r="B155" s="7">
        <v>44204</v>
      </c>
      <c r="C155" s="8" t="s">
        <v>164</v>
      </c>
      <c r="D155" s="8" t="s">
        <v>308</v>
      </c>
      <c r="E155" s="9" t="s">
        <v>172</v>
      </c>
      <c r="F155" s="9" t="s">
        <v>173</v>
      </c>
      <c r="G155" s="17">
        <v>0.73125000000000007</v>
      </c>
      <c r="H155" s="17">
        <v>0.74652777777777779</v>
      </c>
      <c r="I155" s="9">
        <v>13520</v>
      </c>
      <c r="J155" s="9">
        <v>5830</v>
      </c>
      <c r="K155" s="10">
        <f t="shared" si="4"/>
        <v>7690</v>
      </c>
      <c r="L155" s="10">
        <v>15178</v>
      </c>
      <c r="M155" s="11" t="s">
        <v>165</v>
      </c>
      <c r="N155" s="12">
        <v>144</v>
      </c>
      <c r="O155" s="13" t="s">
        <v>54</v>
      </c>
      <c r="P155" s="14" t="s">
        <v>322</v>
      </c>
      <c r="Q155" s="1"/>
      <c r="R155" s="1"/>
      <c r="S155" s="1"/>
    </row>
    <row r="156" spans="1:19" x14ac:dyDescent="0.25">
      <c r="A156" s="6"/>
      <c r="B156" s="7">
        <v>44204</v>
      </c>
      <c r="C156" s="8" t="s">
        <v>60</v>
      </c>
      <c r="D156" s="8" t="s">
        <v>214</v>
      </c>
      <c r="E156" s="9" t="s">
        <v>171</v>
      </c>
      <c r="F156" s="9" t="s">
        <v>36</v>
      </c>
      <c r="G156" s="17">
        <v>0.73541666666666661</v>
      </c>
      <c r="H156" s="17">
        <v>0.7895833333333333</v>
      </c>
      <c r="I156" s="9">
        <v>10010</v>
      </c>
      <c r="J156" s="9">
        <v>4580</v>
      </c>
      <c r="K156" s="10">
        <f t="shared" si="4"/>
        <v>5430</v>
      </c>
      <c r="L156" s="10" t="s">
        <v>327</v>
      </c>
      <c r="M156" s="11" t="s">
        <v>31</v>
      </c>
      <c r="N156" s="12">
        <v>9000</v>
      </c>
      <c r="O156" s="13" t="s">
        <v>49</v>
      </c>
      <c r="P156" s="14"/>
      <c r="Q156" s="1"/>
      <c r="R156" s="1"/>
      <c r="S156" s="1"/>
    </row>
    <row r="157" spans="1:19" x14ac:dyDescent="0.25">
      <c r="A157" s="6"/>
      <c r="B157" s="7">
        <v>44204</v>
      </c>
      <c r="C157" s="8" t="s">
        <v>33</v>
      </c>
      <c r="D157" s="8" t="s">
        <v>180</v>
      </c>
      <c r="E157" s="9" t="s">
        <v>181</v>
      </c>
      <c r="F157" s="9" t="s">
        <v>36</v>
      </c>
      <c r="G157" s="17">
        <v>0.76388888888888884</v>
      </c>
      <c r="H157" s="17">
        <v>0.82430555555555562</v>
      </c>
      <c r="I157" s="9">
        <v>9230</v>
      </c>
      <c r="J157" s="9">
        <v>4040</v>
      </c>
      <c r="K157" s="10">
        <f t="shared" si="4"/>
        <v>5190</v>
      </c>
      <c r="L157" s="10">
        <v>26279</v>
      </c>
      <c r="M157" s="11" t="s">
        <v>31</v>
      </c>
      <c r="N157" s="12">
        <v>5190</v>
      </c>
      <c r="O157" s="13" t="s">
        <v>49</v>
      </c>
      <c r="P157" s="14"/>
      <c r="Q157" s="1"/>
      <c r="R157" s="1"/>
      <c r="S157" s="1"/>
    </row>
    <row r="158" spans="1:19" x14ac:dyDescent="0.25">
      <c r="A158" s="6"/>
      <c r="B158" s="7">
        <v>44204</v>
      </c>
      <c r="C158" s="8" t="s">
        <v>328</v>
      </c>
      <c r="D158" s="8" t="s">
        <v>202</v>
      </c>
      <c r="E158" s="9" t="s">
        <v>203</v>
      </c>
      <c r="F158" s="9" t="s">
        <v>36</v>
      </c>
      <c r="G158" s="17">
        <v>0.79236111111111107</v>
      </c>
      <c r="H158" s="17">
        <v>0.84791666666666676</v>
      </c>
      <c r="I158" s="9">
        <v>9510</v>
      </c>
      <c r="J158" s="9">
        <v>4160</v>
      </c>
      <c r="K158" s="10">
        <f t="shared" si="4"/>
        <v>5350</v>
      </c>
      <c r="L158" s="10" t="s">
        <v>329</v>
      </c>
      <c r="M158" s="11" t="s">
        <v>31</v>
      </c>
      <c r="N158" s="12">
        <v>5350</v>
      </c>
      <c r="O158" s="13" t="s">
        <v>32</v>
      </c>
      <c r="P158" s="14"/>
      <c r="Q158" s="1"/>
      <c r="R158" s="1"/>
      <c r="S158" s="1"/>
    </row>
    <row r="159" spans="1:19" x14ac:dyDescent="0.25">
      <c r="A159" s="6"/>
      <c r="B159" s="7">
        <v>44204</v>
      </c>
      <c r="C159" s="8" t="s">
        <v>33</v>
      </c>
      <c r="D159" s="8" t="s">
        <v>34</v>
      </c>
      <c r="E159" s="9" t="s">
        <v>35</v>
      </c>
      <c r="F159" s="9" t="s">
        <v>36</v>
      </c>
      <c r="G159" s="17">
        <v>0.85763888888888884</v>
      </c>
      <c r="H159" s="17">
        <v>0.87430555555555556</v>
      </c>
      <c r="I159" s="9">
        <v>9520</v>
      </c>
      <c r="J159" s="9">
        <v>5320</v>
      </c>
      <c r="K159" s="10">
        <f t="shared" si="4"/>
        <v>4200</v>
      </c>
      <c r="L159" s="10">
        <v>26280</v>
      </c>
      <c r="M159" s="11" t="s">
        <v>31</v>
      </c>
      <c r="N159" s="12">
        <v>4200</v>
      </c>
      <c r="O159" s="13" t="s">
        <v>32</v>
      </c>
      <c r="P159" s="14"/>
      <c r="Q159" s="1"/>
      <c r="R159" s="1"/>
      <c r="S159" s="1"/>
    </row>
    <row r="160" spans="1:19" x14ac:dyDescent="0.25">
      <c r="A160" s="6"/>
      <c r="B160" s="7">
        <v>44204</v>
      </c>
      <c r="C160" s="8" t="s">
        <v>37</v>
      </c>
      <c r="D160" s="8" t="s">
        <v>41</v>
      </c>
      <c r="E160" s="9" t="s">
        <v>206</v>
      </c>
      <c r="F160" s="9" t="s">
        <v>36</v>
      </c>
      <c r="G160" s="17">
        <v>0.87708333333333333</v>
      </c>
      <c r="H160" s="17">
        <v>0.88750000000000007</v>
      </c>
      <c r="I160" s="9">
        <v>8085</v>
      </c>
      <c r="J160" s="9">
        <v>4010</v>
      </c>
      <c r="K160" s="10">
        <f t="shared" si="4"/>
        <v>4075</v>
      </c>
      <c r="L160" s="10">
        <v>26281</v>
      </c>
      <c r="M160" s="11" t="s">
        <v>252</v>
      </c>
      <c r="N160" s="12">
        <v>4075</v>
      </c>
      <c r="O160" s="13" t="s">
        <v>32</v>
      </c>
      <c r="P160" s="14"/>
      <c r="Q160" s="1"/>
      <c r="R160" s="1"/>
      <c r="S160" s="1"/>
    </row>
    <row r="161" spans="1:21" x14ac:dyDescent="0.25">
      <c r="A161" s="6"/>
      <c r="B161" s="7">
        <v>44204</v>
      </c>
      <c r="C161" s="8" t="s">
        <v>121</v>
      </c>
      <c r="D161" s="8" t="s">
        <v>122</v>
      </c>
      <c r="E161" s="9" t="s">
        <v>123</v>
      </c>
      <c r="F161" s="9" t="s">
        <v>36</v>
      </c>
      <c r="G161" s="17">
        <v>0.87916666666666676</v>
      </c>
      <c r="H161" s="17">
        <v>0.89583333333333337</v>
      </c>
      <c r="I161" s="9">
        <v>16255</v>
      </c>
      <c r="J161" s="9">
        <v>6360</v>
      </c>
      <c r="K161" s="10">
        <f t="shared" si="4"/>
        <v>9895</v>
      </c>
      <c r="L161" s="10">
        <v>26282</v>
      </c>
      <c r="M161" s="11" t="s">
        <v>252</v>
      </c>
      <c r="N161" s="12">
        <v>9895</v>
      </c>
      <c r="O161" s="13" t="s">
        <v>32</v>
      </c>
      <c r="P161" s="14"/>
      <c r="Q161" s="1"/>
      <c r="R161" s="1"/>
      <c r="S161" s="1"/>
    </row>
    <row r="162" spans="1:21" x14ac:dyDescent="0.25">
      <c r="A162" s="6"/>
      <c r="B162" s="7">
        <v>44204</v>
      </c>
      <c r="C162" s="8" t="s">
        <v>33</v>
      </c>
      <c r="D162" s="8" t="s">
        <v>175</v>
      </c>
      <c r="E162" s="9" t="s">
        <v>176</v>
      </c>
      <c r="F162" s="9" t="s">
        <v>36</v>
      </c>
      <c r="G162" s="17">
        <v>0.87986111111111109</v>
      </c>
      <c r="H162" s="17">
        <v>0.89097222222222217</v>
      </c>
      <c r="I162" s="9">
        <v>8610</v>
      </c>
      <c r="J162" s="9">
        <v>4290</v>
      </c>
      <c r="K162" s="10">
        <f t="shared" si="4"/>
        <v>4320</v>
      </c>
      <c r="L162" s="10">
        <v>26283</v>
      </c>
      <c r="M162" s="11" t="s">
        <v>31</v>
      </c>
      <c r="N162" s="12">
        <v>4320</v>
      </c>
      <c r="O162" s="13" t="s">
        <v>32</v>
      </c>
      <c r="P162" s="14"/>
      <c r="Q162" s="1"/>
      <c r="R162" s="1"/>
      <c r="S162" s="1"/>
    </row>
    <row r="163" spans="1:21" x14ac:dyDescent="0.25">
      <c r="A163" s="6"/>
      <c r="B163" s="7">
        <v>44204</v>
      </c>
      <c r="C163" s="8" t="s">
        <v>37</v>
      </c>
      <c r="D163" s="8" t="s">
        <v>330</v>
      </c>
      <c r="E163" s="9" t="s">
        <v>42</v>
      </c>
      <c r="F163" s="9" t="s">
        <v>36</v>
      </c>
      <c r="G163" s="17">
        <v>0.94166666666666676</v>
      </c>
      <c r="H163" s="17">
        <v>0.96180555555555547</v>
      </c>
      <c r="I163" s="9">
        <v>15915</v>
      </c>
      <c r="J163" s="9">
        <v>6260</v>
      </c>
      <c r="K163" s="10">
        <f t="shared" si="4"/>
        <v>9655</v>
      </c>
      <c r="L163" s="10">
        <v>26284</v>
      </c>
      <c r="M163" s="11" t="s">
        <v>331</v>
      </c>
      <c r="N163" s="12">
        <v>9655</v>
      </c>
      <c r="O163" s="13" t="s">
        <v>32</v>
      </c>
      <c r="P163" s="14"/>
      <c r="Q163" s="1"/>
      <c r="R163" s="1"/>
      <c r="S163" s="1"/>
      <c r="T163" s="1"/>
      <c r="U163" s="1"/>
    </row>
    <row r="164" spans="1:21" x14ac:dyDescent="0.25">
      <c r="A164" s="6"/>
      <c r="B164" s="7">
        <v>44205</v>
      </c>
      <c r="C164" s="8" t="s">
        <v>332</v>
      </c>
      <c r="D164" s="8" t="s">
        <v>333</v>
      </c>
      <c r="E164" s="9" t="s">
        <v>149</v>
      </c>
      <c r="F164" s="9" t="s">
        <v>36</v>
      </c>
      <c r="G164" s="17">
        <v>2.0833333333333332E-2</v>
      </c>
      <c r="H164" s="17">
        <v>0.16805555555555554</v>
      </c>
      <c r="I164" s="9">
        <v>51100</v>
      </c>
      <c r="J164" s="9">
        <v>18940</v>
      </c>
      <c r="K164" s="10">
        <f t="shared" si="4"/>
        <v>32160</v>
      </c>
      <c r="L164" s="10">
        <v>5151</v>
      </c>
      <c r="M164" s="11" t="s">
        <v>31</v>
      </c>
      <c r="N164" s="12">
        <v>32160</v>
      </c>
      <c r="O164" s="13" t="s">
        <v>32</v>
      </c>
      <c r="P164" s="14"/>
      <c r="Q164" s="2"/>
      <c r="R164" s="1"/>
      <c r="S164" s="1"/>
      <c r="T164" s="1"/>
      <c r="U164" s="1"/>
    </row>
    <row r="165" spans="1:21" x14ac:dyDescent="0.25">
      <c r="A165" s="6"/>
      <c r="B165" s="7">
        <v>44205</v>
      </c>
      <c r="C165" s="8" t="s">
        <v>276</v>
      </c>
      <c r="D165" s="8" t="s">
        <v>194</v>
      </c>
      <c r="E165" s="9" t="s">
        <v>277</v>
      </c>
      <c r="F165" s="9" t="s">
        <v>266</v>
      </c>
      <c r="G165" s="17">
        <v>2.9861111111111113E-2</v>
      </c>
      <c r="H165" s="17">
        <v>3.4027777777777775E-2</v>
      </c>
      <c r="I165" s="9">
        <v>280</v>
      </c>
      <c r="J165" s="9">
        <v>100</v>
      </c>
      <c r="K165" s="10">
        <f t="shared" si="4"/>
        <v>180</v>
      </c>
      <c r="L165" s="10">
        <v>21430</v>
      </c>
      <c r="M165" s="11" t="s">
        <v>195</v>
      </c>
      <c r="N165" s="12">
        <v>180</v>
      </c>
      <c r="O165" s="13" t="s">
        <v>32</v>
      </c>
      <c r="P165" s="14"/>
      <c r="Q165" s="1"/>
      <c r="R165" s="1"/>
      <c r="S165" s="1"/>
      <c r="T165" s="1"/>
      <c r="U165" s="1"/>
    </row>
    <row r="166" spans="1:21" x14ac:dyDescent="0.25">
      <c r="A166" s="6"/>
      <c r="B166" s="7">
        <v>44205</v>
      </c>
      <c r="C166" s="8" t="s">
        <v>142</v>
      </c>
      <c r="D166" s="8" t="s">
        <v>219</v>
      </c>
      <c r="E166" s="9" t="s">
        <v>220</v>
      </c>
      <c r="F166" s="9" t="s">
        <v>221</v>
      </c>
      <c r="G166" s="17">
        <v>0.12847222222222224</v>
      </c>
      <c r="H166" s="17">
        <v>0.34722222222222227</v>
      </c>
      <c r="I166" s="9">
        <v>22190</v>
      </c>
      <c r="J166" s="9">
        <v>8590</v>
      </c>
      <c r="K166" s="10">
        <f t="shared" si="4"/>
        <v>13600</v>
      </c>
      <c r="L166" s="10">
        <v>722</v>
      </c>
      <c r="M166" s="11" t="s">
        <v>146</v>
      </c>
      <c r="N166" s="12">
        <v>12971</v>
      </c>
      <c r="O166" s="13" t="s">
        <v>32</v>
      </c>
      <c r="P166" s="14"/>
      <c r="Q166" s="1"/>
      <c r="R166" s="1"/>
      <c r="S166" s="1"/>
      <c r="T166" s="1"/>
      <c r="U166" s="1"/>
    </row>
    <row r="167" spans="1:21" x14ac:dyDescent="0.25">
      <c r="A167" s="6"/>
      <c r="B167" s="7">
        <v>44205</v>
      </c>
      <c r="C167" s="8" t="s">
        <v>125</v>
      </c>
      <c r="D167" s="8" t="s">
        <v>126</v>
      </c>
      <c r="E167" s="9" t="s">
        <v>265</v>
      </c>
      <c r="F167" s="9" t="s">
        <v>266</v>
      </c>
      <c r="G167" s="17">
        <v>0.20555555555555557</v>
      </c>
      <c r="H167" s="17">
        <v>0.23680555555555557</v>
      </c>
      <c r="I167" s="9">
        <v>6770</v>
      </c>
      <c r="J167" s="9">
        <v>5480</v>
      </c>
      <c r="K167" s="10">
        <f t="shared" si="4"/>
        <v>1290</v>
      </c>
      <c r="L167" s="10">
        <v>21432</v>
      </c>
      <c r="M167" s="11" t="s">
        <v>334</v>
      </c>
      <c r="N167" s="12">
        <v>1290</v>
      </c>
      <c r="O167" s="13" t="s">
        <v>32</v>
      </c>
      <c r="P167" s="14"/>
      <c r="Q167" s="1"/>
      <c r="R167" s="1"/>
      <c r="S167" s="1"/>
      <c r="T167" s="1"/>
      <c r="U167" s="23"/>
    </row>
    <row r="168" spans="1:21" x14ac:dyDescent="0.25">
      <c r="A168" s="6"/>
      <c r="B168" s="7">
        <v>44205</v>
      </c>
      <c r="C168" s="8" t="s">
        <v>335</v>
      </c>
      <c r="D168" s="8" t="s">
        <v>336</v>
      </c>
      <c r="E168" s="9" t="s">
        <v>337</v>
      </c>
      <c r="F168" s="9" t="s">
        <v>338</v>
      </c>
      <c r="G168" s="17">
        <v>0.23750000000000002</v>
      </c>
      <c r="H168" s="17">
        <v>0.30833333333333335</v>
      </c>
      <c r="I168" s="9">
        <v>17700</v>
      </c>
      <c r="J168" s="9">
        <v>7570</v>
      </c>
      <c r="K168" s="10">
        <f t="shared" si="4"/>
        <v>10130</v>
      </c>
      <c r="L168" s="10" t="s">
        <v>339</v>
      </c>
      <c r="M168" s="11" t="s">
        <v>340</v>
      </c>
      <c r="N168" s="12">
        <v>10113</v>
      </c>
      <c r="O168" s="13" t="s">
        <v>32</v>
      </c>
      <c r="P168" s="14"/>
      <c r="Q168" s="1"/>
      <c r="R168" s="1"/>
      <c r="S168" s="1"/>
      <c r="T168" s="1"/>
      <c r="U168" s="1"/>
    </row>
    <row r="169" spans="1:21" x14ac:dyDescent="0.25">
      <c r="A169" s="6"/>
      <c r="B169" s="7">
        <v>44205</v>
      </c>
      <c r="C169" s="8" t="s">
        <v>147</v>
      </c>
      <c r="D169" s="8" t="s">
        <v>162</v>
      </c>
      <c r="E169" s="9" t="s">
        <v>163</v>
      </c>
      <c r="F169" s="9" t="s">
        <v>36</v>
      </c>
      <c r="G169" s="17">
        <v>0.23958333333333334</v>
      </c>
      <c r="H169" s="17">
        <v>0.26111111111111113</v>
      </c>
      <c r="I169" s="9">
        <v>48400</v>
      </c>
      <c r="J169" s="9">
        <v>18380</v>
      </c>
      <c r="K169" s="10">
        <f t="shared" si="4"/>
        <v>30020</v>
      </c>
      <c r="L169" s="10">
        <v>5152</v>
      </c>
      <c r="M169" s="11" t="s">
        <v>31</v>
      </c>
      <c r="N169" s="12">
        <v>31530</v>
      </c>
      <c r="O169" s="13" t="s">
        <v>32</v>
      </c>
      <c r="P169" s="14"/>
      <c r="Q169" s="1"/>
      <c r="R169" s="1"/>
      <c r="S169" s="1"/>
      <c r="T169" s="1"/>
      <c r="U169" s="1"/>
    </row>
    <row r="170" spans="1:21" x14ac:dyDescent="0.25">
      <c r="A170" s="6"/>
      <c r="B170" s="15">
        <v>44205</v>
      </c>
      <c r="C170" s="8" t="s">
        <v>208</v>
      </c>
      <c r="D170" s="8" t="s">
        <v>243</v>
      </c>
      <c r="E170" s="9" t="s">
        <v>210</v>
      </c>
      <c r="F170" s="9" t="s">
        <v>211</v>
      </c>
      <c r="G170" s="17">
        <v>0.37638888888888888</v>
      </c>
      <c r="H170" s="17">
        <v>0.41041666666666665</v>
      </c>
      <c r="I170" s="9">
        <v>34030</v>
      </c>
      <c r="J170" s="9">
        <v>16090</v>
      </c>
      <c r="K170" s="10">
        <f t="shared" si="4"/>
        <v>17940</v>
      </c>
      <c r="L170" s="10">
        <v>39678</v>
      </c>
      <c r="M170" s="11" t="s">
        <v>212</v>
      </c>
      <c r="N170" s="12">
        <v>17910</v>
      </c>
      <c r="O170" s="13" t="s">
        <v>32</v>
      </c>
      <c r="P170" s="14"/>
      <c r="Q170" s="1"/>
      <c r="R170" s="1"/>
      <c r="S170" s="1"/>
      <c r="T170" s="1"/>
      <c r="U170" s="1"/>
    </row>
    <row r="171" spans="1:21" x14ac:dyDescent="0.25">
      <c r="A171" s="6"/>
      <c r="B171" s="7">
        <v>44205</v>
      </c>
      <c r="C171" s="8" t="s">
        <v>33</v>
      </c>
      <c r="D171" s="8" t="s">
        <v>255</v>
      </c>
      <c r="E171" s="9" t="s">
        <v>181</v>
      </c>
      <c r="F171" s="9" t="s">
        <v>36</v>
      </c>
      <c r="G171" s="17">
        <v>0.4069444444444445</v>
      </c>
      <c r="H171" s="17">
        <v>0.4604166666666667</v>
      </c>
      <c r="I171" s="9">
        <v>8390</v>
      </c>
      <c r="J171" s="9">
        <v>4060</v>
      </c>
      <c r="K171" s="10">
        <f t="shared" ref="K171" si="5">+I171-J171</f>
        <v>4330</v>
      </c>
      <c r="L171" s="10">
        <v>26285</v>
      </c>
      <c r="M171" s="11" t="s">
        <v>31</v>
      </c>
      <c r="N171" s="12">
        <v>4330</v>
      </c>
      <c r="O171" s="13" t="s">
        <v>32</v>
      </c>
      <c r="P171" s="14"/>
      <c r="Q171" s="1"/>
      <c r="R171" s="1"/>
      <c r="S171" s="1"/>
      <c r="T171" s="1"/>
      <c r="U171" s="1"/>
    </row>
    <row r="172" spans="1:21" x14ac:dyDescent="0.25">
      <c r="A172" s="6"/>
      <c r="B172" s="7">
        <v>44205</v>
      </c>
      <c r="C172" s="8" t="s">
        <v>114</v>
      </c>
      <c r="D172" s="8" t="s">
        <v>115</v>
      </c>
      <c r="E172" s="9" t="s">
        <v>116</v>
      </c>
      <c r="F172" s="9" t="s">
        <v>36</v>
      </c>
      <c r="G172" s="17">
        <v>0.47152777777777777</v>
      </c>
      <c r="H172" s="17">
        <v>0.53472222222222221</v>
      </c>
      <c r="I172" s="9">
        <v>8310</v>
      </c>
      <c r="J172" s="9">
        <v>3850</v>
      </c>
      <c r="K172" s="10">
        <f t="shared" si="4"/>
        <v>4460</v>
      </c>
      <c r="L172" s="10">
        <v>26286</v>
      </c>
      <c r="M172" s="11" t="s">
        <v>31</v>
      </c>
      <c r="N172" s="12">
        <v>4460</v>
      </c>
      <c r="O172" s="13" t="s">
        <v>32</v>
      </c>
      <c r="P172" s="14"/>
      <c r="Q172" s="1"/>
      <c r="R172" s="1"/>
      <c r="S172" s="1"/>
      <c r="T172" s="1"/>
      <c r="U172" s="1"/>
    </row>
    <row r="173" spans="1:21" x14ac:dyDescent="0.25">
      <c r="A173" s="6"/>
      <c r="B173" s="7">
        <v>44205</v>
      </c>
      <c r="C173" s="8" t="s">
        <v>114</v>
      </c>
      <c r="D173" s="8" t="s">
        <v>341</v>
      </c>
      <c r="E173" s="9" t="s">
        <v>342</v>
      </c>
      <c r="F173" s="9" t="s">
        <v>36</v>
      </c>
      <c r="G173" s="17">
        <v>0.5083333333333333</v>
      </c>
      <c r="H173" s="17">
        <v>0.5395833333333333</v>
      </c>
      <c r="I173" s="9">
        <v>8600</v>
      </c>
      <c r="J173" s="9">
        <v>3870</v>
      </c>
      <c r="K173" s="10">
        <f t="shared" si="4"/>
        <v>4730</v>
      </c>
      <c r="L173" s="10">
        <v>26287</v>
      </c>
      <c r="M173" s="11" t="s">
        <v>31</v>
      </c>
      <c r="N173" s="12">
        <v>4730</v>
      </c>
      <c r="O173" s="13" t="s">
        <v>32</v>
      </c>
      <c r="P173" s="14"/>
      <c r="Q173" s="1"/>
      <c r="R173" s="1"/>
      <c r="S173" s="1"/>
      <c r="T173" s="1"/>
      <c r="U173" s="1"/>
    </row>
    <row r="174" spans="1:21" x14ac:dyDescent="0.25">
      <c r="A174" s="6"/>
      <c r="B174" s="7">
        <v>44205</v>
      </c>
      <c r="C174" s="8" t="s">
        <v>33</v>
      </c>
      <c r="D174" s="8" t="s">
        <v>34</v>
      </c>
      <c r="E174" s="9" t="s">
        <v>35</v>
      </c>
      <c r="F174" s="9" t="s">
        <v>36</v>
      </c>
      <c r="G174" s="17">
        <v>0.61041666666666672</v>
      </c>
      <c r="H174" s="17">
        <v>0.63402777777777775</v>
      </c>
      <c r="I174" s="9">
        <v>9130</v>
      </c>
      <c r="J174" s="9">
        <v>5350</v>
      </c>
      <c r="K174" s="10">
        <f t="shared" si="4"/>
        <v>3780</v>
      </c>
      <c r="L174" s="10">
        <v>26288</v>
      </c>
      <c r="M174" s="11" t="s">
        <v>31</v>
      </c>
      <c r="N174" s="12">
        <v>3780</v>
      </c>
      <c r="O174" s="13" t="s">
        <v>32</v>
      </c>
      <c r="P174" s="14" t="s">
        <v>343</v>
      </c>
      <c r="Q174" s="1">
        <f>4330*2.2</f>
        <v>9526</v>
      </c>
      <c r="R174" s="1">
        <f>5*30</f>
        <v>150</v>
      </c>
      <c r="S174" s="1"/>
      <c r="T174" s="1"/>
      <c r="U174" s="1"/>
    </row>
    <row r="175" spans="1:21" x14ac:dyDescent="0.25">
      <c r="A175" s="6"/>
      <c r="B175" s="7">
        <v>44205</v>
      </c>
      <c r="C175" s="8" t="s">
        <v>190</v>
      </c>
      <c r="D175" s="8" t="s">
        <v>191</v>
      </c>
      <c r="E175" s="9" t="s">
        <v>192</v>
      </c>
      <c r="F175" s="9" t="s">
        <v>59</v>
      </c>
      <c r="G175" s="17">
        <v>0.6333333333333333</v>
      </c>
      <c r="H175" s="17">
        <v>0.70138888888888884</v>
      </c>
      <c r="I175" s="9">
        <v>12180</v>
      </c>
      <c r="J175" s="9">
        <v>4910</v>
      </c>
      <c r="K175" s="10">
        <f t="shared" si="4"/>
        <v>7270</v>
      </c>
      <c r="L175" s="10">
        <v>80861</v>
      </c>
      <c r="M175" s="11" t="s">
        <v>31</v>
      </c>
      <c r="N175" s="12">
        <v>19530</v>
      </c>
      <c r="O175" s="13" t="s">
        <v>49</v>
      </c>
      <c r="P175" s="14"/>
      <c r="Q175" s="2"/>
      <c r="R175" s="1"/>
      <c r="S175" s="1"/>
      <c r="T175" s="1"/>
      <c r="U175" s="1"/>
    </row>
    <row r="176" spans="1:21" x14ac:dyDescent="0.25">
      <c r="A176" s="6"/>
      <c r="B176" s="7">
        <v>44205</v>
      </c>
      <c r="C176" s="8" t="s">
        <v>130</v>
      </c>
      <c r="D176" s="8" t="s">
        <v>217</v>
      </c>
      <c r="E176" s="9" t="s">
        <v>218</v>
      </c>
      <c r="F176" s="9" t="s">
        <v>36</v>
      </c>
      <c r="G176" s="17">
        <v>0.66527777777777775</v>
      </c>
      <c r="H176" s="17">
        <v>0.68888888888888899</v>
      </c>
      <c r="I176" s="9">
        <v>46440</v>
      </c>
      <c r="J176" s="9">
        <v>19340</v>
      </c>
      <c r="K176" s="10">
        <f t="shared" si="4"/>
        <v>27100</v>
      </c>
      <c r="L176" s="10">
        <v>5153</v>
      </c>
      <c r="M176" s="11" t="s">
        <v>31</v>
      </c>
      <c r="N176" s="12">
        <v>59752</v>
      </c>
      <c r="O176" s="13" t="s">
        <v>49</v>
      </c>
      <c r="P176" s="14"/>
      <c r="Q176" s="1">
        <v>8</v>
      </c>
      <c r="R176" s="1">
        <f>3780*2.2</f>
        <v>8316</v>
      </c>
      <c r="S176" s="1"/>
      <c r="T176" s="1"/>
      <c r="U176" s="1"/>
    </row>
    <row r="177" spans="1:21" x14ac:dyDescent="0.25">
      <c r="A177" s="6"/>
      <c r="B177" s="7">
        <v>44205</v>
      </c>
      <c r="C177" s="8" t="s">
        <v>33</v>
      </c>
      <c r="D177" s="8" t="s">
        <v>255</v>
      </c>
      <c r="E177" s="9" t="s">
        <v>181</v>
      </c>
      <c r="F177" s="9" t="s">
        <v>36</v>
      </c>
      <c r="G177" s="17">
        <v>0.68055555555555547</v>
      </c>
      <c r="H177" s="17">
        <v>0.73819444444444438</v>
      </c>
      <c r="I177" s="9">
        <v>9290</v>
      </c>
      <c r="J177" s="9">
        <v>4050</v>
      </c>
      <c r="K177" s="10">
        <f t="shared" si="4"/>
        <v>5240</v>
      </c>
      <c r="L177" s="10">
        <v>26289</v>
      </c>
      <c r="M177" s="11" t="s">
        <v>31</v>
      </c>
      <c r="N177" s="12">
        <v>5240</v>
      </c>
      <c r="O177" s="13" t="s">
        <v>32</v>
      </c>
      <c r="P177" s="14"/>
      <c r="Q177" s="1">
        <f>+Q176*30</f>
        <v>240</v>
      </c>
      <c r="R177" s="1">
        <f>+R176-R174</f>
        <v>8166</v>
      </c>
      <c r="S177" s="1"/>
      <c r="T177" s="1"/>
      <c r="U177" s="1"/>
    </row>
    <row r="178" spans="1:21" x14ac:dyDescent="0.25">
      <c r="A178" s="6"/>
      <c r="B178" s="7">
        <v>44205</v>
      </c>
      <c r="C178" s="8" t="s">
        <v>60</v>
      </c>
      <c r="D178" s="8" t="s">
        <v>344</v>
      </c>
      <c r="E178" s="9" t="s">
        <v>345</v>
      </c>
      <c r="F178" s="9" t="s">
        <v>59</v>
      </c>
      <c r="G178" s="17">
        <v>0.69652777777777775</v>
      </c>
      <c r="H178" s="17">
        <v>0.75347222222222221</v>
      </c>
      <c r="I178" s="9">
        <v>7870</v>
      </c>
      <c r="J178" s="9">
        <v>3730</v>
      </c>
      <c r="K178" s="10">
        <f t="shared" si="4"/>
        <v>4140</v>
      </c>
      <c r="L178" s="10" t="s">
        <v>346</v>
      </c>
      <c r="M178" s="11" t="s">
        <v>31</v>
      </c>
      <c r="N178" s="12">
        <f>1980+5850</f>
        <v>7830</v>
      </c>
      <c r="O178" s="13" t="s">
        <v>49</v>
      </c>
      <c r="P178" s="14"/>
      <c r="Q178" s="1"/>
      <c r="R178" s="1"/>
      <c r="S178" s="1"/>
      <c r="T178" s="1"/>
      <c r="U178" s="1"/>
    </row>
    <row r="179" spans="1:21" x14ac:dyDescent="0.25">
      <c r="A179" s="6"/>
      <c r="B179" s="7">
        <v>44205</v>
      </c>
      <c r="C179" s="8" t="s">
        <v>347</v>
      </c>
      <c r="D179" s="8" t="s">
        <v>348</v>
      </c>
      <c r="E179" s="9" t="s">
        <v>215</v>
      </c>
      <c r="F179" s="9" t="s">
        <v>36</v>
      </c>
      <c r="G179" s="17">
        <v>0.6972222222222223</v>
      </c>
      <c r="H179" s="17">
        <v>0.75138888888888899</v>
      </c>
      <c r="I179" s="9">
        <v>10280</v>
      </c>
      <c r="J179" s="9">
        <v>4550</v>
      </c>
      <c r="K179" s="10">
        <f t="shared" si="4"/>
        <v>5730</v>
      </c>
      <c r="L179" s="10">
        <v>9857</v>
      </c>
      <c r="M179" s="11" t="s">
        <v>31</v>
      </c>
      <c r="N179" s="12">
        <v>10500</v>
      </c>
      <c r="O179" s="13" t="s">
        <v>49</v>
      </c>
      <c r="P179" s="14"/>
      <c r="Q179">
        <v>500</v>
      </c>
      <c r="R179">
        <f>+Q179/2.2</f>
        <v>227.27272727272725</v>
      </c>
    </row>
    <row r="180" spans="1:21" x14ac:dyDescent="0.25">
      <c r="A180" s="6"/>
      <c r="B180" s="7">
        <v>44205</v>
      </c>
      <c r="C180" s="8" t="s">
        <v>33</v>
      </c>
      <c r="D180" s="8" t="s">
        <v>247</v>
      </c>
      <c r="E180" s="9" t="s">
        <v>184</v>
      </c>
      <c r="F180" s="9" t="s">
        <v>36</v>
      </c>
      <c r="G180" s="17">
        <v>0.7090277777777777</v>
      </c>
      <c r="H180" s="17">
        <v>0.76458333333333339</v>
      </c>
      <c r="I180" s="9">
        <v>9730</v>
      </c>
      <c r="J180" s="9">
        <v>4440</v>
      </c>
      <c r="K180" s="10">
        <f t="shared" si="4"/>
        <v>5290</v>
      </c>
      <c r="L180" s="10">
        <v>26290</v>
      </c>
      <c r="M180" s="11" t="s">
        <v>31</v>
      </c>
      <c r="N180" s="12">
        <v>5290</v>
      </c>
      <c r="O180" s="13" t="s">
        <v>32</v>
      </c>
      <c r="P180" s="14" t="s">
        <v>349</v>
      </c>
      <c r="Q180">
        <f>20*30</f>
        <v>600</v>
      </c>
    </row>
    <row r="181" spans="1:21" x14ac:dyDescent="0.25">
      <c r="A181" s="6"/>
      <c r="B181" s="7">
        <v>44205</v>
      </c>
      <c r="C181" s="8" t="s">
        <v>33</v>
      </c>
      <c r="D181" s="8" t="s">
        <v>34</v>
      </c>
      <c r="E181" s="9" t="s">
        <v>35</v>
      </c>
      <c r="F181" s="9" t="s">
        <v>36</v>
      </c>
      <c r="G181" s="17">
        <v>0.79236111111111107</v>
      </c>
      <c r="H181" s="17">
        <v>0.81736111111111109</v>
      </c>
      <c r="I181" s="9">
        <v>10960</v>
      </c>
      <c r="J181" s="9">
        <v>5320</v>
      </c>
      <c r="K181" s="10">
        <f t="shared" si="4"/>
        <v>5640</v>
      </c>
      <c r="L181" s="10">
        <v>26291</v>
      </c>
      <c r="M181" s="11" t="s">
        <v>31</v>
      </c>
      <c r="N181" s="12">
        <v>5640</v>
      </c>
      <c r="O181" s="13" t="s">
        <v>32</v>
      </c>
      <c r="P181" s="14"/>
      <c r="R181">
        <f>5730*2.2</f>
        <v>12606.000000000002</v>
      </c>
    </row>
    <row r="182" spans="1:21" x14ac:dyDescent="0.25">
      <c r="A182" s="6"/>
      <c r="B182" s="7">
        <v>44205</v>
      </c>
      <c r="C182" s="8" t="s">
        <v>347</v>
      </c>
      <c r="D182" s="8" t="s">
        <v>175</v>
      </c>
      <c r="E182" s="9" t="s">
        <v>176</v>
      </c>
      <c r="F182" s="9" t="s">
        <v>36</v>
      </c>
      <c r="G182" s="17">
        <v>0.79375000000000007</v>
      </c>
      <c r="H182" s="17">
        <v>0.82152777777777775</v>
      </c>
      <c r="I182" s="9">
        <v>9090</v>
      </c>
      <c r="J182" s="9">
        <v>4270</v>
      </c>
      <c r="K182" s="10">
        <f t="shared" si="4"/>
        <v>4820</v>
      </c>
      <c r="L182" s="10">
        <v>9858</v>
      </c>
      <c r="M182" s="11" t="s">
        <v>31</v>
      </c>
      <c r="N182" s="12">
        <v>10500</v>
      </c>
      <c r="O182" s="13" t="s">
        <v>49</v>
      </c>
      <c r="P182" s="14"/>
      <c r="R182">
        <v>10500</v>
      </c>
    </row>
    <row r="183" spans="1:21" x14ac:dyDescent="0.25">
      <c r="A183" s="6"/>
      <c r="B183" s="7">
        <v>44205</v>
      </c>
      <c r="C183" s="8" t="s">
        <v>33</v>
      </c>
      <c r="D183" s="8" t="s">
        <v>202</v>
      </c>
      <c r="E183" s="9" t="s">
        <v>203</v>
      </c>
      <c r="F183" s="9" t="s">
        <v>36</v>
      </c>
      <c r="G183" s="17">
        <v>0.79861111111111116</v>
      </c>
      <c r="H183" s="17">
        <v>0.85833333333333339</v>
      </c>
      <c r="I183" s="9">
        <v>9170</v>
      </c>
      <c r="J183" s="9">
        <v>4150</v>
      </c>
      <c r="K183" s="10">
        <f t="shared" si="4"/>
        <v>5020</v>
      </c>
      <c r="L183" s="10">
        <v>26292</v>
      </c>
      <c r="M183" s="11" t="s">
        <v>31</v>
      </c>
      <c r="N183" s="12">
        <v>5020</v>
      </c>
      <c r="O183" s="13" t="s">
        <v>32</v>
      </c>
      <c r="P183" s="14" t="s">
        <v>350</v>
      </c>
      <c r="Q183">
        <f>5*30</f>
        <v>150</v>
      </c>
      <c r="R183">
        <f>5290*2.2</f>
        <v>11638.000000000002</v>
      </c>
      <c r="S183">
        <f>+R183-600</f>
        <v>11038.000000000002</v>
      </c>
    </row>
    <row r="184" spans="1:21" x14ac:dyDescent="0.25">
      <c r="A184" s="6"/>
      <c r="B184" s="7">
        <v>44205</v>
      </c>
      <c r="C184" s="8" t="s">
        <v>37</v>
      </c>
      <c r="D184" s="8" t="s">
        <v>122</v>
      </c>
      <c r="E184" s="9" t="s">
        <v>123</v>
      </c>
      <c r="F184" s="9" t="s">
        <v>36</v>
      </c>
      <c r="G184" s="17">
        <v>0.81111111111111101</v>
      </c>
      <c r="H184" s="17">
        <v>0.11388888888888889</v>
      </c>
      <c r="I184" s="9">
        <v>14640</v>
      </c>
      <c r="J184" s="9">
        <v>6410</v>
      </c>
      <c r="K184" s="10">
        <f t="shared" si="4"/>
        <v>8230</v>
      </c>
      <c r="L184" s="10">
        <v>26295</v>
      </c>
      <c r="M184" s="11" t="s">
        <v>351</v>
      </c>
      <c r="N184" s="12">
        <v>8230</v>
      </c>
      <c r="O184" s="13" t="s">
        <v>32</v>
      </c>
      <c r="P184" s="14"/>
    </row>
    <row r="185" spans="1:21" x14ac:dyDescent="0.25">
      <c r="A185" s="6"/>
      <c r="B185" s="7">
        <v>44205</v>
      </c>
      <c r="C185" s="8" t="s">
        <v>190</v>
      </c>
      <c r="D185" s="8" t="s">
        <v>191</v>
      </c>
      <c r="E185" s="9" t="s">
        <v>192</v>
      </c>
      <c r="F185" s="9" t="s">
        <v>59</v>
      </c>
      <c r="G185" s="17">
        <v>0.82291666666666663</v>
      </c>
      <c r="H185" s="17">
        <v>0.88055555555555554</v>
      </c>
      <c r="I185" s="9">
        <v>10260</v>
      </c>
      <c r="J185" s="9">
        <v>4880</v>
      </c>
      <c r="K185" s="10">
        <f t="shared" si="4"/>
        <v>5380</v>
      </c>
      <c r="L185" s="10">
        <v>80869</v>
      </c>
      <c r="M185" s="11" t="s">
        <v>31</v>
      </c>
      <c r="N185" s="12">
        <f>6825+2050+650</f>
        <v>9525</v>
      </c>
      <c r="O185" s="13" t="s">
        <v>49</v>
      </c>
      <c r="P185" s="14">
        <v>7000</v>
      </c>
      <c r="Q185">
        <f>5640*2.2</f>
        <v>12408.000000000002</v>
      </c>
      <c r="R185">
        <f>+Q185-P185</f>
        <v>5408.0000000000018</v>
      </c>
    </row>
    <row r="186" spans="1:21" x14ac:dyDescent="0.25">
      <c r="A186" s="6"/>
      <c r="B186" s="7">
        <v>44205</v>
      </c>
      <c r="C186" s="8" t="s">
        <v>114</v>
      </c>
      <c r="D186" s="8" t="s">
        <v>115</v>
      </c>
      <c r="E186" s="9" t="s">
        <v>116</v>
      </c>
      <c r="F186" s="9" t="s">
        <v>36</v>
      </c>
      <c r="G186" s="17">
        <v>0.85763888888888884</v>
      </c>
      <c r="H186" s="17">
        <v>0.89930555555555547</v>
      </c>
      <c r="I186" s="9">
        <v>6850</v>
      </c>
      <c r="J186" s="9">
        <v>3860</v>
      </c>
      <c r="K186" s="10">
        <f t="shared" si="4"/>
        <v>2990</v>
      </c>
      <c r="L186" s="10">
        <v>26293</v>
      </c>
      <c r="M186" s="11" t="s">
        <v>31</v>
      </c>
      <c r="N186" s="12">
        <v>2990</v>
      </c>
      <c r="O186" s="13" t="s">
        <v>32</v>
      </c>
      <c r="P186" s="14">
        <f>37*65</f>
        <v>2405</v>
      </c>
    </row>
    <row r="187" spans="1:21" x14ac:dyDescent="0.25">
      <c r="A187" s="6"/>
      <c r="B187" s="7">
        <v>44205</v>
      </c>
      <c r="C187" s="8" t="s">
        <v>352</v>
      </c>
      <c r="D187" s="8" t="s">
        <v>61</v>
      </c>
      <c r="E187" s="9" t="s">
        <v>62</v>
      </c>
      <c r="F187" s="9" t="s">
        <v>36</v>
      </c>
      <c r="G187" s="17">
        <v>0.85972222222222217</v>
      </c>
      <c r="H187" s="17">
        <v>0.8881944444444444</v>
      </c>
      <c r="I187" s="9">
        <v>6030</v>
      </c>
      <c r="J187" s="9">
        <v>3400</v>
      </c>
      <c r="K187" s="10">
        <f t="shared" si="4"/>
        <v>2630</v>
      </c>
      <c r="L187" s="10" t="s">
        <v>353</v>
      </c>
      <c r="M187" s="11" t="s">
        <v>31</v>
      </c>
      <c r="N187" s="12">
        <f>1400+5331</f>
        <v>6731</v>
      </c>
      <c r="O187" s="13" t="s">
        <v>49</v>
      </c>
      <c r="P187" s="14"/>
      <c r="Q187">
        <f>5020*2.2</f>
        <v>11044</v>
      </c>
      <c r="R187">
        <f>+Q187-150</f>
        <v>10894</v>
      </c>
    </row>
    <row r="188" spans="1:21" x14ac:dyDescent="0.25">
      <c r="A188" s="6"/>
      <c r="B188" s="7">
        <v>44205</v>
      </c>
      <c r="C188" s="8" t="s">
        <v>37</v>
      </c>
      <c r="D188" s="8" t="s">
        <v>41</v>
      </c>
      <c r="E188" s="9" t="s">
        <v>206</v>
      </c>
      <c r="F188" s="9" t="s">
        <v>36</v>
      </c>
      <c r="G188" s="17">
        <v>0.8930555555555556</v>
      </c>
      <c r="H188" s="17">
        <v>0.28541666666666665</v>
      </c>
      <c r="I188" s="9">
        <v>10080</v>
      </c>
      <c r="J188" s="9">
        <v>4010</v>
      </c>
      <c r="K188" s="10">
        <f t="shared" si="4"/>
        <v>6070</v>
      </c>
      <c r="L188" s="10">
        <v>26296</v>
      </c>
      <c r="M188" s="11" t="s">
        <v>354</v>
      </c>
      <c r="N188" s="12">
        <v>6070</v>
      </c>
      <c r="O188" s="13" t="s">
        <v>32</v>
      </c>
      <c r="P188" s="14">
        <f>2630*2.2</f>
        <v>5786.0000000000009</v>
      </c>
      <c r="Q188" s="18">
        <f>+P188-1400</f>
        <v>4386.0000000000009</v>
      </c>
      <c r="R188" s="18">
        <f>+Q188+1400</f>
        <v>5786.0000000000009</v>
      </c>
    </row>
    <row r="189" spans="1:21" x14ac:dyDescent="0.25">
      <c r="A189" s="6"/>
      <c r="B189" s="7">
        <v>44205</v>
      </c>
      <c r="C189" s="8" t="s">
        <v>130</v>
      </c>
      <c r="D189" s="8" t="s">
        <v>243</v>
      </c>
      <c r="E189" s="9" t="s">
        <v>87</v>
      </c>
      <c r="F189" s="9" t="s">
        <v>88</v>
      </c>
      <c r="G189" s="17">
        <v>0.94374999999999998</v>
      </c>
      <c r="H189" s="17">
        <v>0.27291666666666664</v>
      </c>
      <c r="I189" s="9">
        <v>17130</v>
      </c>
      <c r="J189" s="9">
        <v>44850</v>
      </c>
      <c r="K189" s="10">
        <f t="shared" si="4"/>
        <v>-27720</v>
      </c>
      <c r="L189" s="10">
        <v>15226</v>
      </c>
      <c r="M189" s="11" t="s">
        <v>240</v>
      </c>
      <c r="N189" s="12">
        <v>27720</v>
      </c>
      <c r="O189" s="13" t="s">
        <v>32</v>
      </c>
      <c r="P189" s="14"/>
    </row>
    <row r="190" spans="1:21" x14ac:dyDescent="0.25">
      <c r="A190" s="6"/>
      <c r="B190" s="7">
        <v>44205</v>
      </c>
      <c r="C190" s="8" t="s">
        <v>130</v>
      </c>
      <c r="D190" s="8" t="s">
        <v>131</v>
      </c>
      <c r="E190" s="9" t="s">
        <v>355</v>
      </c>
      <c r="F190" s="9" t="s">
        <v>36</v>
      </c>
      <c r="G190" s="17">
        <v>0.96180555555555547</v>
      </c>
      <c r="H190" s="17">
        <v>0.98402777777777783</v>
      </c>
      <c r="I190" s="9">
        <v>43180</v>
      </c>
      <c r="J190" s="9">
        <v>18580</v>
      </c>
      <c r="K190" s="10">
        <f t="shared" si="4"/>
        <v>24600</v>
      </c>
      <c r="L190" s="10">
        <v>5154</v>
      </c>
      <c r="M190" s="11" t="s">
        <v>31</v>
      </c>
      <c r="N190" s="12">
        <v>54252</v>
      </c>
      <c r="O190" s="13" t="s">
        <v>49</v>
      </c>
      <c r="P190" s="14"/>
      <c r="Q190">
        <f>5380*2.2</f>
        <v>11836.000000000002</v>
      </c>
      <c r="R190" s="18">
        <f>+Q190-N185</f>
        <v>2311.0000000000018</v>
      </c>
    </row>
    <row r="191" spans="1:21" x14ac:dyDescent="0.25">
      <c r="A191" s="6"/>
      <c r="B191" s="7">
        <v>44205</v>
      </c>
      <c r="C191" s="8" t="s">
        <v>33</v>
      </c>
      <c r="D191" s="8" t="s">
        <v>170</v>
      </c>
      <c r="E191" s="9" t="s">
        <v>197</v>
      </c>
      <c r="F191" s="9" t="s">
        <v>36</v>
      </c>
      <c r="G191" s="17">
        <v>1.3194444444444444E-2</v>
      </c>
      <c r="H191" s="17">
        <v>4.5138888888888888E-2</v>
      </c>
      <c r="I191" s="9">
        <v>7980</v>
      </c>
      <c r="J191" s="9">
        <v>4650</v>
      </c>
      <c r="K191" s="10">
        <f t="shared" si="4"/>
        <v>3330</v>
      </c>
      <c r="L191" s="10">
        <v>26294</v>
      </c>
      <c r="M191" s="11" t="s">
        <v>240</v>
      </c>
      <c r="N191" s="12">
        <v>3330</v>
      </c>
      <c r="O191" s="13" t="s">
        <v>32</v>
      </c>
      <c r="P191" s="14"/>
    </row>
    <row r="192" spans="1:21" x14ac:dyDescent="0.25">
      <c r="A192" s="6"/>
      <c r="B192" s="15">
        <v>44206</v>
      </c>
      <c r="C192" s="16" t="s">
        <v>347</v>
      </c>
      <c r="D192" s="8" t="s">
        <v>255</v>
      </c>
      <c r="E192" s="9" t="s">
        <v>181</v>
      </c>
      <c r="F192" s="9" t="s">
        <v>36</v>
      </c>
      <c r="G192" s="17">
        <v>0.3520833333333333</v>
      </c>
      <c r="H192" s="17">
        <v>0.41250000000000003</v>
      </c>
      <c r="I192" s="9">
        <v>7950</v>
      </c>
      <c r="J192" s="9">
        <v>4040</v>
      </c>
      <c r="K192" s="10">
        <f t="shared" si="4"/>
        <v>3910</v>
      </c>
      <c r="L192" s="10">
        <v>9859</v>
      </c>
      <c r="M192" s="11" t="s">
        <v>31</v>
      </c>
      <c r="N192" s="12">
        <v>3910</v>
      </c>
      <c r="O192" s="13" t="s">
        <v>32</v>
      </c>
      <c r="P192" s="14"/>
    </row>
    <row r="193" spans="1:17" x14ac:dyDescent="0.25">
      <c r="A193" s="6"/>
      <c r="B193" s="7">
        <v>44206</v>
      </c>
      <c r="C193" s="8" t="s">
        <v>147</v>
      </c>
      <c r="D193" s="8" t="s">
        <v>356</v>
      </c>
      <c r="E193" s="9" t="s">
        <v>163</v>
      </c>
      <c r="F193" s="9" t="s">
        <v>36</v>
      </c>
      <c r="G193" s="17">
        <v>0.375</v>
      </c>
      <c r="H193" s="17">
        <v>0.41041666666666665</v>
      </c>
      <c r="I193" s="9">
        <v>46150</v>
      </c>
      <c r="J193" s="9">
        <v>18430</v>
      </c>
      <c r="K193" s="10">
        <f t="shared" si="4"/>
        <v>27720</v>
      </c>
      <c r="L193" s="10">
        <v>5155</v>
      </c>
      <c r="M193" s="11" t="s">
        <v>31</v>
      </c>
      <c r="N193" s="12">
        <v>27720</v>
      </c>
      <c r="O193" s="13" t="s">
        <v>32</v>
      </c>
      <c r="P193" s="14"/>
    </row>
    <row r="194" spans="1:17" x14ac:dyDescent="0.25">
      <c r="A194" s="6"/>
      <c r="B194" s="7">
        <v>44206</v>
      </c>
      <c r="C194" s="8" t="s">
        <v>33</v>
      </c>
      <c r="D194" s="8" t="s">
        <v>175</v>
      </c>
      <c r="E194" s="9" t="s">
        <v>176</v>
      </c>
      <c r="F194" s="9" t="s">
        <v>36</v>
      </c>
      <c r="G194" s="17">
        <v>0.46875</v>
      </c>
      <c r="H194" s="17">
        <v>0.4993055555555555</v>
      </c>
      <c r="I194" s="9">
        <v>8830</v>
      </c>
      <c r="J194" s="9">
        <v>4260</v>
      </c>
      <c r="K194" s="10">
        <f t="shared" si="4"/>
        <v>4570</v>
      </c>
      <c r="L194" s="10">
        <v>26297</v>
      </c>
      <c r="M194" s="11" t="s">
        <v>31</v>
      </c>
      <c r="N194" s="12">
        <v>4570</v>
      </c>
      <c r="O194" s="13" t="s">
        <v>32</v>
      </c>
      <c r="P194" s="14">
        <f>3330*2.2</f>
        <v>7326.0000000000009</v>
      </c>
    </row>
    <row r="195" spans="1:17" x14ac:dyDescent="0.25">
      <c r="A195" s="6"/>
      <c r="B195" s="7">
        <v>44206</v>
      </c>
      <c r="C195" s="8" t="s">
        <v>114</v>
      </c>
      <c r="D195" s="8" t="s">
        <v>115</v>
      </c>
      <c r="E195" s="9" t="s">
        <v>116</v>
      </c>
      <c r="F195" s="9" t="s">
        <v>36</v>
      </c>
      <c r="G195" s="17">
        <v>0.51041666666666663</v>
      </c>
      <c r="H195" s="17">
        <v>0.54513888888888895</v>
      </c>
      <c r="I195" s="9">
        <v>8880</v>
      </c>
      <c r="J195" s="9">
        <v>3840</v>
      </c>
      <c r="K195" s="10">
        <f t="shared" si="4"/>
        <v>5040</v>
      </c>
      <c r="L195" s="10">
        <v>26298</v>
      </c>
      <c r="M195" s="11" t="s">
        <v>31</v>
      </c>
      <c r="N195" s="12">
        <v>5040</v>
      </c>
      <c r="O195" s="13" t="s">
        <v>32</v>
      </c>
      <c r="P195" s="14"/>
      <c r="Q195" s="1"/>
    </row>
    <row r="196" spans="1:17" x14ac:dyDescent="0.25">
      <c r="A196" s="6"/>
      <c r="B196" s="7">
        <v>44206</v>
      </c>
      <c r="C196" s="8" t="s">
        <v>357</v>
      </c>
      <c r="D196" s="8" t="s">
        <v>358</v>
      </c>
      <c r="E196" s="9" t="s">
        <v>359</v>
      </c>
      <c r="F196" s="9" t="s">
        <v>36</v>
      </c>
      <c r="G196" s="17">
        <v>0.5756944444444444</v>
      </c>
      <c r="H196" s="17">
        <v>0.60972222222222217</v>
      </c>
      <c r="I196" s="9">
        <v>9890</v>
      </c>
      <c r="J196" s="9">
        <v>4590</v>
      </c>
      <c r="K196" s="10">
        <f t="shared" si="4"/>
        <v>5300</v>
      </c>
      <c r="L196" s="10">
        <v>120077</v>
      </c>
      <c r="M196" s="11" t="s">
        <v>31</v>
      </c>
      <c r="N196" s="12">
        <v>5300</v>
      </c>
      <c r="O196" s="13" t="s">
        <v>32</v>
      </c>
      <c r="P196" s="14"/>
      <c r="Q196" s="1"/>
    </row>
    <row r="197" spans="1:17" x14ac:dyDescent="0.25">
      <c r="A197" s="6"/>
      <c r="B197" s="7">
        <v>44206</v>
      </c>
      <c r="C197" s="8" t="s">
        <v>357</v>
      </c>
      <c r="D197" s="8" t="s">
        <v>360</v>
      </c>
      <c r="E197" s="9" t="s">
        <v>361</v>
      </c>
      <c r="F197" s="9" t="s">
        <v>36</v>
      </c>
      <c r="G197" s="17">
        <v>0.61458333333333337</v>
      </c>
      <c r="H197" s="17">
        <v>0.63611111111111118</v>
      </c>
      <c r="I197" s="9">
        <v>11170</v>
      </c>
      <c r="J197" s="9">
        <v>5100</v>
      </c>
      <c r="K197" s="10">
        <f t="shared" si="4"/>
        <v>6070</v>
      </c>
      <c r="L197" s="10">
        <v>120088</v>
      </c>
      <c r="M197" s="11" t="s">
        <v>31</v>
      </c>
      <c r="N197" s="12">
        <v>6070</v>
      </c>
      <c r="O197" s="13" t="s">
        <v>32</v>
      </c>
      <c r="P197" s="14"/>
      <c r="Q197" s="1"/>
    </row>
    <row r="198" spans="1:17" x14ac:dyDescent="0.25">
      <c r="A198" s="6"/>
      <c r="B198" s="7">
        <v>44206</v>
      </c>
      <c r="C198" s="8" t="s">
        <v>60</v>
      </c>
      <c r="D198" s="8" t="s">
        <v>362</v>
      </c>
      <c r="E198" s="9" t="s">
        <v>363</v>
      </c>
      <c r="F198" s="9" t="s">
        <v>364</v>
      </c>
      <c r="G198" s="17">
        <v>0.625</v>
      </c>
      <c r="H198" s="17">
        <v>0.71597222222222223</v>
      </c>
      <c r="I198" s="9">
        <v>9450</v>
      </c>
      <c r="J198" s="9">
        <v>3730</v>
      </c>
      <c r="K198" s="10">
        <f t="shared" si="4"/>
        <v>5720</v>
      </c>
      <c r="L198" s="10" t="s">
        <v>365</v>
      </c>
      <c r="M198" s="11" t="s">
        <v>31</v>
      </c>
      <c r="N198" s="12">
        <v>5720</v>
      </c>
      <c r="O198" s="13" t="s">
        <v>32</v>
      </c>
      <c r="P198" s="14"/>
      <c r="Q198" s="1"/>
    </row>
    <row r="199" spans="1:17" x14ac:dyDescent="0.25">
      <c r="A199" s="6"/>
      <c r="B199" s="7">
        <v>44206</v>
      </c>
      <c r="C199" s="8" t="s">
        <v>347</v>
      </c>
      <c r="D199" s="8" t="s">
        <v>61</v>
      </c>
      <c r="E199" s="9" t="s">
        <v>62</v>
      </c>
      <c r="F199" s="9" t="s">
        <v>36</v>
      </c>
      <c r="G199" s="17">
        <v>0.69513888888888886</v>
      </c>
      <c r="H199" s="17">
        <v>0.7270833333333333</v>
      </c>
      <c r="I199" s="9">
        <v>7860</v>
      </c>
      <c r="J199" s="9">
        <v>3390</v>
      </c>
      <c r="K199" s="10">
        <f t="shared" si="4"/>
        <v>4470</v>
      </c>
      <c r="L199" s="10">
        <v>9861</v>
      </c>
      <c r="M199" s="11" t="s">
        <v>31</v>
      </c>
      <c r="N199" s="12">
        <v>4470</v>
      </c>
      <c r="O199" s="13" t="s">
        <v>32</v>
      </c>
      <c r="P199" s="14"/>
      <c r="Q199" s="1"/>
    </row>
    <row r="200" spans="1:17" x14ac:dyDescent="0.25">
      <c r="A200" s="6"/>
      <c r="B200" s="7">
        <v>44206</v>
      </c>
      <c r="C200" s="8" t="s">
        <v>366</v>
      </c>
      <c r="D200" s="8" t="s">
        <v>367</v>
      </c>
      <c r="E200" s="9" t="s">
        <v>368</v>
      </c>
      <c r="F200" s="9" t="s">
        <v>369</v>
      </c>
      <c r="G200" s="17">
        <v>0.7090277777777777</v>
      </c>
      <c r="H200" s="17">
        <v>0.71527777777777779</v>
      </c>
      <c r="I200" s="9">
        <v>5370</v>
      </c>
      <c r="J200" s="9">
        <v>5130</v>
      </c>
      <c r="K200" s="10">
        <f t="shared" si="4"/>
        <v>240</v>
      </c>
      <c r="L200" s="10">
        <v>21465</v>
      </c>
      <c r="M200" s="11" t="s">
        <v>370</v>
      </c>
      <c r="N200" s="12">
        <v>240</v>
      </c>
      <c r="O200" s="13" t="s">
        <v>32</v>
      </c>
      <c r="P200" s="14"/>
      <c r="Q200" s="1"/>
    </row>
    <row r="201" spans="1:17" x14ac:dyDescent="0.25">
      <c r="A201" s="6"/>
      <c r="B201" s="7">
        <v>44206</v>
      </c>
      <c r="C201" s="8" t="s">
        <v>371</v>
      </c>
      <c r="D201" s="8" t="s">
        <v>372</v>
      </c>
      <c r="E201" s="9" t="s">
        <v>373</v>
      </c>
      <c r="F201" s="9" t="s">
        <v>154</v>
      </c>
      <c r="G201" s="17">
        <v>0.72083333333333333</v>
      </c>
      <c r="H201" s="17">
        <v>0.77569444444444446</v>
      </c>
      <c r="I201" s="9">
        <v>7340</v>
      </c>
      <c r="J201" s="9">
        <v>3910</v>
      </c>
      <c r="K201" s="10">
        <f t="shared" ref="K201:K265" si="6">+I201-J201</f>
        <v>3430</v>
      </c>
      <c r="L201" s="10">
        <v>2148</v>
      </c>
      <c r="M201" s="11" t="s">
        <v>31</v>
      </c>
      <c r="N201" s="12">
        <v>3430</v>
      </c>
      <c r="O201" s="13" t="s">
        <v>32</v>
      </c>
      <c r="P201" s="14"/>
      <c r="Q201" s="1"/>
    </row>
    <row r="202" spans="1:17" x14ac:dyDescent="0.25">
      <c r="A202" s="6"/>
      <c r="B202" s="7">
        <v>44206</v>
      </c>
      <c r="C202" s="8" t="s">
        <v>33</v>
      </c>
      <c r="D202" s="8" t="s">
        <v>175</v>
      </c>
      <c r="E202" s="9" t="s">
        <v>176</v>
      </c>
      <c r="F202" s="9" t="s">
        <v>36</v>
      </c>
      <c r="G202" s="17">
        <v>0.72986111111111107</v>
      </c>
      <c r="H202" s="17">
        <v>0.81805555555555554</v>
      </c>
      <c r="I202" s="9">
        <v>9140</v>
      </c>
      <c r="J202" s="9">
        <v>4240</v>
      </c>
      <c r="K202" s="10">
        <f t="shared" si="6"/>
        <v>4900</v>
      </c>
      <c r="L202" s="10">
        <v>26300</v>
      </c>
      <c r="M202" s="11" t="s">
        <v>31</v>
      </c>
      <c r="N202" s="12">
        <v>4900</v>
      </c>
      <c r="O202" s="13" t="s">
        <v>32</v>
      </c>
      <c r="P202" s="14"/>
      <c r="Q202" s="2"/>
    </row>
    <row r="203" spans="1:17" x14ac:dyDescent="0.25">
      <c r="A203" s="6"/>
      <c r="B203" s="7">
        <v>44206</v>
      </c>
      <c r="C203" s="8" t="s">
        <v>374</v>
      </c>
      <c r="D203" s="8" t="s">
        <v>375</v>
      </c>
      <c r="E203" s="9" t="s">
        <v>376</v>
      </c>
      <c r="F203" s="9" t="s">
        <v>36</v>
      </c>
      <c r="G203" s="17">
        <v>0.74791666666666667</v>
      </c>
      <c r="H203" s="17">
        <v>0.79583333333333339</v>
      </c>
      <c r="I203" s="9">
        <v>10680</v>
      </c>
      <c r="J203" s="9">
        <v>4570</v>
      </c>
      <c r="K203" s="10">
        <f t="shared" si="6"/>
        <v>6110</v>
      </c>
      <c r="L203" s="10">
        <v>120090</v>
      </c>
      <c r="M203" s="11" t="s">
        <v>31</v>
      </c>
      <c r="N203" s="12">
        <v>6110</v>
      </c>
      <c r="O203" s="13" t="s">
        <v>32</v>
      </c>
      <c r="P203" s="14"/>
      <c r="Q203" s="1"/>
    </row>
    <row r="204" spans="1:17" x14ac:dyDescent="0.25">
      <c r="A204" s="6"/>
      <c r="B204" s="7">
        <v>44206</v>
      </c>
      <c r="C204" s="8" t="s">
        <v>374</v>
      </c>
      <c r="D204" s="8" t="s">
        <v>348</v>
      </c>
      <c r="E204" s="9" t="s">
        <v>377</v>
      </c>
      <c r="F204" s="9" t="s">
        <v>36</v>
      </c>
      <c r="G204" s="17">
        <v>0.75624999999999998</v>
      </c>
      <c r="H204" s="17">
        <v>0.79652777777777783</v>
      </c>
      <c r="I204" s="9">
        <v>10580</v>
      </c>
      <c r="J204" s="9">
        <v>4570</v>
      </c>
      <c r="K204" s="10">
        <f t="shared" si="6"/>
        <v>6010</v>
      </c>
      <c r="L204" s="10">
        <v>120089</v>
      </c>
      <c r="M204" s="11" t="s">
        <v>31</v>
      </c>
      <c r="N204" s="12">
        <v>6010</v>
      </c>
      <c r="O204" s="13" t="s">
        <v>32</v>
      </c>
      <c r="P204" s="14"/>
      <c r="Q204" s="1"/>
    </row>
    <row r="205" spans="1:17" x14ac:dyDescent="0.25">
      <c r="A205" s="6"/>
      <c r="B205" s="7">
        <v>44206</v>
      </c>
      <c r="C205" s="8" t="s">
        <v>37</v>
      </c>
      <c r="D205" s="8" t="s">
        <v>41</v>
      </c>
      <c r="E205" s="9" t="s">
        <v>206</v>
      </c>
      <c r="F205" s="9" t="s">
        <v>36</v>
      </c>
      <c r="G205" s="17">
        <v>0.76944444444444438</v>
      </c>
      <c r="H205" s="17">
        <v>0.78472222222222221</v>
      </c>
      <c r="I205" s="9">
        <v>7000</v>
      </c>
      <c r="J205" s="9">
        <v>4020</v>
      </c>
      <c r="K205" s="10">
        <f t="shared" si="6"/>
        <v>2980</v>
      </c>
      <c r="L205" s="10">
        <v>26299</v>
      </c>
      <c r="M205" s="11" t="s">
        <v>354</v>
      </c>
      <c r="N205" s="12">
        <v>2980</v>
      </c>
      <c r="O205" s="13" t="s">
        <v>32</v>
      </c>
      <c r="P205" s="14"/>
      <c r="Q205" s="1"/>
    </row>
    <row r="206" spans="1:17" x14ac:dyDescent="0.25">
      <c r="A206" s="6"/>
      <c r="B206" s="7">
        <v>44206</v>
      </c>
      <c r="C206" s="8" t="s">
        <v>33</v>
      </c>
      <c r="D206" s="8" t="s">
        <v>34</v>
      </c>
      <c r="E206" s="9" t="s">
        <v>35</v>
      </c>
      <c r="F206" s="9" t="s">
        <v>36</v>
      </c>
      <c r="G206" s="17">
        <v>0.78611111111111109</v>
      </c>
      <c r="H206" s="17">
        <v>0.82013888888888886</v>
      </c>
      <c r="I206" s="9">
        <v>12450</v>
      </c>
      <c r="J206" s="9">
        <v>5340</v>
      </c>
      <c r="K206" s="10">
        <f t="shared" si="6"/>
        <v>7110</v>
      </c>
      <c r="L206" s="10">
        <v>26301</v>
      </c>
      <c r="M206" s="11" t="s">
        <v>31</v>
      </c>
      <c r="N206" s="12">
        <v>7110</v>
      </c>
      <c r="O206" s="13" t="s">
        <v>32</v>
      </c>
      <c r="P206" s="14"/>
      <c r="Q206" s="1"/>
    </row>
    <row r="207" spans="1:17" x14ac:dyDescent="0.25">
      <c r="A207" s="6"/>
      <c r="B207" s="7">
        <v>44206</v>
      </c>
      <c r="C207" s="8" t="s">
        <v>374</v>
      </c>
      <c r="D207" s="8" t="s">
        <v>378</v>
      </c>
      <c r="E207" s="9" t="s">
        <v>379</v>
      </c>
      <c r="F207" s="9" t="s">
        <v>36</v>
      </c>
      <c r="G207" s="17">
        <v>0.82152777777777775</v>
      </c>
      <c r="H207" s="17">
        <v>0.8666666666666667</v>
      </c>
      <c r="I207" s="9">
        <v>10720</v>
      </c>
      <c r="J207" s="9">
        <v>4800</v>
      </c>
      <c r="K207" s="10">
        <f t="shared" si="6"/>
        <v>5920</v>
      </c>
      <c r="L207" s="10">
        <v>120091</v>
      </c>
      <c r="M207" s="11" t="s">
        <v>31</v>
      </c>
      <c r="N207" s="12">
        <v>5920</v>
      </c>
      <c r="O207" s="13" t="s">
        <v>32</v>
      </c>
      <c r="P207" s="14"/>
      <c r="Q207" s="1"/>
    </row>
    <row r="208" spans="1:17" x14ac:dyDescent="0.25">
      <c r="A208" s="6"/>
      <c r="B208" s="7">
        <v>44206</v>
      </c>
      <c r="C208" s="8" t="s">
        <v>114</v>
      </c>
      <c r="D208" s="8" t="s">
        <v>115</v>
      </c>
      <c r="E208" s="9" t="s">
        <v>116</v>
      </c>
      <c r="F208" s="9" t="s">
        <v>36</v>
      </c>
      <c r="G208" s="17">
        <v>0.83611111111111114</v>
      </c>
      <c r="H208" s="17">
        <v>0.87916666666666676</v>
      </c>
      <c r="I208" s="9">
        <v>6140</v>
      </c>
      <c r="J208" s="9">
        <v>3850</v>
      </c>
      <c r="K208" s="10">
        <f t="shared" si="6"/>
        <v>2290</v>
      </c>
      <c r="L208" s="10">
        <v>26302</v>
      </c>
      <c r="M208" s="11" t="s">
        <v>31</v>
      </c>
      <c r="N208" s="12">
        <v>2290</v>
      </c>
      <c r="O208" s="13" t="s">
        <v>32</v>
      </c>
      <c r="P208" s="14"/>
      <c r="Q208" s="1"/>
    </row>
    <row r="209" spans="1:18" x14ac:dyDescent="0.25">
      <c r="A209" s="6"/>
      <c r="B209" s="7">
        <v>44206</v>
      </c>
      <c r="C209" s="8" t="s">
        <v>347</v>
      </c>
      <c r="D209" s="8" t="s">
        <v>380</v>
      </c>
      <c r="E209" s="9" t="s">
        <v>381</v>
      </c>
      <c r="F209" s="9" t="s">
        <v>59</v>
      </c>
      <c r="G209" s="17">
        <v>0.83680555555555547</v>
      </c>
      <c r="H209" s="17">
        <v>0.89444444444444438</v>
      </c>
      <c r="I209" s="9">
        <v>9210</v>
      </c>
      <c r="J209" s="9">
        <v>4930</v>
      </c>
      <c r="K209" s="10">
        <f t="shared" si="6"/>
        <v>4280</v>
      </c>
      <c r="L209" s="10">
        <v>9862</v>
      </c>
      <c r="M209" s="11" t="s">
        <v>31</v>
      </c>
      <c r="N209" s="12">
        <v>4280</v>
      </c>
      <c r="O209" s="13" t="s">
        <v>32</v>
      </c>
      <c r="P209" s="14"/>
      <c r="Q209" s="1"/>
    </row>
    <row r="210" spans="1:18" x14ac:dyDescent="0.25">
      <c r="A210" s="6"/>
      <c r="B210" s="7">
        <v>44206</v>
      </c>
      <c r="C210" s="8" t="s">
        <v>64</v>
      </c>
      <c r="D210" s="8" t="s">
        <v>382</v>
      </c>
      <c r="E210" s="9" t="s">
        <v>383</v>
      </c>
      <c r="F210" s="9" t="s">
        <v>338</v>
      </c>
      <c r="G210" s="17">
        <v>0.85</v>
      </c>
      <c r="H210" s="17">
        <v>0.92291666666666661</v>
      </c>
      <c r="I210" s="9">
        <v>8470</v>
      </c>
      <c r="J210" s="9">
        <v>3870</v>
      </c>
      <c r="K210" s="10">
        <f t="shared" si="6"/>
        <v>4600</v>
      </c>
      <c r="L210" s="10">
        <v>4023</v>
      </c>
      <c r="M210" s="11" t="s">
        <v>31</v>
      </c>
      <c r="N210" s="12">
        <v>4600</v>
      </c>
      <c r="O210" s="13" t="s">
        <v>32</v>
      </c>
      <c r="P210" s="14"/>
      <c r="Q210" s="1"/>
    </row>
    <row r="211" spans="1:18" x14ac:dyDescent="0.25">
      <c r="A211" s="6"/>
      <c r="B211" s="7">
        <v>44206</v>
      </c>
      <c r="C211" s="8" t="s">
        <v>357</v>
      </c>
      <c r="D211" s="8" t="s">
        <v>360</v>
      </c>
      <c r="E211" s="9" t="s">
        <v>361</v>
      </c>
      <c r="F211" s="9" t="s">
        <v>36</v>
      </c>
      <c r="G211" s="17">
        <v>0.86458333333333337</v>
      </c>
      <c r="H211" s="17">
        <v>0.90972222222222221</v>
      </c>
      <c r="I211" s="9">
        <v>9650</v>
      </c>
      <c r="J211" s="9">
        <v>5070</v>
      </c>
      <c r="K211" s="10">
        <f t="shared" si="6"/>
        <v>4580</v>
      </c>
      <c r="L211" s="10">
        <v>120092</v>
      </c>
      <c r="M211" s="11" t="s">
        <v>31</v>
      </c>
      <c r="N211" s="12">
        <v>4580</v>
      </c>
      <c r="O211" s="13" t="s">
        <v>32</v>
      </c>
      <c r="P211" s="14"/>
      <c r="Q211" s="1"/>
      <c r="R211" s="1"/>
    </row>
    <row r="212" spans="1:18" x14ac:dyDescent="0.25">
      <c r="A212" s="6"/>
      <c r="B212" s="7">
        <v>44206</v>
      </c>
      <c r="C212" s="8" t="s">
        <v>384</v>
      </c>
      <c r="D212" s="8" t="s">
        <v>385</v>
      </c>
      <c r="E212" s="9" t="s">
        <v>386</v>
      </c>
      <c r="F212" s="9" t="s">
        <v>36</v>
      </c>
      <c r="G212" s="17">
        <v>0.88402777777777775</v>
      </c>
      <c r="H212" s="17">
        <v>0.90833333333333333</v>
      </c>
      <c r="I212" s="9">
        <v>6500</v>
      </c>
      <c r="J212" s="9">
        <v>4280</v>
      </c>
      <c r="K212" s="10">
        <f t="shared" si="6"/>
        <v>2220</v>
      </c>
      <c r="L212" s="10">
        <v>4024</v>
      </c>
      <c r="M212" s="11" t="s">
        <v>31</v>
      </c>
      <c r="N212" s="12">
        <v>2220</v>
      </c>
      <c r="O212" s="13" t="s">
        <v>32</v>
      </c>
      <c r="P212" s="14"/>
      <c r="Q212" s="1"/>
      <c r="R212" s="1"/>
    </row>
    <row r="213" spans="1:18" x14ac:dyDescent="0.25">
      <c r="A213" s="6"/>
      <c r="B213" s="7">
        <v>44206</v>
      </c>
      <c r="C213" s="8" t="s">
        <v>387</v>
      </c>
      <c r="D213" s="8" t="s">
        <v>388</v>
      </c>
      <c r="E213" s="9" t="s">
        <v>389</v>
      </c>
      <c r="F213" s="9" t="s">
        <v>390</v>
      </c>
      <c r="G213" s="17">
        <v>0.92569444444444438</v>
      </c>
      <c r="H213" s="17">
        <v>0.95347222222222217</v>
      </c>
      <c r="I213" s="9">
        <v>9340</v>
      </c>
      <c r="J213" s="9">
        <v>6260</v>
      </c>
      <c r="K213" s="10">
        <f t="shared" si="6"/>
        <v>3080</v>
      </c>
      <c r="L213" s="10">
        <v>9863</v>
      </c>
      <c r="M213" s="11" t="s">
        <v>31</v>
      </c>
      <c r="N213" s="12">
        <v>3080</v>
      </c>
      <c r="O213" s="13" t="s">
        <v>32</v>
      </c>
      <c r="P213" s="14"/>
      <c r="Q213" s="1"/>
      <c r="R213" s="1"/>
    </row>
    <row r="214" spans="1:18" x14ac:dyDescent="0.25">
      <c r="A214" s="6"/>
      <c r="B214" s="7">
        <v>44207</v>
      </c>
      <c r="C214" s="8" t="s">
        <v>391</v>
      </c>
      <c r="D214" s="8" t="s">
        <v>392</v>
      </c>
      <c r="E214" s="9" t="s">
        <v>45</v>
      </c>
      <c r="F214" s="9" t="s">
        <v>140</v>
      </c>
      <c r="G214" s="17">
        <v>1.9444444444444445E-2</v>
      </c>
      <c r="H214" s="17">
        <v>0.40972222222222227</v>
      </c>
      <c r="I214" s="9">
        <v>12270</v>
      </c>
      <c r="J214" s="9">
        <v>8140</v>
      </c>
      <c r="K214" s="10">
        <f t="shared" si="6"/>
        <v>4130</v>
      </c>
      <c r="L214" s="10" t="s">
        <v>393</v>
      </c>
      <c r="M214" s="11" t="s">
        <v>394</v>
      </c>
      <c r="N214" s="12">
        <v>8160</v>
      </c>
      <c r="O214" s="13" t="s">
        <v>49</v>
      </c>
      <c r="P214" s="14"/>
      <c r="Q214" s="1"/>
      <c r="R214" s="1"/>
    </row>
    <row r="215" spans="1:18" x14ac:dyDescent="0.25">
      <c r="A215" s="6"/>
      <c r="B215" s="15">
        <v>44207</v>
      </c>
      <c r="C215" s="16" t="s">
        <v>395</v>
      </c>
      <c r="D215" s="8" t="s">
        <v>209</v>
      </c>
      <c r="E215" s="9" t="s">
        <v>396</v>
      </c>
      <c r="F215" s="9" t="s">
        <v>397</v>
      </c>
      <c r="G215" s="17">
        <v>0.39583333333333331</v>
      </c>
      <c r="H215" s="17">
        <v>0.8534722222222223</v>
      </c>
      <c r="I215" s="9">
        <v>16150</v>
      </c>
      <c r="J215" s="9">
        <v>30670</v>
      </c>
      <c r="K215" s="10">
        <f t="shared" si="6"/>
        <v>-14520</v>
      </c>
      <c r="L215" s="10">
        <v>15230</v>
      </c>
      <c r="M215" s="11" t="s">
        <v>240</v>
      </c>
      <c r="N215" s="12"/>
      <c r="O215" s="13" t="s">
        <v>32</v>
      </c>
      <c r="P215" s="14"/>
      <c r="Q215" s="1"/>
      <c r="R215" s="1"/>
    </row>
    <row r="216" spans="1:18" x14ac:dyDescent="0.25">
      <c r="A216" s="6"/>
      <c r="B216" s="7">
        <v>44207</v>
      </c>
      <c r="C216" s="8" t="s">
        <v>424</v>
      </c>
      <c r="D216" s="8" t="s">
        <v>143</v>
      </c>
      <c r="E216" s="9" t="s">
        <v>144</v>
      </c>
      <c r="F216" s="9" t="s">
        <v>239</v>
      </c>
      <c r="G216" s="17">
        <v>0.40833333333333338</v>
      </c>
      <c r="H216" s="17">
        <v>0.65486111111111112</v>
      </c>
      <c r="I216" s="9">
        <v>15380</v>
      </c>
      <c r="J216" s="9">
        <v>50550</v>
      </c>
      <c r="K216" s="10">
        <f t="shared" si="6"/>
        <v>-35170</v>
      </c>
      <c r="L216" s="10">
        <v>5667</v>
      </c>
      <c r="M216" s="11" t="s">
        <v>53</v>
      </c>
      <c r="N216" s="12">
        <v>700</v>
      </c>
      <c r="O216" s="13" t="s">
        <v>54</v>
      </c>
      <c r="P216" s="14"/>
      <c r="Q216" s="1"/>
      <c r="R216" s="1"/>
    </row>
    <row r="217" spans="1:18" x14ac:dyDescent="0.25">
      <c r="A217" s="6"/>
      <c r="B217" s="7">
        <v>44207</v>
      </c>
      <c r="C217" s="8" t="s">
        <v>98</v>
      </c>
      <c r="D217" s="8" t="s">
        <v>101</v>
      </c>
      <c r="E217" s="9" t="s">
        <v>238</v>
      </c>
      <c r="F217" s="9" t="s">
        <v>36</v>
      </c>
      <c r="G217" s="17">
        <v>0.41250000000000003</v>
      </c>
      <c r="H217" s="17">
        <v>0.53819444444444442</v>
      </c>
      <c r="I217" s="9">
        <v>19460</v>
      </c>
      <c r="J217" s="9">
        <v>49490</v>
      </c>
      <c r="K217" s="10">
        <f t="shared" si="6"/>
        <v>-30030</v>
      </c>
      <c r="L217" s="10">
        <v>5665</v>
      </c>
      <c r="M217" s="11" t="s">
        <v>53</v>
      </c>
      <c r="N217" s="12">
        <v>600</v>
      </c>
      <c r="O217" s="13" t="s">
        <v>54</v>
      </c>
      <c r="P217" s="14"/>
      <c r="Q217" s="1"/>
      <c r="R217" s="1"/>
    </row>
    <row r="218" spans="1:18" x14ac:dyDescent="0.25">
      <c r="A218" s="6"/>
      <c r="B218" s="7">
        <v>44207</v>
      </c>
      <c r="C218" s="8" t="s">
        <v>164</v>
      </c>
      <c r="D218" s="8" t="s">
        <v>94</v>
      </c>
      <c r="E218" s="9" t="s">
        <v>95</v>
      </c>
      <c r="F218" s="9" t="s">
        <v>99</v>
      </c>
      <c r="G218" s="17">
        <v>0.44930555555555557</v>
      </c>
      <c r="H218" s="17">
        <v>0.47083333333333338</v>
      </c>
      <c r="I218" s="9">
        <v>15630</v>
      </c>
      <c r="J218" s="9">
        <v>6700</v>
      </c>
      <c r="K218" s="10">
        <f t="shared" si="6"/>
        <v>8930</v>
      </c>
      <c r="L218" s="10">
        <v>15179</v>
      </c>
      <c r="M218" s="11" t="s">
        <v>398</v>
      </c>
      <c r="N218" s="12">
        <v>180</v>
      </c>
      <c r="O218" s="13" t="s">
        <v>54</v>
      </c>
      <c r="P218" s="14"/>
      <c r="Q218" s="1"/>
      <c r="R218" s="1"/>
    </row>
    <row r="219" spans="1:18" x14ac:dyDescent="0.25">
      <c r="A219" s="6"/>
      <c r="B219" s="7">
        <v>44207</v>
      </c>
      <c r="C219" s="8" t="s">
        <v>399</v>
      </c>
      <c r="D219" s="8" t="s">
        <v>400</v>
      </c>
      <c r="E219" s="9" t="s">
        <v>401</v>
      </c>
      <c r="F219" s="9" t="s">
        <v>36</v>
      </c>
      <c r="G219" s="17">
        <v>0.45069444444444445</v>
      </c>
      <c r="H219" s="17">
        <v>0.48819444444444443</v>
      </c>
      <c r="I219" s="9">
        <v>3420</v>
      </c>
      <c r="J219" s="9">
        <v>6600</v>
      </c>
      <c r="K219" s="10">
        <f t="shared" si="6"/>
        <v>-3180</v>
      </c>
      <c r="L219" s="10">
        <v>15227</v>
      </c>
      <c r="M219" s="11" t="s">
        <v>402</v>
      </c>
      <c r="N219" s="12">
        <v>3180</v>
      </c>
      <c r="O219" s="13" t="s">
        <v>32</v>
      </c>
      <c r="P219" s="14"/>
      <c r="Q219" s="1"/>
      <c r="R219" s="1"/>
    </row>
    <row r="220" spans="1:18" x14ac:dyDescent="0.25">
      <c r="A220" s="6"/>
      <c r="B220" s="7">
        <v>44207</v>
      </c>
      <c r="C220" s="8" t="s">
        <v>85</v>
      </c>
      <c r="D220" s="8" t="s">
        <v>403</v>
      </c>
      <c r="E220" s="9" t="s">
        <v>405</v>
      </c>
      <c r="F220" s="9" t="s">
        <v>406</v>
      </c>
      <c r="G220" s="17">
        <v>0.45902777777777781</v>
      </c>
      <c r="H220" s="17">
        <v>0.59513888888888888</v>
      </c>
      <c r="I220" s="9">
        <v>16760</v>
      </c>
      <c r="J220" s="9">
        <v>39680</v>
      </c>
      <c r="K220" s="10">
        <f t="shared" si="6"/>
        <v>-22920</v>
      </c>
      <c r="L220" s="10">
        <v>5664</v>
      </c>
      <c r="M220" s="11" t="s">
        <v>404</v>
      </c>
      <c r="N220" s="12">
        <v>21760</v>
      </c>
      <c r="O220" s="13" t="s">
        <v>32</v>
      </c>
      <c r="P220" s="14" t="s">
        <v>416</v>
      </c>
      <c r="Q220" s="1"/>
      <c r="R220" s="1"/>
    </row>
    <row r="221" spans="1:18" x14ac:dyDescent="0.25">
      <c r="A221" s="6"/>
      <c r="B221" s="7">
        <v>44207</v>
      </c>
      <c r="C221" s="8" t="s">
        <v>407</v>
      </c>
      <c r="D221" s="8" t="s">
        <v>71</v>
      </c>
      <c r="E221" s="9" t="s">
        <v>408</v>
      </c>
      <c r="F221" s="9" t="s">
        <v>409</v>
      </c>
      <c r="G221" s="17">
        <v>0.49027777777777781</v>
      </c>
      <c r="H221" s="17">
        <v>0.625</v>
      </c>
      <c r="I221" s="9">
        <v>16770</v>
      </c>
      <c r="J221" s="9">
        <v>8620</v>
      </c>
      <c r="K221" s="10">
        <f t="shared" si="6"/>
        <v>8150</v>
      </c>
      <c r="L221" s="10">
        <v>120096</v>
      </c>
      <c r="M221" s="11" t="s">
        <v>31</v>
      </c>
      <c r="N221" s="12">
        <v>8150</v>
      </c>
      <c r="O221" s="13" t="s">
        <v>32</v>
      </c>
      <c r="P221" s="14"/>
      <c r="Q221" s="2"/>
      <c r="R221" s="1"/>
    </row>
    <row r="222" spans="1:18" x14ac:dyDescent="0.25">
      <c r="A222" s="6"/>
      <c r="B222" s="7">
        <v>44207</v>
      </c>
      <c r="C222" s="8" t="s">
        <v>164</v>
      </c>
      <c r="D222" s="8" t="s">
        <v>94</v>
      </c>
      <c r="E222" s="9" t="s">
        <v>95</v>
      </c>
      <c r="F222" s="9" t="s">
        <v>99</v>
      </c>
      <c r="G222" s="17">
        <v>0.54652777777777783</v>
      </c>
      <c r="H222" s="17">
        <v>0.56458333333333333</v>
      </c>
      <c r="I222" s="9">
        <v>16320</v>
      </c>
      <c r="J222" s="9">
        <v>6670</v>
      </c>
      <c r="K222" s="10">
        <f t="shared" si="6"/>
        <v>9650</v>
      </c>
      <c r="L222" s="10">
        <v>15180</v>
      </c>
      <c r="M222" s="11" t="s">
        <v>398</v>
      </c>
      <c r="N222" s="12">
        <v>192</v>
      </c>
      <c r="O222" s="13" t="s">
        <v>54</v>
      </c>
      <c r="P222" s="14"/>
      <c r="Q222" s="1"/>
      <c r="R222" s="1"/>
    </row>
    <row r="223" spans="1:18" x14ac:dyDescent="0.25">
      <c r="A223" s="6"/>
      <c r="B223" s="7">
        <v>44207</v>
      </c>
      <c r="C223" s="8" t="s">
        <v>410</v>
      </c>
      <c r="D223" s="8" t="s">
        <v>411</v>
      </c>
      <c r="E223" s="9" t="s">
        <v>412</v>
      </c>
      <c r="F223" s="9" t="s">
        <v>36</v>
      </c>
      <c r="G223" s="17">
        <v>0.57013888888888886</v>
      </c>
      <c r="H223" s="17">
        <v>0.62361111111111112</v>
      </c>
      <c r="I223" s="9">
        <v>18770</v>
      </c>
      <c r="J223" s="9">
        <v>8830</v>
      </c>
      <c r="K223" s="10">
        <f t="shared" si="6"/>
        <v>9940</v>
      </c>
      <c r="L223" s="10">
        <v>1</v>
      </c>
      <c r="M223" s="11" t="s">
        <v>413</v>
      </c>
      <c r="N223" s="12">
        <v>9940</v>
      </c>
      <c r="O223" s="13" t="s">
        <v>32</v>
      </c>
      <c r="P223" s="14" t="s">
        <v>414</v>
      </c>
      <c r="Q223" s="1"/>
      <c r="R223" s="1"/>
    </row>
    <row r="224" spans="1:18" x14ac:dyDescent="0.25">
      <c r="A224" s="6"/>
      <c r="B224" s="7">
        <v>44207</v>
      </c>
      <c r="C224" s="8" t="s">
        <v>424</v>
      </c>
      <c r="D224" s="8" t="s">
        <v>86</v>
      </c>
      <c r="E224" s="9" t="s">
        <v>87</v>
      </c>
      <c r="F224" s="9" t="s">
        <v>88</v>
      </c>
      <c r="G224" s="17">
        <v>0.57222222222222219</v>
      </c>
      <c r="H224" s="17">
        <v>0.80972222222222223</v>
      </c>
      <c r="I224" s="9">
        <v>16910</v>
      </c>
      <c r="J224" s="9">
        <v>47060</v>
      </c>
      <c r="K224" s="10">
        <f t="shared" si="6"/>
        <v>-30150</v>
      </c>
      <c r="L224" s="10">
        <v>5669</v>
      </c>
      <c r="M224" s="11" t="s">
        <v>53</v>
      </c>
      <c r="N224" s="12">
        <v>600</v>
      </c>
      <c r="O224" s="13" t="s">
        <v>54</v>
      </c>
      <c r="P224" s="14"/>
      <c r="Q224" s="1"/>
      <c r="R224" s="1"/>
    </row>
    <row r="225" spans="1:19" x14ac:dyDescent="0.25">
      <c r="A225" s="6"/>
      <c r="B225" s="7">
        <v>44207</v>
      </c>
      <c r="C225" s="8" t="s">
        <v>169</v>
      </c>
      <c r="D225" s="8" t="s">
        <v>324</v>
      </c>
      <c r="E225" s="9" t="s">
        <v>35</v>
      </c>
      <c r="F225" s="9" t="s">
        <v>36</v>
      </c>
      <c r="G225" s="17">
        <v>0.57916666666666672</v>
      </c>
      <c r="H225" s="17">
        <v>0.6381944444444444</v>
      </c>
      <c r="I225" s="9">
        <v>13200</v>
      </c>
      <c r="J225" s="9">
        <v>5360</v>
      </c>
      <c r="K225" s="10">
        <f t="shared" si="6"/>
        <v>7840</v>
      </c>
      <c r="L225" s="10">
        <v>3217</v>
      </c>
      <c r="M225" s="11" t="s">
        <v>31</v>
      </c>
      <c r="N225" s="12">
        <v>7840</v>
      </c>
      <c r="O225" s="13" t="s">
        <v>32</v>
      </c>
      <c r="P225" s="14"/>
      <c r="Q225" s="1"/>
      <c r="R225" s="1"/>
    </row>
    <row r="226" spans="1:19" x14ac:dyDescent="0.25">
      <c r="A226" s="6"/>
      <c r="B226" s="7">
        <v>44207</v>
      </c>
      <c r="C226" s="8" t="s">
        <v>357</v>
      </c>
      <c r="D226" s="8" t="s">
        <v>358</v>
      </c>
      <c r="E226" s="9" t="s">
        <v>359</v>
      </c>
      <c r="F226" s="9" t="s">
        <v>36</v>
      </c>
      <c r="G226" s="17">
        <v>0.5805555555555556</v>
      </c>
      <c r="H226" s="17">
        <v>0.65138888888888891</v>
      </c>
      <c r="I226" s="9">
        <v>10160</v>
      </c>
      <c r="J226" s="9">
        <v>4620</v>
      </c>
      <c r="K226" s="10">
        <f t="shared" si="6"/>
        <v>5540</v>
      </c>
      <c r="L226" s="10">
        <v>120097</v>
      </c>
      <c r="M226" s="11" t="s">
        <v>31</v>
      </c>
      <c r="N226" s="12">
        <v>5540</v>
      </c>
      <c r="O226" s="13" t="s">
        <v>32</v>
      </c>
      <c r="P226" s="14"/>
      <c r="Q226" s="1"/>
      <c r="R226" s="1"/>
    </row>
    <row r="227" spans="1:19" x14ac:dyDescent="0.25">
      <c r="A227" s="6"/>
      <c r="B227" s="7">
        <v>44207</v>
      </c>
      <c r="C227" s="8" t="s">
        <v>424</v>
      </c>
      <c r="D227" s="8" t="s">
        <v>284</v>
      </c>
      <c r="E227" s="9" t="s">
        <v>285</v>
      </c>
      <c r="F227" s="9" t="s">
        <v>286</v>
      </c>
      <c r="G227" s="17">
        <v>0.58472222222222225</v>
      </c>
      <c r="H227" s="17">
        <v>0.74513888888888891</v>
      </c>
      <c r="I227" s="9">
        <v>14690</v>
      </c>
      <c r="J227" s="9">
        <v>49810</v>
      </c>
      <c r="K227" s="10">
        <f t="shared" si="6"/>
        <v>-35120</v>
      </c>
      <c r="L227" s="10">
        <v>5668</v>
      </c>
      <c r="M227" s="11" t="s">
        <v>53</v>
      </c>
      <c r="N227" s="12">
        <v>700</v>
      </c>
      <c r="O227" s="13" t="s">
        <v>54</v>
      </c>
      <c r="P227" s="14"/>
    </row>
    <row r="228" spans="1:19" x14ac:dyDescent="0.25">
      <c r="A228" s="6"/>
      <c r="B228" s="7">
        <v>44207</v>
      </c>
      <c r="C228" s="8" t="s">
        <v>98</v>
      </c>
      <c r="D228" s="8" t="s">
        <v>417</v>
      </c>
      <c r="E228" s="9" t="s">
        <v>418</v>
      </c>
      <c r="F228" s="9" t="s">
        <v>419</v>
      </c>
      <c r="G228" s="17">
        <v>0.61597222222222225</v>
      </c>
      <c r="H228" s="17">
        <v>0.68333333333333324</v>
      </c>
      <c r="I228" s="9">
        <v>16690</v>
      </c>
      <c r="J228" s="9">
        <v>48210</v>
      </c>
      <c r="K228" s="10">
        <f t="shared" si="6"/>
        <v>-31520</v>
      </c>
      <c r="L228" s="10">
        <v>5666</v>
      </c>
      <c r="M228" s="11" t="s">
        <v>53</v>
      </c>
      <c r="N228" s="12">
        <v>600</v>
      </c>
      <c r="O228" s="13" t="s">
        <v>54</v>
      </c>
      <c r="P228" s="14" t="s">
        <v>167</v>
      </c>
      <c r="R228">
        <v>31520</v>
      </c>
      <c r="S228">
        <f>+R228-1104</f>
        <v>30416</v>
      </c>
    </row>
    <row r="229" spans="1:19" x14ac:dyDescent="0.25">
      <c r="A229" s="6"/>
      <c r="B229" s="7">
        <v>44207</v>
      </c>
      <c r="C229" s="8" t="s">
        <v>114</v>
      </c>
      <c r="D229" s="8" t="s">
        <v>421</v>
      </c>
      <c r="E229" s="9" t="s">
        <v>342</v>
      </c>
      <c r="F229" s="9" t="s">
        <v>419</v>
      </c>
      <c r="G229" s="17">
        <v>0.62986111111111109</v>
      </c>
      <c r="H229" s="17">
        <v>0.67569444444444438</v>
      </c>
      <c r="I229" s="9">
        <v>8350</v>
      </c>
      <c r="J229" s="9">
        <v>3880</v>
      </c>
      <c r="K229" s="10">
        <f t="shared" si="6"/>
        <v>4470</v>
      </c>
      <c r="L229" s="10">
        <v>26303</v>
      </c>
      <c r="M229" s="11" t="s">
        <v>31</v>
      </c>
      <c r="N229" s="12">
        <v>4470</v>
      </c>
      <c r="O229" s="13" t="s">
        <v>32</v>
      </c>
      <c r="P229" s="14" t="s">
        <v>420</v>
      </c>
    </row>
    <row r="230" spans="1:19" x14ac:dyDescent="0.25">
      <c r="A230" s="6"/>
      <c r="B230" s="7">
        <v>44207</v>
      </c>
      <c r="C230" s="8" t="s">
        <v>422</v>
      </c>
      <c r="D230" s="8" t="s">
        <v>175</v>
      </c>
      <c r="E230" s="9" t="s">
        <v>176</v>
      </c>
      <c r="F230" s="9" t="s">
        <v>419</v>
      </c>
      <c r="G230" s="17">
        <v>0.63055555555555554</v>
      </c>
      <c r="H230" s="17">
        <v>0.64374999999999993</v>
      </c>
      <c r="I230" s="9">
        <v>6630</v>
      </c>
      <c r="J230" s="9">
        <v>4280</v>
      </c>
      <c r="K230" s="10">
        <f t="shared" si="6"/>
        <v>2350</v>
      </c>
      <c r="L230" s="10">
        <v>1408</v>
      </c>
      <c r="M230" s="11" t="s">
        <v>31</v>
      </c>
      <c r="N230" s="12">
        <v>3500</v>
      </c>
      <c r="O230" s="13" t="s">
        <v>49</v>
      </c>
      <c r="P230" s="14"/>
    </row>
    <row r="231" spans="1:19" x14ac:dyDescent="0.25">
      <c r="A231" s="6"/>
      <c r="B231" s="7">
        <v>44207</v>
      </c>
      <c r="C231" s="8" t="s">
        <v>33</v>
      </c>
      <c r="D231" s="8" t="s">
        <v>423</v>
      </c>
      <c r="E231" s="9" t="s">
        <v>181</v>
      </c>
      <c r="F231" s="9" t="s">
        <v>419</v>
      </c>
      <c r="G231" s="17">
        <v>0.64583333333333337</v>
      </c>
      <c r="H231" s="17">
        <v>0.68194444444444446</v>
      </c>
      <c r="I231" s="9">
        <v>8150</v>
      </c>
      <c r="J231" s="9">
        <v>4060</v>
      </c>
      <c r="K231" s="10">
        <f t="shared" si="6"/>
        <v>4090</v>
      </c>
      <c r="L231" s="10">
        <v>26304</v>
      </c>
      <c r="M231" s="11" t="s">
        <v>31</v>
      </c>
      <c r="N231" s="12">
        <v>4090</v>
      </c>
      <c r="O231" s="13" t="s">
        <v>32</v>
      </c>
      <c r="P231" s="14"/>
    </row>
    <row r="232" spans="1:19" x14ac:dyDescent="0.25">
      <c r="A232" s="6"/>
      <c r="B232" s="7">
        <v>44207</v>
      </c>
      <c r="C232" s="8" t="s">
        <v>70</v>
      </c>
      <c r="D232" s="8" t="s">
        <v>73</v>
      </c>
      <c r="E232" s="9" t="s">
        <v>361</v>
      </c>
      <c r="F232" s="9" t="s">
        <v>59</v>
      </c>
      <c r="G232" s="17">
        <v>0.65625</v>
      </c>
      <c r="H232" s="17">
        <v>0.75486111111111109</v>
      </c>
      <c r="I232" s="9">
        <v>10370</v>
      </c>
      <c r="J232" s="9">
        <v>5090</v>
      </c>
      <c r="K232" s="10">
        <f t="shared" si="6"/>
        <v>5280</v>
      </c>
      <c r="L232" s="10">
        <v>120100</v>
      </c>
      <c r="M232" s="11" t="s">
        <v>31</v>
      </c>
      <c r="N232" s="12">
        <v>5000</v>
      </c>
      <c r="O232" s="13" t="s">
        <v>32</v>
      </c>
      <c r="P232" s="14" t="s">
        <v>429</v>
      </c>
    </row>
    <row r="233" spans="1:19" x14ac:dyDescent="0.25">
      <c r="A233" s="6"/>
      <c r="B233" s="7">
        <v>44207</v>
      </c>
      <c r="C233" s="8" t="s">
        <v>70</v>
      </c>
      <c r="D233" s="8" t="s">
        <v>79</v>
      </c>
      <c r="E233" s="9" t="s">
        <v>425</v>
      </c>
      <c r="F233" s="9" t="s">
        <v>59</v>
      </c>
      <c r="G233" s="17">
        <v>0.68819444444444444</v>
      </c>
      <c r="H233" s="17">
        <v>0.7402777777777777</v>
      </c>
      <c r="I233" s="9">
        <v>11420</v>
      </c>
      <c r="J233" s="9">
        <v>5580</v>
      </c>
      <c r="K233" s="10">
        <f t="shared" si="6"/>
        <v>5840</v>
      </c>
      <c r="L233" s="10">
        <v>120110</v>
      </c>
      <c r="M233" s="11" t="s">
        <v>31</v>
      </c>
      <c r="N233" s="12">
        <v>5840</v>
      </c>
      <c r="O233" s="13" t="s">
        <v>32</v>
      </c>
      <c r="P233" s="14"/>
      <c r="Q233">
        <f>5020*2.2</f>
        <v>11044</v>
      </c>
      <c r="R233">
        <f>+Q233-9800</f>
        <v>1244</v>
      </c>
    </row>
    <row r="234" spans="1:19" x14ac:dyDescent="0.25">
      <c r="A234" s="6"/>
      <c r="B234" s="7">
        <v>44207</v>
      </c>
      <c r="C234" s="8" t="s">
        <v>347</v>
      </c>
      <c r="D234" s="8" t="s">
        <v>426</v>
      </c>
      <c r="E234" s="9" t="s">
        <v>203</v>
      </c>
      <c r="F234" s="9" t="s">
        <v>419</v>
      </c>
      <c r="G234" s="17">
        <v>0.68958333333333333</v>
      </c>
      <c r="H234" s="17">
        <v>0.74236111111111114</v>
      </c>
      <c r="I234" s="9">
        <v>9180</v>
      </c>
      <c r="J234" s="9">
        <v>4160</v>
      </c>
      <c r="K234" s="10">
        <f t="shared" si="6"/>
        <v>5020</v>
      </c>
      <c r="L234" s="10">
        <v>9864</v>
      </c>
      <c r="M234" s="11" t="s">
        <v>31</v>
      </c>
      <c r="N234" s="12">
        <v>9800</v>
      </c>
      <c r="O234" s="13" t="s">
        <v>49</v>
      </c>
      <c r="P234" s="40">
        <f>+N234-600</f>
        <v>9200</v>
      </c>
    </row>
    <row r="235" spans="1:19" x14ac:dyDescent="0.25">
      <c r="A235" s="6"/>
      <c r="B235" s="7">
        <v>44207</v>
      </c>
      <c r="C235" s="8" t="s">
        <v>70</v>
      </c>
      <c r="D235" s="8" t="s">
        <v>367</v>
      </c>
      <c r="E235" s="9" t="s">
        <v>277</v>
      </c>
      <c r="F235" s="9" t="s">
        <v>266</v>
      </c>
      <c r="G235" s="17">
        <v>0.71666666666666667</v>
      </c>
      <c r="H235" s="17">
        <v>0.75069444444444444</v>
      </c>
      <c r="I235" s="9">
        <v>370</v>
      </c>
      <c r="J235" s="9">
        <v>90</v>
      </c>
      <c r="K235" s="10">
        <f t="shared" si="6"/>
        <v>280</v>
      </c>
      <c r="L235" s="10" t="s">
        <v>196</v>
      </c>
      <c r="M235" s="11" t="s">
        <v>427</v>
      </c>
      <c r="N235" s="12">
        <v>280</v>
      </c>
      <c r="O235" s="13" t="s">
        <v>32</v>
      </c>
      <c r="P235" s="14"/>
      <c r="Q235">
        <v>200</v>
      </c>
      <c r="R235">
        <f>+Q235*2.2</f>
        <v>440.00000000000006</v>
      </c>
    </row>
    <row r="236" spans="1:19" x14ac:dyDescent="0.25">
      <c r="A236" s="6"/>
      <c r="B236" s="7">
        <v>44207</v>
      </c>
      <c r="C236" s="8" t="s">
        <v>56</v>
      </c>
      <c r="D236" s="8" t="s">
        <v>29</v>
      </c>
      <c r="E236" s="9" t="s">
        <v>30</v>
      </c>
      <c r="F236" s="9" t="s">
        <v>419</v>
      </c>
      <c r="G236" s="17">
        <v>0.74652777777777779</v>
      </c>
      <c r="H236" s="17">
        <v>0.79583333333333339</v>
      </c>
      <c r="I236" s="9">
        <v>5990</v>
      </c>
      <c r="J236" s="9">
        <v>3390</v>
      </c>
      <c r="K236" s="10">
        <f t="shared" si="6"/>
        <v>2600</v>
      </c>
      <c r="L236" s="10">
        <v>44315</v>
      </c>
      <c r="M236" s="11" t="s">
        <v>31</v>
      </c>
      <c r="N236" s="12">
        <v>6124</v>
      </c>
      <c r="O236" s="13" t="s">
        <v>49</v>
      </c>
      <c r="P236" s="14"/>
    </row>
    <row r="237" spans="1:19" x14ac:dyDescent="0.25">
      <c r="A237" s="6"/>
      <c r="B237" s="7">
        <v>44207</v>
      </c>
      <c r="C237" s="8" t="s">
        <v>60</v>
      </c>
      <c r="D237" s="8" t="s">
        <v>372</v>
      </c>
      <c r="E237" s="9" t="s">
        <v>373</v>
      </c>
      <c r="F237" s="9" t="s">
        <v>419</v>
      </c>
      <c r="G237" s="17">
        <v>0.74930555555555556</v>
      </c>
      <c r="H237" s="17">
        <v>0.81805555555555554</v>
      </c>
      <c r="I237" s="9">
        <v>8570</v>
      </c>
      <c r="J237" s="9">
        <v>3900</v>
      </c>
      <c r="K237" s="10">
        <f t="shared" si="6"/>
        <v>4670</v>
      </c>
      <c r="L237" s="10" t="s">
        <v>428</v>
      </c>
      <c r="M237" s="11" t="s">
        <v>31</v>
      </c>
      <c r="N237" s="12">
        <f>2052+7500</f>
        <v>9552</v>
      </c>
      <c r="O237" s="13" t="s">
        <v>49</v>
      </c>
      <c r="P237" s="14"/>
      <c r="R237">
        <f>4670*2.2</f>
        <v>10274</v>
      </c>
      <c r="S237" s="18">
        <f>+R237-N237</f>
        <v>722</v>
      </c>
    </row>
    <row r="238" spans="1:19" x14ac:dyDescent="0.25">
      <c r="A238" s="6"/>
      <c r="B238" s="7">
        <v>44207</v>
      </c>
      <c r="C238" s="8" t="s">
        <v>70</v>
      </c>
      <c r="D238" s="8" t="s">
        <v>378</v>
      </c>
      <c r="E238" s="9" t="s">
        <v>69</v>
      </c>
      <c r="F238" s="9" t="s">
        <v>419</v>
      </c>
      <c r="G238" s="17">
        <v>0.7729166666666667</v>
      </c>
      <c r="H238" s="17">
        <v>0.78680555555555554</v>
      </c>
      <c r="I238" s="9">
        <v>10070</v>
      </c>
      <c r="J238" s="9">
        <v>4820</v>
      </c>
      <c r="K238" s="10">
        <f t="shared" si="6"/>
        <v>5250</v>
      </c>
      <c r="L238" s="10">
        <v>120112</v>
      </c>
      <c r="M238" s="11" t="s">
        <v>31</v>
      </c>
      <c r="N238" s="12">
        <v>5250</v>
      </c>
      <c r="O238" s="13" t="s">
        <v>32</v>
      </c>
      <c r="P238" s="14"/>
    </row>
    <row r="239" spans="1:19" x14ac:dyDescent="0.25">
      <c r="A239" s="6"/>
      <c r="B239" s="7">
        <v>44207</v>
      </c>
      <c r="C239" s="8" t="s">
        <v>33</v>
      </c>
      <c r="D239" s="8" t="s">
        <v>34</v>
      </c>
      <c r="E239" s="9" t="s">
        <v>430</v>
      </c>
      <c r="F239" s="9" t="s">
        <v>419</v>
      </c>
      <c r="G239" s="17">
        <v>0.78125</v>
      </c>
      <c r="H239" s="17">
        <v>0.83819444444444446</v>
      </c>
      <c r="I239" s="9">
        <v>10370</v>
      </c>
      <c r="J239" s="9">
        <v>4580</v>
      </c>
      <c r="K239" s="10">
        <f t="shared" si="6"/>
        <v>5790</v>
      </c>
      <c r="L239" s="10">
        <v>26306</v>
      </c>
      <c r="M239" s="11" t="s">
        <v>31</v>
      </c>
      <c r="N239" s="12">
        <v>5790</v>
      </c>
      <c r="O239" s="13" t="s">
        <v>32</v>
      </c>
      <c r="P239" s="14"/>
      <c r="S239">
        <f>5790*2.2</f>
        <v>12738.000000000002</v>
      </c>
    </row>
    <row r="240" spans="1:19" x14ac:dyDescent="0.25">
      <c r="A240" s="6"/>
      <c r="B240" s="7">
        <v>44207</v>
      </c>
      <c r="C240" s="8" t="s">
        <v>37</v>
      </c>
      <c r="D240" s="8" t="s">
        <v>431</v>
      </c>
      <c r="E240" s="9" t="s">
        <v>432</v>
      </c>
      <c r="F240" s="9" t="s">
        <v>419</v>
      </c>
      <c r="G240" s="17">
        <v>0.78402777777777777</v>
      </c>
      <c r="H240" s="17">
        <v>0.82986111111111116</v>
      </c>
      <c r="I240" s="9">
        <v>15495</v>
      </c>
      <c r="J240" s="9">
        <v>6360</v>
      </c>
      <c r="K240" s="10">
        <f t="shared" si="6"/>
        <v>9135</v>
      </c>
      <c r="L240" s="10">
        <v>26305</v>
      </c>
      <c r="M240" s="11" t="s">
        <v>433</v>
      </c>
      <c r="N240" s="12">
        <v>9135</v>
      </c>
      <c r="O240" s="13" t="s">
        <v>32</v>
      </c>
      <c r="P240" s="14"/>
      <c r="R240">
        <f>5250*2.2</f>
        <v>11550.000000000002</v>
      </c>
      <c r="S240">
        <f>+R240-2000</f>
        <v>9550.0000000000018</v>
      </c>
    </row>
    <row r="241" spans="1:21" x14ac:dyDescent="0.25">
      <c r="A241" s="6"/>
      <c r="B241" s="7">
        <v>44207</v>
      </c>
      <c r="C241" s="8" t="s">
        <v>37</v>
      </c>
      <c r="D241" s="8" t="s">
        <v>434</v>
      </c>
      <c r="E241" s="9" t="s">
        <v>435</v>
      </c>
      <c r="F241" s="9" t="s">
        <v>419</v>
      </c>
      <c r="G241" s="17">
        <v>0.78472222222222221</v>
      </c>
      <c r="H241" s="17">
        <v>0.87083333333333324</v>
      </c>
      <c r="I241" s="9">
        <v>9985</v>
      </c>
      <c r="J241" s="9">
        <v>6100</v>
      </c>
      <c r="K241" s="10">
        <f t="shared" si="6"/>
        <v>3885</v>
      </c>
      <c r="L241" s="10">
        <v>26308</v>
      </c>
      <c r="M241" s="11" t="s">
        <v>433</v>
      </c>
      <c r="N241" s="12">
        <v>3885</v>
      </c>
      <c r="O241" s="13" t="s">
        <v>32</v>
      </c>
      <c r="P241" s="14" t="s">
        <v>436</v>
      </c>
    </row>
    <row r="242" spans="1:21" x14ac:dyDescent="0.25">
      <c r="A242" s="6"/>
      <c r="B242" s="7">
        <v>44207</v>
      </c>
      <c r="C242" s="8" t="s">
        <v>438</v>
      </c>
      <c r="D242" s="8" t="s">
        <v>191</v>
      </c>
      <c r="E242" s="9" t="s">
        <v>192</v>
      </c>
      <c r="F242" s="9" t="s">
        <v>437</v>
      </c>
      <c r="G242" s="17">
        <v>0.7944444444444444</v>
      </c>
      <c r="H242" s="17">
        <v>0.83333333333333337</v>
      </c>
      <c r="I242" s="9">
        <v>6800</v>
      </c>
      <c r="J242" s="9">
        <v>4850</v>
      </c>
      <c r="K242" s="10">
        <f t="shared" si="6"/>
        <v>1950</v>
      </c>
      <c r="L242" s="10">
        <v>80922</v>
      </c>
      <c r="M242" s="11" t="s">
        <v>31</v>
      </c>
      <c r="N242" s="12">
        <f>4072+535</f>
        <v>4607</v>
      </c>
      <c r="O242" s="13" t="s">
        <v>49</v>
      </c>
      <c r="P242" s="14"/>
    </row>
    <row r="243" spans="1:21" x14ac:dyDescent="0.25">
      <c r="A243" s="6"/>
      <c r="B243" s="7">
        <v>44207</v>
      </c>
      <c r="C243" s="8" t="s">
        <v>33</v>
      </c>
      <c r="D243" s="8" t="s">
        <v>324</v>
      </c>
      <c r="E243" s="9" t="s">
        <v>35</v>
      </c>
      <c r="F243" s="9" t="s">
        <v>36</v>
      </c>
      <c r="G243" s="17">
        <v>0.83194444444444438</v>
      </c>
      <c r="H243" s="17">
        <v>0.87361111111111101</v>
      </c>
      <c r="I243" s="9">
        <v>13180</v>
      </c>
      <c r="J243" s="9">
        <v>5310</v>
      </c>
      <c r="K243" s="10">
        <f t="shared" si="6"/>
        <v>7870</v>
      </c>
      <c r="L243" s="10">
        <v>26309</v>
      </c>
      <c r="M243" s="11" t="s">
        <v>31</v>
      </c>
      <c r="N243" s="12">
        <v>7870</v>
      </c>
      <c r="O243" s="13" t="s">
        <v>32</v>
      </c>
      <c r="P243" s="14">
        <f>20*30</f>
        <v>600</v>
      </c>
      <c r="Q243" s="1"/>
      <c r="R243" s="1"/>
      <c r="S243" s="1"/>
      <c r="T243" s="1"/>
      <c r="U243" s="1"/>
    </row>
    <row r="244" spans="1:21" x14ac:dyDescent="0.25">
      <c r="A244" s="6"/>
      <c r="B244" s="7">
        <v>44207</v>
      </c>
      <c r="C244" s="8" t="s">
        <v>37</v>
      </c>
      <c r="D244" s="8" t="s">
        <v>38</v>
      </c>
      <c r="E244" s="9" t="s">
        <v>39</v>
      </c>
      <c r="F244" s="9" t="s">
        <v>36</v>
      </c>
      <c r="G244" s="17">
        <v>0.83611111111111114</v>
      </c>
      <c r="H244" s="17">
        <v>0.86249999999999993</v>
      </c>
      <c r="I244" s="9">
        <v>12320</v>
      </c>
      <c r="J244" s="9">
        <v>6190</v>
      </c>
      <c r="K244" s="10">
        <f t="shared" si="6"/>
        <v>6130</v>
      </c>
      <c r="L244" s="10">
        <v>26307</v>
      </c>
      <c r="M244" s="11" t="s">
        <v>439</v>
      </c>
      <c r="N244" s="12">
        <v>6130</v>
      </c>
      <c r="O244" s="13" t="s">
        <v>32</v>
      </c>
      <c r="P244" s="14"/>
      <c r="Q244" s="1"/>
      <c r="R244" s="1"/>
      <c r="S244" s="1"/>
      <c r="T244" s="1"/>
      <c r="U244" s="1"/>
    </row>
    <row r="245" spans="1:21" x14ac:dyDescent="0.25">
      <c r="A245" s="6"/>
      <c r="B245" s="7">
        <v>44207</v>
      </c>
      <c r="C245" s="8" t="s">
        <v>64</v>
      </c>
      <c r="D245" s="8" t="s">
        <v>249</v>
      </c>
      <c r="E245" s="9" t="s">
        <v>250</v>
      </c>
      <c r="F245" s="9" t="s">
        <v>59</v>
      </c>
      <c r="G245" s="17">
        <v>0.88958333333333339</v>
      </c>
      <c r="H245" s="17">
        <v>0.9784722222222223</v>
      </c>
      <c r="I245" s="9">
        <v>8770</v>
      </c>
      <c r="J245" s="9">
        <v>3760</v>
      </c>
      <c r="K245" s="10">
        <f t="shared" si="6"/>
        <v>5010</v>
      </c>
      <c r="L245" s="10">
        <v>4025</v>
      </c>
      <c r="M245" s="11" t="s">
        <v>31</v>
      </c>
      <c r="N245" s="12">
        <v>10551.8</v>
      </c>
      <c r="O245" s="13" t="s">
        <v>49</v>
      </c>
      <c r="P245" s="14"/>
      <c r="Q245" s="1"/>
      <c r="R245" s="1"/>
      <c r="S245" s="1"/>
      <c r="T245" s="1"/>
      <c r="U245" s="1"/>
    </row>
    <row r="246" spans="1:21" x14ac:dyDescent="0.25">
      <c r="A246" s="6"/>
      <c r="B246" s="7">
        <v>44207</v>
      </c>
      <c r="C246" s="8" t="s">
        <v>114</v>
      </c>
      <c r="D246" s="8" t="s">
        <v>115</v>
      </c>
      <c r="E246" s="9" t="s">
        <v>116</v>
      </c>
      <c r="F246" s="9" t="s">
        <v>36</v>
      </c>
      <c r="G246" s="17">
        <v>0.89166666666666661</v>
      </c>
      <c r="H246" s="17">
        <v>0.93888888888888899</v>
      </c>
      <c r="I246" s="9">
        <v>5700</v>
      </c>
      <c r="J246" s="9">
        <v>3850</v>
      </c>
      <c r="K246" s="10">
        <f t="shared" si="6"/>
        <v>1850</v>
      </c>
      <c r="L246" s="10">
        <v>26310</v>
      </c>
      <c r="M246" s="11" t="s">
        <v>31</v>
      </c>
      <c r="N246" s="12">
        <v>1850</v>
      </c>
      <c r="O246" s="13" t="s">
        <v>32</v>
      </c>
      <c r="P246" s="14">
        <f>14*65</f>
        <v>910</v>
      </c>
      <c r="Q246" s="1">
        <f>5790*2.2</f>
        <v>12738.000000000002</v>
      </c>
      <c r="R246" s="1"/>
      <c r="S246" s="1"/>
      <c r="T246" s="1"/>
      <c r="U246" s="1"/>
    </row>
    <row r="247" spans="1:21" x14ac:dyDescent="0.25">
      <c r="A247" s="6"/>
      <c r="B247" s="7">
        <v>44207</v>
      </c>
      <c r="C247" s="8" t="s">
        <v>208</v>
      </c>
      <c r="D247" s="8" t="s">
        <v>299</v>
      </c>
      <c r="E247" s="9" t="s">
        <v>440</v>
      </c>
      <c r="F247" s="9" t="s">
        <v>211</v>
      </c>
      <c r="G247" s="17">
        <v>0.8979166666666667</v>
      </c>
      <c r="H247" s="17">
        <v>0.59444444444444444</v>
      </c>
      <c r="I247" s="9">
        <v>35310</v>
      </c>
      <c r="J247" s="9">
        <v>16090</v>
      </c>
      <c r="K247" s="10">
        <f t="shared" si="6"/>
        <v>19220</v>
      </c>
      <c r="L247" s="10">
        <v>39724</v>
      </c>
      <c r="M247" s="11" t="s">
        <v>212</v>
      </c>
      <c r="N247" s="12">
        <v>19190</v>
      </c>
      <c r="O247" s="13" t="s">
        <v>32</v>
      </c>
      <c r="P247" s="14"/>
      <c r="Q247" s="1"/>
      <c r="R247" s="1"/>
      <c r="S247" s="1"/>
      <c r="T247" s="1"/>
      <c r="U247" s="1"/>
    </row>
    <row r="248" spans="1:21" x14ac:dyDescent="0.25">
      <c r="A248" s="6"/>
      <c r="B248" s="7">
        <v>44207</v>
      </c>
      <c r="C248" s="8" t="s">
        <v>33</v>
      </c>
      <c r="D248" s="8" t="s">
        <v>175</v>
      </c>
      <c r="E248" s="9" t="s">
        <v>176</v>
      </c>
      <c r="F248" s="9" t="s">
        <v>36</v>
      </c>
      <c r="G248" s="17">
        <v>0.90694444444444444</v>
      </c>
      <c r="H248" s="17">
        <v>0.94097222222222221</v>
      </c>
      <c r="I248" s="9">
        <v>9310</v>
      </c>
      <c r="J248" s="9">
        <v>4250</v>
      </c>
      <c r="K248" s="10">
        <f t="shared" si="6"/>
        <v>5060</v>
      </c>
      <c r="L248" s="10">
        <v>26311</v>
      </c>
      <c r="M248" s="11" t="s">
        <v>31</v>
      </c>
      <c r="N248" s="12">
        <v>5060</v>
      </c>
      <c r="O248" s="13" t="s">
        <v>32</v>
      </c>
      <c r="P248" s="14">
        <f>50*30</f>
        <v>1500</v>
      </c>
      <c r="Q248" s="1">
        <f>1850*2.2</f>
        <v>4070.0000000000005</v>
      </c>
      <c r="R248" s="1">
        <f>+Q248-910</f>
        <v>3160.0000000000005</v>
      </c>
      <c r="S248" s="1"/>
      <c r="T248" s="1"/>
      <c r="U248" s="1"/>
    </row>
    <row r="249" spans="1:21" x14ac:dyDescent="0.25">
      <c r="A249" s="6"/>
      <c r="B249" s="7">
        <v>44207</v>
      </c>
      <c r="C249" s="8" t="s">
        <v>463</v>
      </c>
      <c r="D249" s="8" t="s">
        <v>441</v>
      </c>
      <c r="E249" s="9" t="s">
        <v>277</v>
      </c>
      <c r="F249" s="9" t="s">
        <v>36</v>
      </c>
      <c r="G249" s="17">
        <v>0.9770833333333333</v>
      </c>
      <c r="H249" s="17">
        <v>0</v>
      </c>
      <c r="I249" s="9">
        <v>110</v>
      </c>
      <c r="J249" s="9">
        <v>0</v>
      </c>
      <c r="K249" s="10">
        <f t="shared" si="6"/>
        <v>110</v>
      </c>
      <c r="L249" s="10" t="s">
        <v>196</v>
      </c>
      <c r="M249" s="11" t="s">
        <v>195</v>
      </c>
      <c r="N249" s="12">
        <v>110</v>
      </c>
      <c r="O249" s="13" t="s">
        <v>32</v>
      </c>
      <c r="P249" s="14"/>
      <c r="Q249" s="1"/>
      <c r="R249" s="1"/>
      <c r="S249" s="1"/>
      <c r="T249" s="1"/>
      <c r="U249" s="1"/>
    </row>
    <row r="250" spans="1:21" x14ac:dyDescent="0.25">
      <c r="A250" s="6"/>
      <c r="B250" s="7">
        <v>44208</v>
      </c>
      <c r="C250" s="8" t="s">
        <v>142</v>
      </c>
      <c r="D250" s="8" t="s">
        <v>219</v>
      </c>
      <c r="E250" s="9" t="s">
        <v>220</v>
      </c>
      <c r="F250" s="9" t="s">
        <v>221</v>
      </c>
      <c r="G250" s="17">
        <v>3.7499999999999999E-2</v>
      </c>
      <c r="H250" s="17">
        <v>0.56041666666666667</v>
      </c>
      <c r="I250" s="9">
        <v>21660</v>
      </c>
      <c r="J250" s="9">
        <v>8570</v>
      </c>
      <c r="K250" s="10">
        <f t="shared" si="6"/>
        <v>13090</v>
      </c>
      <c r="L250" s="10">
        <v>723</v>
      </c>
      <c r="M250" s="11" t="s">
        <v>442</v>
      </c>
      <c r="N250" s="12">
        <v>13020</v>
      </c>
      <c r="O250" s="13" t="s">
        <v>32</v>
      </c>
      <c r="P250" s="14"/>
      <c r="Q250" s="1">
        <f>5010*2.2</f>
        <v>11022</v>
      </c>
      <c r="R250" s="1"/>
      <c r="S250" s="1"/>
      <c r="T250" s="1"/>
      <c r="U250" s="1"/>
    </row>
    <row r="251" spans="1:21" x14ac:dyDescent="0.25">
      <c r="A251" s="6"/>
      <c r="B251" s="7">
        <v>44208</v>
      </c>
      <c r="C251" s="8" t="s">
        <v>33</v>
      </c>
      <c r="D251" s="8" t="s">
        <v>180</v>
      </c>
      <c r="E251" s="9" t="s">
        <v>181</v>
      </c>
      <c r="F251" s="9" t="s">
        <v>36</v>
      </c>
      <c r="G251" s="17">
        <v>4.5833333333333337E-2</v>
      </c>
      <c r="H251" s="17">
        <v>0.1277777777777778</v>
      </c>
      <c r="I251" s="9">
        <v>8940</v>
      </c>
      <c r="J251" s="9">
        <v>4040</v>
      </c>
      <c r="K251" s="10">
        <f t="shared" si="6"/>
        <v>4900</v>
      </c>
      <c r="L251" s="10">
        <v>26312</v>
      </c>
      <c r="M251" s="11" t="s">
        <v>31</v>
      </c>
      <c r="N251" s="12">
        <v>4900</v>
      </c>
      <c r="O251" s="13" t="s">
        <v>32</v>
      </c>
      <c r="P251" s="14">
        <f>20*30</f>
        <v>600</v>
      </c>
      <c r="Q251" s="1">
        <f>+Q250-10551.8</f>
        <v>470.20000000000073</v>
      </c>
      <c r="R251" s="1"/>
      <c r="S251" s="1"/>
      <c r="T251" s="1"/>
      <c r="U251" s="1"/>
    </row>
    <row r="252" spans="1:21" x14ac:dyDescent="0.25">
      <c r="A252" s="6"/>
      <c r="B252" s="7">
        <v>44208</v>
      </c>
      <c r="C252" s="8" t="s">
        <v>443</v>
      </c>
      <c r="D252" s="8" t="s">
        <v>336</v>
      </c>
      <c r="E252" s="9" t="s">
        <v>337</v>
      </c>
      <c r="F252" s="9" t="s">
        <v>36</v>
      </c>
      <c r="G252" s="17">
        <v>5.2083333333333336E-2</v>
      </c>
      <c r="H252" s="17">
        <v>0.24791666666666667</v>
      </c>
      <c r="I252" s="9">
        <v>18890</v>
      </c>
      <c r="J252" s="9">
        <v>7750</v>
      </c>
      <c r="K252" s="10">
        <f t="shared" si="6"/>
        <v>11140</v>
      </c>
      <c r="L252" s="10" t="s">
        <v>444</v>
      </c>
      <c r="M252" s="11" t="s">
        <v>445</v>
      </c>
      <c r="N252" s="12">
        <f>1958+9319</f>
        <v>11277</v>
      </c>
      <c r="O252" s="13" t="s">
        <v>32</v>
      </c>
      <c r="P252" s="14"/>
      <c r="Q252" s="1"/>
      <c r="R252" s="1"/>
      <c r="S252" s="1"/>
      <c r="T252" s="1"/>
      <c r="U252" s="1"/>
    </row>
    <row r="253" spans="1:21" x14ac:dyDescent="0.25">
      <c r="A253" s="6"/>
      <c r="B253" s="15">
        <v>44208</v>
      </c>
      <c r="C253" s="16" t="s">
        <v>446</v>
      </c>
      <c r="D253" s="8" t="s">
        <v>447</v>
      </c>
      <c r="E253" s="9" t="s">
        <v>448</v>
      </c>
      <c r="F253" s="9" t="s">
        <v>390</v>
      </c>
      <c r="G253" s="17">
        <v>0.41041666666666665</v>
      </c>
      <c r="H253" s="17">
        <v>0.50416666666666665</v>
      </c>
      <c r="I253" s="9">
        <v>7810</v>
      </c>
      <c r="J253" s="9">
        <v>18020</v>
      </c>
      <c r="K253" s="10">
        <f t="shared" si="6"/>
        <v>-10210</v>
      </c>
      <c r="L253" s="10">
        <v>15301</v>
      </c>
      <c r="M253" s="11" t="s">
        <v>449</v>
      </c>
      <c r="N253" s="12">
        <v>10210</v>
      </c>
      <c r="O253" s="13" t="s">
        <v>32</v>
      </c>
      <c r="P253" s="14">
        <f>9319/10</f>
        <v>931.9</v>
      </c>
      <c r="Q253" s="2"/>
      <c r="R253" s="1"/>
      <c r="S253" s="1"/>
      <c r="T253" s="1"/>
      <c r="U253" s="1"/>
    </row>
    <row r="254" spans="1:21" x14ac:dyDescent="0.25">
      <c r="A254" s="6"/>
      <c r="B254" s="7">
        <v>44208</v>
      </c>
      <c r="C254" s="8" t="s">
        <v>33</v>
      </c>
      <c r="D254" s="8" t="s">
        <v>175</v>
      </c>
      <c r="E254" s="9" t="s">
        <v>176</v>
      </c>
      <c r="F254" s="9" t="s">
        <v>36</v>
      </c>
      <c r="G254" s="17">
        <v>0.4291666666666667</v>
      </c>
      <c r="H254" s="17">
        <v>0.45555555555555555</v>
      </c>
      <c r="I254" s="9">
        <v>6420</v>
      </c>
      <c r="J254" s="9">
        <v>4270</v>
      </c>
      <c r="K254" s="10">
        <f t="shared" si="6"/>
        <v>2150</v>
      </c>
      <c r="L254" s="10">
        <v>26313</v>
      </c>
      <c r="M254" s="11" t="s">
        <v>31</v>
      </c>
      <c r="N254" s="12">
        <v>2150</v>
      </c>
      <c r="O254" s="13" t="s">
        <v>32</v>
      </c>
      <c r="P254" s="14"/>
      <c r="Q254" s="2"/>
      <c r="R254" s="1"/>
      <c r="S254" s="1"/>
      <c r="T254" s="1"/>
      <c r="U254" s="1"/>
    </row>
    <row r="255" spans="1:21" x14ac:dyDescent="0.25">
      <c r="A255" s="6"/>
      <c r="B255" s="7">
        <v>44208</v>
      </c>
      <c r="C255" s="8" t="s">
        <v>164</v>
      </c>
      <c r="D255" s="8" t="s">
        <v>94</v>
      </c>
      <c r="E255" s="9" t="s">
        <v>95</v>
      </c>
      <c r="F255" s="9" t="s">
        <v>99</v>
      </c>
      <c r="G255" s="17">
        <v>0.4368055555555555</v>
      </c>
      <c r="H255" s="17">
        <v>0.45</v>
      </c>
      <c r="I255" s="9">
        <v>17450</v>
      </c>
      <c r="J255" s="9">
        <v>6680</v>
      </c>
      <c r="K255" s="10">
        <f t="shared" si="6"/>
        <v>10770</v>
      </c>
      <c r="L255" s="10">
        <v>15184</v>
      </c>
      <c r="M255" s="11" t="s">
        <v>398</v>
      </c>
      <c r="N255" s="12">
        <v>213</v>
      </c>
      <c r="O255" s="13" t="s">
        <v>54</v>
      </c>
      <c r="P255" s="14"/>
      <c r="Q255" s="2"/>
      <c r="R255" s="1"/>
      <c r="S255" s="1"/>
      <c r="T255" s="1"/>
      <c r="U255" s="1"/>
    </row>
    <row r="256" spans="1:21" x14ac:dyDescent="0.25">
      <c r="A256" s="6"/>
      <c r="B256" s="7">
        <v>44208</v>
      </c>
      <c r="C256" s="8" t="s">
        <v>114</v>
      </c>
      <c r="D256" s="8" t="s">
        <v>450</v>
      </c>
      <c r="E256" s="9" t="s">
        <v>451</v>
      </c>
      <c r="F256" s="9" t="s">
        <v>36</v>
      </c>
      <c r="G256" s="17">
        <v>0.47569444444444442</v>
      </c>
      <c r="H256" s="17">
        <v>0.56388888888888888</v>
      </c>
      <c r="I256" s="9">
        <v>6440</v>
      </c>
      <c r="J256" s="9">
        <v>3860</v>
      </c>
      <c r="K256" s="10">
        <f t="shared" si="6"/>
        <v>2580</v>
      </c>
      <c r="L256" s="10">
        <v>26314</v>
      </c>
      <c r="M256" s="11" t="s">
        <v>31</v>
      </c>
      <c r="N256" s="12">
        <v>2580</v>
      </c>
      <c r="O256" s="13" t="s">
        <v>32</v>
      </c>
      <c r="P256" s="14">
        <f>4900*2.2</f>
        <v>10780</v>
      </c>
      <c r="Q256" s="2">
        <f>+P256-600</f>
        <v>10180</v>
      </c>
      <c r="R256" s="1"/>
      <c r="S256" s="1"/>
      <c r="T256" s="1"/>
      <c r="U256" s="1"/>
    </row>
    <row r="257" spans="1:23" x14ac:dyDescent="0.25">
      <c r="A257" s="6"/>
      <c r="B257" s="7">
        <v>44208</v>
      </c>
      <c r="C257" s="8" t="s">
        <v>114</v>
      </c>
      <c r="D257" s="8" t="s">
        <v>115</v>
      </c>
      <c r="E257" s="9" t="s">
        <v>116</v>
      </c>
      <c r="F257" s="9" t="s">
        <v>36</v>
      </c>
      <c r="G257" s="17">
        <v>0.48333333333333334</v>
      </c>
      <c r="H257" s="17">
        <v>0.55486111111111114</v>
      </c>
      <c r="I257" s="9">
        <v>6530</v>
      </c>
      <c r="J257" s="9">
        <v>3850</v>
      </c>
      <c r="K257" s="10">
        <f t="shared" si="6"/>
        <v>2680</v>
      </c>
      <c r="L257" s="10">
        <v>26315</v>
      </c>
      <c r="M257" s="11" t="s">
        <v>31</v>
      </c>
      <c r="N257" s="12">
        <v>2680</v>
      </c>
      <c r="O257" s="13" t="s">
        <v>32</v>
      </c>
      <c r="P257" s="14"/>
      <c r="Q257" s="2"/>
      <c r="R257" s="1"/>
      <c r="S257" s="1"/>
      <c r="T257" s="1"/>
      <c r="U257" s="1"/>
    </row>
    <row r="258" spans="1:23" x14ac:dyDescent="0.25">
      <c r="A258" s="6"/>
      <c r="B258" s="7">
        <v>44208</v>
      </c>
      <c r="C258" s="8" t="s">
        <v>169</v>
      </c>
      <c r="D258" s="8" t="s">
        <v>426</v>
      </c>
      <c r="E258" s="9" t="s">
        <v>203</v>
      </c>
      <c r="F258" s="9" t="s">
        <v>419</v>
      </c>
      <c r="G258" s="17">
        <v>0.48819444444444443</v>
      </c>
      <c r="H258" s="17">
        <v>0.52708333333333335</v>
      </c>
      <c r="I258" s="9">
        <v>9400</v>
      </c>
      <c r="J258" s="9">
        <v>4140</v>
      </c>
      <c r="K258" s="10">
        <f t="shared" si="6"/>
        <v>5260</v>
      </c>
      <c r="L258" s="10">
        <v>3232</v>
      </c>
      <c r="M258" s="11" t="s">
        <v>31</v>
      </c>
      <c r="N258" s="12">
        <v>5260</v>
      </c>
      <c r="O258" s="13" t="s">
        <v>32</v>
      </c>
      <c r="P258" s="14"/>
      <c r="Q258" s="2"/>
      <c r="R258" s="1"/>
      <c r="S258" s="1"/>
      <c r="T258" s="1"/>
      <c r="U258" s="27"/>
    </row>
    <row r="259" spans="1:23" x14ac:dyDescent="0.25">
      <c r="A259" s="6"/>
      <c r="B259" s="7">
        <v>44208</v>
      </c>
      <c r="C259" s="8" t="s">
        <v>164</v>
      </c>
      <c r="D259" s="8" t="s">
        <v>94</v>
      </c>
      <c r="E259" s="9" t="s">
        <v>95</v>
      </c>
      <c r="F259" s="9" t="s">
        <v>99</v>
      </c>
      <c r="G259" s="17">
        <v>0.5625</v>
      </c>
      <c r="H259" s="17">
        <v>0.5805555555555556</v>
      </c>
      <c r="I259" s="9">
        <v>17600</v>
      </c>
      <c r="J259" s="9">
        <v>6650</v>
      </c>
      <c r="K259" s="10">
        <f t="shared" si="6"/>
        <v>10950</v>
      </c>
      <c r="L259" s="10">
        <v>15185</v>
      </c>
      <c r="M259" s="11" t="s">
        <v>398</v>
      </c>
      <c r="N259" s="12">
        <v>213</v>
      </c>
      <c r="O259" s="13" t="s">
        <v>54</v>
      </c>
      <c r="P259" s="14"/>
      <c r="Q259" s="2"/>
      <c r="R259" s="1"/>
      <c r="S259" s="1"/>
      <c r="T259" s="1"/>
      <c r="U259" s="27"/>
      <c r="V259" s="1"/>
      <c r="W259" s="1"/>
    </row>
    <row r="260" spans="1:23" x14ac:dyDescent="0.25">
      <c r="A260" s="6"/>
      <c r="B260" s="7">
        <v>44208</v>
      </c>
      <c r="C260" s="8" t="s">
        <v>169</v>
      </c>
      <c r="D260" s="8" t="s">
        <v>34</v>
      </c>
      <c r="E260" s="9" t="s">
        <v>430</v>
      </c>
      <c r="F260" s="9" t="s">
        <v>419</v>
      </c>
      <c r="G260" s="17">
        <v>0.52916666666666667</v>
      </c>
      <c r="H260" s="17">
        <v>0.57847222222222217</v>
      </c>
      <c r="I260" s="9">
        <v>13780</v>
      </c>
      <c r="J260" s="9">
        <v>5340</v>
      </c>
      <c r="K260" s="10">
        <f t="shared" si="6"/>
        <v>8440</v>
      </c>
      <c r="L260" s="10">
        <v>3233</v>
      </c>
      <c r="M260" s="11" t="s">
        <v>31</v>
      </c>
      <c r="N260" s="12">
        <v>8440</v>
      </c>
      <c r="O260" s="13" t="s">
        <v>32</v>
      </c>
      <c r="P260" s="14"/>
      <c r="Q260" s="2"/>
      <c r="R260" s="1"/>
      <c r="S260" s="1"/>
      <c r="T260" s="1"/>
      <c r="U260" s="27"/>
      <c r="V260" s="1"/>
      <c r="W260" s="1"/>
    </row>
    <row r="261" spans="1:23" x14ac:dyDescent="0.25">
      <c r="A261" s="6"/>
      <c r="B261" s="7">
        <v>44208</v>
      </c>
      <c r="C261" s="8" t="s">
        <v>33</v>
      </c>
      <c r="D261" s="8" t="s">
        <v>170</v>
      </c>
      <c r="E261" s="9" t="s">
        <v>197</v>
      </c>
      <c r="F261" s="9" t="s">
        <v>36</v>
      </c>
      <c r="G261" s="17">
        <v>0.60625000000000007</v>
      </c>
      <c r="H261" s="17">
        <v>0.63750000000000007</v>
      </c>
      <c r="I261" s="9">
        <v>10380</v>
      </c>
      <c r="J261" s="9">
        <v>4610</v>
      </c>
      <c r="K261" s="10">
        <f t="shared" si="6"/>
        <v>5770</v>
      </c>
      <c r="L261" s="10">
        <v>26316</v>
      </c>
      <c r="M261" s="11" t="s">
        <v>31</v>
      </c>
      <c r="N261" s="12">
        <v>5770</v>
      </c>
      <c r="O261" s="13" t="s">
        <v>32</v>
      </c>
      <c r="P261" s="14"/>
      <c r="Q261" s="2"/>
      <c r="R261" s="1"/>
      <c r="S261" s="1"/>
      <c r="T261" s="1"/>
      <c r="U261" s="27"/>
      <c r="V261" s="1"/>
      <c r="W261" s="1"/>
    </row>
    <row r="262" spans="1:23" x14ac:dyDescent="0.25">
      <c r="A262" s="6"/>
      <c r="B262" s="7">
        <v>44208</v>
      </c>
      <c r="C262" s="8" t="s">
        <v>452</v>
      </c>
      <c r="D262" s="8" t="s">
        <v>453</v>
      </c>
      <c r="E262" s="9" t="s">
        <v>196</v>
      </c>
      <c r="F262" s="9" t="s">
        <v>266</v>
      </c>
      <c r="G262" s="17">
        <v>0.6166666666666667</v>
      </c>
      <c r="H262" s="17">
        <v>0.61944444444444446</v>
      </c>
      <c r="I262" s="9">
        <v>770</v>
      </c>
      <c r="J262" s="9">
        <v>190</v>
      </c>
      <c r="K262" s="10">
        <f t="shared" si="6"/>
        <v>580</v>
      </c>
      <c r="L262" s="10">
        <v>21527</v>
      </c>
      <c r="M262" s="11" t="s">
        <v>454</v>
      </c>
      <c r="N262" s="12">
        <v>580</v>
      </c>
      <c r="O262" s="13" t="s">
        <v>32</v>
      </c>
      <c r="P262" s="14"/>
      <c r="Q262" s="2"/>
      <c r="R262" s="1"/>
      <c r="S262" s="1"/>
      <c r="T262" s="1"/>
      <c r="U262" s="27"/>
      <c r="V262" s="1"/>
      <c r="W262" s="1"/>
    </row>
    <row r="263" spans="1:23" x14ac:dyDescent="0.25">
      <c r="A263" s="6"/>
      <c r="B263" s="7">
        <v>44208</v>
      </c>
      <c r="C263" s="8" t="s">
        <v>33</v>
      </c>
      <c r="D263" s="8" t="s">
        <v>175</v>
      </c>
      <c r="E263" s="9" t="s">
        <v>176</v>
      </c>
      <c r="F263" s="9" t="s">
        <v>36</v>
      </c>
      <c r="G263" s="17">
        <v>0.63194444444444442</v>
      </c>
      <c r="H263" s="17">
        <v>0.65208333333333335</v>
      </c>
      <c r="I263" s="9">
        <v>9630</v>
      </c>
      <c r="J263" s="9">
        <v>4240</v>
      </c>
      <c r="K263" s="10">
        <f t="shared" si="6"/>
        <v>5390</v>
      </c>
      <c r="L263" s="10">
        <v>26317</v>
      </c>
      <c r="M263" s="11" t="s">
        <v>31</v>
      </c>
      <c r="N263" s="12">
        <v>5390</v>
      </c>
      <c r="O263" s="13" t="s">
        <v>32</v>
      </c>
      <c r="P263" s="14"/>
      <c r="Q263" s="2"/>
      <c r="R263" s="1"/>
      <c r="S263" s="1"/>
      <c r="T263" s="1"/>
      <c r="U263" s="1"/>
      <c r="V263" s="1"/>
      <c r="W263" s="1" t="s">
        <v>19</v>
      </c>
    </row>
    <row r="264" spans="1:23" x14ac:dyDescent="0.25">
      <c r="A264" s="6"/>
      <c r="B264" s="7">
        <v>44208</v>
      </c>
      <c r="C264" s="8" t="s">
        <v>415</v>
      </c>
      <c r="D264" s="8" t="s">
        <v>403</v>
      </c>
      <c r="E264" s="9" t="s">
        <v>405</v>
      </c>
      <c r="F264" s="9" t="s">
        <v>406</v>
      </c>
      <c r="G264" s="17">
        <v>0.64236111111111105</v>
      </c>
      <c r="H264" s="17">
        <v>0.67013888888888884</v>
      </c>
      <c r="I264" s="9">
        <v>17880</v>
      </c>
      <c r="J264" s="9">
        <v>16720</v>
      </c>
      <c r="K264" s="10">
        <f t="shared" si="6"/>
        <v>1160</v>
      </c>
      <c r="L264" s="10">
        <v>5670</v>
      </c>
      <c r="M264" s="11" t="s">
        <v>77</v>
      </c>
      <c r="N264" s="12">
        <v>20</v>
      </c>
      <c r="O264" s="13" t="s">
        <v>80</v>
      </c>
      <c r="P264" s="14"/>
      <c r="Q264" s="2">
        <f>5700*2.2</f>
        <v>12540.000000000002</v>
      </c>
      <c r="R264" s="1"/>
      <c r="S264" s="1"/>
      <c r="T264" s="1"/>
      <c r="U264" s="1"/>
      <c r="V264" s="1"/>
      <c r="W264" s="1" t="s">
        <v>20</v>
      </c>
    </row>
    <row r="265" spans="1:23" s="1" customFormat="1" x14ac:dyDescent="0.25">
      <c r="A265" s="6"/>
      <c r="B265" s="7">
        <v>44208</v>
      </c>
      <c r="C265" s="8" t="s">
        <v>395</v>
      </c>
      <c r="D265" s="8" t="s">
        <v>358</v>
      </c>
      <c r="E265" s="9" t="s">
        <v>405</v>
      </c>
      <c r="F265" s="9" t="s">
        <v>161</v>
      </c>
      <c r="G265" s="17">
        <v>0.68958333333333333</v>
      </c>
      <c r="H265" s="17">
        <v>0.91875000000000007</v>
      </c>
      <c r="I265" s="9">
        <v>18100</v>
      </c>
      <c r="J265" s="9">
        <v>38380</v>
      </c>
      <c r="K265" s="10">
        <f t="shared" si="6"/>
        <v>-20280</v>
      </c>
      <c r="L265" s="10">
        <v>15240</v>
      </c>
      <c r="M265" s="11" t="s">
        <v>240</v>
      </c>
      <c r="N265" s="12">
        <v>20280</v>
      </c>
      <c r="O265" s="13" t="s">
        <v>32</v>
      </c>
      <c r="P265" s="14"/>
      <c r="Q265" s="2"/>
    </row>
    <row r="266" spans="1:23" x14ac:dyDescent="0.25">
      <c r="A266" s="6"/>
      <c r="B266" s="7">
        <v>44208</v>
      </c>
      <c r="C266" s="8" t="s">
        <v>60</v>
      </c>
      <c r="D266" s="8" t="s">
        <v>455</v>
      </c>
      <c r="E266" s="9" t="s">
        <v>234</v>
      </c>
      <c r="F266" s="9" t="s">
        <v>36</v>
      </c>
      <c r="G266" s="17">
        <v>0.7055555555555556</v>
      </c>
      <c r="H266" s="17">
        <v>0.8222222222222223</v>
      </c>
      <c r="I266" s="9">
        <v>9610</v>
      </c>
      <c r="J266" s="9">
        <v>3910</v>
      </c>
      <c r="K266" s="10">
        <f t="shared" ref="K266:K327" si="7">+I266-J266</f>
        <v>5700</v>
      </c>
      <c r="L266" s="10" t="s">
        <v>456</v>
      </c>
      <c r="M266" s="11" t="s">
        <v>31</v>
      </c>
      <c r="N266" s="12">
        <v>5700</v>
      </c>
      <c r="O266" s="13" t="s">
        <v>32</v>
      </c>
      <c r="P266" s="14"/>
      <c r="Q266" s="2">
        <f>10200+800</f>
        <v>11000</v>
      </c>
      <c r="R266" s="1">
        <f>+Q266-Q264</f>
        <v>-1540.0000000000018</v>
      </c>
      <c r="S266" s="1"/>
      <c r="T266" s="1"/>
      <c r="U266" s="1"/>
      <c r="V266" s="1"/>
      <c r="W266" s="1" t="s">
        <v>21</v>
      </c>
    </row>
    <row r="267" spans="1:23" x14ac:dyDescent="0.25">
      <c r="A267" s="6"/>
      <c r="B267" s="7">
        <v>44208</v>
      </c>
      <c r="C267" s="8" t="s">
        <v>33</v>
      </c>
      <c r="D267" s="8" t="s">
        <v>214</v>
      </c>
      <c r="E267" s="9" t="s">
        <v>171</v>
      </c>
      <c r="F267" s="9" t="s">
        <v>36</v>
      </c>
      <c r="G267" s="17">
        <v>0.71319444444444446</v>
      </c>
      <c r="H267" s="17">
        <v>0.74583333333333324</v>
      </c>
      <c r="I267" s="9">
        <v>10050</v>
      </c>
      <c r="J267" s="9">
        <v>4580</v>
      </c>
      <c r="K267" s="10">
        <f t="shared" si="7"/>
        <v>5470</v>
      </c>
      <c r="L267" s="10">
        <v>26318</v>
      </c>
      <c r="M267" s="11" t="s">
        <v>31</v>
      </c>
      <c r="N267" s="12">
        <v>5470</v>
      </c>
      <c r="O267" s="13" t="s">
        <v>32</v>
      </c>
      <c r="P267" s="14"/>
      <c r="Q267" s="2"/>
      <c r="R267" s="1"/>
      <c r="S267" s="1"/>
      <c r="T267" s="1"/>
      <c r="U267" s="1"/>
      <c r="V267" s="1"/>
      <c r="W267" s="1"/>
    </row>
    <row r="268" spans="1:23" x14ac:dyDescent="0.25">
      <c r="A268" s="6"/>
      <c r="B268" s="7">
        <v>44208</v>
      </c>
      <c r="C268" s="8" t="s">
        <v>33</v>
      </c>
      <c r="D268" s="8" t="s">
        <v>426</v>
      </c>
      <c r="E268" s="9" t="s">
        <v>203</v>
      </c>
      <c r="F268" s="9" t="s">
        <v>419</v>
      </c>
      <c r="G268" s="17">
        <v>0.71736111111111101</v>
      </c>
      <c r="H268" s="17">
        <v>0.74791666666666667</v>
      </c>
      <c r="I268" s="9">
        <v>9410</v>
      </c>
      <c r="J268" s="9">
        <v>4160</v>
      </c>
      <c r="K268" s="10">
        <f t="shared" si="7"/>
        <v>5250</v>
      </c>
      <c r="L268" s="10">
        <v>26319</v>
      </c>
      <c r="M268" s="11" t="s">
        <v>31</v>
      </c>
      <c r="N268" s="12">
        <v>5250</v>
      </c>
      <c r="O268" s="13" t="s">
        <v>32</v>
      </c>
      <c r="P268" s="14"/>
      <c r="Q268" s="2"/>
      <c r="R268" s="1"/>
      <c r="S268" s="1"/>
      <c r="T268" s="1"/>
      <c r="U268" s="1"/>
      <c r="V268" s="1"/>
      <c r="W268" s="1"/>
    </row>
    <row r="269" spans="1:23" x14ac:dyDescent="0.25">
      <c r="A269" s="6"/>
      <c r="B269" s="7">
        <v>44208</v>
      </c>
      <c r="C269" s="8" t="s">
        <v>457</v>
      </c>
      <c r="D269" s="8" t="s">
        <v>458</v>
      </c>
      <c r="E269" s="9" t="s">
        <v>45</v>
      </c>
      <c r="F269" s="9" t="s">
        <v>459</v>
      </c>
      <c r="G269" s="17">
        <v>0.78819444444444453</v>
      </c>
      <c r="H269" s="17">
        <v>0.21458333333333335</v>
      </c>
      <c r="I269" s="9">
        <v>14340</v>
      </c>
      <c r="J269" s="9">
        <v>8230</v>
      </c>
      <c r="K269" s="10">
        <f t="shared" si="7"/>
        <v>6110</v>
      </c>
      <c r="L269" s="10" t="s">
        <v>460</v>
      </c>
      <c r="M269" s="11" t="s">
        <v>48</v>
      </c>
      <c r="N269" s="12">
        <f>6946+5570</f>
        <v>12516</v>
      </c>
      <c r="O269" s="13" t="s">
        <v>49</v>
      </c>
      <c r="P269" s="14"/>
      <c r="Q269" s="2"/>
      <c r="R269" s="1"/>
      <c r="S269" s="1"/>
      <c r="T269" s="1"/>
      <c r="U269" s="1"/>
      <c r="V269" s="1"/>
      <c r="W269" s="1"/>
    </row>
    <row r="270" spans="1:23" x14ac:dyDescent="0.25">
      <c r="A270" s="6"/>
      <c r="B270" s="7">
        <v>44208</v>
      </c>
      <c r="C270" s="8" t="s">
        <v>462</v>
      </c>
      <c r="D270" s="8" t="s">
        <v>61</v>
      </c>
      <c r="E270" s="9" t="s">
        <v>62</v>
      </c>
      <c r="F270" s="9" t="s">
        <v>419</v>
      </c>
      <c r="G270" s="17">
        <v>0.82013888888888886</v>
      </c>
      <c r="H270" s="17">
        <v>0.84097222222222223</v>
      </c>
      <c r="I270" s="9">
        <v>6310</v>
      </c>
      <c r="J270" s="9">
        <v>3430</v>
      </c>
      <c r="K270" s="10">
        <f t="shared" si="7"/>
        <v>2880</v>
      </c>
      <c r="L270" s="10" t="s">
        <v>461</v>
      </c>
      <c r="M270" s="11" t="s">
        <v>31</v>
      </c>
      <c r="N270" s="12">
        <f>2400+4722+950</f>
        <v>8072</v>
      </c>
      <c r="O270" s="13" t="s">
        <v>49</v>
      </c>
      <c r="P270" s="14">
        <f>80*30</f>
        <v>2400</v>
      </c>
      <c r="Q270" s="2">
        <f>5230*2.2</f>
        <v>11506.000000000002</v>
      </c>
      <c r="R270" s="1">
        <f>1800+80</f>
        <v>1880</v>
      </c>
      <c r="S270" s="1">
        <f>+R270-Q270</f>
        <v>-9626.0000000000018</v>
      </c>
      <c r="T270" s="1"/>
      <c r="U270" s="1"/>
      <c r="V270" s="1"/>
      <c r="W270" s="1"/>
    </row>
    <row r="271" spans="1:23" x14ac:dyDescent="0.25">
      <c r="A271" s="6"/>
      <c r="B271" s="7">
        <v>44208</v>
      </c>
      <c r="C271" s="8" t="s">
        <v>33</v>
      </c>
      <c r="D271" s="8" t="s">
        <v>34</v>
      </c>
      <c r="E271" s="9" t="s">
        <v>35</v>
      </c>
      <c r="F271" s="9" t="s">
        <v>419</v>
      </c>
      <c r="G271" s="17">
        <v>0.8208333333333333</v>
      </c>
      <c r="H271" s="17">
        <v>0.8569444444444444</v>
      </c>
      <c r="I271" s="9">
        <v>13470</v>
      </c>
      <c r="J271" s="9">
        <v>5310</v>
      </c>
      <c r="K271" s="10">
        <f t="shared" si="7"/>
        <v>8160</v>
      </c>
      <c r="L271" s="10">
        <v>26322</v>
      </c>
      <c r="M271" s="11" t="s">
        <v>31</v>
      </c>
      <c r="N271" s="12">
        <v>8160</v>
      </c>
      <c r="O271" s="13" t="s">
        <v>32</v>
      </c>
      <c r="P271" s="14">
        <f>30*30</f>
        <v>900</v>
      </c>
      <c r="Q271" s="2"/>
      <c r="R271" s="1"/>
      <c r="S271" s="1"/>
      <c r="T271" s="1"/>
      <c r="U271" s="1"/>
      <c r="V271" s="1"/>
      <c r="W271" s="1"/>
    </row>
    <row r="272" spans="1:23" x14ac:dyDescent="0.25">
      <c r="A272" s="6"/>
      <c r="B272" s="7">
        <v>44208</v>
      </c>
      <c r="C272" s="8" t="s">
        <v>208</v>
      </c>
      <c r="D272" s="8" t="s">
        <v>299</v>
      </c>
      <c r="E272" s="9" t="s">
        <v>440</v>
      </c>
      <c r="F272" s="9" t="s">
        <v>211</v>
      </c>
      <c r="G272" s="17">
        <v>0.85069444444444453</v>
      </c>
      <c r="H272" s="17">
        <v>0.39097222222222222</v>
      </c>
      <c r="I272" s="9">
        <v>39740</v>
      </c>
      <c r="J272" s="9">
        <v>16090</v>
      </c>
      <c r="K272" s="10">
        <f t="shared" si="7"/>
        <v>23650</v>
      </c>
      <c r="L272" s="10">
        <v>39766</v>
      </c>
      <c r="M272" s="11" t="s">
        <v>212</v>
      </c>
      <c r="N272" s="12">
        <v>23640</v>
      </c>
      <c r="O272" s="13" t="s">
        <v>32</v>
      </c>
      <c r="P272" s="14"/>
      <c r="Q272" s="2"/>
      <c r="R272" s="1">
        <f>2880*2.2</f>
        <v>6336.0000000000009</v>
      </c>
      <c r="S272" s="18">
        <f>+R272-N270</f>
        <v>-1735.9999999999991</v>
      </c>
      <c r="T272" s="1"/>
      <c r="U272" s="1"/>
      <c r="V272" s="1"/>
      <c r="W272" s="1"/>
    </row>
    <row r="273" spans="1:23" x14ac:dyDescent="0.25">
      <c r="A273" s="6"/>
      <c r="B273" s="7">
        <v>44208</v>
      </c>
      <c r="C273" s="8" t="s">
        <v>33</v>
      </c>
      <c r="D273" s="8" t="s">
        <v>175</v>
      </c>
      <c r="E273" s="9" t="s">
        <v>176</v>
      </c>
      <c r="F273" s="9" t="s">
        <v>419</v>
      </c>
      <c r="G273" s="17">
        <v>0.87986111111111109</v>
      </c>
      <c r="H273" s="17">
        <v>0.91388888888888886</v>
      </c>
      <c r="I273" s="9">
        <v>9490</v>
      </c>
      <c r="J273" s="9">
        <v>4260</v>
      </c>
      <c r="K273" s="10">
        <f t="shared" si="7"/>
        <v>5230</v>
      </c>
      <c r="L273" s="10">
        <v>26323</v>
      </c>
      <c r="M273" s="11" t="s">
        <v>31</v>
      </c>
      <c r="N273" s="12">
        <v>5230</v>
      </c>
      <c r="O273" s="13" t="s">
        <v>32</v>
      </c>
      <c r="P273" s="14">
        <f>60*30</f>
        <v>1800</v>
      </c>
      <c r="Q273" s="2"/>
      <c r="R273" s="1"/>
      <c r="S273" s="1"/>
      <c r="T273" s="1"/>
      <c r="U273" s="1"/>
      <c r="V273" s="1"/>
      <c r="W273" s="1"/>
    </row>
    <row r="274" spans="1:23" x14ac:dyDescent="0.25">
      <c r="A274" s="6"/>
      <c r="B274" s="7">
        <v>44208</v>
      </c>
      <c r="C274" s="8" t="s">
        <v>37</v>
      </c>
      <c r="D274" s="8" t="s">
        <v>38</v>
      </c>
      <c r="E274" s="9" t="s">
        <v>39</v>
      </c>
      <c r="F274" s="9" t="s">
        <v>419</v>
      </c>
      <c r="G274" s="17">
        <v>0.89166666666666661</v>
      </c>
      <c r="H274" s="17">
        <v>7.6388888888888886E-3</v>
      </c>
      <c r="I274" s="9">
        <v>13745</v>
      </c>
      <c r="J274" s="9">
        <v>6270</v>
      </c>
      <c r="K274" s="10">
        <f t="shared" si="7"/>
        <v>7475</v>
      </c>
      <c r="L274" s="10">
        <v>26324</v>
      </c>
      <c r="M274" s="11" t="s">
        <v>124</v>
      </c>
      <c r="N274" s="12">
        <v>7475</v>
      </c>
      <c r="O274" s="13" t="s">
        <v>32</v>
      </c>
      <c r="P274" s="14"/>
      <c r="Q274" s="2">
        <f>8160*2.2</f>
        <v>17952</v>
      </c>
      <c r="R274" s="1">
        <f>2400+950</f>
        <v>3350</v>
      </c>
      <c r="S274" s="1"/>
      <c r="T274" s="1"/>
      <c r="U274" s="1"/>
      <c r="V274" s="1"/>
      <c r="W274" s="1"/>
    </row>
    <row r="275" spans="1:23" x14ac:dyDescent="0.25">
      <c r="A275" s="6"/>
      <c r="B275" s="7">
        <v>44208</v>
      </c>
      <c r="C275" s="8" t="s">
        <v>213</v>
      </c>
      <c r="D275" s="8" t="s">
        <v>214</v>
      </c>
      <c r="E275" s="9" t="s">
        <v>215</v>
      </c>
      <c r="F275" s="9" t="s">
        <v>36</v>
      </c>
      <c r="G275" s="17">
        <v>0.98888888888888893</v>
      </c>
      <c r="H275" s="17">
        <v>4.1666666666666664E-2</v>
      </c>
      <c r="I275" s="9">
        <v>8970</v>
      </c>
      <c r="J275" s="9">
        <v>4580</v>
      </c>
      <c r="K275" s="10">
        <f t="shared" si="7"/>
        <v>4390</v>
      </c>
      <c r="L275" s="10">
        <v>26325</v>
      </c>
      <c r="M275" s="11" t="s">
        <v>31</v>
      </c>
      <c r="N275" s="12">
        <v>4390</v>
      </c>
      <c r="O275" s="13" t="s">
        <v>32</v>
      </c>
      <c r="P275" s="14"/>
      <c r="Q275" s="2">
        <f>+Q274-980</f>
        <v>16972</v>
      </c>
      <c r="R275" s="1">
        <f>+R274-R272</f>
        <v>-2986.0000000000009</v>
      </c>
      <c r="S275" s="1"/>
      <c r="T275" s="1"/>
      <c r="U275" s="1"/>
      <c r="V275" s="1"/>
      <c r="W275" s="1"/>
    </row>
    <row r="276" spans="1:23" x14ac:dyDescent="0.25">
      <c r="A276" s="6"/>
      <c r="B276" s="7">
        <v>44208</v>
      </c>
      <c r="C276" s="8" t="s">
        <v>213</v>
      </c>
      <c r="D276" s="8" t="s">
        <v>375</v>
      </c>
      <c r="E276" s="9" t="s">
        <v>376</v>
      </c>
      <c r="F276" s="9" t="s">
        <v>36</v>
      </c>
      <c r="G276" s="17">
        <v>0.99305555555555547</v>
      </c>
      <c r="H276" s="17">
        <v>4.3055555555555562E-2</v>
      </c>
      <c r="I276" s="9">
        <v>9260</v>
      </c>
      <c r="J276" s="9">
        <v>4570</v>
      </c>
      <c r="K276" s="10">
        <f t="shared" si="7"/>
        <v>4690</v>
      </c>
      <c r="L276" s="10">
        <v>26326</v>
      </c>
      <c r="M276" s="11" t="s">
        <v>31</v>
      </c>
      <c r="N276" s="12">
        <v>4690</v>
      </c>
      <c r="O276" s="13" t="s">
        <v>32</v>
      </c>
      <c r="P276" s="14"/>
      <c r="Q276" s="1"/>
      <c r="R276" s="1"/>
      <c r="S276" s="1"/>
    </row>
    <row r="277" spans="1:23" x14ac:dyDescent="0.25">
      <c r="A277" s="6"/>
      <c r="B277" s="7">
        <v>44208</v>
      </c>
      <c r="C277" s="8" t="s">
        <v>443</v>
      </c>
      <c r="D277" s="8" t="s">
        <v>464</v>
      </c>
      <c r="E277" s="9" t="s">
        <v>277</v>
      </c>
      <c r="F277" s="9" t="s">
        <v>266</v>
      </c>
      <c r="G277" s="17">
        <v>7.7777777777777779E-2</v>
      </c>
      <c r="H277" s="17">
        <v>8.2638888888888887E-2</v>
      </c>
      <c r="I277" s="9">
        <v>510</v>
      </c>
      <c r="J277" s="9">
        <v>60</v>
      </c>
      <c r="K277" s="10">
        <f t="shared" si="7"/>
        <v>450</v>
      </c>
      <c r="L277" s="10" t="s">
        <v>196</v>
      </c>
      <c r="M277" s="11" t="s">
        <v>195</v>
      </c>
      <c r="N277" s="12">
        <v>450</v>
      </c>
      <c r="O277" s="13" t="s">
        <v>32</v>
      </c>
      <c r="P277" s="14"/>
      <c r="Q277" s="1"/>
      <c r="R277" s="1"/>
      <c r="S277" s="1"/>
    </row>
    <row r="278" spans="1:23" x14ac:dyDescent="0.25">
      <c r="A278" s="6"/>
      <c r="B278" s="7">
        <v>44208</v>
      </c>
      <c r="C278" s="8" t="s">
        <v>142</v>
      </c>
      <c r="D278" s="8" t="s">
        <v>465</v>
      </c>
      <c r="E278" s="9" t="s">
        <v>466</v>
      </c>
      <c r="F278" s="9" t="s">
        <v>52</v>
      </c>
      <c r="G278" s="17">
        <v>0.18680555555555556</v>
      </c>
      <c r="H278" s="17">
        <v>0.20486111111111113</v>
      </c>
      <c r="I278" s="9">
        <v>30900</v>
      </c>
      <c r="J278" s="9">
        <v>15320</v>
      </c>
      <c r="K278" s="10">
        <f t="shared" si="7"/>
        <v>15580</v>
      </c>
      <c r="L278" s="10">
        <v>724</v>
      </c>
      <c r="M278" s="11" t="s">
        <v>442</v>
      </c>
      <c r="N278" s="12">
        <v>16740</v>
      </c>
      <c r="O278" s="13" t="s">
        <v>32</v>
      </c>
      <c r="P278" s="14"/>
      <c r="Q278" s="1"/>
      <c r="R278" s="1"/>
      <c r="S278" s="1"/>
    </row>
    <row r="279" spans="1:23" x14ac:dyDescent="0.25">
      <c r="A279" s="6"/>
      <c r="B279" s="7">
        <v>44208</v>
      </c>
      <c r="C279" s="8" t="s">
        <v>467</v>
      </c>
      <c r="D279" s="8" t="s">
        <v>336</v>
      </c>
      <c r="E279" s="9" t="s">
        <v>337</v>
      </c>
      <c r="F279" s="9" t="s">
        <v>36</v>
      </c>
      <c r="G279" s="17">
        <v>0.21388888888888891</v>
      </c>
      <c r="H279" s="17">
        <v>0.29375000000000001</v>
      </c>
      <c r="I279" s="9">
        <v>20730</v>
      </c>
      <c r="J279" s="9">
        <v>8590</v>
      </c>
      <c r="K279" s="10">
        <f t="shared" si="7"/>
        <v>12140</v>
      </c>
      <c r="L279" s="10">
        <v>9035</v>
      </c>
      <c r="M279" s="11" t="s">
        <v>31</v>
      </c>
      <c r="N279" s="12">
        <f>26798+175</f>
        <v>26973</v>
      </c>
      <c r="O279" s="13" t="s">
        <v>49</v>
      </c>
      <c r="P279" s="14">
        <f>+N279/2.2</f>
        <v>12260.454545454544</v>
      </c>
      <c r="Q279" s="1"/>
      <c r="R279" s="1"/>
      <c r="S279" s="1"/>
    </row>
    <row r="280" spans="1:23" x14ac:dyDescent="0.25">
      <c r="A280" s="6"/>
      <c r="B280" s="15">
        <v>44209</v>
      </c>
      <c r="C280" s="16" t="s">
        <v>469</v>
      </c>
      <c r="D280" s="8" t="s">
        <v>86</v>
      </c>
      <c r="E280" s="9" t="s">
        <v>87</v>
      </c>
      <c r="F280" s="9" t="s">
        <v>88</v>
      </c>
      <c r="G280" s="17">
        <v>0.34930555555555554</v>
      </c>
      <c r="H280" s="17">
        <v>0.43472222222222223</v>
      </c>
      <c r="I280" s="9">
        <v>16360</v>
      </c>
      <c r="J280" s="9">
        <v>40020</v>
      </c>
      <c r="K280" s="10">
        <f t="shared" si="7"/>
        <v>-23660</v>
      </c>
      <c r="L280" s="10">
        <v>5671</v>
      </c>
      <c r="M280" s="11" t="s">
        <v>404</v>
      </c>
      <c r="N280" s="12">
        <v>22500</v>
      </c>
      <c r="O280" s="13" t="s">
        <v>32</v>
      </c>
      <c r="P280" s="14" t="s">
        <v>468</v>
      </c>
      <c r="Q280" s="1"/>
      <c r="R280" s="1"/>
      <c r="S280" s="1"/>
    </row>
    <row r="281" spans="1:23" s="1" customFormat="1" x14ac:dyDescent="0.25">
      <c r="A281" s="6"/>
      <c r="B281" s="7">
        <v>44209</v>
      </c>
      <c r="C281" s="8" t="s">
        <v>164</v>
      </c>
      <c r="D281" s="8" t="s">
        <v>94</v>
      </c>
      <c r="E281" s="9" t="s">
        <v>172</v>
      </c>
      <c r="F281" s="9" t="s">
        <v>173</v>
      </c>
      <c r="G281" s="17">
        <v>0.35347222222222219</v>
      </c>
      <c r="H281" s="17">
        <v>0.37638888888888888</v>
      </c>
      <c r="I281" s="9">
        <v>6330</v>
      </c>
      <c r="J281" s="9">
        <v>16870</v>
      </c>
      <c r="K281" s="10">
        <f t="shared" ref="K281" si="8">+I281-J281</f>
        <v>-10540</v>
      </c>
      <c r="L281" s="10">
        <v>15234</v>
      </c>
      <c r="M281" s="11" t="s">
        <v>166</v>
      </c>
      <c r="N281" s="12">
        <v>210</v>
      </c>
      <c r="O281" s="13" t="s">
        <v>54</v>
      </c>
      <c r="P281" s="14">
        <v>12140</v>
      </c>
      <c r="Q281" s="1">
        <f>+P281*2.2</f>
        <v>26708.000000000004</v>
      </c>
      <c r="R281" s="1">
        <f>+Q281-2000</f>
        <v>24708.000000000004</v>
      </c>
    </row>
    <row r="282" spans="1:23" x14ac:dyDescent="0.25">
      <c r="A282" s="6"/>
      <c r="B282" s="7">
        <v>44209</v>
      </c>
      <c r="C282" s="8" t="s">
        <v>130</v>
      </c>
      <c r="D282" s="8" t="s">
        <v>217</v>
      </c>
      <c r="E282" s="9" t="s">
        <v>218</v>
      </c>
      <c r="F282" s="9" t="s">
        <v>36</v>
      </c>
      <c r="G282" s="17">
        <v>0.3840277777777778</v>
      </c>
      <c r="H282" s="17">
        <v>0.40833333333333338</v>
      </c>
      <c r="I282" s="9">
        <v>46020</v>
      </c>
      <c r="J282" s="9">
        <v>19470</v>
      </c>
      <c r="K282" s="10">
        <f t="shared" si="7"/>
        <v>26550</v>
      </c>
      <c r="L282" s="10">
        <v>5156</v>
      </c>
      <c r="M282" s="11" t="s">
        <v>31</v>
      </c>
      <c r="N282" s="12">
        <v>26550</v>
      </c>
      <c r="O282" s="13" t="s">
        <v>32</v>
      </c>
      <c r="P282" s="14"/>
      <c r="Q282" s="1"/>
      <c r="R282" s="1"/>
      <c r="S282" s="1"/>
    </row>
    <row r="283" spans="1:23" x14ac:dyDescent="0.25">
      <c r="A283" s="6"/>
      <c r="B283" s="7">
        <v>44209</v>
      </c>
      <c r="C283" s="8" t="s">
        <v>164</v>
      </c>
      <c r="D283" s="8" t="s">
        <v>284</v>
      </c>
      <c r="E283" s="9" t="s">
        <v>285</v>
      </c>
      <c r="F283" s="9" t="s">
        <v>286</v>
      </c>
      <c r="G283" s="17">
        <v>0.38472222222222219</v>
      </c>
      <c r="H283" s="17">
        <v>0.43124999999999997</v>
      </c>
      <c r="I283" s="9">
        <v>15850</v>
      </c>
      <c r="J283" s="9">
        <v>41160</v>
      </c>
      <c r="K283" s="10">
        <f t="shared" si="7"/>
        <v>-25310</v>
      </c>
      <c r="L283" s="10">
        <v>15235</v>
      </c>
      <c r="M283" s="11" t="s">
        <v>166</v>
      </c>
      <c r="N283" s="12">
        <v>504</v>
      </c>
      <c r="O283" s="13" t="s">
        <v>54</v>
      </c>
      <c r="P283" s="14"/>
      <c r="Q283" s="1"/>
      <c r="R283" s="1"/>
      <c r="S283" s="1"/>
    </row>
    <row r="284" spans="1:23" x14ac:dyDescent="0.25">
      <c r="A284" s="6"/>
      <c r="B284" s="7">
        <v>44209</v>
      </c>
      <c r="C284" s="8" t="s">
        <v>33</v>
      </c>
      <c r="D284" s="8" t="s">
        <v>175</v>
      </c>
      <c r="E284" s="9" t="s">
        <v>176</v>
      </c>
      <c r="F284" s="9" t="s">
        <v>419</v>
      </c>
      <c r="G284" s="17">
        <v>0.4291666666666667</v>
      </c>
      <c r="H284" s="17">
        <v>0.4548611111111111</v>
      </c>
      <c r="I284" s="9">
        <v>6920</v>
      </c>
      <c r="J284" s="9">
        <v>4280</v>
      </c>
      <c r="K284" s="10">
        <f t="shared" si="7"/>
        <v>2640</v>
      </c>
      <c r="L284" s="10">
        <v>26327</v>
      </c>
      <c r="M284" s="11" t="s">
        <v>31</v>
      </c>
      <c r="N284" s="12">
        <v>2640</v>
      </c>
      <c r="O284" s="13" t="s">
        <v>32</v>
      </c>
      <c r="P284" s="14"/>
      <c r="Q284" s="1"/>
      <c r="R284" s="1"/>
      <c r="S284" s="1"/>
    </row>
    <row r="285" spans="1:23" x14ac:dyDescent="0.25">
      <c r="A285" s="6"/>
      <c r="B285" s="7">
        <v>44209</v>
      </c>
      <c r="C285" s="8" t="s">
        <v>114</v>
      </c>
      <c r="D285" s="8" t="s">
        <v>450</v>
      </c>
      <c r="E285" s="9" t="s">
        <v>451</v>
      </c>
      <c r="F285" s="9" t="s">
        <v>36</v>
      </c>
      <c r="G285" s="17">
        <v>0.4458333333333333</v>
      </c>
      <c r="H285" s="17">
        <v>0.50694444444444442</v>
      </c>
      <c r="I285" s="9">
        <v>8750</v>
      </c>
      <c r="J285" s="9">
        <v>3900</v>
      </c>
      <c r="K285" s="10">
        <f t="shared" si="7"/>
        <v>4850</v>
      </c>
      <c r="L285" s="10">
        <v>26328</v>
      </c>
      <c r="M285" s="11" t="s">
        <v>31</v>
      </c>
      <c r="N285" s="12">
        <v>4850</v>
      </c>
      <c r="O285" s="13" t="s">
        <v>32</v>
      </c>
      <c r="P285" s="14"/>
      <c r="Q285" s="1"/>
      <c r="R285" s="1"/>
      <c r="S285" s="1"/>
    </row>
    <row r="286" spans="1:23" x14ac:dyDescent="0.25">
      <c r="A286" s="6"/>
      <c r="B286" s="7">
        <v>44209</v>
      </c>
      <c r="C286" s="8" t="s">
        <v>164</v>
      </c>
      <c r="D286" s="8" t="s">
        <v>94</v>
      </c>
      <c r="E286" s="9" t="s">
        <v>172</v>
      </c>
      <c r="F286" s="9" t="s">
        <v>173</v>
      </c>
      <c r="G286" s="17">
        <v>0.45416666666666666</v>
      </c>
      <c r="H286" s="17">
        <v>0.5</v>
      </c>
      <c r="I286" s="9">
        <v>6310</v>
      </c>
      <c r="J286" s="9">
        <v>16930</v>
      </c>
      <c r="K286" s="10">
        <f t="shared" si="7"/>
        <v>-10620</v>
      </c>
      <c r="L286" s="10">
        <v>15236</v>
      </c>
      <c r="M286" s="11" t="s">
        <v>166</v>
      </c>
      <c r="N286" s="12">
        <v>210</v>
      </c>
      <c r="O286" s="13" t="s">
        <v>54</v>
      </c>
      <c r="P286" s="14"/>
      <c r="Q286" s="1"/>
      <c r="R286" s="1"/>
      <c r="S286" s="1"/>
    </row>
    <row r="287" spans="1:23" x14ac:dyDescent="0.25">
      <c r="A287" s="6"/>
      <c r="B287" s="7">
        <v>44209</v>
      </c>
      <c r="C287" s="8" t="s">
        <v>169</v>
      </c>
      <c r="D287" s="8" t="s">
        <v>34</v>
      </c>
      <c r="E287" s="9" t="s">
        <v>35</v>
      </c>
      <c r="F287" s="9" t="s">
        <v>419</v>
      </c>
      <c r="G287" s="17">
        <v>0.49513888888888885</v>
      </c>
      <c r="H287" s="17">
        <v>0.52708333333333335</v>
      </c>
      <c r="I287" s="9">
        <v>13440</v>
      </c>
      <c r="J287" s="9">
        <v>5340</v>
      </c>
      <c r="K287" s="10">
        <f t="shared" si="7"/>
        <v>8100</v>
      </c>
      <c r="L287" s="10">
        <v>3256</v>
      </c>
      <c r="M287" s="11" t="s">
        <v>31</v>
      </c>
      <c r="N287" s="12">
        <v>8100</v>
      </c>
      <c r="O287" s="13" t="s">
        <v>32</v>
      </c>
      <c r="P287" s="14"/>
      <c r="Q287" s="1"/>
      <c r="R287" s="1"/>
      <c r="S287" s="1"/>
    </row>
    <row r="288" spans="1:23" x14ac:dyDescent="0.25">
      <c r="A288" s="6"/>
      <c r="B288" s="7">
        <v>44209</v>
      </c>
      <c r="C288" s="8" t="s">
        <v>169</v>
      </c>
      <c r="D288" s="8" t="s">
        <v>426</v>
      </c>
      <c r="E288" s="9" t="s">
        <v>203</v>
      </c>
      <c r="F288" s="9" t="s">
        <v>419</v>
      </c>
      <c r="G288" s="17">
        <v>0.51180555555555551</v>
      </c>
      <c r="H288" s="17">
        <v>0.5625</v>
      </c>
      <c r="I288" s="9">
        <v>8730</v>
      </c>
      <c r="J288" s="9">
        <v>4150</v>
      </c>
      <c r="K288" s="10">
        <f t="shared" si="7"/>
        <v>4580</v>
      </c>
      <c r="L288" s="10">
        <v>3258</v>
      </c>
      <c r="M288" s="11" t="s">
        <v>31</v>
      </c>
      <c r="N288" s="12">
        <v>4580</v>
      </c>
      <c r="O288" s="13" t="s">
        <v>32</v>
      </c>
      <c r="P288" s="14"/>
      <c r="Q288" s="1"/>
      <c r="R288" s="1"/>
      <c r="S288" s="1"/>
    </row>
    <row r="289" spans="1:19" x14ac:dyDescent="0.25">
      <c r="A289" s="6"/>
      <c r="B289" s="7">
        <v>44209</v>
      </c>
      <c r="C289" s="8" t="s">
        <v>424</v>
      </c>
      <c r="D289" s="8" t="s">
        <v>284</v>
      </c>
      <c r="E289" s="9" t="s">
        <v>285</v>
      </c>
      <c r="F289" s="9" t="s">
        <v>286</v>
      </c>
      <c r="G289" s="17">
        <v>0.55486111111111114</v>
      </c>
      <c r="H289" s="17">
        <v>0.68888888888888899</v>
      </c>
      <c r="I289" s="9">
        <v>14760</v>
      </c>
      <c r="J289" s="9">
        <v>50010</v>
      </c>
      <c r="K289" s="10">
        <f t="shared" si="7"/>
        <v>-35250</v>
      </c>
      <c r="L289" s="10">
        <v>5673</v>
      </c>
      <c r="M289" s="11" t="s">
        <v>53</v>
      </c>
      <c r="N289" s="12">
        <v>700</v>
      </c>
      <c r="O289" s="13" t="s">
        <v>54</v>
      </c>
      <c r="P289" s="14"/>
      <c r="Q289" s="1"/>
      <c r="R289" s="1"/>
      <c r="S289" s="1"/>
    </row>
    <row r="290" spans="1:19" x14ac:dyDescent="0.25">
      <c r="A290" s="6"/>
      <c r="B290" s="7">
        <v>44209</v>
      </c>
      <c r="C290" s="8" t="s">
        <v>470</v>
      </c>
      <c r="D290" s="8" t="s">
        <v>301</v>
      </c>
      <c r="E290" s="9" t="s">
        <v>471</v>
      </c>
      <c r="F290" s="9" t="s">
        <v>419</v>
      </c>
      <c r="G290" s="17">
        <v>0.57013888888888886</v>
      </c>
      <c r="H290" s="17">
        <v>0.62777777777777777</v>
      </c>
      <c r="I290" s="9">
        <v>16380</v>
      </c>
      <c r="J290" s="9">
        <v>47760</v>
      </c>
      <c r="K290" s="10">
        <f t="shared" si="7"/>
        <v>-31380</v>
      </c>
      <c r="L290" s="10">
        <v>5672</v>
      </c>
      <c r="M290" s="11" t="s">
        <v>53</v>
      </c>
      <c r="N290" s="12">
        <v>600</v>
      </c>
      <c r="O290" s="13" t="s">
        <v>54</v>
      </c>
      <c r="P290" s="14"/>
      <c r="Q290" s="1"/>
      <c r="R290" s="1"/>
      <c r="S290" s="1"/>
    </row>
    <row r="291" spans="1:19" x14ac:dyDescent="0.25">
      <c r="A291" s="6"/>
      <c r="B291" s="7">
        <v>44209</v>
      </c>
      <c r="C291" s="8" t="s">
        <v>474</v>
      </c>
      <c r="D291" s="8" t="s">
        <v>143</v>
      </c>
      <c r="E291" s="9" t="s">
        <v>144</v>
      </c>
      <c r="F291" s="9" t="s">
        <v>239</v>
      </c>
      <c r="G291" s="17">
        <v>0.57777777777777783</v>
      </c>
      <c r="H291" s="17">
        <v>0.76388888888888884</v>
      </c>
      <c r="I291" s="9">
        <v>15280</v>
      </c>
      <c r="J291" s="9">
        <v>50380</v>
      </c>
      <c r="K291" s="10">
        <f t="shared" si="7"/>
        <v>-35100</v>
      </c>
      <c r="L291" s="10">
        <v>5675</v>
      </c>
      <c r="M291" s="11" t="s">
        <v>53</v>
      </c>
      <c r="N291" s="12">
        <v>700</v>
      </c>
      <c r="O291" s="13" t="s">
        <v>54</v>
      </c>
      <c r="P291" s="14"/>
    </row>
    <row r="292" spans="1:19" x14ac:dyDescent="0.25">
      <c r="A292" s="6"/>
      <c r="B292" s="7">
        <v>44209</v>
      </c>
      <c r="C292" s="8" t="s">
        <v>424</v>
      </c>
      <c r="D292" s="8" t="s">
        <v>472</v>
      </c>
      <c r="E292" s="9" t="s">
        <v>473</v>
      </c>
      <c r="F292" s="9" t="s">
        <v>419</v>
      </c>
      <c r="G292" s="17">
        <v>0.58472222222222225</v>
      </c>
      <c r="H292" s="17">
        <v>0.76041666666666663</v>
      </c>
      <c r="I292" s="9">
        <v>17080</v>
      </c>
      <c r="J292" s="9">
        <v>52220</v>
      </c>
      <c r="K292" s="10">
        <f t="shared" si="7"/>
        <v>-35140</v>
      </c>
      <c r="L292" s="10">
        <v>5674</v>
      </c>
      <c r="M292" s="11" t="s">
        <v>53</v>
      </c>
      <c r="N292" s="12">
        <v>700</v>
      </c>
      <c r="O292" s="13" t="s">
        <v>54</v>
      </c>
      <c r="P292" s="14"/>
    </row>
    <row r="293" spans="1:19" x14ac:dyDescent="0.25">
      <c r="A293" s="6"/>
      <c r="B293" s="7">
        <v>44209</v>
      </c>
      <c r="C293" s="8" t="s">
        <v>475</v>
      </c>
      <c r="D293" s="8" t="s">
        <v>476</v>
      </c>
      <c r="E293" s="9" t="s">
        <v>477</v>
      </c>
      <c r="F293" s="9" t="s">
        <v>154</v>
      </c>
      <c r="G293" s="17">
        <v>0.62013888888888891</v>
      </c>
      <c r="H293" s="17">
        <v>0.62986111111111109</v>
      </c>
      <c r="I293" s="9">
        <v>2890</v>
      </c>
      <c r="J293" s="9">
        <v>2410</v>
      </c>
      <c r="K293" s="10">
        <f t="shared" si="7"/>
        <v>480</v>
      </c>
      <c r="L293" s="10">
        <v>139176</v>
      </c>
      <c r="M293" s="11" t="s">
        <v>478</v>
      </c>
      <c r="N293" s="12">
        <v>3862</v>
      </c>
      <c r="O293" s="13" t="s">
        <v>54</v>
      </c>
      <c r="P293" s="14"/>
    </row>
    <row r="294" spans="1:19" x14ac:dyDescent="0.25">
      <c r="A294" s="6"/>
      <c r="B294" s="7">
        <v>44209</v>
      </c>
      <c r="C294" s="8" t="s">
        <v>164</v>
      </c>
      <c r="D294" s="8" t="s">
        <v>94</v>
      </c>
      <c r="E294" s="9" t="s">
        <v>172</v>
      </c>
      <c r="F294" s="9" t="s">
        <v>173</v>
      </c>
      <c r="G294" s="17">
        <v>0.63194444444444442</v>
      </c>
      <c r="H294" s="17">
        <v>0.67708333333333337</v>
      </c>
      <c r="I294" s="9">
        <v>6420</v>
      </c>
      <c r="J294" s="9">
        <v>16940</v>
      </c>
      <c r="K294" s="10">
        <f t="shared" si="7"/>
        <v>-10520</v>
      </c>
      <c r="L294" s="10">
        <v>15237</v>
      </c>
      <c r="M294" s="11" t="s">
        <v>166</v>
      </c>
      <c r="N294" s="12">
        <v>210</v>
      </c>
      <c r="O294" s="13" t="s">
        <v>54</v>
      </c>
      <c r="P294" s="14"/>
    </row>
    <row r="295" spans="1:19" x14ac:dyDescent="0.25">
      <c r="A295" s="6"/>
      <c r="B295" s="7">
        <v>44209</v>
      </c>
      <c r="C295" s="8" t="s">
        <v>164</v>
      </c>
      <c r="D295" s="8" t="s">
        <v>479</v>
      </c>
      <c r="E295" s="9" t="s">
        <v>95</v>
      </c>
      <c r="F295" s="9" t="s">
        <v>480</v>
      </c>
      <c r="G295" s="17">
        <v>0.63750000000000007</v>
      </c>
      <c r="H295" s="17">
        <v>0.67986111111111114</v>
      </c>
      <c r="I295" s="9">
        <v>6550</v>
      </c>
      <c r="J295" s="9">
        <v>17090</v>
      </c>
      <c r="K295" s="10">
        <f t="shared" si="7"/>
        <v>-10540</v>
      </c>
      <c r="L295" s="10">
        <v>15238</v>
      </c>
      <c r="M295" s="11" t="s">
        <v>166</v>
      </c>
      <c r="N295" s="12">
        <v>210</v>
      </c>
      <c r="O295" s="13" t="s">
        <v>54</v>
      </c>
      <c r="P295" s="14"/>
    </row>
    <row r="296" spans="1:19" x14ac:dyDescent="0.25">
      <c r="A296" s="6"/>
      <c r="B296" s="7">
        <v>44209</v>
      </c>
      <c r="C296" s="8" t="s">
        <v>213</v>
      </c>
      <c r="D296" s="8" t="s">
        <v>375</v>
      </c>
      <c r="E296" s="9" t="s">
        <v>376</v>
      </c>
      <c r="F296" s="9" t="s">
        <v>36</v>
      </c>
      <c r="G296" s="17">
        <v>0.64097222222222217</v>
      </c>
      <c r="H296" s="17">
        <v>0.68680555555555556</v>
      </c>
      <c r="I296" s="9">
        <v>9770</v>
      </c>
      <c r="J296" s="9">
        <v>4590</v>
      </c>
      <c r="K296" s="10">
        <f t="shared" si="7"/>
        <v>5180</v>
      </c>
      <c r="L296" s="10">
        <v>26329</v>
      </c>
      <c r="M296" s="11" t="s">
        <v>31</v>
      </c>
      <c r="N296" s="12">
        <v>5180</v>
      </c>
      <c r="O296" s="13" t="s">
        <v>54</v>
      </c>
      <c r="P296" s="14"/>
    </row>
    <row r="297" spans="1:19" x14ac:dyDescent="0.25">
      <c r="A297" s="6"/>
      <c r="B297" s="7">
        <v>44209</v>
      </c>
      <c r="C297" s="8" t="s">
        <v>481</v>
      </c>
      <c r="D297" s="8" t="s">
        <v>482</v>
      </c>
      <c r="E297" s="9" t="s">
        <v>483</v>
      </c>
      <c r="F297" s="9" t="s">
        <v>484</v>
      </c>
      <c r="G297" s="17">
        <v>0.70347222222222217</v>
      </c>
      <c r="H297" s="17">
        <v>0.78194444444444444</v>
      </c>
      <c r="I297" s="9">
        <v>12580</v>
      </c>
      <c r="J297" s="9">
        <v>4940</v>
      </c>
      <c r="K297" s="10">
        <f t="shared" si="7"/>
        <v>7640</v>
      </c>
      <c r="L297" s="10" t="s">
        <v>485</v>
      </c>
      <c r="M297" s="11" t="s">
        <v>31</v>
      </c>
      <c r="N297" s="12">
        <v>20376</v>
      </c>
      <c r="O297" s="13" t="s">
        <v>49</v>
      </c>
      <c r="P297" s="14"/>
    </row>
    <row r="298" spans="1:19" x14ac:dyDescent="0.25">
      <c r="A298" s="6"/>
      <c r="B298" s="7">
        <v>44209</v>
      </c>
      <c r="C298" s="8" t="s">
        <v>130</v>
      </c>
      <c r="D298" s="8" t="s">
        <v>131</v>
      </c>
      <c r="E298" s="9" t="s">
        <v>149</v>
      </c>
      <c r="F298" s="9" t="s">
        <v>36</v>
      </c>
      <c r="G298" s="17">
        <v>0.73263888888888884</v>
      </c>
      <c r="H298" s="17">
        <v>0.76736111111111116</v>
      </c>
      <c r="I298" s="9">
        <v>47130</v>
      </c>
      <c r="J298" s="9">
        <v>18820</v>
      </c>
      <c r="K298" s="10">
        <f t="shared" si="7"/>
        <v>28310</v>
      </c>
      <c r="L298" s="10">
        <v>5157</v>
      </c>
      <c r="M298" s="11" t="s">
        <v>31</v>
      </c>
      <c r="N298" s="12">
        <v>28380</v>
      </c>
      <c r="O298" s="13" t="s">
        <v>32</v>
      </c>
      <c r="P298" s="14"/>
    </row>
    <row r="299" spans="1:19" x14ac:dyDescent="0.25">
      <c r="A299" s="6"/>
      <c r="B299" s="7">
        <v>44209</v>
      </c>
      <c r="C299" s="8" t="s">
        <v>64</v>
      </c>
      <c r="D299" s="8" t="s">
        <v>455</v>
      </c>
      <c r="E299" s="9" t="s">
        <v>234</v>
      </c>
      <c r="F299" s="9" t="s">
        <v>36</v>
      </c>
      <c r="G299" s="17">
        <v>0.75</v>
      </c>
      <c r="H299" s="17">
        <v>0.79375000000000007</v>
      </c>
      <c r="I299" s="9">
        <v>9170</v>
      </c>
      <c r="J299" s="9">
        <v>3910</v>
      </c>
      <c r="K299" s="10">
        <f t="shared" si="7"/>
        <v>5260</v>
      </c>
      <c r="L299" s="10">
        <v>4029</v>
      </c>
      <c r="M299" s="11" t="s">
        <v>31</v>
      </c>
      <c r="N299" s="12">
        <f>12236.5+125</f>
        <v>12361.5</v>
      </c>
      <c r="O299" s="13" t="s">
        <v>49</v>
      </c>
      <c r="P299" s="14"/>
    </row>
    <row r="300" spans="1:19" x14ac:dyDescent="0.25">
      <c r="A300" s="6"/>
      <c r="B300" s="7">
        <v>44209</v>
      </c>
      <c r="C300" s="8" t="s">
        <v>213</v>
      </c>
      <c r="D300" s="8" t="s">
        <v>489</v>
      </c>
      <c r="E300" s="9" t="s">
        <v>171</v>
      </c>
      <c r="F300" s="9" t="s">
        <v>36</v>
      </c>
      <c r="G300" s="17">
        <v>0.75069444444444444</v>
      </c>
      <c r="H300" s="17">
        <v>0.80694444444444446</v>
      </c>
      <c r="I300" s="9">
        <v>10370</v>
      </c>
      <c r="J300" s="9">
        <v>4590</v>
      </c>
      <c r="K300" s="10">
        <f t="shared" si="7"/>
        <v>5780</v>
      </c>
      <c r="L300" s="10">
        <v>26331</v>
      </c>
      <c r="M300" s="11" t="s">
        <v>31</v>
      </c>
      <c r="N300" s="12">
        <v>5780</v>
      </c>
      <c r="O300" s="13" t="s">
        <v>32</v>
      </c>
      <c r="P300" s="14"/>
    </row>
    <row r="301" spans="1:19" x14ac:dyDescent="0.25">
      <c r="A301" s="6"/>
      <c r="B301" s="7">
        <v>44209</v>
      </c>
      <c r="C301" s="8" t="s">
        <v>33</v>
      </c>
      <c r="D301" s="8" t="s">
        <v>175</v>
      </c>
      <c r="E301" s="9" t="s">
        <v>176</v>
      </c>
      <c r="F301" s="9" t="s">
        <v>419</v>
      </c>
      <c r="G301" s="17">
        <v>0.75138888888888899</v>
      </c>
      <c r="H301" s="17">
        <v>0.79166666666666663</v>
      </c>
      <c r="I301" s="9">
        <v>9120</v>
      </c>
      <c r="J301" s="9">
        <v>4270</v>
      </c>
      <c r="K301" s="10">
        <f t="shared" si="7"/>
        <v>4850</v>
      </c>
      <c r="L301" s="10">
        <v>26330</v>
      </c>
      <c r="M301" s="11" t="s">
        <v>31</v>
      </c>
      <c r="N301" s="12">
        <v>4850</v>
      </c>
      <c r="O301" s="13" t="s">
        <v>32</v>
      </c>
      <c r="P301" s="14"/>
    </row>
    <row r="302" spans="1:19" x14ac:dyDescent="0.25">
      <c r="A302" s="6"/>
      <c r="B302" s="7">
        <v>44209</v>
      </c>
      <c r="C302" s="8" t="s">
        <v>486</v>
      </c>
      <c r="D302" s="8" t="s">
        <v>458</v>
      </c>
      <c r="E302" s="9" t="s">
        <v>45</v>
      </c>
      <c r="F302" s="9" t="s">
        <v>459</v>
      </c>
      <c r="G302" s="17">
        <v>0.78472222222222221</v>
      </c>
      <c r="H302" s="17">
        <v>0.92499999999999993</v>
      </c>
      <c r="I302" s="9">
        <v>12050</v>
      </c>
      <c r="J302" s="9">
        <v>8180</v>
      </c>
      <c r="K302" s="10">
        <f t="shared" si="7"/>
        <v>3870</v>
      </c>
      <c r="L302" s="10" t="s">
        <v>487</v>
      </c>
      <c r="M302" s="11" t="s">
        <v>488</v>
      </c>
      <c r="N302" s="12">
        <f>5336+4411</f>
        <v>9747</v>
      </c>
      <c r="O302" s="13" t="s">
        <v>49</v>
      </c>
      <c r="P302" s="14"/>
    </row>
    <row r="303" spans="1:19" x14ac:dyDescent="0.25">
      <c r="A303" s="6"/>
      <c r="B303" s="7">
        <v>44209</v>
      </c>
      <c r="C303" s="8" t="s">
        <v>33</v>
      </c>
      <c r="D303" s="8" t="s">
        <v>34</v>
      </c>
      <c r="E303" s="9" t="s">
        <v>35</v>
      </c>
      <c r="F303" s="9" t="s">
        <v>419</v>
      </c>
      <c r="G303" s="17">
        <v>0.7993055555555556</v>
      </c>
      <c r="H303" s="17">
        <v>0.82361111111111107</v>
      </c>
      <c r="I303" s="9">
        <v>13080</v>
      </c>
      <c r="J303" s="9">
        <v>5300</v>
      </c>
      <c r="K303" s="10">
        <f t="shared" si="7"/>
        <v>7780</v>
      </c>
      <c r="L303" s="10">
        <v>26332</v>
      </c>
      <c r="M303" s="11" t="s">
        <v>31</v>
      </c>
      <c r="N303" s="12">
        <v>7780</v>
      </c>
      <c r="O303" s="13" t="s">
        <v>32</v>
      </c>
      <c r="P303" s="14"/>
    </row>
    <row r="304" spans="1:19" x14ac:dyDescent="0.25">
      <c r="A304" s="6"/>
      <c r="B304" s="7">
        <v>44209</v>
      </c>
      <c r="C304" s="8" t="s">
        <v>64</v>
      </c>
      <c r="D304" s="8" t="s">
        <v>249</v>
      </c>
      <c r="E304" s="9" t="s">
        <v>250</v>
      </c>
      <c r="F304" s="9" t="s">
        <v>419</v>
      </c>
      <c r="G304" s="17">
        <v>0.79999999999999993</v>
      </c>
      <c r="H304" s="17">
        <v>0.83819444444444446</v>
      </c>
      <c r="I304" s="9">
        <v>8290</v>
      </c>
      <c r="J304" s="9">
        <v>3770</v>
      </c>
      <c r="K304" s="10">
        <f t="shared" si="7"/>
        <v>4520</v>
      </c>
      <c r="L304" s="10">
        <v>4030</v>
      </c>
      <c r="M304" s="11" t="s">
        <v>31</v>
      </c>
      <c r="N304" s="12">
        <f>10285.3+25</f>
        <v>10310.299999999999</v>
      </c>
      <c r="O304" s="13" t="s">
        <v>49</v>
      </c>
      <c r="P304" s="14">
        <f>7780*2.2</f>
        <v>17116</v>
      </c>
    </row>
    <row r="305" spans="1:18" x14ac:dyDescent="0.25">
      <c r="A305" s="6"/>
      <c r="B305" s="7">
        <v>44209</v>
      </c>
      <c r="C305" s="8" t="s">
        <v>208</v>
      </c>
      <c r="D305" s="8" t="s">
        <v>299</v>
      </c>
      <c r="E305" s="9" t="s">
        <v>490</v>
      </c>
      <c r="F305" s="9" t="s">
        <v>491</v>
      </c>
      <c r="G305" s="17">
        <v>0.83124999999999993</v>
      </c>
      <c r="H305" s="17">
        <v>0.3444444444444445</v>
      </c>
      <c r="I305" s="9">
        <v>41110</v>
      </c>
      <c r="J305" s="9">
        <v>17840</v>
      </c>
      <c r="K305" s="10">
        <f t="shared" si="7"/>
        <v>23270</v>
      </c>
      <c r="L305" s="10">
        <v>39803</v>
      </c>
      <c r="M305" s="11" t="s">
        <v>212</v>
      </c>
      <c r="N305" s="12">
        <v>23320</v>
      </c>
      <c r="O305" s="13" t="s">
        <v>32</v>
      </c>
      <c r="P305" s="14"/>
    </row>
    <row r="306" spans="1:18" x14ac:dyDescent="0.25">
      <c r="A306" s="6"/>
      <c r="B306" s="7">
        <v>44209</v>
      </c>
      <c r="C306" s="8" t="s">
        <v>33</v>
      </c>
      <c r="D306" s="8" t="s">
        <v>426</v>
      </c>
      <c r="E306" s="9" t="s">
        <v>203</v>
      </c>
      <c r="F306" s="9" t="s">
        <v>419</v>
      </c>
      <c r="G306" s="17">
        <v>0.83680555555555547</v>
      </c>
      <c r="H306" s="17">
        <v>0.8833333333333333</v>
      </c>
      <c r="I306" s="9">
        <v>8710</v>
      </c>
      <c r="J306" s="9">
        <v>4150</v>
      </c>
      <c r="K306" s="10">
        <f t="shared" si="7"/>
        <v>4560</v>
      </c>
      <c r="L306" s="10">
        <v>26333</v>
      </c>
      <c r="M306" s="11" t="s">
        <v>31</v>
      </c>
      <c r="N306" s="12">
        <v>4560</v>
      </c>
      <c r="O306" s="13" t="s">
        <v>32</v>
      </c>
      <c r="P306" s="14">
        <f>15*30</f>
        <v>450</v>
      </c>
    </row>
    <row r="307" spans="1:18" x14ac:dyDescent="0.25">
      <c r="A307" s="6"/>
      <c r="B307" s="7">
        <v>44209</v>
      </c>
      <c r="C307" s="8" t="s">
        <v>493</v>
      </c>
      <c r="D307" s="8" t="s">
        <v>61</v>
      </c>
      <c r="E307" s="9" t="s">
        <v>62</v>
      </c>
      <c r="F307" s="9" t="s">
        <v>419</v>
      </c>
      <c r="G307" s="17">
        <v>0.88263888888888886</v>
      </c>
      <c r="H307" s="17">
        <v>0.92222222222222217</v>
      </c>
      <c r="I307" s="9">
        <v>8410</v>
      </c>
      <c r="J307" s="9">
        <v>3410</v>
      </c>
      <c r="K307" s="10">
        <f t="shared" si="7"/>
        <v>5000</v>
      </c>
      <c r="L307" s="10" t="s">
        <v>494</v>
      </c>
      <c r="M307" s="11" t="s">
        <v>31</v>
      </c>
      <c r="N307" s="12">
        <v>5000</v>
      </c>
      <c r="O307" s="13" t="s">
        <v>32</v>
      </c>
      <c r="P307" s="14"/>
      <c r="Q307">
        <f>4560*2.2</f>
        <v>10032</v>
      </c>
      <c r="R307">
        <f>+Q307-450</f>
        <v>9582</v>
      </c>
    </row>
    <row r="308" spans="1:18" x14ac:dyDescent="0.25">
      <c r="A308" s="6"/>
      <c r="B308" s="7">
        <v>44209</v>
      </c>
      <c r="C308" s="8" t="s">
        <v>37</v>
      </c>
      <c r="D308" s="8" t="s">
        <v>38</v>
      </c>
      <c r="E308" s="9" t="s">
        <v>39</v>
      </c>
      <c r="F308" s="9" t="s">
        <v>419</v>
      </c>
      <c r="G308" s="17">
        <v>0.89374999999999993</v>
      </c>
      <c r="H308" s="17">
        <v>0.9590277777777777</v>
      </c>
      <c r="I308" s="9">
        <v>13025</v>
      </c>
      <c r="J308" s="9">
        <v>6150</v>
      </c>
      <c r="K308" s="10">
        <f t="shared" si="7"/>
        <v>6875</v>
      </c>
      <c r="L308" s="10">
        <v>26336</v>
      </c>
      <c r="M308" s="11" t="s">
        <v>492</v>
      </c>
      <c r="N308" s="12">
        <v>6875</v>
      </c>
      <c r="O308" s="13" t="s">
        <v>32</v>
      </c>
      <c r="P308" s="14"/>
    </row>
    <row r="309" spans="1:18" x14ac:dyDescent="0.25">
      <c r="A309" s="6"/>
      <c r="B309" s="7">
        <v>44209</v>
      </c>
      <c r="C309" s="8" t="s">
        <v>213</v>
      </c>
      <c r="D309" s="8" t="s">
        <v>375</v>
      </c>
      <c r="E309" s="9" t="s">
        <v>376</v>
      </c>
      <c r="F309" s="9" t="s">
        <v>36</v>
      </c>
      <c r="G309" s="17">
        <v>0.97361111111111109</v>
      </c>
      <c r="H309" s="17">
        <v>4.1666666666666666E-3</v>
      </c>
      <c r="I309" s="9">
        <v>10080</v>
      </c>
      <c r="J309" s="9">
        <v>4550</v>
      </c>
      <c r="K309" s="10">
        <f t="shared" si="7"/>
        <v>5530</v>
      </c>
      <c r="L309" s="10">
        <v>26337</v>
      </c>
      <c r="M309" s="11" t="s">
        <v>31</v>
      </c>
      <c r="N309" s="12">
        <v>5530</v>
      </c>
      <c r="O309" s="13" t="s">
        <v>32</v>
      </c>
      <c r="P309" s="14"/>
    </row>
    <row r="310" spans="1:18" x14ac:dyDescent="0.25">
      <c r="A310" s="6"/>
      <c r="B310" s="7">
        <v>44210</v>
      </c>
      <c r="C310" s="8" t="s">
        <v>130</v>
      </c>
      <c r="D310" s="8" t="s">
        <v>356</v>
      </c>
      <c r="E310" s="9" t="s">
        <v>163</v>
      </c>
      <c r="F310" s="9" t="s">
        <v>36</v>
      </c>
      <c r="G310" s="17">
        <v>3.0555555555555555E-2</v>
      </c>
      <c r="H310" s="17">
        <v>6.5972222222222224E-2</v>
      </c>
      <c r="I310" s="9">
        <v>47450</v>
      </c>
      <c r="J310" s="9">
        <v>18420</v>
      </c>
      <c r="K310" s="10">
        <f t="shared" si="7"/>
        <v>29030</v>
      </c>
      <c r="L310" s="10">
        <v>5158</v>
      </c>
      <c r="M310" s="11" t="s">
        <v>31</v>
      </c>
      <c r="N310" s="12">
        <v>64196</v>
      </c>
      <c r="O310" s="13" t="s">
        <v>49</v>
      </c>
      <c r="P310" s="14">
        <f>5530*2.2</f>
        <v>12166.000000000002</v>
      </c>
      <c r="Q310">
        <f>+P310-100</f>
        <v>12066.000000000002</v>
      </c>
    </row>
    <row r="311" spans="1:18" x14ac:dyDescent="0.25">
      <c r="A311" s="6"/>
      <c r="B311" s="7">
        <v>44210</v>
      </c>
      <c r="C311" s="8" t="s">
        <v>213</v>
      </c>
      <c r="D311" s="8" t="s">
        <v>247</v>
      </c>
      <c r="E311" s="9" t="s">
        <v>184</v>
      </c>
      <c r="F311" s="9" t="s">
        <v>36</v>
      </c>
      <c r="G311" s="17">
        <v>5.2083333333333336E-2</v>
      </c>
      <c r="H311" s="17">
        <v>0.13194444444444445</v>
      </c>
      <c r="I311" s="9">
        <v>9900</v>
      </c>
      <c r="J311" s="9">
        <v>4460</v>
      </c>
      <c r="K311" s="10">
        <f t="shared" si="7"/>
        <v>5440</v>
      </c>
      <c r="L311" s="10">
        <v>26338</v>
      </c>
      <c r="M311" s="11" t="s">
        <v>31</v>
      </c>
      <c r="N311" s="12">
        <v>5440</v>
      </c>
      <c r="O311" s="13" t="s">
        <v>32</v>
      </c>
      <c r="P311" s="14">
        <f>20*30</f>
        <v>600</v>
      </c>
    </row>
    <row r="312" spans="1:18" x14ac:dyDescent="0.25">
      <c r="A312" s="6"/>
      <c r="B312" s="7">
        <v>44210</v>
      </c>
      <c r="C312" s="8" t="s">
        <v>443</v>
      </c>
      <c r="D312" s="8" t="s">
        <v>336</v>
      </c>
      <c r="E312" s="9" t="s">
        <v>337</v>
      </c>
      <c r="F312" s="9" t="s">
        <v>36</v>
      </c>
      <c r="G312" s="17">
        <v>6.0416666666666667E-2</v>
      </c>
      <c r="H312" s="17">
        <v>0.12916666666666668</v>
      </c>
      <c r="I312" s="9">
        <v>18560</v>
      </c>
      <c r="J312" s="9">
        <v>7770</v>
      </c>
      <c r="K312" s="10">
        <f t="shared" si="7"/>
        <v>10790</v>
      </c>
      <c r="L312" s="10" t="s">
        <v>495</v>
      </c>
      <c r="M312" s="11" t="s">
        <v>496</v>
      </c>
      <c r="N312" s="12">
        <f>2644+8338</f>
        <v>10982</v>
      </c>
      <c r="O312" s="13" t="s">
        <v>32</v>
      </c>
      <c r="P312" s="14"/>
    </row>
    <row r="313" spans="1:18" x14ac:dyDescent="0.25">
      <c r="A313" s="6"/>
      <c r="B313" s="7">
        <v>44210</v>
      </c>
      <c r="C313" s="8" t="s">
        <v>37</v>
      </c>
      <c r="D313" s="8" t="s">
        <v>434</v>
      </c>
      <c r="E313" s="9" t="s">
        <v>435</v>
      </c>
      <c r="F313" s="9" t="s">
        <v>419</v>
      </c>
      <c r="G313" s="17">
        <v>6.8749999999999992E-2</v>
      </c>
      <c r="H313" s="17">
        <v>0.15555555555555556</v>
      </c>
      <c r="I313" s="9">
        <v>13435</v>
      </c>
      <c r="J313" s="9">
        <v>6290</v>
      </c>
      <c r="K313" s="10">
        <f t="shared" si="7"/>
        <v>7145</v>
      </c>
      <c r="L313" s="10">
        <v>26339</v>
      </c>
      <c r="M313" s="11" t="s">
        <v>492</v>
      </c>
      <c r="N313" s="12">
        <v>7145</v>
      </c>
      <c r="O313" s="13" t="s">
        <v>32</v>
      </c>
      <c r="P313" s="14" t="s">
        <v>497</v>
      </c>
    </row>
    <row r="314" spans="1:18" x14ac:dyDescent="0.25">
      <c r="A314" s="6"/>
      <c r="B314" s="7">
        <v>44210</v>
      </c>
      <c r="C314" s="8" t="s">
        <v>130</v>
      </c>
      <c r="D314" s="8" t="s">
        <v>217</v>
      </c>
      <c r="E314" s="9" t="s">
        <v>218</v>
      </c>
      <c r="F314" s="9" t="s">
        <v>36</v>
      </c>
      <c r="G314" s="17">
        <v>0.17916666666666667</v>
      </c>
      <c r="H314" s="17">
        <v>0.20833333333333334</v>
      </c>
      <c r="I314" s="9">
        <v>50980</v>
      </c>
      <c r="J314" s="9">
        <v>19380</v>
      </c>
      <c r="K314" s="10">
        <f t="shared" ref="K314" si="9">+I314-J314</f>
        <v>31600</v>
      </c>
      <c r="L314" s="10">
        <v>5159</v>
      </c>
      <c r="M314" s="11" t="s">
        <v>31</v>
      </c>
      <c r="N314" s="12">
        <v>69564</v>
      </c>
      <c r="O314" s="13" t="s">
        <v>49</v>
      </c>
      <c r="P314" s="14"/>
    </row>
    <row r="315" spans="1:18" x14ac:dyDescent="0.25">
      <c r="A315" s="6"/>
      <c r="B315" s="15">
        <v>44210</v>
      </c>
      <c r="C315" s="16" t="s">
        <v>213</v>
      </c>
      <c r="D315" s="8" t="s">
        <v>247</v>
      </c>
      <c r="E315" s="9" t="s">
        <v>184</v>
      </c>
      <c r="F315" s="9" t="s">
        <v>36</v>
      </c>
      <c r="G315" s="17">
        <v>0.39374999999999999</v>
      </c>
      <c r="H315" s="17">
        <v>0.43194444444444446</v>
      </c>
      <c r="I315" s="9">
        <v>9300</v>
      </c>
      <c r="J315" s="9">
        <v>4440</v>
      </c>
      <c r="K315" s="10">
        <f t="shared" si="7"/>
        <v>4860</v>
      </c>
      <c r="L315" s="10">
        <v>26340</v>
      </c>
      <c r="M315" s="11" t="s">
        <v>31</v>
      </c>
      <c r="N315" s="12">
        <v>4860</v>
      </c>
      <c r="O315" s="13" t="s">
        <v>32</v>
      </c>
      <c r="P315" s="14"/>
    </row>
    <row r="316" spans="1:18" x14ac:dyDescent="0.25">
      <c r="A316" s="6"/>
      <c r="B316" s="7">
        <v>44210</v>
      </c>
      <c r="C316" s="8" t="s">
        <v>33</v>
      </c>
      <c r="D316" s="8" t="s">
        <v>175</v>
      </c>
      <c r="E316" s="9" t="s">
        <v>176</v>
      </c>
      <c r="F316" s="9" t="s">
        <v>419</v>
      </c>
      <c r="G316" s="17">
        <v>0.40902777777777777</v>
      </c>
      <c r="H316" s="17">
        <v>0.42569444444444443</v>
      </c>
      <c r="I316" s="9">
        <v>8900</v>
      </c>
      <c r="J316" s="9">
        <v>4270</v>
      </c>
      <c r="K316" s="10">
        <f t="shared" si="7"/>
        <v>4630</v>
      </c>
      <c r="L316" s="10">
        <v>26341</v>
      </c>
      <c r="M316" s="11" t="s">
        <v>31</v>
      </c>
      <c r="N316" s="12">
        <v>4630</v>
      </c>
      <c r="O316" s="13" t="s">
        <v>32</v>
      </c>
      <c r="P316" s="14"/>
    </row>
    <row r="317" spans="1:18" x14ac:dyDescent="0.25">
      <c r="A317" s="6"/>
      <c r="B317" s="7">
        <v>44210</v>
      </c>
      <c r="C317" s="8" t="s">
        <v>498</v>
      </c>
      <c r="D317" s="8" t="s">
        <v>499</v>
      </c>
      <c r="E317" s="9" t="s">
        <v>312</v>
      </c>
      <c r="F317" s="9" t="s">
        <v>419</v>
      </c>
      <c r="G317" s="17">
        <v>0.41944444444444445</v>
      </c>
      <c r="H317" s="17">
        <v>0.44027777777777777</v>
      </c>
      <c r="I317" s="9">
        <v>5500</v>
      </c>
      <c r="J317" s="9">
        <v>3240</v>
      </c>
      <c r="K317" s="10">
        <f t="shared" si="7"/>
        <v>2260</v>
      </c>
      <c r="L317" s="10">
        <v>10996</v>
      </c>
      <c r="M317" s="11" t="s">
        <v>500</v>
      </c>
      <c r="N317" s="12">
        <v>2260</v>
      </c>
      <c r="O317" s="13" t="s">
        <v>32</v>
      </c>
      <c r="P317" s="14"/>
    </row>
    <row r="318" spans="1:18" x14ac:dyDescent="0.25">
      <c r="A318" s="6"/>
      <c r="B318" s="7">
        <v>44210</v>
      </c>
      <c r="C318" s="8" t="s">
        <v>320</v>
      </c>
      <c r="D318" s="8" t="s">
        <v>501</v>
      </c>
      <c r="E318" s="9" t="s">
        <v>502</v>
      </c>
      <c r="F318" s="9" t="s">
        <v>503</v>
      </c>
      <c r="G318" s="17">
        <v>0.43055555555555558</v>
      </c>
      <c r="H318" s="17">
        <v>0.44791666666666669</v>
      </c>
      <c r="I318" s="9">
        <v>5310</v>
      </c>
      <c r="J318" s="9">
        <v>6030</v>
      </c>
      <c r="K318" s="10">
        <f t="shared" si="7"/>
        <v>-720</v>
      </c>
      <c r="L318" s="10">
        <v>21584</v>
      </c>
      <c r="M318" s="11" t="s">
        <v>504</v>
      </c>
      <c r="N318" s="12">
        <v>720</v>
      </c>
      <c r="O318" s="13" t="s">
        <v>32</v>
      </c>
      <c r="P318" s="14"/>
    </row>
    <row r="319" spans="1:18" s="1" customFormat="1" x14ac:dyDescent="0.25">
      <c r="A319" s="6"/>
      <c r="B319" s="7">
        <v>44210</v>
      </c>
      <c r="C319" s="8" t="s">
        <v>130</v>
      </c>
      <c r="D319" s="8" t="s">
        <v>131</v>
      </c>
      <c r="E319" s="9" t="s">
        <v>149</v>
      </c>
      <c r="F319" s="9" t="s">
        <v>36</v>
      </c>
      <c r="G319" s="17">
        <v>0.4458333333333333</v>
      </c>
      <c r="H319" s="17">
        <v>0.46319444444444446</v>
      </c>
      <c r="I319" s="9">
        <v>46960</v>
      </c>
      <c r="J319" s="9">
        <v>18680</v>
      </c>
      <c r="K319" s="10">
        <f t="shared" ref="K319" si="10">+I319-J319</f>
        <v>28280</v>
      </c>
      <c r="L319" s="10">
        <v>5160</v>
      </c>
      <c r="M319" s="11" t="s">
        <v>31</v>
      </c>
      <c r="N319" s="12">
        <v>28280</v>
      </c>
      <c r="O319" s="13" t="s">
        <v>32</v>
      </c>
      <c r="P319" s="14"/>
    </row>
    <row r="320" spans="1:18" x14ac:dyDescent="0.25">
      <c r="A320" s="6"/>
      <c r="B320" s="7">
        <v>44210</v>
      </c>
      <c r="C320" s="8" t="s">
        <v>114</v>
      </c>
      <c r="D320" s="8" t="s">
        <v>450</v>
      </c>
      <c r="E320" s="9" t="s">
        <v>451</v>
      </c>
      <c r="F320" s="9" t="s">
        <v>36</v>
      </c>
      <c r="G320" s="17">
        <v>0.51666666666666672</v>
      </c>
      <c r="H320" s="17">
        <v>0.56527777777777777</v>
      </c>
      <c r="I320" s="9">
        <v>8840</v>
      </c>
      <c r="J320" s="9">
        <v>3860</v>
      </c>
      <c r="K320" s="10">
        <f t="shared" si="7"/>
        <v>4980</v>
      </c>
      <c r="L320" s="10">
        <v>26342</v>
      </c>
      <c r="M320" s="11" t="s">
        <v>31</v>
      </c>
      <c r="N320" s="12">
        <v>4980</v>
      </c>
      <c r="O320" s="13" t="s">
        <v>32</v>
      </c>
      <c r="P320" s="14"/>
    </row>
    <row r="321" spans="1:18" x14ac:dyDescent="0.25">
      <c r="A321" s="6"/>
      <c r="B321" s="7">
        <v>44210</v>
      </c>
      <c r="C321" s="8" t="s">
        <v>164</v>
      </c>
      <c r="D321" s="8" t="s">
        <v>94</v>
      </c>
      <c r="E321" s="9" t="s">
        <v>172</v>
      </c>
      <c r="F321" s="9" t="s">
        <v>173</v>
      </c>
      <c r="G321" s="17">
        <v>0.53888888888888886</v>
      </c>
      <c r="H321" s="17">
        <v>0.56874999999999998</v>
      </c>
      <c r="I321" s="9">
        <v>16880</v>
      </c>
      <c r="J321" s="9">
        <v>6410</v>
      </c>
      <c r="K321" s="10">
        <f t="shared" si="7"/>
        <v>10470</v>
      </c>
      <c r="L321" s="10">
        <v>15190</v>
      </c>
      <c r="M321" s="11" t="s">
        <v>398</v>
      </c>
      <c r="N321" s="12">
        <v>210</v>
      </c>
      <c r="O321" s="13" t="s">
        <v>54</v>
      </c>
      <c r="P321" s="14"/>
    </row>
    <row r="322" spans="1:18" x14ac:dyDescent="0.25">
      <c r="A322" s="6"/>
      <c r="B322" s="7">
        <v>44210</v>
      </c>
      <c r="C322" s="8" t="s">
        <v>505</v>
      </c>
      <c r="D322" s="8" t="s">
        <v>506</v>
      </c>
      <c r="E322" s="9" t="s">
        <v>507</v>
      </c>
      <c r="F322" s="9" t="s">
        <v>36</v>
      </c>
      <c r="G322" s="17">
        <v>0.5625</v>
      </c>
      <c r="H322" s="17">
        <v>0.57708333333333328</v>
      </c>
      <c r="I322" s="9">
        <v>5790</v>
      </c>
      <c r="J322" s="9">
        <v>3690</v>
      </c>
      <c r="K322" s="10">
        <f t="shared" si="7"/>
        <v>2100</v>
      </c>
      <c r="L322" s="10">
        <v>65783</v>
      </c>
      <c r="M322" s="11" t="s">
        <v>508</v>
      </c>
      <c r="N322" s="12">
        <v>2100</v>
      </c>
      <c r="O322" s="13" t="s">
        <v>32</v>
      </c>
      <c r="P322" s="14"/>
      <c r="Q322" s="1"/>
      <c r="R322" s="1"/>
    </row>
    <row r="323" spans="1:18" x14ac:dyDescent="0.25">
      <c r="A323" s="6"/>
      <c r="B323" s="7">
        <v>44210</v>
      </c>
      <c r="C323" s="8" t="s">
        <v>509</v>
      </c>
      <c r="D323" s="8" t="s">
        <v>510</v>
      </c>
      <c r="E323" s="9" t="s">
        <v>511</v>
      </c>
      <c r="F323" s="9" t="s">
        <v>36</v>
      </c>
      <c r="G323" s="17">
        <v>0.56805555555555554</v>
      </c>
      <c r="H323" s="17">
        <v>0.625</v>
      </c>
      <c r="I323" s="9">
        <v>18720</v>
      </c>
      <c r="J323" s="9">
        <v>8570</v>
      </c>
      <c r="K323" s="10">
        <f t="shared" si="7"/>
        <v>10150</v>
      </c>
      <c r="L323" s="10">
        <v>2</v>
      </c>
      <c r="M323" s="11" t="s">
        <v>413</v>
      </c>
      <c r="N323" s="12">
        <v>10</v>
      </c>
      <c r="O323" s="13" t="s">
        <v>80</v>
      </c>
      <c r="P323" s="14"/>
      <c r="Q323" s="1"/>
      <c r="R323" s="1"/>
    </row>
    <row r="324" spans="1:18" x14ac:dyDescent="0.25">
      <c r="A324" s="6"/>
      <c r="B324" s="7">
        <v>44210</v>
      </c>
      <c r="C324" s="8" t="s">
        <v>164</v>
      </c>
      <c r="D324" s="8" t="s">
        <v>479</v>
      </c>
      <c r="E324" s="9" t="s">
        <v>95</v>
      </c>
      <c r="F324" s="9" t="s">
        <v>480</v>
      </c>
      <c r="G324" s="17">
        <v>0.59375</v>
      </c>
      <c r="H324" s="17">
        <v>0.62291666666666667</v>
      </c>
      <c r="I324" s="9">
        <v>17150</v>
      </c>
      <c r="J324" s="9">
        <v>6610</v>
      </c>
      <c r="K324" s="10">
        <f t="shared" si="7"/>
        <v>10540</v>
      </c>
      <c r="L324" s="10">
        <v>15191</v>
      </c>
      <c r="M324" s="11" t="s">
        <v>398</v>
      </c>
      <c r="N324" s="12">
        <v>210</v>
      </c>
      <c r="O324" s="13" t="s">
        <v>54</v>
      </c>
      <c r="P324" s="14"/>
      <c r="Q324" s="1"/>
      <c r="R324" s="1"/>
    </row>
    <row r="325" spans="1:18" x14ac:dyDescent="0.25">
      <c r="A325" s="6"/>
      <c r="B325" s="7">
        <v>44210</v>
      </c>
      <c r="C325" s="8" t="s">
        <v>164</v>
      </c>
      <c r="D325" s="8" t="s">
        <v>94</v>
      </c>
      <c r="E325" s="9" t="s">
        <v>172</v>
      </c>
      <c r="F325" s="9" t="s">
        <v>173</v>
      </c>
      <c r="G325" s="17">
        <v>0.65902777777777777</v>
      </c>
      <c r="H325" s="17">
        <v>0.68888888888888899</v>
      </c>
      <c r="I325" s="9">
        <v>16880</v>
      </c>
      <c r="J325" s="9">
        <v>6280</v>
      </c>
      <c r="K325" s="10">
        <f t="shared" si="7"/>
        <v>10600</v>
      </c>
      <c r="L325" s="10">
        <v>15192</v>
      </c>
      <c r="M325" s="11" t="s">
        <v>398</v>
      </c>
      <c r="N325" s="12">
        <v>210</v>
      </c>
      <c r="O325" s="13" t="s">
        <v>54</v>
      </c>
      <c r="P325" s="14"/>
      <c r="Q325" s="1"/>
      <c r="R325" s="1"/>
    </row>
    <row r="326" spans="1:18" x14ac:dyDescent="0.25">
      <c r="A326" s="6"/>
      <c r="B326" s="7">
        <v>44210</v>
      </c>
      <c r="C326" s="8" t="s">
        <v>208</v>
      </c>
      <c r="D326" s="8" t="s">
        <v>299</v>
      </c>
      <c r="E326" s="9" t="s">
        <v>490</v>
      </c>
      <c r="F326" s="9" t="s">
        <v>491</v>
      </c>
      <c r="G326" s="17">
        <v>0.85625000000000007</v>
      </c>
      <c r="H326" s="17">
        <v>0.45347222222222222</v>
      </c>
      <c r="I326" s="9">
        <v>42110</v>
      </c>
      <c r="J326" s="9">
        <v>17770</v>
      </c>
      <c r="K326" s="10">
        <f t="shared" si="7"/>
        <v>24340</v>
      </c>
      <c r="L326" s="10">
        <v>39834</v>
      </c>
      <c r="M326" s="11" t="s">
        <v>212</v>
      </c>
      <c r="N326" s="12">
        <v>24360</v>
      </c>
      <c r="O326" s="13" t="s">
        <v>32</v>
      </c>
      <c r="P326" s="14"/>
      <c r="Q326" s="1"/>
      <c r="R326" s="1"/>
    </row>
    <row r="327" spans="1:18" x14ac:dyDescent="0.25">
      <c r="A327" s="6"/>
      <c r="B327" s="7">
        <v>44210</v>
      </c>
      <c r="C327" s="8" t="s">
        <v>37</v>
      </c>
      <c r="D327" s="8" t="s">
        <v>38</v>
      </c>
      <c r="E327" s="9" t="s">
        <v>39</v>
      </c>
      <c r="F327" s="9" t="s">
        <v>36</v>
      </c>
      <c r="G327" s="17">
        <v>0.90208333333333324</v>
      </c>
      <c r="H327" s="17">
        <v>0.99930555555555556</v>
      </c>
      <c r="I327" s="9">
        <v>14230</v>
      </c>
      <c r="J327" s="9">
        <v>6220</v>
      </c>
      <c r="K327" s="10">
        <f t="shared" si="7"/>
        <v>8010</v>
      </c>
      <c r="L327" s="10">
        <v>26343</v>
      </c>
      <c r="M327" s="11" t="s">
        <v>492</v>
      </c>
      <c r="N327" s="12">
        <v>8010</v>
      </c>
      <c r="O327" s="13" t="s">
        <v>32</v>
      </c>
      <c r="P327" s="14"/>
      <c r="Q327" s="1"/>
      <c r="R327" s="1"/>
    </row>
    <row r="328" spans="1:18" x14ac:dyDescent="0.25">
      <c r="A328" s="6"/>
      <c r="B328" s="7">
        <v>44210</v>
      </c>
      <c r="C328" s="8" t="s">
        <v>469</v>
      </c>
      <c r="D328" s="8" t="s">
        <v>86</v>
      </c>
      <c r="E328" s="9" t="s">
        <v>87</v>
      </c>
      <c r="F328" s="9" t="s">
        <v>88</v>
      </c>
      <c r="G328" s="17">
        <v>0.90277777777777779</v>
      </c>
      <c r="H328" s="17">
        <v>0.41805555555555557</v>
      </c>
      <c r="I328" s="9">
        <v>18400</v>
      </c>
      <c r="J328" s="9">
        <v>16430</v>
      </c>
      <c r="K328" s="10">
        <f t="shared" ref="K328:K392" si="11">+I328-J328</f>
        <v>1970</v>
      </c>
      <c r="L328" s="10">
        <v>40078</v>
      </c>
      <c r="M328" s="11" t="s">
        <v>512</v>
      </c>
      <c r="N328" s="12">
        <v>30</v>
      </c>
      <c r="O328" s="13" t="s">
        <v>80</v>
      </c>
      <c r="P328" s="14"/>
      <c r="Q328" s="1"/>
      <c r="R328" s="1"/>
    </row>
    <row r="329" spans="1:18" x14ac:dyDescent="0.25">
      <c r="A329" s="6"/>
      <c r="B329" s="7">
        <v>44210</v>
      </c>
      <c r="C329" s="8" t="s">
        <v>130</v>
      </c>
      <c r="D329" s="8" t="s">
        <v>198</v>
      </c>
      <c r="E329" s="9" t="s">
        <v>405</v>
      </c>
      <c r="F329" s="9" t="s">
        <v>161</v>
      </c>
      <c r="G329" s="17">
        <v>0.96875</v>
      </c>
      <c r="H329" s="17">
        <v>0.8520833333333333</v>
      </c>
      <c r="I329" s="9">
        <v>61530</v>
      </c>
      <c r="J329" s="9">
        <v>18780</v>
      </c>
      <c r="K329" s="10">
        <f t="shared" si="11"/>
        <v>42750</v>
      </c>
      <c r="L329" s="10">
        <v>4587</v>
      </c>
      <c r="M329" s="11" t="s">
        <v>513</v>
      </c>
      <c r="N329" s="12">
        <v>42960</v>
      </c>
      <c r="O329" s="13" t="s">
        <v>32</v>
      </c>
      <c r="P329" s="14"/>
      <c r="Q329" s="1"/>
      <c r="R329" s="1"/>
    </row>
    <row r="330" spans="1:18" x14ac:dyDescent="0.25">
      <c r="A330" s="6"/>
      <c r="B330" s="7">
        <v>44210</v>
      </c>
      <c r="C330" s="8" t="s">
        <v>37</v>
      </c>
      <c r="D330" s="8" t="s">
        <v>434</v>
      </c>
      <c r="E330" s="9" t="s">
        <v>435</v>
      </c>
      <c r="F330" s="9" t="s">
        <v>419</v>
      </c>
      <c r="G330" s="17">
        <v>2.1527777777777781E-2</v>
      </c>
      <c r="H330" s="17">
        <v>0.39374999999999999</v>
      </c>
      <c r="I330" s="9">
        <v>13270</v>
      </c>
      <c r="J330" s="9">
        <v>6300</v>
      </c>
      <c r="K330" s="10">
        <f t="shared" si="11"/>
        <v>6970</v>
      </c>
      <c r="L330" s="10">
        <v>26344</v>
      </c>
      <c r="M330" s="11" t="s">
        <v>496</v>
      </c>
      <c r="N330" s="12">
        <v>6970</v>
      </c>
      <c r="O330" s="13" t="s">
        <v>32</v>
      </c>
      <c r="P330" s="14"/>
      <c r="Q330" s="1">
        <f>+I330+950</f>
        <v>14220</v>
      </c>
      <c r="R330" s="1">
        <f>+Q330-J330</f>
        <v>7920</v>
      </c>
    </row>
    <row r="331" spans="1:18" s="51" customFormat="1" x14ac:dyDescent="0.25">
      <c r="A331" s="41"/>
      <c r="B331" s="42">
        <v>44211</v>
      </c>
      <c r="C331" s="43" t="s">
        <v>537</v>
      </c>
      <c r="D331" s="43" t="s">
        <v>464</v>
      </c>
      <c r="E331" s="44" t="s">
        <v>277</v>
      </c>
      <c r="F331" s="44" t="s">
        <v>266</v>
      </c>
      <c r="G331" s="45">
        <v>0.35486111111111113</v>
      </c>
      <c r="H331" s="45">
        <v>0.35833333333333334</v>
      </c>
      <c r="I331" s="44">
        <v>480</v>
      </c>
      <c r="J331" s="44">
        <v>90</v>
      </c>
      <c r="K331" s="46">
        <f t="shared" si="11"/>
        <v>390</v>
      </c>
      <c r="L331" s="46">
        <v>21597</v>
      </c>
      <c r="M331" s="47" t="s">
        <v>195</v>
      </c>
      <c r="N331" s="48">
        <v>390</v>
      </c>
      <c r="O331" s="49" t="s">
        <v>32</v>
      </c>
      <c r="P331" s="50"/>
    </row>
    <row r="332" spans="1:18" s="1" customFormat="1" x14ac:dyDescent="0.25">
      <c r="A332" s="6"/>
      <c r="B332" s="7">
        <v>44211</v>
      </c>
      <c r="C332" s="8" t="s">
        <v>469</v>
      </c>
      <c r="D332" s="8" t="s">
        <v>86</v>
      </c>
      <c r="E332" s="9" t="s">
        <v>87</v>
      </c>
      <c r="F332" s="9" t="s">
        <v>88</v>
      </c>
      <c r="G332" s="17">
        <v>0.41805555555555557</v>
      </c>
      <c r="H332" s="17">
        <v>0.51597222222222217</v>
      </c>
      <c r="I332" s="9">
        <v>16430</v>
      </c>
      <c r="J332" s="9">
        <v>40580</v>
      </c>
      <c r="K332" s="10">
        <f t="shared" ref="K332" si="12">+I332-J332</f>
        <v>-24150</v>
      </c>
      <c r="L332" s="10">
        <v>5676</v>
      </c>
      <c r="M332" s="11" t="s">
        <v>404</v>
      </c>
      <c r="N332" s="12">
        <v>22990</v>
      </c>
      <c r="O332" s="13" t="s">
        <v>32</v>
      </c>
      <c r="P332" s="14" t="s">
        <v>468</v>
      </c>
    </row>
    <row r="333" spans="1:18" x14ac:dyDescent="0.25">
      <c r="A333" s="6"/>
      <c r="B333" s="7">
        <v>44211</v>
      </c>
      <c r="C333" s="8" t="s">
        <v>164</v>
      </c>
      <c r="D333" s="8" t="s">
        <v>479</v>
      </c>
      <c r="E333" s="9" t="s">
        <v>95</v>
      </c>
      <c r="F333" s="9" t="s">
        <v>480</v>
      </c>
      <c r="G333" s="17">
        <v>0.47013888888888888</v>
      </c>
      <c r="H333" s="17">
        <v>0.4909722222222222</v>
      </c>
      <c r="I333" s="9">
        <v>15390</v>
      </c>
      <c r="J333" s="9">
        <v>6710</v>
      </c>
      <c r="K333" s="10">
        <f t="shared" si="11"/>
        <v>8680</v>
      </c>
      <c r="L333" s="10">
        <v>15193</v>
      </c>
      <c r="M333" s="11" t="s">
        <v>398</v>
      </c>
      <c r="N333" s="12">
        <v>173</v>
      </c>
      <c r="O333" s="13" t="s">
        <v>54</v>
      </c>
      <c r="P333" s="14"/>
      <c r="Q333" s="1"/>
      <c r="R333" s="1"/>
    </row>
    <row r="334" spans="1:18" x14ac:dyDescent="0.25">
      <c r="A334" s="6"/>
      <c r="B334" s="7">
        <v>44211</v>
      </c>
      <c r="C334" s="8" t="s">
        <v>164</v>
      </c>
      <c r="D334" s="8" t="s">
        <v>479</v>
      </c>
      <c r="E334" s="9" t="s">
        <v>95</v>
      </c>
      <c r="F334" s="9" t="s">
        <v>480</v>
      </c>
      <c r="G334" s="17">
        <v>0.49374999999999997</v>
      </c>
      <c r="H334" s="17">
        <v>0.63611111111111118</v>
      </c>
      <c r="I334" s="9">
        <v>6700</v>
      </c>
      <c r="J334" s="9">
        <v>16910</v>
      </c>
      <c r="K334" s="10">
        <f t="shared" si="11"/>
        <v>-10210</v>
      </c>
      <c r="L334" s="10">
        <v>15243</v>
      </c>
      <c r="M334" s="11" t="s">
        <v>166</v>
      </c>
      <c r="N334" s="12">
        <v>203</v>
      </c>
      <c r="O334" s="13" t="s">
        <v>54</v>
      </c>
      <c r="P334" s="14"/>
      <c r="Q334" s="1"/>
      <c r="R334" s="1"/>
    </row>
    <row r="335" spans="1:18" x14ac:dyDescent="0.25">
      <c r="A335" s="6"/>
      <c r="B335" s="7">
        <v>44211</v>
      </c>
      <c r="C335" s="8" t="s">
        <v>164</v>
      </c>
      <c r="D335" s="8" t="s">
        <v>94</v>
      </c>
      <c r="E335" s="9" t="s">
        <v>172</v>
      </c>
      <c r="F335" s="9" t="s">
        <v>173</v>
      </c>
      <c r="G335" s="17">
        <v>0.54999999999999993</v>
      </c>
      <c r="H335" s="17">
        <v>0.5854166666666667</v>
      </c>
      <c r="I335" s="9">
        <v>17960</v>
      </c>
      <c r="J335" s="9">
        <v>6320</v>
      </c>
      <c r="K335" s="10">
        <f t="shared" si="11"/>
        <v>11640</v>
      </c>
      <c r="L335" s="10">
        <v>15194</v>
      </c>
      <c r="M335" s="11" t="s">
        <v>398</v>
      </c>
      <c r="N335" s="12">
        <v>228</v>
      </c>
      <c r="O335" s="13" t="s">
        <v>54</v>
      </c>
      <c r="P335" s="14"/>
      <c r="Q335" s="1"/>
      <c r="R335" s="1"/>
    </row>
    <row r="336" spans="1:18" x14ac:dyDescent="0.25">
      <c r="A336" s="6"/>
      <c r="B336" s="7">
        <v>44211</v>
      </c>
      <c r="C336" s="8" t="s">
        <v>208</v>
      </c>
      <c r="D336" s="8" t="s">
        <v>299</v>
      </c>
      <c r="E336" s="9" t="s">
        <v>490</v>
      </c>
      <c r="F336" s="9" t="s">
        <v>491</v>
      </c>
      <c r="G336" s="17">
        <v>0.55208333333333337</v>
      </c>
      <c r="H336" s="17">
        <v>0.71458333333333324</v>
      </c>
      <c r="I336" s="9">
        <v>40830</v>
      </c>
      <c r="J336" s="9">
        <v>17730</v>
      </c>
      <c r="K336" s="10">
        <f t="shared" si="11"/>
        <v>23100</v>
      </c>
      <c r="L336" s="10">
        <v>39848</v>
      </c>
      <c r="M336" s="11" t="s">
        <v>212</v>
      </c>
      <c r="N336" s="12">
        <v>23040</v>
      </c>
      <c r="O336" s="13" t="s">
        <v>32</v>
      </c>
      <c r="P336" s="14"/>
      <c r="Q336" s="1"/>
      <c r="R336" s="1"/>
    </row>
    <row r="337" spans="1:18" x14ac:dyDescent="0.25">
      <c r="A337" s="6"/>
      <c r="B337" s="7">
        <v>44211</v>
      </c>
      <c r="C337" s="8" t="s">
        <v>320</v>
      </c>
      <c r="D337" s="8" t="s">
        <v>143</v>
      </c>
      <c r="E337" s="9" t="s">
        <v>144</v>
      </c>
      <c r="F337" s="9" t="s">
        <v>239</v>
      </c>
      <c r="G337" s="17">
        <v>0.57500000000000007</v>
      </c>
      <c r="H337" s="17"/>
      <c r="I337" s="9">
        <v>22930</v>
      </c>
      <c r="J337" s="9"/>
      <c r="K337" s="10">
        <f t="shared" si="11"/>
        <v>22930</v>
      </c>
      <c r="L337" s="10">
        <v>4297</v>
      </c>
      <c r="M337" s="11" t="s">
        <v>514</v>
      </c>
      <c r="N337" s="12"/>
      <c r="O337" s="13" t="s">
        <v>32</v>
      </c>
      <c r="P337" s="14" t="s">
        <v>518</v>
      </c>
      <c r="Q337" s="1"/>
      <c r="R337" s="1"/>
    </row>
    <row r="338" spans="1:18" s="51" customFormat="1" x14ac:dyDescent="0.25">
      <c r="A338" s="41"/>
      <c r="B338" s="42">
        <v>44211</v>
      </c>
      <c r="C338" s="43" t="s">
        <v>536</v>
      </c>
      <c r="D338" s="43" t="s">
        <v>367</v>
      </c>
      <c r="E338" s="44" t="s">
        <v>277</v>
      </c>
      <c r="F338" s="44" t="s">
        <v>266</v>
      </c>
      <c r="G338" s="45">
        <v>0.64236111111111105</v>
      </c>
      <c r="H338" s="45">
        <v>0.66180555555555554</v>
      </c>
      <c r="I338" s="44">
        <v>5500</v>
      </c>
      <c r="J338" s="44">
        <v>6700</v>
      </c>
      <c r="K338" s="46">
        <f t="shared" si="11"/>
        <v>-1200</v>
      </c>
      <c r="L338" s="46" t="s">
        <v>196</v>
      </c>
      <c r="M338" s="47" t="s">
        <v>195</v>
      </c>
      <c r="N338" s="48">
        <v>1200</v>
      </c>
      <c r="O338" s="49" t="s">
        <v>32</v>
      </c>
      <c r="P338" s="50"/>
    </row>
    <row r="339" spans="1:18" x14ac:dyDescent="0.25">
      <c r="A339" s="6"/>
      <c r="B339" s="7">
        <v>44211</v>
      </c>
      <c r="C339" s="8" t="s">
        <v>164</v>
      </c>
      <c r="D339" s="8" t="s">
        <v>479</v>
      </c>
      <c r="E339" s="9" t="s">
        <v>95</v>
      </c>
      <c r="F339" s="9" t="s">
        <v>480</v>
      </c>
      <c r="G339" s="17">
        <v>0.68888888888888899</v>
      </c>
      <c r="H339" s="17">
        <v>0.69444444444444453</v>
      </c>
      <c r="I339" s="9">
        <v>8640</v>
      </c>
      <c r="J339" s="9">
        <v>6070</v>
      </c>
      <c r="K339" s="10">
        <f t="shared" si="11"/>
        <v>2570</v>
      </c>
      <c r="L339" s="10">
        <v>15195</v>
      </c>
      <c r="M339" s="11" t="s">
        <v>398</v>
      </c>
      <c r="N339" s="12">
        <v>44</v>
      </c>
      <c r="O339" s="13" t="s">
        <v>54</v>
      </c>
      <c r="P339" s="14"/>
    </row>
    <row r="340" spans="1:18" x14ac:dyDescent="0.25">
      <c r="A340" s="6"/>
      <c r="B340" s="7">
        <v>44211</v>
      </c>
      <c r="C340" s="8" t="s">
        <v>320</v>
      </c>
      <c r="D340" s="8" t="s">
        <v>143</v>
      </c>
      <c r="E340" s="9" t="s">
        <v>144</v>
      </c>
      <c r="F340" s="9" t="s">
        <v>239</v>
      </c>
      <c r="G340" s="17">
        <v>0.7006944444444444</v>
      </c>
      <c r="H340" s="17"/>
      <c r="I340" s="9"/>
      <c r="J340" s="9"/>
      <c r="K340" s="10">
        <f t="shared" si="11"/>
        <v>0</v>
      </c>
      <c r="L340" s="10">
        <v>4298</v>
      </c>
      <c r="M340" s="11" t="s">
        <v>515</v>
      </c>
      <c r="N340" s="12"/>
      <c r="O340" s="13" t="s">
        <v>32</v>
      </c>
      <c r="P340" s="14" t="s">
        <v>516</v>
      </c>
    </row>
    <row r="341" spans="1:18" x14ac:dyDescent="0.25">
      <c r="A341" s="6"/>
      <c r="B341" s="7">
        <v>44211</v>
      </c>
      <c r="C341" s="8" t="s">
        <v>193</v>
      </c>
      <c r="D341" s="8" t="s">
        <v>453</v>
      </c>
      <c r="E341" s="9" t="s">
        <v>196</v>
      </c>
      <c r="F341" s="9" t="s">
        <v>266</v>
      </c>
      <c r="G341" s="17">
        <v>0.75</v>
      </c>
      <c r="H341" s="17">
        <v>0.77361111111111114</v>
      </c>
      <c r="I341" s="9">
        <v>6360</v>
      </c>
      <c r="J341" s="9">
        <v>5790</v>
      </c>
      <c r="K341" s="10">
        <f t="shared" si="11"/>
        <v>570</v>
      </c>
      <c r="L341" s="10" t="s">
        <v>196</v>
      </c>
      <c r="M341" s="11" t="s">
        <v>517</v>
      </c>
      <c r="N341" s="12">
        <v>570</v>
      </c>
      <c r="O341" s="13" t="s">
        <v>32</v>
      </c>
      <c r="P341" s="14"/>
    </row>
    <row r="342" spans="1:18" x14ac:dyDescent="0.25">
      <c r="A342" s="6"/>
      <c r="B342" s="7">
        <v>44211</v>
      </c>
      <c r="C342" s="8" t="s">
        <v>208</v>
      </c>
      <c r="D342" s="8" t="s">
        <v>299</v>
      </c>
      <c r="E342" s="9" t="s">
        <v>490</v>
      </c>
      <c r="F342" s="9" t="s">
        <v>491</v>
      </c>
      <c r="G342" s="17">
        <v>0.80902777777777779</v>
      </c>
      <c r="H342" s="17">
        <v>0.82777777777777783</v>
      </c>
      <c r="I342" s="9">
        <v>33260</v>
      </c>
      <c r="J342" s="9">
        <v>17750</v>
      </c>
      <c r="K342" s="10">
        <f t="shared" si="11"/>
        <v>15510</v>
      </c>
      <c r="L342" s="10">
        <v>39858</v>
      </c>
      <c r="M342" s="11" t="s">
        <v>212</v>
      </c>
      <c r="N342" s="12">
        <v>15550</v>
      </c>
      <c r="O342" s="13" t="s">
        <v>32</v>
      </c>
      <c r="P342" s="14"/>
    </row>
    <row r="343" spans="1:18" x14ac:dyDescent="0.25">
      <c r="A343" s="6"/>
      <c r="B343" s="7">
        <v>44211</v>
      </c>
      <c r="C343" s="8" t="s">
        <v>130</v>
      </c>
      <c r="D343" s="8" t="s">
        <v>465</v>
      </c>
      <c r="E343" s="9" t="s">
        <v>490</v>
      </c>
      <c r="F343" s="9" t="s">
        <v>491</v>
      </c>
      <c r="G343" s="17">
        <v>0.83472222222222225</v>
      </c>
      <c r="H343" s="17">
        <v>0.23611111111111113</v>
      </c>
      <c r="I343" s="9">
        <v>17740</v>
      </c>
      <c r="J343" s="9">
        <v>45310</v>
      </c>
      <c r="K343" s="10">
        <f t="shared" si="11"/>
        <v>-27570</v>
      </c>
      <c r="L343" s="10"/>
      <c r="M343" s="11" t="s">
        <v>240</v>
      </c>
      <c r="N343" s="12">
        <v>27570</v>
      </c>
      <c r="O343" s="13" t="s">
        <v>32</v>
      </c>
      <c r="P343" s="14"/>
    </row>
    <row r="344" spans="1:18" x14ac:dyDescent="0.25">
      <c r="A344" s="6"/>
      <c r="B344" s="7">
        <v>44211</v>
      </c>
      <c r="C344" s="8" t="s">
        <v>37</v>
      </c>
      <c r="D344" s="8" t="s">
        <v>38</v>
      </c>
      <c r="E344" s="9" t="s">
        <v>39</v>
      </c>
      <c r="F344" s="9" t="s">
        <v>36</v>
      </c>
      <c r="G344" s="17">
        <v>0.88402777777777775</v>
      </c>
      <c r="H344" s="17">
        <v>0.95486111111111116</v>
      </c>
      <c r="I344" s="9">
        <v>15950</v>
      </c>
      <c r="J344" s="9">
        <v>6180</v>
      </c>
      <c r="K344" s="10">
        <f t="shared" si="11"/>
        <v>9770</v>
      </c>
      <c r="L344" s="10">
        <v>26345</v>
      </c>
      <c r="M344" s="11" t="s">
        <v>492</v>
      </c>
      <c r="N344" s="12"/>
      <c r="O344" s="13" t="s">
        <v>32</v>
      </c>
      <c r="P344" s="14"/>
    </row>
    <row r="345" spans="1:18" x14ac:dyDescent="0.25">
      <c r="A345" s="6"/>
      <c r="B345" s="7">
        <v>44212</v>
      </c>
      <c r="C345" s="8" t="s">
        <v>443</v>
      </c>
      <c r="D345" s="8" t="s">
        <v>336</v>
      </c>
      <c r="E345" s="9" t="s">
        <v>337</v>
      </c>
      <c r="F345" s="9" t="s">
        <v>36</v>
      </c>
      <c r="G345" s="17">
        <v>1.8055555555555557E-2</v>
      </c>
      <c r="H345" s="17">
        <v>0.29583333333333334</v>
      </c>
      <c r="I345" s="9">
        <v>18430</v>
      </c>
      <c r="J345" s="9">
        <v>7850</v>
      </c>
      <c r="K345" s="10">
        <f t="shared" si="11"/>
        <v>10580</v>
      </c>
      <c r="L345" s="10" t="s">
        <v>519</v>
      </c>
      <c r="M345" s="11" t="s">
        <v>520</v>
      </c>
      <c r="N345" s="12">
        <f>2505+8079</f>
        <v>10584</v>
      </c>
      <c r="O345" s="13" t="s">
        <v>32</v>
      </c>
      <c r="P345" s="14"/>
    </row>
    <row r="346" spans="1:18" s="51" customFormat="1" x14ac:dyDescent="0.25">
      <c r="A346" s="41"/>
      <c r="B346" s="42">
        <v>44212</v>
      </c>
      <c r="C346" s="43" t="s">
        <v>535</v>
      </c>
      <c r="D346" s="43" t="s">
        <v>521</v>
      </c>
      <c r="E346" s="44" t="s">
        <v>196</v>
      </c>
      <c r="F346" s="44" t="s">
        <v>266</v>
      </c>
      <c r="G346" s="45">
        <v>0.3444444444444445</v>
      </c>
      <c r="H346" s="45">
        <v>0.35000000000000003</v>
      </c>
      <c r="I346" s="44">
        <v>5560</v>
      </c>
      <c r="J346" s="44">
        <v>5170</v>
      </c>
      <c r="K346" s="46">
        <f t="shared" si="11"/>
        <v>390</v>
      </c>
      <c r="L346" s="46">
        <v>21612</v>
      </c>
      <c r="M346" s="47" t="s">
        <v>195</v>
      </c>
      <c r="N346" s="48">
        <v>390</v>
      </c>
      <c r="O346" s="49" t="s">
        <v>32</v>
      </c>
      <c r="P346" s="50"/>
    </row>
    <row r="347" spans="1:18" x14ac:dyDescent="0.25">
      <c r="A347" s="6"/>
      <c r="B347" s="7">
        <v>44212</v>
      </c>
      <c r="C347" s="8" t="s">
        <v>164</v>
      </c>
      <c r="D347" s="8" t="s">
        <v>552</v>
      </c>
      <c r="E347" s="9" t="s">
        <v>95</v>
      </c>
      <c r="F347" s="9" t="s">
        <v>480</v>
      </c>
      <c r="G347" s="17">
        <v>0.42986111111111108</v>
      </c>
      <c r="H347" s="17">
        <v>0.50902777777777775</v>
      </c>
      <c r="I347" s="9">
        <v>9900</v>
      </c>
      <c r="J347" s="9">
        <v>6290</v>
      </c>
      <c r="K347" s="10">
        <f t="shared" si="11"/>
        <v>3610</v>
      </c>
      <c r="L347" s="10">
        <v>15245</v>
      </c>
      <c r="M347" s="11" t="s">
        <v>166</v>
      </c>
      <c r="N347" s="12">
        <v>72</v>
      </c>
      <c r="O347" s="13" t="s">
        <v>54</v>
      </c>
      <c r="P347" s="14"/>
    </row>
    <row r="348" spans="1:18" x14ac:dyDescent="0.25">
      <c r="A348" s="6"/>
      <c r="B348" s="7">
        <v>44212</v>
      </c>
      <c r="C348" s="8" t="s">
        <v>522</v>
      </c>
      <c r="D348" s="8" t="s">
        <v>299</v>
      </c>
      <c r="E348" s="9" t="s">
        <v>87</v>
      </c>
      <c r="F348" s="9" t="s">
        <v>88</v>
      </c>
      <c r="G348" s="17">
        <v>0.51458333333333328</v>
      </c>
      <c r="H348" s="17">
        <v>0.56597222222222221</v>
      </c>
      <c r="I348" s="9">
        <v>16290</v>
      </c>
      <c r="J348" s="9">
        <v>19610</v>
      </c>
      <c r="K348" s="10">
        <f t="shared" si="11"/>
        <v>-3320</v>
      </c>
      <c r="L348" s="10">
        <v>15246</v>
      </c>
      <c r="M348" s="11" t="s">
        <v>523</v>
      </c>
      <c r="N348" s="12">
        <v>60</v>
      </c>
      <c r="O348" s="13" t="s">
        <v>96</v>
      </c>
      <c r="P348" s="14"/>
    </row>
    <row r="349" spans="1:18" x14ac:dyDescent="0.25">
      <c r="A349" s="6"/>
      <c r="B349" s="7">
        <v>44212</v>
      </c>
      <c r="C349" s="8" t="s">
        <v>130</v>
      </c>
      <c r="D349" s="8" t="s">
        <v>217</v>
      </c>
      <c r="E349" s="9" t="s">
        <v>218</v>
      </c>
      <c r="F349" s="9" t="s">
        <v>36</v>
      </c>
      <c r="G349" s="17">
        <v>0.60972222222222217</v>
      </c>
      <c r="H349" s="17">
        <v>0.63124999999999998</v>
      </c>
      <c r="I349" s="9">
        <v>55630</v>
      </c>
      <c r="J349" s="9">
        <v>19500</v>
      </c>
      <c r="K349" s="10">
        <f t="shared" si="11"/>
        <v>36130</v>
      </c>
      <c r="L349" s="10">
        <v>5170</v>
      </c>
      <c r="M349" s="11" t="s">
        <v>31</v>
      </c>
      <c r="N349" s="12">
        <v>36130</v>
      </c>
      <c r="O349" s="13" t="s">
        <v>32</v>
      </c>
      <c r="P349" s="14"/>
    </row>
    <row r="350" spans="1:18" x14ac:dyDescent="0.25">
      <c r="A350" s="6"/>
      <c r="B350" s="7">
        <v>44212</v>
      </c>
      <c r="C350" s="8" t="s">
        <v>467</v>
      </c>
      <c r="D350" s="8" t="s">
        <v>524</v>
      </c>
      <c r="E350" s="9" t="s">
        <v>525</v>
      </c>
      <c r="F350" s="9" t="s">
        <v>526</v>
      </c>
      <c r="G350" s="17">
        <v>0.62222222222222223</v>
      </c>
      <c r="H350" s="17">
        <v>0.70694444444444438</v>
      </c>
      <c r="I350" s="9">
        <v>40300</v>
      </c>
      <c r="J350" s="9">
        <v>20470</v>
      </c>
      <c r="K350" s="10">
        <f t="shared" si="11"/>
        <v>19830</v>
      </c>
      <c r="L350" s="10">
        <v>9065</v>
      </c>
      <c r="M350" s="11" t="s">
        <v>31</v>
      </c>
      <c r="N350" s="12">
        <v>19830</v>
      </c>
      <c r="O350" s="13" t="s">
        <v>32</v>
      </c>
      <c r="P350" s="14"/>
    </row>
    <row r="351" spans="1:18" x14ac:dyDescent="0.25">
      <c r="A351" s="6"/>
      <c r="B351" s="7">
        <v>44212</v>
      </c>
      <c r="C351" s="8" t="s">
        <v>169</v>
      </c>
      <c r="D351" s="8" t="s">
        <v>527</v>
      </c>
      <c r="E351" s="9" t="s">
        <v>528</v>
      </c>
      <c r="F351" s="9" t="s">
        <v>36</v>
      </c>
      <c r="G351" s="17">
        <v>0.62986111111111109</v>
      </c>
      <c r="H351" s="17">
        <v>0.69513888888888886</v>
      </c>
      <c r="I351" s="9">
        <v>8590</v>
      </c>
      <c r="J351" s="9">
        <v>3920</v>
      </c>
      <c r="K351" s="10">
        <f t="shared" si="11"/>
        <v>4670</v>
      </c>
      <c r="L351" s="10">
        <v>3335</v>
      </c>
      <c r="M351" s="11" t="s">
        <v>31</v>
      </c>
      <c r="N351" s="12">
        <v>4670</v>
      </c>
      <c r="O351" s="13" t="s">
        <v>32</v>
      </c>
      <c r="P351" s="14"/>
    </row>
    <row r="352" spans="1:18" x14ac:dyDescent="0.25">
      <c r="A352" s="6"/>
      <c r="B352" s="7">
        <v>44212</v>
      </c>
      <c r="C352" s="8" t="s">
        <v>37</v>
      </c>
      <c r="D352" s="8" t="s">
        <v>38</v>
      </c>
      <c r="E352" s="9" t="s">
        <v>39</v>
      </c>
      <c r="F352" s="9" t="s">
        <v>36</v>
      </c>
      <c r="G352" s="17">
        <v>0.79722222222222217</v>
      </c>
      <c r="H352" s="17">
        <v>0.8222222222222223</v>
      </c>
      <c r="I352" s="9">
        <v>16405</v>
      </c>
      <c r="J352" s="9">
        <v>6220</v>
      </c>
      <c r="K352" s="10">
        <f t="shared" si="11"/>
        <v>10185</v>
      </c>
      <c r="L352" s="10">
        <v>26346</v>
      </c>
      <c r="M352" s="11" t="s">
        <v>492</v>
      </c>
      <c r="N352" s="12">
        <v>10185</v>
      </c>
      <c r="O352" s="13" t="s">
        <v>32</v>
      </c>
      <c r="P352" s="14"/>
    </row>
    <row r="353" spans="1:16" x14ac:dyDescent="0.25">
      <c r="A353" s="6"/>
      <c r="B353" s="7">
        <v>44212</v>
      </c>
      <c r="C353" s="8" t="s">
        <v>37</v>
      </c>
      <c r="D353" s="8" t="s">
        <v>41</v>
      </c>
      <c r="E353" s="9" t="s">
        <v>206</v>
      </c>
      <c r="F353" s="9" t="s">
        <v>36</v>
      </c>
      <c r="G353" s="17">
        <v>0.8305555555555556</v>
      </c>
      <c r="H353" s="17">
        <v>0.84583333333333333</v>
      </c>
      <c r="I353" s="9">
        <v>9065</v>
      </c>
      <c r="J353" s="9">
        <v>3990</v>
      </c>
      <c r="K353" s="10">
        <f t="shared" si="11"/>
        <v>5075</v>
      </c>
      <c r="L353" s="10">
        <v>26347</v>
      </c>
      <c r="M353" s="11" t="s">
        <v>354</v>
      </c>
      <c r="N353" s="12">
        <v>5075</v>
      </c>
      <c r="O353" s="13" t="s">
        <v>32</v>
      </c>
      <c r="P353" s="14"/>
    </row>
    <row r="354" spans="1:16" x14ac:dyDescent="0.25">
      <c r="A354" s="6"/>
      <c r="B354" s="7">
        <v>44212</v>
      </c>
      <c r="C354" s="8" t="s">
        <v>529</v>
      </c>
      <c r="D354" s="8" t="s">
        <v>530</v>
      </c>
      <c r="E354" s="9" t="s">
        <v>531</v>
      </c>
      <c r="F354" s="9" t="s">
        <v>140</v>
      </c>
      <c r="G354" s="17">
        <v>0.97152777777777777</v>
      </c>
      <c r="H354" s="17">
        <v>0.98749999999999993</v>
      </c>
      <c r="I354" s="9">
        <v>14680</v>
      </c>
      <c r="J354" s="9">
        <v>8260</v>
      </c>
      <c r="K354" s="10">
        <f t="shared" si="11"/>
        <v>6420</v>
      </c>
      <c r="L354" s="10" t="s">
        <v>532</v>
      </c>
      <c r="M354" s="11" t="s">
        <v>533</v>
      </c>
      <c r="N354" s="12">
        <v>13999</v>
      </c>
      <c r="O354" s="13" t="s">
        <v>49</v>
      </c>
      <c r="P354" s="14"/>
    </row>
    <row r="355" spans="1:16" x14ac:dyDescent="0.25">
      <c r="A355" s="6"/>
      <c r="B355" s="7">
        <v>44213</v>
      </c>
      <c r="C355" s="16" t="s">
        <v>534</v>
      </c>
      <c r="D355" s="8" t="s">
        <v>538</v>
      </c>
      <c r="E355" s="9" t="s">
        <v>277</v>
      </c>
      <c r="F355" s="9" t="s">
        <v>266</v>
      </c>
      <c r="G355" s="17">
        <v>0.41666666666666669</v>
      </c>
      <c r="H355" s="17">
        <v>0.44305555555555554</v>
      </c>
      <c r="I355" s="9">
        <v>6210</v>
      </c>
      <c r="J355" s="9">
        <v>5480</v>
      </c>
      <c r="K355" s="10">
        <f t="shared" si="11"/>
        <v>730</v>
      </c>
      <c r="L355" s="10" t="s">
        <v>277</v>
      </c>
      <c r="M355" s="11" t="s">
        <v>195</v>
      </c>
      <c r="N355" s="12">
        <v>730</v>
      </c>
      <c r="O355" s="13" t="s">
        <v>32</v>
      </c>
      <c r="P355" s="14"/>
    </row>
    <row r="356" spans="1:16" x14ac:dyDescent="0.25">
      <c r="A356" s="6"/>
      <c r="B356" s="7">
        <v>44213</v>
      </c>
      <c r="C356" s="16" t="s">
        <v>534</v>
      </c>
      <c r="D356" s="8" t="s">
        <v>538</v>
      </c>
      <c r="E356" s="9" t="s">
        <v>277</v>
      </c>
      <c r="F356" s="9" t="s">
        <v>266</v>
      </c>
      <c r="G356" s="17">
        <v>0.4291666666666667</v>
      </c>
      <c r="H356" s="17">
        <v>0.44513888888888892</v>
      </c>
      <c r="I356" s="9">
        <v>5790</v>
      </c>
      <c r="J356" s="9">
        <v>5450</v>
      </c>
      <c r="K356" s="10">
        <f t="shared" si="11"/>
        <v>340</v>
      </c>
      <c r="L356" s="10" t="s">
        <v>277</v>
      </c>
      <c r="M356" s="11" t="s">
        <v>195</v>
      </c>
      <c r="N356" s="12">
        <v>340</v>
      </c>
      <c r="O356" s="13" t="s">
        <v>32</v>
      </c>
      <c r="P356" s="14"/>
    </row>
    <row r="357" spans="1:16" x14ac:dyDescent="0.25">
      <c r="A357" s="6"/>
      <c r="B357" s="7">
        <v>44213</v>
      </c>
      <c r="C357" s="16" t="s">
        <v>539</v>
      </c>
      <c r="D357" s="8" t="s">
        <v>538</v>
      </c>
      <c r="E357" s="9" t="s">
        <v>277</v>
      </c>
      <c r="F357" s="9" t="s">
        <v>266</v>
      </c>
      <c r="G357" s="17">
        <v>0.5541666666666667</v>
      </c>
      <c r="H357" s="17">
        <v>0.56319444444444444</v>
      </c>
      <c r="I357" s="9">
        <v>5850</v>
      </c>
      <c r="J357" s="9">
        <v>5450</v>
      </c>
      <c r="K357" s="10">
        <f t="shared" si="11"/>
        <v>400</v>
      </c>
      <c r="L357" s="10" t="s">
        <v>277</v>
      </c>
      <c r="M357" s="11" t="s">
        <v>195</v>
      </c>
      <c r="N357" s="12">
        <v>400</v>
      </c>
      <c r="O357" s="13" t="s">
        <v>32</v>
      </c>
      <c r="P357" s="14"/>
    </row>
    <row r="358" spans="1:16" x14ac:dyDescent="0.25">
      <c r="A358" s="6"/>
      <c r="B358" s="7">
        <v>44214</v>
      </c>
      <c r="C358" s="8" t="s">
        <v>576</v>
      </c>
      <c r="D358" s="8" t="s">
        <v>540</v>
      </c>
      <c r="E358" s="9" t="s">
        <v>541</v>
      </c>
      <c r="F358" s="9" t="s">
        <v>36</v>
      </c>
      <c r="G358" s="17">
        <v>0.34722222222222227</v>
      </c>
      <c r="H358" s="17">
        <v>0.62847222222222221</v>
      </c>
      <c r="I358" s="9">
        <v>13760</v>
      </c>
      <c r="J358" s="9">
        <v>40260</v>
      </c>
      <c r="K358" s="10">
        <f t="shared" si="11"/>
        <v>-26500</v>
      </c>
      <c r="L358" s="10">
        <v>5682</v>
      </c>
      <c r="M358" s="11" t="s">
        <v>53</v>
      </c>
      <c r="N358" s="12">
        <v>530</v>
      </c>
      <c r="O358" s="13" t="s">
        <v>54</v>
      </c>
      <c r="P358" s="14" t="s">
        <v>553</v>
      </c>
    </row>
    <row r="359" spans="1:16" x14ac:dyDescent="0.25">
      <c r="A359" s="6"/>
      <c r="B359" s="7">
        <v>44214</v>
      </c>
      <c r="C359" s="8" t="s">
        <v>576</v>
      </c>
      <c r="D359" s="8" t="s">
        <v>542</v>
      </c>
      <c r="E359" s="9" t="s">
        <v>543</v>
      </c>
      <c r="F359" s="9" t="s">
        <v>36</v>
      </c>
      <c r="G359" s="17">
        <v>0.34930555555555554</v>
      </c>
      <c r="H359" s="17">
        <v>0.59236111111111112</v>
      </c>
      <c r="I359" s="9">
        <v>16600</v>
      </c>
      <c r="J359" s="9">
        <v>43100</v>
      </c>
      <c r="K359" s="10">
        <f t="shared" si="11"/>
        <v>-26500</v>
      </c>
      <c r="L359" s="10">
        <v>5680</v>
      </c>
      <c r="M359" s="11" t="s">
        <v>53</v>
      </c>
      <c r="N359" s="12">
        <v>530</v>
      </c>
      <c r="O359" s="13" t="s">
        <v>54</v>
      </c>
      <c r="P359" s="14"/>
    </row>
    <row r="360" spans="1:16" x14ac:dyDescent="0.25">
      <c r="A360" s="6"/>
      <c r="B360" s="7">
        <v>44214</v>
      </c>
      <c r="C360" s="8" t="s">
        <v>576</v>
      </c>
      <c r="D360" s="8" t="s">
        <v>544</v>
      </c>
      <c r="E360" s="9" t="s">
        <v>545</v>
      </c>
      <c r="F360" s="9" t="s">
        <v>36</v>
      </c>
      <c r="G360" s="17">
        <v>0.35069444444444442</v>
      </c>
      <c r="H360" s="17">
        <v>0.61388888888888882</v>
      </c>
      <c r="I360" s="9">
        <v>14040</v>
      </c>
      <c r="J360" s="9">
        <v>40540</v>
      </c>
      <c r="K360" s="10">
        <f t="shared" si="11"/>
        <v>-26500</v>
      </c>
      <c r="L360" s="10">
        <v>5678</v>
      </c>
      <c r="M360" s="11" t="s">
        <v>53</v>
      </c>
      <c r="N360" s="12">
        <v>530</v>
      </c>
      <c r="O360" s="13" t="s">
        <v>54</v>
      </c>
      <c r="P360" s="14"/>
    </row>
    <row r="361" spans="1:16" x14ac:dyDescent="0.25">
      <c r="A361" s="6"/>
      <c r="B361" s="7">
        <v>44214</v>
      </c>
      <c r="C361" s="8" t="s">
        <v>576</v>
      </c>
      <c r="D361" s="8" t="s">
        <v>546</v>
      </c>
      <c r="E361" s="9" t="s">
        <v>547</v>
      </c>
      <c r="F361" s="9" t="s">
        <v>36</v>
      </c>
      <c r="G361" s="17">
        <v>0.35625000000000001</v>
      </c>
      <c r="H361" s="17">
        <v>0.6645833333333333</v>
      </c>
      <c r="I361" s="9">
        <v>14220</v>
      </c>
      <c r="J361" s="9">
        <v>40720</v>
      </c>
      <c r="K361" s="10">
        <f t="shared" si="11"/>
        <v>-26500</v>
      </c>
      <c r="L361" s="10">
        <v>5681</v>
      </c>
      <c r="M361" s="11" t="s">
        <v>53</v>
      </c>
      <c r="N361" s="12">
        <v>530</v>
      </c>
      <c r="O361" s="13" t="s">
        <v>54</v>
      </c>
      <c r="P361" s="14"/>
    </row>
    <row r="362" spans="1:16" x14ac:dyDescent="0.25">
      <c r="A362" s="6"/>
      <c r="B362" s="7">
        <v>44214</v>
      </c>
      <c r="C362" s="8" t="s">
        <v>576</v>
      </c>
      <c r="D362" s="8" t="s">
        <v>548</v>
      </c>
      <c r="E362" s="9" t="s">
        <v>549</v>
      </c>
      <c r="F362" s="9" t="s">
        <v>36</v>
      </c>
      <c r="G362" s="17">
        <v>0.3576388888888889</v>
      </c>
      <c r="H362" s="17">
        <v>0.68125000000000002</v>
      </c>
      <c r="I362" s="9">
        <v>13930</v>
      </c>
      <c r="J362" s="9">
        <v>40430</v>
      </c>
      <c r="K362" s="10">
        <f t="shared" si="11"/>
        <v>-26500</v>
      </c>
      <c r="L362" s="10">
        <v>5679</v>
      </c>
      <c r="M362" s="11" t="s">
        <v>53</v>
      </c>
      <c r="N362" s="12">
        <v>530</v>
      </c>
      <c r="O362" s="13" t="s">
        <v>54</v>
      </c>
      <c r="P362" s="14"/>
    </row>
    <row r="363" spans="1:16" x14ac:dyDescent="0.25">
      <c r="A363" s="6"/>
      <c r="B363" s="7">
        <v>44214</v>
      </c>
      <c r="C363" s="8" t="s">
        <v>576</v>
      </c>
      <c r="D363" s="8" t="s">
        <v>550</v>
      </c>
      <c r="E363" s="9" t="s">
        <v>551</v>
      </c>
      <c r="F363" s="9" t="s">
        <v>36</v>
      </c>
      <c r="G363" s="17">
        <v>0.35902777777777778</v>
      </c>
      <c r="H363" s="17">
        <v>0.7631944444444444</v>
      </c>
      <c r="I363" s="9">
        <v>13700</v>
      </c>
      <c r="J363" s="9">
        <v>40200</v>
      </c>
      <c r="K363" s="10">
        <f t="shared" si="11"/>
        <v>-26500</v>
      </c>
      <c r="L363" s="10"/>
      <c r="M363" s="11" t="s">
        <v>53</v>
      </c>
      <c r="N363" s="12">
        <v>530</v>
      </c>
      <c r="O363" s="13" t="s">
        <v>54</v>
      </c>
      <c r="P363" s="14"/>
    </row>
    <row r="364" spans="1:16" x14ac:dyDescent="0.25">
      <c r="A364" s="6"/>
      <c r="B364" s="7">
        <v>44214</v>
      </c>
      <c r="C364" s="8" t="s">
        <v>576</v>
      </c>
      <c r="D364" s="8" t="s">
        <v>554</v>
      </c>
      <c r="E364" s="9" t="s">
        <v>555</v>
      </c>
      <c r="F364" s="9" t="s">
        <v>36</v>
      </c>
      <c r="G364" s="17">
        <v>0.42152777777777778</v>
      </c>
      <c r="H364" s="17">
        <v>0.79513888888888884</v>
      </c>
      <c r="I364" s="9">
        <v>12970</v>
      </c>
      <c r="J364" s="9">
        <v>39470</v>
      </c>
      <c r="K364" s="10">
        <f t="shared" si="11"/>
        <v>-26500</v>
      </c>
      <c r="L364" s="10"/>
      <c r="M364" s="11" t="s">
        <v>53</v>
      </c>
      <c r="N364" s="12">
        <v>530</v>
      </c>
      <c r="O364" s="13" t="s">
        <v>54</v>
      </c>
      <c r="P364" s="14"/>
    </row>
    <row r="365" spans="1:16" x14ac:dyDescent="0.25">
      <c r="A365" s="6"/>
      <c r="B365" s="7">
        <v>44214</v>
      </c>
      <c r="C365" s="8" t="s">
        <v>576</v>
      </c>
      <c r="D365" s="8" t="s">
        <v>557</v>
      </c>
      <c r="E365" s="9" t="s">
        <v>556</v>
      </c>
      <c r="F365" s="9" t="s">
        <v>36</v>
      </c>
      <c r="G365" s="17">
        <v>0.4236111111111111</v>
      </c>
      <c r="H365" s="17">
        <v>0.7895833333333333</v>
      </c>
      <c r="I365" s="9">
        <v>14120</v>
      </c>
      <c r="J365" s="9">
        <v>40620</v>
      </c>
      <c r="K365" s="10">
        <f t="shared" si="11"/>
        <v>-26500</v>
      </c>
      <c r="L365" s="10"/>
      <c r="M365" s="11" t="s">
        <v>53</v>
      </c>
      <c r="N365" s="12">
        <v>530</v>
      </c>
      <c r="O365" s="13" t="s">
        <v>54</v>
      </c>
      <c r="P365" s="14"/>
    </row>
    <row r="366" spans="1:16" x14ac:dyDescent="0.25">
      <c r="A366" s="6"/>
      <c r="B366" s="7">
        <v>44214</v>
      </c>
      <c r="C366" s="8" t="s">
        <v>576</v>
      </c>
      <c r="D366" s="8" t="s">
        <v>558</v>
      </c>
      <c r="E366" s="9" t="s">
        <v>559</v>
      </c>
      <c r="F366" s="9" t="s">
        <v>36</v>
      </c>
      <c r="G366" s="17">
        <v>0.45763888888888887</v>
      </c>
      <c r="H366" s="17">
        <v>0.71458333333333324</v>
      </c>
      <c r="I366" s="9">
        <v>16410</v>
      </c>
      <c r="J366" s="9">
        <v>42910</v>
      </c>
      <c r="K366" s="10">
        <f t="shared" si="11"/>
        <v>-26500</v>
      </c>
      <c r="L366" s="10">
        <v>5684</v>
      </c>
      <c r="M366" s="11" t="s">
        <v>53</v>
      </c>
      <c r="N366" s="12">
        <v>530</v>
      </c>
      <c r="O366" s="13" t="s">
        <v>54</v>
      </c>
      <c r="P366" s="14"/>
    </row>
    <row r="367" spans="1:16" x14ac:dyDescent="0.25">
      <c r="A367" s="6"/>
      <c r="B367" s="7">
        <v>44214</v>
      </c>
      <c r="C367" s="8" t="s">
        <v>576</v>
      </c>
      <c r="D367" s="8" t="s">
        <v>560</v>
      </c>
      <c r="E367" s="9" t="s">
        <v>561</v>
      </c>
      <c r="F367" s="9" t="s">
        <v>36</v>
      </c>
      <c r="G367" s="17">
        <v>0.45902777777777781</v>
      </c>
      <c r="H367" s="17">
        <v>0.81388888888888899</v>
      </c>
      <c r="I367" s="9">
        <v>16570</v>
      </c>
      <c r="J367" s="9">
        <v>43070</v>
      </c>
      <c r="K367" s="10">
        <f t="shared" si="11"/>
        <v>-26500</v>
      </c>
      <c r="L367" s="10"/>
      <c r="M367" s="11" t="s">
        <v>53</v>
      </c>
      <c r="N367" s="12">
        <v>530</v>
      </c>
      <c r="O367" s="13" t="s">
        <v>54</v>
      </c>
      <c r="P367" s="14"/>
    </row>
    <row r="368" spans="1:16" x14ac:dyDescent="0.25">
      <c r="A368" s="6"/>
      <c r="B368" s="7">
        <v>44214</v>
      </c>
      <c r="C368" s="8" t="s">
        <v>576</v>
      </c>
      <c r="D368" s="8" t="s">
        <v>562</v>
      </c>
      <c r="E368" s="9" t="s">
        <v>563</v>
      </c>
      <c r="F368" s="9" t="s">
        <v>36</v>
      </c>
      <c r="G368" s="17">
        <v>0.4604166666666667</v>
      </c>
      <c r="H368" s="17">
        <v>0.83263888888888893</v>
      </c>
      <c r="I368" s="9">
        <v>15600</v>
      </c>
      <c r="J368" s="9">
        <v>42100</v>
      </c>
      <c r="K368" s="10">
        <f t="shared" si="11"/>
        <v>-26500</v>
      </c>
      <c r="L368" s="10"/>
      <c r="M368" s="11" t="s">
        <v>53</v>
      </c>
      <c r="N368" s="12">
        <v>530</v>
      </c>
      <c r="O368" s="13" t="s">
        <v>54</v>
      </c>
      <c r="P368" s="14"/>
    </row>
    <row r="369" spans="1:21" x14ac:dyDescent="0.25">
      <c r="A369" s="6"/>
      <c r="B369" s="7">
        <v>44214</v>
      </c>
      <c r="C369" s="8" t="s">
        <v>576</v>
      </c>
      <c r="D369" s="8" t="s">
        <v>564</v>
      </c>
      <c r="E369" s="9" t="s">
        <v>565</v>
      </c>
      <c r="F369" s="9" t="s">
        <v>36</v>
      </c>
      <c r="G369" s="17">
        <v>0.46180555555555558</v>
      </c>
      <c r="H369" s="17">
        <v>0.82291666666666663</v>
      </c>
      <c r="I369" s="9">
        <v>14820</v>
      </c>
      <c r="J369" s="9">
        <v>41320</v>
      </c>
      <c r="K369" s="10">
        <f t="shared" si="11"/>
        <v>-26500</v>
      </c>
      <c r="L369" s="10"/>
      <c r="M369" s="11" t="s">
        <v>53</v>
      </c>
      <c r="N369" s="12">
        <v>530</v>
      </c>
      <c r="O369" s="13" t="s">
        <v>54</v>
      </c>
      <c r="P369" s="14"/>
      <c r="Q369">
        <f>46*24</f>
        <v>1104</v>
      </c>
    </row>
    <row r="370" spans="1:21" x14ac:dyDescent="0.25">
      <c r="A370" s="6"/>
      <c r="B370" s="7">
        <v>44214</v>
      </c>
      <c r="C370" s="8" t="s">
        <v>470</v>
      </c>
      <c r="D370" s="8" t="s">
        <v>566</v>
      </c>
      <c r="E370" s="9" t="s">
        <v>567</v>
      </c>
      <c r="F370" s="9" t="s">
        <v>36</v>
      </c>
      <c r="G370" s="17">
        <v>0.47638888888888892</v>
      </c>
      <c r="H370" s="17">
        <v>0.50763888888888886</v>
      </c>
      <c r="I370" s="9">
        <v>7250</v>
      </c>
      <c r="J370" s="9">
        <v>17620</v>
      </c>
      <c r="K370" s="10">
        <f t="shared" si="11"/>
        <v>-10370</v>
      </c>
      <c r="L370" s="10">
        <v>5677</v>
      </c>
      <c r="M370" s="11" t="s">
        <v>53</v>
      </c>
      <c r="N370" s="12">
        <v>200</v>
      </c>
      <c r="O370" s="13" t="s">
        <v>54</v>
      </c>
      <c r="P370" s="14" t="s">
        <v>569</v>
      </c>
      <c r="Q370">
        <f>46*8</f>
        <v>368</v>
      </c>
    </row>
    <row r="371" spans="1:21" x14ac:dyDescent="0.25">
      <c r="A371" s="6"/>
      <c r="B371" s="7">
        <v>44214</v>
      </c>
      <c r="C371" s="8" t="s">
        <v>320</v>
      </c>
      <c r="D371" s="8" t="s">
        <v>501</v>
      </c>
      <c r="E371" s="9" t="s">
        <v>502</v>
      </c>
      <c r="F371" s="9" t="s">
        <v>503</v>
      </c>
      <c r="G371" s="17">
        <v>0.50416666666666665</v>
      </c>
      <c r="H371" s="17">
        <v>0.54166666666666663</v>
      </c>
      <c r="I371" s="9">
        <v>7120</v>
      </c>
      <c r="J371" s="9">
        <v>5310</v>
      </c>
      <c r="K371" s="10">
        <f t="shared" si="11"/>
        <v>1810</v>
      </c>
      <c r="L371" s="10">
        <v>4301</v>
      </c>
      <c r="M371" s="11" t="s">
        <v>568</v>
      </c>
      <c r="N371" s="12">
        <v>1810</v>
      </c>
      <c r="O371" s="13" t="s">
        <v>32</v>
      </c>
      <c r="P371" s="14"/>
      <c r="Q371">
        <v>10370</v>
      </c>
    </row>
    <row r="372" spans="1:21" x14ac:dyDescent="0.25">
      <c r="A372" s="6"/>
      <c r="B372" s="7">
        <v>44214</v>
      </c>
      <c r="C372" s="8" t="s">
        <v>570</v>
      </c>
      <c r="D372" s="8" t="s">
        <v>571</v>
      </c>
      <c r="E372" s="9" t="s">
        <v>572</v>
      </c>
      <c r="F372" s="9" t="s">
        <v>36</v>
      </c>
      <c r="G372" s="17">
        <v>0.5444444444444444</v>
      </c>
      <c r="H372" s="17">
        <v>0.55277777777777781</v>
      </c>
      <c r="I372" s="9">
        <v>12650</v>
      </c>
      <c r="J372" s="9">
        <v>6640</v>
      </c>
      <c r="K372" s="10">
        <f t="shared" si="11"/>
        <v>6010</v>
      </c>
      <c r="L372" s="10">
        <v>6163</v>
      </c>
      <c r="M372" s="11" t="s">
        <v>573</v>
      </c>
      <c r="N372" s="12">
        <v>6010</v>
      </c>
      <c r="O372" s="13" t="s">
        <v>32</v>
      </c>
      <c r="P372" s="14"/>
      <c r="Q372">
        <f>+Q371-Q370</f>
        <v>10002</v>
      </c>
      <c r="S372">
        <f>200*50.1</f>
        <v>10020</v>
      </c>
    </row>
    <row r="373" spans="1:21" x14ac:dyDescent="0.25">
      <c r="A373" s="6"/>
      <c r="B373" s="7">
        <v>44214</v>
      </c>
      <c r="C373" s="8" t="s">
        <v>55</v>
      </c>
      <c r="D373" s="8" t="s">
        <v>86</v>
      </c>
      <c r="E373" s="9" t="s">
        <v>87</v>
      </c>
      <c r="F373" s="9" t="s">
        <v>88</v>
      </c>
      <c r="G373" s="17">
        <v>0.6166666666666667</v>
      </c>
      <c r="H373" s="17">
        <v>0.72013888888888899</v>
      </c>
      <c r="I373" s="9">
        <v>16550</v>
      </c>
      <c r="J373" s="9">
        <v>39160</v>
      </c>
      <c r="K373" s="10">
        <f t="shared" si="11"/>
        <v>-22610</v>
      </c>
      <c r="L373" s="10">
        <v>5683</v>
      </c>
      <c r="M373" s="11" t="s">
        <v>574</v>
      </c>
      <c r="N373" s="12">
        <v>21457</v>
      </c>
      <c r="O373" s="13" t="s">
        <v>32</v>
      </c>
      <c r="P373" s="14" t="s">
        <v>579</v>
      </c>
    </row>
    <row r="374" spans="1:21" x14ac:dyDescent="0.25">
      <c r="A374" s="6"/>
      <c r="B374" s="7">
        <v>44214</v>
      </c>
      <c r="C374" s="8" t="s">
        <v>320</v>
      </c>
      <c r="D374" s="8" t="s">
        <v>198</v>
      </c>
      <c r="E374" s="9" t="s">
        <v>405</v>
      </c>
      <c r="F374" s="9" t="s">
        <v>161</v>
      </c>
      <c r="G374" s="17">
        <v>0.61736111111111114</v>
      </c>
      <c r="H374" s="17"/>
      <c r="I374" s="9">
        <v>27700</v>
      </c>
      <c r="J374" s="9"/>
      <c r="K374" s="10">
        <f t="shared" si="11"/>
        <v>27700</v>
      </c>
      <c r="L374" s="10">
        <v>4304</v>
      </c>
      <c r="M374" s="11" t="s">
        <v>575</v>
      </c>
      <c r="N374" s="12"/>
      <c r="O374" s="13" t="s">
        <v>32</v>
      </c>
      <c r="P374" s="14"/>
      <c r="T374">
        <f>3580*2.2</f>
        <v>7876.0000000000009</v>
      </c>
      <c r="U374">
        <f>+T374-6800</f>
        <v>1076.0000000000009</v>
      </c>
    </row>
    <row r="375" spans="1:21" x14ac:dyDescent="0.25">
      <c r="A375" s="6"/>
      <c r="B375" s="7">
        <v>44214</v>
      </c>
      <c r="C375" s="8" t="s">
        <v>169</v>
      </c>
      <c r="D375" s="8" t="s">
        <v>233</v>
      </c>
      <c r="E375" s="9" t="s">
        <v>528</v>
      </c>
      <c r="F375" s="9" t="s">
        <v>36</v>
      </c>
      <c r="G375" s="17">
        <v>0.68402777777777779</v>
      </c>
      <c r="H375" s="17">
        <v>0.75624999999999998</v>
      </c>
      <c r="I375" s="9">
        <v>8150</v>
      </c>
      <c r="J375" s="9">
        <v>3900</v>
      </c>
      <c r="K375" s="10">
        <f t="shared" si="11"/>
        <v>4250</v>
      </c>
      <c r="L375" s="10">
        <v>3378</v>
      </c>
      <c r="M375" s="11" t="s">
        <v>31</v>
      </c>
      <c r="N375" s="12">
        <v>4250</v>
      </c>
      <c r="O375" s="13" t="s">
        <v>49</v>
      </c>
      <c r="P375" s="14"/>
    </row>
    <row r="376" spans="1:21" x14ac:dyDescent="0.25">
      <c r="A376" s="6"/>
      <c r="B376" s="7">
        <v>44214</v>
      </c>
      <c r="C376" s="8" t="s">
        <v>55</v>
      </c>
      <c r="D376" s="8" t="s">
        <v>209</v>
      </c>
      <c r="E376" s="9" t="s">
        <v>466</v>
      </c>
      <c r="F376" s="9" t="s">
        <v>52</v>
      </c>
      <c r="G376" s="17">
        <v>0.68611111111111101</v>
      </c>
      <c r="H376" s="17">
        <v>0.18263888888888891</v>
      </c>
      <c r="I376" s="9">
        <v>14930</v>
      </c>
      <c r="J376" s="9">
        <v>50040</v>
      </c>
      <c r="K376" s="10">
        <f t="shared" si="11"/>
        <v>-35110</v>
      </c>
      <c r="L376" s="10">
        <v>5692</v>
      </c>
      <c r="M376" s="11" t="s">
        <v>53</v>
      </c>
      <c r="N376" s="12">
        <v>700</v>
      </c>
      <c r="O376" s="13" t="s">
        <v>54</v>
      </c>
      <c r="P376" s="14"/>
    </row>
    <row r="377" spans="1:21" x14ac:dyDescent="0.25">
      <c r="A377" s="6"/>
      <c r="B377" s="7">
        <v>44214</v>
      </c>
      <c r="C377" s="8" t="s">
        <v>422</v>
      </c>
      <c r="D377" s="8" t="s">
        <v>249</v>
      </c>
      <c r="E377" s="9" t="s">
        <v>250</v>
      </c>
      <c r="F377" s="9" t="s">
        <v>59</v>
      </c>
      <c r="G377" s="17">
        <v>0.68680555555555556</v>
      </c>
      <c r="H377" s="17">
        <v>0.7416666666666667</v>
      </c>
      <c r="I377" s="9">
        <v>7340</v>
      </c>
      <c r="J377" s="9">
        <v>3760</v>
      </c>
      <c r="K377" s="10">
        <f t="shared" si="11"/>
        <v>3580</v>
      </c>
      <c r="L377" s="10">
        <v>1418</v>
      </c>
      <c r="M377" s="11" t="s">
        <v>31</v>
      </c>
      <c r="N377" s="12">
        <v>6800</v>
      </c>
      <c r="O377" s="13" t="s">
        <v>49</v>
      </c>
      <c r="P377" s="14"/>
      <c r="Q377" t="s">
        <v>578</v>
      </c>
      <c r="R377">
        <v>57</v>
      </c>
      <c r="S377">
        <v>7</v>
      </c>
      <c r="T377" s="1">
        <f>+S377*R377</f>
        <v>399</v>
      </c>
    </row>
    <row r="378" spans="1:21" x14ac:dyDescent="0.25">
      <c r="A378" s="6"/>
      <c r="B378" s="7">
        <v>44214</v>
      </c>
      <c r="C378" s="8" t="s">
        <v>55</v>
      </c>
      <c r="D378" s="8" t="s">
        <v>299</v>
      </c>
      <c r="E378" s="9" t="s">
        <v>490</v>
      </c>
      <c r="F378" s="9" t="s">
        <v>491</v>
      </c>
      <c r="G378" s="17">
        <v>0.6875</v>
      </c>
      <c r="H378" s="17">
        <v>0.17777777777777778</v>
      </c>
      <c r="I378" s="9">
        <v>16140</v>
      </c>
      <c r="J378" s="9">
        <v>51250</v>
      </c>
      <c r="K378" s="10">
        <f t="shared" si="11"/>
        <v>-35110</v>
      </c>
      <c r="L378" s="10">
        <v>5691</v>
      </c>
      <c r="M378" s="11" t="s">
        <v>53</v>
      </c>
      <c r="N378" s="12">
        <v>700</v>
      </c>
      <c r="O378" s="13" t="s">
        <v>54</v>
      </c>
      <c r="P378" s="14"/>
      <c r="Q378" t="s">
        <v>577</v>
      </c>
      <c r="R378">
        <v>58</v>
      </c>
      <c r="S378">
        <v>13</v>
      </c>
      <c r="T378">
        <f>+S378*R378</f>
        <v>754</v>
      </c>
    </row>
    <row r="379" spans="1:21" x14ac:dyDescent="0.25">
      <c r="A379" s="6"/>
      <c r="B379" s="7">
        <v>44214</v>
      </c>
      <c r="C379" s="8" t="s">
        <v>581</v>
      </c>
      <c r="D379" s="8" t="s">
        <v>324</v>
      </c>
      <c r="E379" s="9" t="s">
        <v>197</v>
      </c>
      <c r="F379" s="9" t="s">
        <v>36</v>
      </c>
      <c r="G379" s="17">
        <v>0.72430555555555554</v>
      </c>
      <c r="H379" s="17">
        <v>0.82777777777777783</v>
      </c>
      <c r="I379" s="9">
        <v>9650</v>
      </c>
      <c r="J379" s="9">
        <v>4610</v>
      </c>
      <c r="K379" s="10">
        <f t="shared" si="11"/>
        <v>5040</v>
      </c>
      <c r="L379" s="10">
        <v>26348</v>
      </c>
      <c r="M379" s="11" t="s">
        <v>31</v>
      </c>
      <c r="N379" s="12">
        <v>5040</v>
      </c>
      <c r="O379" s="13" t="s">
        <v>32</v>
      </c>
      <c r="P379" s="14" t="s">
        <v>580</v>
      </c>
      <c r="S379">
        <f>+S378+S377</f>
        <v>20</v>
      </c>
      <c r="T379" s="1">
        <f>+T378+T377</f>
        <v>1153</v>
      </c>
    </row>
    <row r="380" spans="1:21" x14ac:dyDescent="0.25">
      <c r="A380" s="6"/>
      <c r="B380" s="7">
        <v>44214</v>
      </c>
      <c r="C380" s="8" t="s">
        <v>347</v>
      </c>
      <c r="D380" s="8" t="s">
        <v>61</v>
      </c>
      <c r="E380" s="9" t="s">
        <v>119</v>
      </c>
      <c r="F380" s="9" t="s">
        <v>36</v>
      </c>
      <c r="G380" s="17">
        <v>0.72569444444444453</v>
      </c>
      <c r="H380" s="17">
        <v>0.77222222222222225</v>
      </c>
      <c r="I380" s="9">
        <v>8650</v>
      </c>
      <c r="J380" s="9">
        <v>3930</v>
      </c>
      <c r="K380" s="10">
        <f t="shared" si="11"/>
        <v>4720</v>
      </c>
      <c r="L380" s="10">
        <v>9893</v>
      </c>
      <c r="M380" s="11" t="s">
        <v>31</v>
      </c>
      <c r="N380" s="12">
        <v>9800</v>
      </c>
      <c r="O380" s="13" t="s">
        <v>49</v>
      </c>
      <c r="P380" s="14">
        <f>20*30</f>
        <v>600</v>
      </c>
      <c r="T380">
        <v>22610</v>
      </c>
    </row>
    <row r="381" spans="1:21" x14ac:dyDescent="0.25">
      <c r="A381" s="6"/>
      <c r="B381" s="7">
        <v>44214</v>
      </c>
      <c r="C381" s="8" t="s">
        <v>130</v>
      </c>
      <c r="D381" s="8" t="s">
        <v>582</v>
      </c>
      <c r="E381" s="9" t="s">
        <v>149</v>
      </c>
      <c r="F381" s="9" t="s">
        <v>36</v>
      </c>
      <c r="G381" s="17">
        <v>0.75416666666666676</v>
      </c>
      <c r="H381" s="17">
        <v>0.82986111111111116</v>
      </c>
      <c r="I381" s="9">
        <v>51020</v>
      </c>
      <c r="J381" s="9">
        <v>18810</v>
      </c>
      <c r="K381" s="10">
        <f t="shared" si="11"/>
        <v>32210</v>
      </c>
      <c r="L381" s="10">
        <v>5180</v>
      </c>
      <c r="M381" s="11" t="s">
        <v>31</v>
      </c>
      <c r="N381" s="12">
        <v>80014</v>
      </c>
      <c r="O381" s="13" t="s">
        <v>49</v>
      </c>
      <c r="P381" s="14"/>
      <c r="T381">
        <f>+T380-T379</f>
        <v>21457</v>
      </c>
    </row>
    <row r="382" spans="1:21" x14ac:dyDescent="0.25">
      <c r="A382" s="6"/>
      <c r="B382" s="7">
        <v>44214</v>
      </c>
      <c r="C382" s="8" t="s">
        <v>583</v>
      </c>
      <c r="D382" s="8" t="s">
        <v>584</v>
      </c>
      <c r="E382" s="9" t="s">
        <v>585</v>
      </c>
      <c r="F382" s="9" t="s">
        <v>338</v>
      </c>
      <c r="G382" s="17">
        <v>0.77013888888888893</v>
      </c>
      <c r="H382" s="17">
        <v>0.80138888888888893</v>
      </c>
      <c r="I382" s="9">
        <v>25360</v>
      </c>
      <c r="J382" s="9">
        <v>17640</v>
      </c>
      <c r="K382" s="10">
        <f t="shared" si="11"/>
        <v>7720</v>
      </c>
      <c r="L382" s="10"/>
      <c r="M382" s="11" t="s">
        <v>586</v>
      </c>
      <c r="N382" s="12">
        <v>140</v>
      </c>
      <c r="O382" s="13" t="s">
        <v>96</v>
      </c>
      <c r="P382" s="14"/>
    </row>
    <row r="383" spans="1:21" x14ac:dyDescent="0.25">
      <c r="A383" s="6"/>
      <c r="B383" s="7">
        <v>44214</v>
      </c>
      <c r="C383" s="8" t="s">
        <v>33</v>
      </c>
      <c r="D383" s="8" t="s">
        <v>34</v>
      </c>
      <c r="E383" s="9" t="s">
        <v>35</v>
      </c>
      <c r="F383" s="9" t="s">
        <v>419</v>
      </c>
      <c r="G383" s="17">
        <v>0.77083333333333337</v>
      </c>
      <c r="H383" s="17">
        <v>0.80486111111111114</v>
      </c>
      <c r="I383" s="9">
        <v>12320</v>
      </c>
      <c r="J383" s="9">
        <v>5260</v>
      </c>
      <c r="K383" s="10">
        <f t="shared" si="11"/>
        <v>7060</v>
      </c>
      <c r="L383" s="10">
        <v>26349</v>
      </c>
      <c r="M383" s="11" t="s">
        <v>31</v>
      </c>
      <c r="N383" s="12">
        <v>7060</v>
      </c>
      <c r="O383" s="13" t="s">
        <v>32</v>
      </c>
      <c r="P383" s="14"/>
    </row>
    <row r="384" spans="1:21" x14ac:dyDescent="0.25">
      <c r="A384" s="6"/>
      <c r="B384" s="7">
        <v>44214</v>
      </c>
      <c r="C384" s="8" t="s">
        <v>60</v>
      </c>
      <c r="D384" s="8" t="s">
        <v>587</v>
      </c>
      <c r="E384" s="9" t="s">
        <v>588</v>
      </c>
      <c r="F384" s="9" t="s">
        <v>419</v>
      </c>
      <c r="G384" s="17">
        <v>0.8027777777777777</v>
      </c>
      <c r="H384" s="17">
        <v>0.86805555555555547</v>
      </c>
      <c r="I384" s="9">
        <v>8300</v>
      </c>
      <c r="J384" s="9">
        <v>3640</v>
      </c>
      <c r="K384" s="10">
        <f t="shared" si="11"/>
        <v>4660</v>
      </c>
      <c r="L384" s="10" t="s">
        <v>589</v>
      </c>
      <c r="M384" s="11" t="s">
        <v>31</v>
      </c>
      <c r="N384" s="12">
        <v>4660</v>
      </c>
      <c r="O384" s="13" t="s">
        <v>32</v>
      </c>
      <c r="P384" s="14"/>
    </row>
    <row r="385" spans="1:17" x14ac:dyDescent="0.25">
      <c r="A385" s="6"/>
      <c r="B385" s="7">
        <v>44214</v>
      </c>
      <c r="C385" s="8" t="s">
        <v>208</v>
      </c>
      <c r="D385" s="8" t="s">
        <v>465</v>
      </c>
      <c r="E385" s="9" t="s">
        <v>144</v>
      </c>
      <c r="F385" s="9" t="s">
        <v>239</v>
      </c>
      <c r="G385" s="17">
        <v>0.80347222222222225</v>
      </c>
      <c r="H385" s="17">
        <v>0.54166666666666663</v>
      </c>
      <c r="I385" s="9">
        <v>34820</v>
      </c>
      <c r="J385" s="9">
        <v>17150</v>
      </c>
      <c r="K385" s="10">
        <f t="shared" si="11"/>
        <v>17670</v>
      </c>
      <c r="L385" s="10">
        <v>39886</v>
      </c>
      <c r="M385" s="11" t="s">
        <v>212</v>
      </c>
      <c r="N385" s="12">
        <v>17720</v>
      </c>
      <c r="O385" s="28" t="s">
        <v>32</v>
      </c>
      <c r="P385" s="14"/>
    </row>
    <row r="386" spans="1:17" x14ac:dyDescent="0.25">
      <c r="A386" s="6"/>
      <c r="B386" s="7">
        <v>44214</v>
      </c>
      <c r="C386" s="8" t="s">
        <v>288</v>
      </c>
      <c r="D386" s="8" t="s">
        <v>29</v>
      </c>
      <c r="E386" s="9" t="s">
        <v>590</v>
      </c>
      <c r="F386" s="9" t="s">
        <v>419</v>
      </c>
      <c r="G386" s="17">
        <v>0.81041666666666667</v>
      </c>
      <c r="H386" s="17">
        <v>0.87013888888888891</v>
      </c>
      <c r="I386" s="9">
        <v>7630</v>
      </c>
      <c r="J386" s="9">
        <v>3300</v>
      </c>
      <c r="K386" s="10">
        <f t="shared" si="11"/>
        <v>4330</v>
      </c>
      <c r="L386" s="10">
        <v>44415</v>
      </c>
      <c r="M386" s="11" t="s">
        <v>31</v>
      </c>
      <c r="N386" s="12">
        <v>4330</v>
      </c>
      <c r="O386" s="13" t="s">
        <v>32</v>
      </c>
      <c r="P386" s="14"/>
    </row>
    <row r="387" spans="1:17" x14ac:dyDescent="0.25">
      <c r="A387" s="6"/>
      <c r="B387" s="7">
        <v>44214</v>
      </c>
      <c r="C387" s="8" t="s">
        <v>33</v>
      </c>
      <c r="D387" s="8" t="s">
        <v>202</v>
      </c>
      <c r="E387" s="9" t="s">
        <v>591</v>
      </c>
      <c r="F387" s="9" t="s">
        <v>419</v>
      </c>
      <c r="G387" s="17">
        <v>0.81666666666666676</v>
      </c>
      <c r="H387" s="17">
        <v>0.87777777777777777</v>
      </c>
      <c r="I387" s="9">
        <v>9470</v>
      </c>
      <c r="J387" s="9">
        <v>4070</v>
      </c>
      <c r="K387" s="10">
        <f t="shared" si="11"/>
        <v>5400</v>
      </c>
      <c r="L387" s="10">
        <v>26350</v>
      </c>
      <c r="M387" s="11" t="s">
        <v>31</v>
      </c>
      <c r="N387" s="12">
        <v>5400</v>
      </c>
      <c r="O387" s="13" t="s">
        <v>32</v>
      </c>
      <c r="P387" s="14"/>
      <c r="Q387" s="1"/>
    </row>
    <row r="388" spans="1:17" x14ac:dyDescent="0.25">
      <c r="A388" s="6"/>
      <c r="B388" s="7">
        <v>44214</v>
      </c>
      <c r="C388" s="8" t="s">
        <v>213</v>
      </c>
      <c r="D388" s="8" t="s">
        <v>214</v>
      </c>
      <c r="E388" s="9" t="s">
        <v>215</v>
      </c>
      <c r="F388" s="9" t="s">
        <v>36</v>
      </c>
      <c r="G388" s="17">
        <v>0.84444444444444444</v>
      </c>
      <c r="H388" s="17">
        <v>0.88680555555555562</v>
      </c>
      <c r="I388" s="9">
        <v>10300</v>
      </c>
      <c r="J388" s="9">
        <v>4490</v>
      </c>
      <c r="K388" s="10">
        <f t="shared" si="11"/>
        <v>5810</v>
      </c>
      <c r="L388" s="10">
        <v>26351</v>
      </c>
      <c r="M388" s="11" t="s">
        <v>31</v>
      </c>
      <c r="N388" s="12">
        <v>5810</v>
      </c>
      <c r="O388" s="13" t="s">
        <v>32</v>
      </c>
      <c r="P388" s="14"/>
      <c r="Q388" s="1"/>
    </row>
    <row r="389" spans="1:17" x14ac:dyDescent="0.25">
      <c r="A389" s="6"/>
      <c r="B389" s="7">
        <v>44214</v>
      </c>
      <c r="C389" s="8" t="s">
        <v>592</v>
      </c>
      <c r="D389" s="8" t="s">
        <v>175</v>
      </c>
      <c r="E389" s="9" t="s">
        <v>176</v>
      </c>
      <c r="F389" s="9" t="s">
        <v>419</v>
      </c>
      <c r="G389" s="17">
        <v>0.87430555555555556</v>
      </c>
      <c r="H389" s="17">
        <v>0.90902777777777777</v>
      </c>
      <c r="I389" s="9">
        <v>9150</v>
      </c>
      <c r="J389" s="9">
        <v>4190</v>
      </c>
      <c r="K389" s="10">
        <f t="shared" si="11"/>
        <v>4960</v>
      </c>
      <c r="L389" s="10">
        <v>1</v>
      </c>
      <c r="M389" s="11" t="s">
        <v>31</v>
      </c>
      <c r="N389" s="12">
        <v>4960</v>
      </c>
      <c r="O389" s="13" t="s">
        <v>32</v>
      </c>
      <c r="P389" s="14"/>
      <c r="Q389" s="1"/>
    </row>
    <row r="390" spans="1:17" x14ac:dyDescent="0.25">
      <c r="A390" s="6"/>
      <c r="B390" s="7">
        <v>44214</v>
      </c>
      <c r="C390" s="8" t="s">
        <v>213</v>
      </c>
      <c r="D390" s="8" t="s">
        <v>247</v>
      </c>
      <c r="E390" s="9" t="s">
        <v>184</v>
      </c>
      <c r="F390" s="9" t="s">
        <v>36</v>
      </c>
      <c r="G390" s="17">
        <v>0.93055555555555547</v>
      </c>
      <c r="H390" s="17">
        <v>0.9784722222222223</v>
      </c>
      <c r="I390" s="9">
        <v>8460</v>
      </c>
      <c r="J390" s="9">
        <v>4330</v>
      </c>
      <c r="K390" s="10">
        <f t="shared" si="11"/>
        <v>4130</v>
      </c>
      <c r="L390" s="10">
        <v>26352</v>
      </c>
      <c r="M390" s="11" t="s">
        <v>31</v>
      </c>
      <c r="N390" s="12">
        <v>4130</v>
      </c>
      <c r="O390" s="13" t="s">
        <v>32</v>
      </c>
      <c r="P390" s="14"/>
      <c r="Q390" s="1"/>
    </row>
    <row r="391" spans="1:17" x14ac:dyDescent="0.25">
      <c r="A391" s="6"/>
      <c r="B391" s="7">
        <v>44214</v>
      </c>
      <c r="C391" s="8" t="s">
        <v>130</v>
      </c>
      <c r="D391" s="8" t="s">
        <v>131</v>
      </c>
      <c r="E391" s="9" t="s">
        <v>132</v>
      </c>
      <c r="F391" s="9" t="s">
        <v>36</v>
      </c>
      <c r="G391" s="17">
        <v>0.94027777777777777</v>
      </c>
      <c r="H391" s="17">
        <v>0.95972222222222225</v>
      </c>
      <c r="I391" s="9">
        <v>48820</v>
      </c>
      <c r="J391" s="9">
        <v>18520</v>
      </c>
      <c r="K391" s="10">
        <f t="shared" si="11"/>
        <v>30300</v>
      </c>
      <c r="L391" s="10">
        <v>5181</v>
      </c>
      <c r="M391" s="11" t="s">
        <v>31</v>
      </c>
      <c r="N391" s="12">
        <v>30300</v>
      </c>
      <c r="O391" s="13" t="s">
        <v>32</v>
      </c>
      <c r="P391" s="14"/>
      <c r="Q391" s="1"/>
    </row>
    <row r="392" spans="1:17" x14ac:dyDescent="0.25">
      <c r="A392" s="6"/>
      <c r="B392" s="7">
        <v>44214</v>
      </c>
      <c r="C392" s="8" t="s">
        <v>593</v>
      </c>
      <c r="D392" s="8" t="s">
        <v>255</v>
      </c>
      <c r="E392" s="9" t="s">
        <v>181</v>
      </c>
      <c r="F392" s="9" t="s">
        <v>36</v>
      </c>
      <c r="G392" s="17">
        <v>0.95277777777777783</v>
      </c>
      <c r="H392" s="17">
        <v>2.5694444444444447E-2</v>
      </c>
      <c r="I392" s="9">
        <v>9120</v>
      </c>
      <c r="J392" s="9">
        <v>3980</v>
      </c>
      <c r="K392" s="10">
        <f t="shared" si="11"/>
        <v>5140</v>
      </c>
      <c r="L392" s="10" t="s">
        <v>594</v>
      </c>
      <c r="M392" s="11" t="s">
        <v>31</v>
      </c>
      <c r="N392" s="12">
        <v>5140</v>
      </c>
      <c r="O392" s="13" t="s">
        <v>32</v>
      </c>
      <c r="P392" s="14"/>
      <c r="Q392" s="1"/>
    </row>
    <row r="393" spans="1:17" x14ac:dyDescent="0.25">
      <c r="A393" s="6"/>
      <c r="B393" s="7">
        <v>44214</v>
      </c>
      <c r="C393" s="8" t="s">
        <v>595</v>
      </c>
      <c r="D393" s="8" t="s">
        <v>530</v>
      </c>
      <c r="E393" s="9" t="s">
        <v>531</v>
      </c>
      <c r="F393" s="9" t="s">
        <v>140</v>
      </c>
      <c r="G393" s="17">
        <v>0.96180555555555547</v>
      </c>
      <c r="H393" s="17">
        <v>0.9916666666666667</v>
      </c>
      <c r="I393" s="9">
        <v>11320</v>
      </c>
      <c r="J393" s="9">
        <v>8140</v>
      </c>
      <c r="K393" s="10">
        <f t="shared" ref="K393:K453" si="13">+I393-J393</f>
        <v>3180</v>
      </c>
      <c r="L393" s="10" t="s">
        <v>596</v>
      </c>
      <c r="M393" s="11" t="s">
        <v>597</v>
      </c>
      <c r="N393" s="12">
        <v>6981</v>
      </c>
      <c r="O393" s="13" t="s">
        <v>49</v>
      </c>
      <c r="P393" s="14"/>
      <c r="Q393" s="2"/>
    </row>
    <row r="394" spans="1:17" x14ac:dyDescent="0.25">
      <c r="A394" s="6"/>
      <c r="B394" s="7">
        <v>44214</v>
      </c>
      <c r="C394" s="8" t="s">
        <v>37</v>
      </c>
      <c r="D394" s="8" t="s">
        <v>122</v>
      </c>
      <c r="E394" s="9" t="s">
        <v>123</v>
      </c>
      <c r="F394" s="9" t="s">
        <v>36</v>
      </c>
      <c r="G394" s="17">
        <v>0.97638888888888886</v>
      </c>
      <c r="H394" s="17">
        <v>4.1666666666666666E-3</v>
      </c>
      <c r="I394" s="9">
        <v>14020</v>
      </c>
      <c r="J394" s="9">
        <v>6280</v>
      </c>
      <c r="K394" s="10">
        <f t="shared" si="13"/>
        <v>7740</v>
      </c>
      <c r="L394" s="10">
        <v>26353</v>
      </c>
      <c r="M394" s="11" t="s">
        <v>351</v>
      </c>
      <c r="N394" s="12">
        <v>7740</v>
      </c>
      <c r="O394" s="13" t="s">
        <v>32</v>
      </c>
      <c r="P394" s="14"/>
      <c r="Q394" s="1"/>
    </row>
    <row r="395" spans="1:17" x14ac:dyDescent="0.25">
      <c r="A395" s="6"/>
      <c r="B395" s="7">
        <v>44214</v>
      </c>
      <c r="C395" s="8" t="s">
        <v>216</v>
      </c>
      <c r="D395" s="8" t="s">
        <v>598</v>
      </c>
      <c r="E395" s="9" t="s">
        <v>599</v>
      </c>
      <c r="F395" s="9" t="s">
        <v>36</v>
      </c>
      <c r="G395" s="17">
        <v>0.98888888888888893</v>
      </c>
      <c r="H395" s="17">
        <v>1.8749999999999999E-2</v>
      </c>
      <c r="I395" s="9">
        <v>45480</v>
      </c>
      <c r="J395" s="9">
        <v>18520</v>
      </c>
      <c r="K395" s="10">
        <f t="shared" si="13"/>
        <v>26960</v>
      </c>
      <c r="L395" s="10">
        <v>5182</v>
      </c>
      <c r="M395" s="11" t="s">
        <v>31</v>
      </c>
      <c r="N395" s="12">
        <v>26960</v>
      </c>
      <c r="O395" s="13" t="s">
        <v>32</v>
      </c>
      <c r="P395" s="14"/>
      <c r="Q395" s="1"/>
    </row>
    <row r="396" spans="1:17" x14ac:dyDescent="0.25">
      <c r="A396" s="6"/>
      <c r="B396" s="7">
        <v>44214</v>
      </c>
      <c r="C396" s="8" t="s">
        <v>60</v>
      </c>
      <c r="D396" s="8" t="s">
        <v>600</v>
      </c>
      <c r="E396" s="9" t="s">
        <v>383</v>
      </c>
      <c r="F396" s="9" t="s">
        <v>36</v>
      </c>
      <c r="G396" s="17">
        <v>0.99375000000000002</v>
      </c>
      <c r="H396" s="17">
        <v>3.8194444444444441E-2</v>
      </c>
      <c r="I396" s="9">
        <v>6380</v>
      </c>
      <c r="J396" s="9">
        <v>3870</v>
      </c>
      <c r="K396" s="10">
        <f t="shared" si="13"/>
        <v>2510</v>
      </c>
      <c r="L396" s="10">
        <v>3282</v>
      </c>
      <c r="M396" s="11" t="s">
        <v>31</v>
      </c>
      <c r="N396" s="12">
        <v>2510</v>
      </c>
      <c r="O396" s="13" t="s">
        <v>32</v>
      </c>
      <c r="P396" s="14"/>
      <c r="Q396" s="1"/>
    </row>
    <row r="397" spans="1:17" x14ac:dyDescent="0.25">
      <c r="A397" s="6"/>
      <c r="B397" s="7">
        <v>44215</v>
      </c>
      <c r="C397" s="8" t="s">
        <v>443</v>
      </c>
      <c r="D397" s="8" t="s">
        <v>336</v>
      </c>
      <c r="E397" s="9" t="s">
        <v>337</v>
      </c>
      <c r="F397" s="9" t="s">
        <v>36</v>
      </c>
      <c r="G397" s="17">
        <v>4.7916666666666663E-2</v>
      </c>
      <c r="H397" s="17">
        <v>0.21805555555555556</v>
      </c>
      <c r="I397" s="9">
        <v>17180</v>
      </c>
      <c r="J397" s="9">
        <v>7680</v>
      </c>
      <c r="K397" s="10">
        <f t="shared" si="13"/>
        <v>9500</v>
      </c>
      <c r="L397" s="10">
        <v>13653</v>
      </c>
      <c r="M397" s="11" t="s">
        <v>601</v>
      </c>
      <c r="N397" s="12">
        <v>9576</v>
      </c>
      <c r="O397" s="13" t="s">
        <v>32</v>
      </c>
      <c r="P397" s="14"/>
      <c r="Q397" s="1"/>
    </row>
    <row r="398" spans="1:17" x14ac:dyDescent="0.25">
      <c r="A398" s="6"/>
      <c r="B398" s="7">
        <v>44215</v>
      </c>
      <c r="C398" s="8" t="s">
        <v>517</v>
      </c>
      <c r="D398" s="8" t="s">
        <v>602</v>
      </c>
      <c r="E398" s="9" t="s">
        <v>277</v>
      </c>
      <c r="F398" s="9" t="s">
        <v>266</v>
      </c>
      <c r="G398" s="17">
        <v>7.1527777777777787E-2</v>
      </c>
      <c r="H398" s="17">
        <v>0.10069444444444443</v>
      </c>
      <c r="I398" s="9">
        <v>6750</v>
      </c>
      <c r="J398" s="9">
        <v>6240</v>
      </c>
      <c r="K398" s="10">
        <f t="shared" si="13"/>
        <v>510</v>
      </c>
      <c r="L398" s="10">
        <v>21664</v>
      </c>
      <c r="M398" s="11" t="s">
        <v>517</v>
      </c>
      <c r="N398" s="12">
        <v>510</v>
      </c>
      <c r="O398" s="13" t="s">
        <v>32</v>
      </c>
      <c r="P398" s="14"/>
      <c r="Q398" s="2"/>
    </row>
    <row r="399" spans="1:17" x14ac:dyDescent="0.25">
      <c r="A399" s="6"/>
      <c r="B399" s="7">
        <v>44215</v>
      </c>
      <c r="C399" s="8" t="s">
        <v>130</v>
      </c>
      <c r="D399" s="8" t="s">
        <v>217</v>
      </c>
      <c r="E399" s="9" t="s">
        <v>218</v>
      </c>
      <c r="F399" s="9" t="s">
        <v>36</v>
      </c>
      <c r="G399" s="17">
        <v>0.20555555555555557</v>
      </c>
      <c r="H399" s="17">
        <v>0.23402777777777781</v>
      </c>
      <c r="I399" s="9">
        <v>53070</v>
      </c>
      <c r="J399" s="9">
        <v>19460</v>
      </c>
      <c r="K399" s="10">
        <f t="shared" si="13"/>
        <v>33610</v>
      </c>
      <c r="L399" s="10">
        <v>5183</v>
      </c>
      <c r="M399" s="11" t="s">
        <v>31</v>
      </c>
      <c r="N399" s="12">
        <v>33610</v>
      </c>
      <c r="O399" s="13" t="s">
        <v>32</v>
      </c>
      <c r="P399" s="14"/>
      <c r="Q399" s="1"/>
    </row>
    <row r="400" spans="1:17" x14ac:dyDescent="0.25">
      <c r="A400" s="6"/>
      <c r="B400" s="15">
        <v>44215</v>
      </c>
      <c r="C400" s="8" t="s">
        <v>288</v>
      </c>
      <c r="D400" s="8" t="s">
        <v>249</v>
      </c>
      <c r="E400" s="9" t="s">
        <v>250</v>
      </c>
      <c r="F400" s="9" t="s">
        <v>59</v>
      </c>
      <c r="G400" s="17">
        <v>0.36736111111111108</v>
      </c>
      <c r="H400" s="17">
        <v>0.44027777777777777</v>
      </c>
      <c r="I400" s="9">
        <v>7580</v>
      </c>
      <c r="J400" s="9">
        <v>3790</v>
      </c>
      <c r="K400" s="10">
        <f t="shared" si="13"/>
        <v>3790</v>
      </c>
      <c r="L400" s="10">
        <v>44419</v>
      </c>
      <c r="M400" s="11" t="s">
        <v>31</v>
      </c>
      <c r="N400" s="12">
        <v>7911</v>
      </c>
      <c r="O400" s="13" t="s">
        <v>49</v>
      </c>
      <c r="P400" s="14"/>
      <c r="Q400" s="1"/>
    </row>
    <row r="401" spans="1:20" x14ac:dyDescent="0.25">
      <c r="A401" s="6"/>
      <c r="B401" s="7">
        <v>44215</v>
      </c>
      <c r="C401" s="8" t="s">
        <v>130</v>
      </c>
      <c r="D401" s="8" t="s">
        <v>198</v>
      </c>
      <c r="E401" s="9" t="s">
        <v>285</v>
      </c>
      <c r="F401" s="9" t="s">
        <v>286</v>
      </c>
      <c r="G401" s="17">
        <v>0.3840277777777778</v>
      </c>
      <c r="H401" s="17">
        <v>0.66388888888888886</v>
      </c>
      <c r="I401" s="9">
        <v>16190</v>
      </c>
      <c r="J401" s="9">
        <v>50550</v>
      </c>
      <c r="K401" s="10">
        <f t="shared" si="13"/>
        <v>-34360</v>
      </c>
      <c r="L401" s="10">
        <v>15404</v>
      </c>
      <c r="M401" s="11" t="s">
        <v>240</v>
      </c>
      <c r="N401" s="12">
        <v>34360</v>
      </c>
      <c r="O401" s="13" t="s">
        <v>32</v>
      </c>
      <c r="P401" s="14"/>
      <c r="Q401" s="1">
        <f>3160*2.2</f>
        <v>6952.0000000000009</v>
      </c>
      <c r="R401">
        <f>+Q401-100</f>
        <v>6852.0000000000009</v>
      </c>
    </row>
    <row r="402" spans="1:20" x14ac:dyDescent="0.25">
      <c r="A402" s="6"/>
      <c r="B402" s="7">
        <v>44215</v>
      </c>
      <c r="C402" s="8" t="s">
        <v>603</v>
      </c>
      <c r="D402" s="8" t="s">
        <v>34</v>
      </c>
      <c r="E402" s="9" t="s">
        <v>35</v>
      </c>
      <c r="F402" s="9" t="s">
        <v>36</v>
      </c>
      <c r="G402" s="17">
        <v>0.3888888888888889</v>
      </c>
      <c r="H402" s="17">
        <v>0.4375</v>
      </c>
      <c r="I402" s="9">
        <v>13940</v>
      </c>
      <c r="J402" s="9">
        <v>5370</v>
      </c>
      <c r="K402" s="10">
        <f t="shared" si="13"/>
        <v>8570</v>
      </c>
      <c r="L402" s="10">
        <v>26357</v>
      </c>
      <c r="M402" s="11" t="s">
        <v>31</v>
      </c>
      <c r="N402" s="12">
        <v>8570</v>
      </c>
      <c r="O402" s="13" t="s">
        <v>32</v>
      </c>
      <c r="P402" s="14"/>
      <c r="Q402" s="1">
        <f>8570*2.2</f>
        <v>18854</v>
      </c>
      <c r="R402">
        <f>+Q402-100</f>
        <v>18754</v>
      </c>
    </row>
    <row r="403" spans="1:20" x14ac:dyDescent="0.25">
      <c r="A403" s="6"/>
      <c r="B403" s="7">
        <v>44215</v>
      </c>
      <c r="C403" s="8" t="s">
        <v>603</v>
      </c>
      <c r="D403" s="8" t="s">
        <v>324</v>
      </c>
      <c r="E403" s="9" t="s">
        <v>197</v>
      </c>
      <c r="F403" s="9" t="s">
        <v>36</v>
      </c>
      <c r="G403" s="17">
        <v>0.39097222222222222</v>
      </c>
      <c r="H403" s="17">
        <v>0.43611111111111112</v>
      </c>
      <c r="I403" s="9">
        <v>7790</v>
      </c>
      <c r="J403" s="9">
        <v>4630</v>
      </c>
      <c r="K403" s="10">
        <f t="shared" si="13"/>
        <v>3160</v>
      </c>
      <c r="L403" s="10">
        <v>26356</v>
      </c>
      <c r="M403" s="11" t="s">
        <v>31</v>
      </c>
      <c r="N403" s="12">
        <v>3160</v>
      </c>
      <c r="O403" s="13" t="s">
        <v>32</v>
      </c>
      <c r="P403" s="14"/>
      <c r="Q403" s="1"/>
    </row>
    <row r="404" spans="1:20" x14ac:dyDescent="0.25">
      <c r="A404" s="6"/>
      <c r="B404" s="7">
        <v>44215</v>
      </c>
      <c r="C404" s="8" t="s">
        <v>603</v>
      </c>
      <c r="D404" s="8" t="s">
        <v>202</v>
      </c>
      <c r="E404" s="9" t="s">
        <v>604</v>
      </c>
      <c r="F404" s="9" t="s">
        <v>36</v>
      </c>
      <c r="G404" s="17">
        <v>0.40069444444444446</v>
      </c>
      <c r="H404" s="17">
        <v>0.43333333333333335</v>
      </c>
      <c r="I404" s="9">
        <v>7640</v>
      </c>
      <c r="J404" s="9">
        <v>4180</v>
      </c>
      <c r="K404" s="10">
        <f t="shared" si="13"/>
        <v>3460</v>
      </c>
      <c r="L404" s="10">
        <v>26355</v>
      </c>
      <c r="M404" s="11" t="s">
        <v>31</v>
      </c>
      <c r="N404" s="12">
        <v>3460</v>
      </c>
      <c r="O404" s="13" t="s">
        <v>32</v>
      </c>
      <c r="P404" s="14">
        <f>20*30</f>
        <v>600</v>
      </c>
      <c r="Q404" s="1"/>
    </row>
    <row r="405" spans="1:20" x14ac:dyDescent="0.25">
      <c r="A405" s="6"/>
      <c r="B405" s="7">
        <v>44215</v>
      </c>
      <c r="C405" s="8" t="s">
        <v>603</v>
      </c>
      <c r="D405" s="8" t="s">
        <v>214</v>
      </c>
      <c r="E405" s="9" t="s">
        <v>215</v>
      </c>
      <c r="F405" s="9" t="s">
        <v>36</v>
      </c>
      <c r="G405" s="17">
        <v>0.44236111111111115</v>
      </c>
      <c r="H405" s="17">
        <v>0.4826388888888889</v>
      </c>
      <c r="I405" s="9">
        <v>9740</v>
      </c>
      <c r="J405" s="9">
        <v>4610</v>
      </c>
      <c r="K405" s="10">
        <f t="shared" si="13"/>
        <v>5130</v>
      </c>
      <c r="L405" s="10">
        <v>26358</v>
      </c>
      <c r="M405" s="11" t="s">
        <v>31</v>
      </c>
      <c r="N405" s="12">
        <v>5130</v>
      </c>
      <c r="O405" s="13" t="s">
        <v>32</v>
      </c>
      <c r="P405" s="14"/>
      <c r="Q405" s="1"/>
    </row>
    <row r="406" spans="1:20" x14ac:dyDescent="0.25">
      <c r="A406" s="6"/>
      <c r="B406" s="7">
        <v>44215</v>
      </c>
      <c r="C406" s="8" t="s">
        <v>164</v>
      </c>
      <c r="D406" s="8" t="s">
        <v>94</v>
      </c>
      <c r="E406" s="9" t="s">
        <v>172</v>
      </c>
      <c r="F406" s="9" t="s">
        <v>608</v>
      </c>
      <c r="G406" s="17">
        <v>0.46597222222222223</v>
      </c>
      <c r="H406" s="17">
        <v>0.48749999999999999</v>
      </c>
      <c r="I406" s="9">
        <v>15540</v>
      </c>
      <c r="J406" s="9">
        <v>6440</v>
      </c>
      <c r="K406" s="10">
        <f t="shared" si="13"/>
        <v>9100</v>
      </c>
      <c r="L406" s="10">
        <v>15359</v>
      </c>
      <c r="M406" s="11" t="s">
        <v>398</v>
      </c>
      <c r="N406" s="12">
        <v>180</v>
      </c>
      <c r="O406" s="13" t="s">
        <v>54</v>
      </c>
      <c r="P406" s="14"/>
      <c r="Q406" s="1"/>
      <c r="R406">
        <f>5130*2.2</f>
        <v>11286.000000000002</v>
      </c>
      <c r="S406">
        <f>+R406-100</f>
        <v>11186.000000000002</v>
      </c>
    </row>
    <row r="407" spans="1:20" x14ac:dyDescent="0.25">
      <c r="A407" s="6"/>
      <c r="B407" s="7">
        <v>44215</v>
      </c>
      <c r="C407" s="8" t="s">
        <v>603</v>
      </c>
      <c r="D407" s="8" t="s">
        <v>255</v>
      </c>
      <c r="E407" s="9" t="s">
        <v>181</v>
      </c>
      <c r="F407" s="9" t="s">
        <v>36</v>
      </c>
      <c r="G407" s="17">
        <v>0.47500000000000003</v>
      </c>
      <c r="H407" s="17">
        <v>0.53402777777777777</v>
      </c>
      <c r="I407" s="9">
        <v>8530</v>
      </c>
      <c r="J407" s="9">
        <v>4070</v>
      </c>
      <c r="K407" s="10">
        <f t="shared" si="13"/>
        <v>4460</v>
      </c>
      <c r="L407" s="10">
        <v>26359</v>
      </c>
      <c r="M407" s="11" t="s">
        <v>31</v>
      </c>
      <c r="N407" s="12">
        <v>4460</v>
      </c>
      <c r="O407" s="13" t="s">
        <v>32</v>
      </c>
      <c r="P407" s="14"/>
      <c r="Q407" s="1"/>
    </row>
    <row r="408" spans="1:20" x14ac:dyDescent="0.25">
      <c r="A408" s="6"/>
      <c r="B408" s="7">
        <v>44215</v>
      </c>
      <c r="C408" s="8" t="s">
        <v>164</v>
      </c>
      <c r="D408" s="8" t="s">
        <v>552</v>
      </c>
      <c r="E408" s="9" t="s">
        <v>95</v>
      </c>
      <c r="F408" s="9" t="s">
        <v>99</v>
      </c>
      <c r="G408" s="17">
        <v>0.52222222222222225</v>
      </c>
      <c r="H408" s="17">
        <v>0.56180555555555556</v>
      </c>
      <c r="I408" s="9">
        <v>15830</v>
      </c>
      <c r="J408" s="9">
        <v>6700</v>
      </c>
      <c r="K408" s="10">
        <f t="shared" si="13"/>
        <v>9130</v>
      </c>
      <c r="L408" s="10">
        <v>15360</v>
      </c>
      <c r="M408" s="11" t="s">
        <v>398</v>
      </c>
      <c r="N408" s="12">
        <v>180</v>
      </c>
      <c r="O408" s="13" t="s">
        <v>54</v>
      </c>
      <c r="P408" s="14"/>
      <c r="Q408" s="1"/>
    </row>
    <row r="409" spans="1:20" x14ac:dyDescent="0.25">
      <c r="A409" s="6"/>
      <c r="B409" s="7">
        <v>44215</v>
      </c>
      <c r="C409" s="8" t="s">
        <v>605</v>
      </c>
      <c r="D409" s="8" t="s">
        <v>175</v>
      </c>
      <c r="E409" s="9" t="s">
        <v>176</v>
      </c>
      <c r="F409" s="9" t="s">
        <v>36</v>
      </c>
      <c r="G409" s="17">
        <v>0.53541666666666665</v>
      </c>
      <c r="H409" s="17">
        <v>0.5541666666666667</v>
      </c>
      <c r="I409" s="9">
        <v>9360</v>
      </c>
      <c r="J409" s="9">
        <v>4300</v>
      </c>
      <c r="K409" s="10">
        <f t="shared" si="13"/>
        <v>5060</v>
      </c>
      <c r="L409" s="10">
        <v>81079</v>
      </c>
      <c r="M409" s="11" t="s">
        <v>31</v>
      </c>
      <c r="N409" s="12">
        <v>9750</v>
      </c>
      <c r="O409" s="13" t="s">
        <v>49</v>
      </c>
      <c r="P409" s="14"/>
      <c r="Q409" s="1"/>
    </row>
    <row r="410" spans="1:20" x14ac:dyDescent="0.25">
      <c r="A410" s="6"/>
      <c r="B410" s="7">
        <v>44215</v>
      </c>
      <c r="C410" s="8" t="s">
        <v>606</v>
      </c>
      <c r="D410" s="8" t="s">
        <v>607</v>
      </c>
      <c r="E410" s="9" t="s">
        <v>318</v>
      </c>
      <c r="F410" s="9" t="s">
        <v>36</v>
      </c>
      <c r="G410" s="17">
        <v>0.59861111111111109</v>
      </c>
      <c r="H410" s="17">
        <v>0.66666666666666663</v>
      </c>
      <c r="I410" s="9">
        <v>56000</v>
      </c>
      <c r="J410" s="9">
        <v>20670</v>
      </c>
      <c r="K410" s="10">
        <f t="shared" si="13"/>
        <v>35330</v>
      </c>
      <c r="L410" s="10">
        <v>866</v>
      </c>
      <c r="M410" s="11" t="s">
        <v>306</v>
      </c>
      <c r="N410" s="12">
        <v>10000</v>
      </c>
      <c r="O410" s="13" t="s">
        <v>84</v>
      </c>
      <c r="P410" s="14"/>
      <c r="Q410" s="2"/>
      <c r="S410">
        <f>3460*2.2</f>
        <v>7612.0000000000009</v>
      </c>
      <c r="T410">
        <f>+S410-600</f>
        <v>7012.0000000000009</v>
      </c>
    </row>
    <row r="411" spans="1:20" x14ac:dyDescent="0.25">
      <c r="A411" s="6"/>
      <c r="B411" s="7">
        <v>44215</v>
      </c>
      <c r="C411" s="8" t="s">
        <v>164</v>
      </c>
      <c r="D411" s="8" t="s">
        <v>94</v>
      </c>
      <c r="E411" s="9" t="s">
        <v>172</v>
      </c>
      <c r="F411" s="9" t="s">
        <v>608</v>
      </c>
      <c r="G411" s="17">
        <v>0.60069444444444442</v>
      </c>
      <c r="H411" s="17">
        <v>0.61527777777777781</v>
      </c>
      <c r="I411" s="9">
        <v>16860</v>
      </c>
      <c r="J411" s="9">
        <v>6390</v>
      </c>
      <c r="K411" s="10">
        <f t="shared" si="13"/>
        <v>10470</v>
      </c>
      <c r="L411" s="10">
        <v>15361</v>
      </c>
      <c r="M411" s="11" t="s">
        <v>398</v>
      </c>
      <c r="N411" s="12">
        <v>210</v>
      </c>
      <c r="O411" s="13" t="s">
        <v>54</v>
      </c>
      <c r="P411" s="14"/>
      <c r="Q411" s="1"/>
    </row>
    <row r="412" spans="1:20" x14ac:dyDescent="0.25">
      <c r="A412" s="6"/>
      <c r="B412" s="7">
        <v>44215</v>
      </c>
      <c r="C412" s="8" t="s">
        <v>190</v>
      </c>
      <c r="D412" s="8" t="s">
        <v>191</v>
      </c>
      <c r="E412" s="9" t="s">
        <v>483</v>
      </c>
      <c r="F412" s="9" t="s">
        <v>36</v>
      </c>
      <c r="G412" s="17">
        <v>0.61249999999999993</v>
      </c>
      <c r="H412" s="17">
        <v>0.70277777777777783</v>
      </c>
      <c r="I412" s="9">
        <v>13150</v>
      </c>
      <c r="J412" s="9">
        <v>4940</v>
      </c>
      <c r="K412" s="10">
        <f t="shared" si="13"/>
        <v>8210</v>
      </c>
      <c r="L412" s="10">
        <v>81086</v>
      </c>
      <c r="M412" s="11" t="s">
        <v>31</v>
      </c>
      <c r="N412" s="12">
        <v>19600</v>
      </c>
      <c r="O412" s="13" t="s">
        <v>49</v>
      </c>
      <c r="P412" s="14"/>
      <c r="Q412" s="1">
        <f>4500*2.2</f>
        <v>9900</v>
      </c>
      <c r="R412">
        <f>+Q412-100</f>
        <v>9800</v>
      </c>
    </row>
    <row r="413" spans="1:20" x14ac:dyDescent="0.25">
      <c r="A413" s="6"/>
      <c r="B413" s="7">
        <v>44215</v>
      </c>
      <c r="C413" s="8" t="s">
        <v>164</v>
      </c>
      <c r="D413" s="8" t="s">
        <v>552</v>
      </c>
      <c r="E413" s="9" t="s">
        <v>95</v>
      </c>
      <c r="F413" s="9" t="s">
        <v>99</v>
      </c>
      <c r="G413" s="17">
        <v>0.64930555555555558</v>
      </c>
      <c r="H413" s="17">
        <v>0.66805555555555562</v>
      </c>
      <c r="I413" s="9">
        <v>17910</v>
      </c>
      <c r="J413" s="9">
        <v>6700</v>
      </c>
      <c r="K413" s="10">
        <f t="shared" si="13"/>
        <v>11210</v>
      </c>
      <c r="L413" s="10">
        <v>15362</v>
      </c>
      <c r="M413" s="11" t="s">
        <v>398</v>
      </c>
      <c r="N413" s="12">
        <v>219</v>
      </c>
      <c r="O413" s="13" t="s">
        <v>54</v>
      </c>
      <c r="P413" s="14"/>
      <c r="Q413" s="1"/>
      <c r="R413">
        <f>3790*2.2</f>
        <v>8338</v>
      </c>
      <c r="S413">
        <f>+R413-7911</f>
        <v>427</v>
      </c>
    </row>
    <row r="414" spans="1:20" x14ac:dyDescent="0.25">
      <c r="A414" s="6"/>
      <c r="B414" s="7">
        <v>44215</v>
      </c>
      <c r="C414" s="8" t="s">
        <v>320</v>
      </c>
      <c r="D414" s="8" t="s">
        <v>479</v>
      </c>
      <c r="E414" s="9" t="s">
        <v>405</v>
      </c>
      <c r="F414" s="9" t="s">
        <v>161</v>
      </c>
      <c r="G414" s="17">
        <v>0.65416666666666667</v>
      </c>
      <c r="H414" s="17"/>
      <c r="I414" s="9">
        <v>23830</v>
      </c>
      <c r="J414" s="9"/>
      <c r="K414" s="10">
        <f t="shared" si="13"/>
        <v>23830</v>
      </c>
      <c r="L414" s="10">
        <v>4308</v>
      </c>
      <c r="M414" s="11" t="s">
        <v>609</v>
      </c>
      <c r="N414" s="12"/>
      <c r="O414" s="13" t="s">
        <v>32</v>
      </c>
      <c r="P414" s="14"/>
      <c r="Q414" s="1"/>
    </row>
    <row r="415" spans="1:20" x14ac:dyDescent="0.25">
      <c r="A415" s="6"/>
      <c r="B415" s="7">
        <v>44215</v>
      </c>
      <c r="C415" s="8" t="s">
        <v>603</v>
      </c>
      <c r="D415" s="8" t="s">
        <v>202</v>
      </c>
      <c r="E415" s="9" t="s">
        <v>604</v>
      </c>
      <c r="F415" s="9" t="s">
        <v>36</v>
      </c>
      <c r="G415" s="17">
        <v>0.67638888888888893</v>
      </c>
      <c r="H415" s="17">
        <v>0.70833333333333337</v>
      </c>
      <c r="I415" s="9">
        <v>8680</v>
      </c>
      <c r="J415" s="9">
        <v>4180</v>
      </c>
      <c r="K415" s="10">
        <f t="shared" si="13"/>
        <v>4500</v>
      </c>
      <c r="L415" s="10">
        <v>26360</v>
      </c>
      <c r="M415" s="11" t="s">
        <v>31</v>
      </c>
      <c r="N415" s="12">
        <v>4500</v>
      </c>
      <c r="O415" s="13" t="s">
        <v>32</v>
      </c>
      <c r="P415" s="14"/>
      <c r="Q415" s="1"/>
    </row>
    <row r="416" spans="1:20" x14ac:dyDescent="0.25">
      <c r="A416" s="6"/>
      <c r="B416" s="7">
        <v>44215</v>
      </c>
      <c r="C416" s="8" t="s">
        <v>164</v>
      </c>
      <c r="D416" s="8" t="s">
        <v>94</v>
      </c>
      <c r="E416" s="9" t="s">
        <v>172</v>
      </c>
      <c r="F416" s="9" t="s">
        <v>608</v>
      </c>
      <c r="G416" s="17">
        <v>0.68472222222222223</v>
      </c>
      <c r="H416" s="17">
        <v>0.69652777777777775</v>
      </c>
      <c r="I416" s="9">
        <v>16110</v>
      </c>
      <c r="J416" s="9">
        <v>6390</v>
      </c>
      <c r="K416" s="10">
        <f t="shared" si="13"/>
        <v>9720</v>
      </c>
      <c r="L416" s="10">
        <v>15363</v>
      </c>
      <c r="M416" s="11" t="s">
        <v>398</v>
      </c>
      <c r="N416" s="12">
        <v>192</v>
      </c>
      <c r="O416" s="13" t="s">
        <v>54</v>
      </c>
      <c r="P416" s="14"/>
      <c r="Q416" s="1"/>
    </row>
    <row r="417" spans="1:20" x14ac:dyDescent="0.25">
      <c r="A417" s="6"/>
      <c r="B417" s="7">
        <v>44215</v>
      </c>
      <c r="C417" s="8" t="s">
        <v>603</v>
      </c>
      <c r="D417" s="8" t="s">
        <v>382</v>
      </c>
      <c r="E417" s="9" t="s">
        <v>119</v>
      </c>
      <c r="F417" s="9" t="s">
        <v>36</v>
      </c>
      <c r="G417" s="17">
        <v>0.69027777777777777</v>
      </c>
      <c r="H417" s="17">
        <v>0.75347222222222221</v>
      </c>
      <c r="I417" s="9">
        <v>9110</v>
      </c>
      <c r="J417" s="9">
        <v>3880</v>
      </c>
      <c r="K417" s="10">
        <f t="shared" si="13"/>
        <v>5230</v>
      </c>
      <c r="L417" s="10">
        <v>26361</v>
      </c>
      <c r="M417" s="11" t="s">
        <v>31</v>
      </c>
      <c r="N417" s="12">
        <v>5230</v>
      </c>
      <c r="O417" s="13" t="s">
        <v>32</v>
      </c>
      <c r="P417" s="14"/>
      <c r="Q417" s="1"/>
    </row>
    <row r="418" spans="1:20" x14ac:dyDescent="0.25">
      <c r="A418" s="6"/>
      <c r="B418" s="7">
        <v>44215</v>
      </c>
      <c r="C418" s="8" t="s">
        <v>610</v>
      </c>
      <c r="D418" s="8" t="s">
        <v>610</v>
      </c>
      <c r="E418" s="9" t="s">
        <v>611</v>
      </c>
      <c r="F418" s="9" t="s">
        <v>36</v>
      </c>
      <c r="G418" s="17">
        <v>0.71736111111111101</v>
      </c>
      <c r="H418" s="17">
        <v>0.7895833333333333</v>
      </c>
      <c r="I418" s="9">
        <v>11660</v>
      </c>
      <c r="J418" s="9">
        <v>4810</v>
      </c>
      <c r="K418" s="10">
        <f t="shared" si="13"/>
        <v>6850</v>
      </c>
      <c r="L418" s="10">
        <v>26363</v>
      </c>
      <c r="M418" s="11" t="s">
        <v>31</v>
      </c>
      <c r="N418" s="12">
        <v>6850</v>
      </c>
      <c r="O418" s="13" t="s">
        <v>32</v>
      </c>
      <c r="P418" s="14"/>
      <c r="Q418" s="1"/>
    </row>
    <row r="419" spans="1:20" x14ac:dyDescent="0.25">
      <c r="A419" s="6"/>
      <c r="B419" s="7">
        <v>44215</v>
      </c>
      <c r="C419" s="8" t="s">
        <v>55</v>
      </c>
      <c r="D419" s="8" t="s">
        <v>209</v>
      </c>
      <c r="E419" s="9" t="s">
        <v>466</v>
      </c>
      <c r="F419" s="9" t="s">
        <v>52</v>
      </c>
      <c r="G419" s="17">
        <v>0.71805555555555556</v>
      </c>
      <c r="H419" s="17">
        <v>0.1986111111111111</v>
      </c>
      <c r="I419" s="9">
        <v>14920</v>
      </c>
      <c r="J419" s="9">
        <v>50020</v>
      </c>
      <c r="K419" s="10">
        <f t="shared" si="13"/>
        <v>-35100</v>
      </c>
      <c r="L419" s="10">
        <v>5693</v>
      </c>
      <c r="M419" s="11" t="s">
        <v>53</v>
      </c>
      <c r="N419" s="12">
        <v>700</v>
      </c>
      <c r="O419" s="13" t="s">
        <v>54</v>
      </c>
      <c r="P419" s="14"/>
      <c r="R419">
        <v>5230</v>
      </c>
      <c r="S419">
        <f>+R419*2.2</f>
        <v>11506.000000000002</v>
      </c>
      <c r="T419">
        <f>+S419-100</f>
        <v>11406.000000000002</v>
      </c>
    </row>
    <row r="420" spans="1:20" x14ac:dyDescent="0.25">
      <c r="A420" s="6"/>
      <c r="B420" s="7">
        <v>44215</v>
      </c>
      <c r="C420" s="8" t="s">
        <v>603</v>
      </c>
      <c r="D420" s="8" t="s">
        <v>214</v>
      </c>
      <c r="E420" s="9" t="s">
        <v>215</v>
      </c>
      <c r="F420" s="9" t="s">
        <v>36</v>
      </c>
      <c r="G420" s="17">
        <v>0.73055555555555562</v>
      </c>
      <c r="H420" s="17">
        <v>0.77013888888888893</v>
      </c>
      <c r="I420" s="9">
        <v>10310</v>
      </c>
      <c r="J420" s="9">
        <v>4590</v>
      </c>
      <c r="K420" s="10">
        <f t="shared" si="13"/>
        <v>5720</v>
      </c>
      <c r="L420" s="10">
        <v>26362</v>
      </c>
      <c r="M420" s="11" t="s">
        <v>31</v>
      </c>
      <c r="N420" s="12">
        <v>5720</v>
      </c>
      <c r="O420" s="13" t="s">
        <v>32</v>
      </c>
      <c r="P420" s="14"/>
    </row>
    <row r="421" spans="1:20" x14ac:dyDescent="0.25">
      <c r="A421" s="6"/>
      <c r="B421" s="7">
        <v>44215</v>
      </c>
      <c r="C421" s="8" t="s">
        <v>288</v>
      </c>
      <c r="D421" s="8" t="s">
        <v>249</v>
      </c>
      <c r="E421" s="9" t="s">
        <v>250</v>
      </c>
      <c r="F421" s="9" t="s">
        <v>59</v>
      </c>
      <c r="G421" s="17">
        <v>0.79236111111111107</v>
      </c>
      <c r="H421" s="17">
        <v>0.8666666666666667</v>
      </c>
      <c r="I421" s="9">
        <v>8220</v>
      </c>
      <c r="J421" s="9">
        <v>3800</v>
      </c>
      <c r="K421" s="10">
        <f t="shared" si="13"/>
        <v>4420</v>
      </c>
      <c r="L421" s="10">
        <v>44432</v>
      </c>
      <c r="M421" s="11" t="s">
        <v>31</v>
      </c>
      <c r="N421" s="12">
        <v>4420</v>
      </c>
      <c r="O421" s="13" t="s">
        <v>32</v>
      </c>
      <c r="P421" s="14"/>
    </row>
    <row r="422" spans="1:20" x14ac:dyDescent="0.25">
      <c r="A422" s="6"/>
      <c r="B422" s="7">
        <v>44215</v>
      </c>
      <c r="C422" s="8" t="s">
        <v>130</v>
      </c>
      <c r="D422" s="8" t="s">
        <v>582</v>
      </c>
      <c r="E422" s="9" t="s">
        <v>149</v>
      </c>
      <c r="F422" s="9" t="s">
        <v>36</v>
      </c>
      <c r="G422" s="17">
        <v>0.8041666666666667</v>
      </c>
      <c r="H422" s="17">
        <v>0.83472222222222225</v>
      </c>
      <c r="I422" s="9">
        <v>50420</v>
      </c>
      <c r="J422" s="9">
        <v>18760</v>
      </c>
      <c r="K422" s="10">
        <f t="shared" si="13"/>
        <v>31660</v>
      </c>
      <c r="L422" s="10">
        <v>5185</v>
      </c>
      <c r="M422" s="11" t="s">
        <v>31</v>
      </c>
      <c r="N422" s="12">
        <v>31660</v>
      </c>
      <c r="O422" s="13" t="s">
        <v>32</v>
      </c>
      <c r="P422" s="14"/>
    </row>
    <row r="423" spans="1:20" x14ac:dyDescent="0.25">
      <c r="A423" s="6"/>
      <c r="B423" s="7">
        <v>44215</v>
      </c>
      <c r="C423" s="8" t="s">
        <v>603</v>
      </c>
      <c r="D423" s="8" t="s">
        <v>255</v>
      </c>
      <c r="E423" s="9" t="s">
        <v>181</v>
      </c>
      <c r="F423" s="9" t="s">
        <v>36</v>
      </c>
      <c r="G423" s="17">
        <v>0.82708333333333339</v>
      </c>
      <c r="H423" s="17">
        <v>0.86875000000000002</v>
      </c>
      <c r="I423" s="9">
        <v>8860</v>
      </c>
      <c r="J423" s="9">
        <v>4080</v>
      </c>
      <c r="K423" s="10">
        <f t="shared" si="13"/>
        <v>4780</v>
      </c>
      <c r="L423" s="10">
        <v>26364</v>
      </c>
      <c r="M423" s="11" t="s">
        <v>31</v>
      </c>
      <c r="N423" s="12">
        <v>4780</v>
      </c>
      <c r="O423" s="13" t="s">
        <v>32</v>
      </c>
      <c r="P423" s="14"/>
    </row>
    <row r="424" spans="1:20" x14ac:dyDescent="0.25">
      <c r="A424" s="6"/>
      <c r="B424" s="7">
        <v>44215</v>
      </c>
      <c r="C424" s="8" t="s">
        <v>347</v>
      </c>
      <c r="D424" s="8" t="s">
        <v>29</v>
      </c>
      <c r="E424" s="9" t="s">
        <v>590</v>
      </c>
      <c r="F424" s="9" t="s">
        <v>419</v>
      </c>
      <c r="G424" s="17">
        <v>0.82777777777777783</v>
      </c>
      <c r="H424" s="17">
        <v>0.85902777777777783</v>
      </c>
      <c r="I424" s="9">
        <v>6960</v>
      </c>
      <c r="J424" s="9">
        <v>3400</v>
      </c>
      <c r="K424" s="10">
        <f t="shared" si="13"/>
        <v>3560</v>
      </c>
      <c r="L424" s="10">
        <v>9898</v>
      </c>
      <c r="M424" s="11" t="s">
        <v>31</v>
      </c>
      <c r="N424" s="12">
        <v>3560</v>
      </c>
      <c r="O424" s="13" t="s">
        <v>32</v>
      </c>
      <c r="P424" s="14"/>
    </row>
    <row r="425" spans="1:20" x14ac:dyDescent="0.25">
      <c r="A425" s="6"/>
      <c r="B425" s="7">
        <v>44215</v>
      </c>
      <c r="C425" s="8" t="s">
        <v>612</v>
      </c>
      <c r="D425" s="8" t="s">
        <v>191</v>
      </c>
      <c r="E425" s="9" t="s">
        <v>483</v>
      </c>
      <c r="F425" s="9" t="s">
        <v>36</v>
      </c>
      <c r="G425" s="17">
        <v>0.82847222222222217</v>
      </c>
      <c r="H425" s="17">
        <v>0.8965277777777777</v>
      </c>
      <c r="I425" s="9">
        <v>12950</v>
      </c>
      <c r="J425" s="9">
        <v>4920</v>
      </c>
      <c r="K425" s="10">
        <f t="shared" si="13"/>
        <v>8030</v>
      </c>
      <c r="L425" s="10" t="s">
        <v>624</v>
      </c>
      <c r="M425" s="11" t="s">
        <v>31</v>
      </c>
      <c r="N425" s="12">
        <v>8030</v>
      </c>
      <c r="O425" s="13" t="s">
        <v>32</v>
      </c>
      <c r="P425" s="14"/>
    </row>
    <row r="426" spans="1:20" x14ac:dyDescent="0.25">
      <c r="A426" s="6"/>
      <c r="B426" s="7">
        <v>44215</v>
      </c>
      <c r="C426" s="8" t="s">
        <v>613</v>
      </c>
      <c r="D426" s="8" t="s">
        <v>465</v>
      </c>
      <c r="E426" s="9" t="s">
        <v>614</v>
      </c>
      <c r="F426" s="9" t="s">
        <v>615</v>
      </c>
      <c r="G426" s="17">
        <v>0.83680555555555547</v>
      </c>
      <c r="H426" s="17">
        <v>0.3743055555555555</v>
      </c>
      <c r="I426" s="9">
        <v>37410</v>
      </c>
      <c r="J426" s="9">
        <v>15720</v>
      </c>
      <c r="K426" s="10">
        <f t="shared" si="13"/>
        <v>21690</v>
      </c>
      <c r="L426" s="10">
        <v>39912</v>
      </c>
      <c r="M426" s="11" t="s">
        <v>212</v>
      </c>
      <c r="N426" s="12">
        <v>21620</v>
      </c>
      <c r="O426" s="13" t="s">
        <v>32</v>
      </c>
      <c r="P426" s="14"/>
    </row>
    <row r="427" spans="1:20" x14ac:dyDescent="0.25">
      <c r="A427" s="6"/>
      <c r="B427" s="7">
        <v>44215</v>
      </c>
      <c r="C427" s="8" t="s">
        <v>616</v>
      </c>
      <c r="D427" s="8" t="s">
        <v>617</v>
      </c>
      <c r="E427" s="9" t="s">
        <v>618</v>
      </c>
      <c r="F427" s="9" t="s">
        <v>36</v>
      </c>
      <c r="G427" s="17">
        <v>0.84305555555555556</v>
      </c>
      <c r="H427" s="17">
        <v>0.8881944444444444</v>
      </c>
      <c r="I427" s="9">
        <v>8340</v>
      </c>
      <c r="J427" s="9">
        <v>3910</v>
      </c>
      <c r="K427" s="10">
        <f t="shared" si="13"/>
        <v>4430</v>
      </c>
      <c r="L427" s="10">
        <v>839</v>
      </c>
      <c r="M427" s="11" t="s">
        <v>31</v>
      </c>
      <c r="N427" s="12">
        <v>4430</v>
      </c>
      <c r="O427" s="13" t="s">
        <v>32</v>
      </c>
      <c r="P427" s="14"/>
    </row>
    <row r="428" spans="1:20" x14ac:dyDescent="0.25">
      <c r="A428" s="6"/>
      <c r="B428" s="7">
        <v>44215</v>
      </c>
      <c r="C428" s="8" t="s">
        <v>55</v>
      </c>
      <c r="D428" s="8" t="s">
        <v>299</v>
      </c>
      <c r="E428" s="9" t="s">
        <v>490</v>
      </c>
      <c r="F428" s="9" t="s">
        <v>491</v>
      </c>
      <c r="G428" s="17">
        <v>0.8534722222222223</v>
      </c>
      <c r="H428" s="17">
        <v>0.42499999999999999</v>
      </c>
      <c r="I428" s="9">
        <v>16170</v>
      </c>
      <c r="J428" s="9">
        <v>51180</v>
      </c>
      <c r="K428" s="10">
        <f t="shared" si="13"/>
        <v>-35010</v>
      </c>
      <c r="L428" s="10">
        <v>5694</v>
      </c>
      <c r="M428" s="11" t="s">
        <v>53</v>
      </c>
      <c r="N428" s="12">
        <v>700</v>
      </c>
      <c r="O428" s="13" t="s">
        <v>54</v>
      </c>
      <c r="P428" s="14"/>
    </row>
    <row r="429" spans="1:20" s="51" customFormat="1" x14ac:dyDescent="0.25">
      <c r="A429" s="41"/>
      <c r="B429" s="42">
        <v>44215</v>
      </c>
      <c r="C429" s="43" t="s">
        <v>619</v>
      </c>
      <c r="D429" s="43" t="s">
        <v>602</v>
      </c>
      <c r="E429" s="44" t="s">
        <v>196</v>
      </c>
      <c r="F429" s="44" t="s">
        <v>266</v>
      </c>
      <c r="G429" s="45">
        <v>0.84444444444444444</v>
      </c>
      <c r="H429" s="45">
        <v>0.85069444444444453</v>
      </c>
      <c r="I429" s="44">
        <v>5730</v>
      </c>
      <c r="J429" s="44">
        <v>5530</v>
      </c>
      <c r="K429" s="46">
        <f t="shared" si="13"/>
        <v>200</v>
      </c>
      <c r="L429" s="46">
        <v>21694</v>
      </c>
      <c r="M429" s="47" t="s">
        <v>620</v>
      </c>
      <c r="N429" s="48">
        <v>200</v>
      </c>
      <c r="O429" s="49" t="s">
        <v>32</v>
      </c>
      <c r="P429" s="50"/>
    </row>
    <row r="430" spans="1:20" x14ac:dyDescent="0.25">
      <c r="A430" s="6"/>
      <c r="B430" s="7">
        <v>44215</v>
      </c>
      <c r="C430" s="8" t="s">
        <v>603</v>
      </c>
      <c r="D430" s="8" t="s">
        <v>621</v>
      </c>
      <c r="E430" s="9" t="s">
        <v>622</v>
      </c>
      <c r="F430" s="9" t="s">
        <v>36</v>
      </c>
      <c r="G430" s="17">
        <v>0.8833333333333333</v>
      </c>
      <c r="H430" s="17">
        <v>0.92152777777777783</v>
      </c>
      <c r="I430" s="9">
        <v>11090</v>
      </c>
      <c r="J430" s="9">
        <v>5460</v>
      </c>
      <c r="K430" s="10">
        <f t="shared" si="13"/>
        <v>5630</v>
      </c>
      <c r="L430" s="10">
        <v>26365</v>
      </c>
      <c r="M430" s="11" t="s">
        <v>31</v>
      </c>
      <c r="N430" s="12">
        <v>5630</v>
      </c>
      <c r="O430" s="13" t="s">
        <v>32</v>
      </c>
      <c r="P430" s="14"/>
    </row>
    <row r="431" spans="1:20" x14ac:dyDescent="0.25">
      <c r="A431" s="6"/>
      <c r="B431" s="7">
        <v>44215</v>
      </c>
      <c r="C431" s="8" t="s">
        <v>603</v>
      </c>
      <c r="D431" s="8" t="s">
        <v>34</v>
      </c>
      <c r="E431" s="9" t="s">
        <v>35</v>
      </c>
      <c r="F431" s="9" t="s">
        <v>36</v>
      </c>
      <c r="G431" s="17">
        <v>0.88402777777777775</v>
      </c>
      <c r="H431" s="17">
        <v>0.9159722222222223</v>
      </c>
      <c r="I431" s="9">
        <v>13650</v>
      </c>
      <c r="J431" s="9">
        <v>5360</v>
      </c>
      <c r="K431" s="10">
        <f t="shared" si="13"/>
        <v>8290</v>
      </c>
      <c r="L431" s="10">
        <v>26366</v>
      </c>
      <c r="M431" s="11" t="s">
        <v>31</v>
      </c>
      <c r="N431" s="12">
        <v>8290</v>
      </c>
      <c r="O431" s="13" t="s">
        <v>32</v>
      </c>
      <c r="P431" s="14"/>
      <c r="S431">
        <f>59*65</f>
        <v>3835</v>
      </c>
    </row>
    <row r="432" spans="1:20" x14ac:dyDescent="0.25">
      <c r="A432" s="6"/>
      <c r="B432" s="7">
        <v>44215</v>
      </c>
      <c r="C432" s="8" t="s">
        <v>623</v>
      </c>
      <c r="D432" s="8" t="s">
        <v>175</v>
      </c>
      <c r="E432" s="9" t="s">
        <v>176</v>
      </c>
      <c r="F432" s="9" t="s">
        <v>36</v>
      </c>
      <c r="G432" s="17">
        <v>0.8847222222222223</v>
      </c>
      <c r="H432" s="17">
        <v>0.91805555555555562</v>
      </c>
      <c r="I432" s="9">
        <v>9720</v>
      </c>
      <c r="J432" s="9">
        <v>4290</v>
      </c>
      <c r="K432" s="10">
        <f t="shared" si="13"/>
        <v>5430</v>
      </c>
      <c r="L432" s="10">
        <v>81098</v>
      </c>
      <c r="M432" s="11" t="s">
        <v>31</v>
      </c>
      <c r="N432" s="12">
        <v>5430</v>
      </c>
      <c r="O432" s="13" t="s">
        <v>32</v>
      </c>
      <c r="P432" s="14"/>
      <c r="S432">
        <f>+S431+8125</f>
        <v>11960</v>
      </c>
    </row>
    <row r="433" spans="1:19" x14ac:dyDescent="0.25">
      <c r="A433" s="6"/>
      <c r="B433" s="7">
        <v>44215</v>
      </c>
      <c r="C433" s="8" t="s">
        <v>467</v>
      </c>
      <c r="D433" s="8" t="s">
        <v>524</v>
      </c>
      <c r="E433" s="9" t="s">
        <v>525</v>
      </c>
      <c r="F433" s="9" t="s">
        <v>526</v>
      </c>
      <c r="G433" s="17">
        <v>0.9145833333333333</v>
      </c>
      <c r="H433" s="17">
        <v>4.8611111111111112E-3</v>
      </c>
      <c r="I433" s="9">
        <v>35100</v>
      </c>
      <c r="J433" s="9">
        <v>20250</v>
      </c>
      <c r="K433" s="10">
        <f t="shared" si="13"/>
        <v>14850</v>
      </c>
      <c r="L433" s="10">
        <v>26368</v>
      </c>
      <c r="M433" s="11" t="s">
        <v>31</v>
      </c>
      <c r="N433" s="12">
        <v>14850</v>
      </c>
      <c r="O433" s="13" t="s">
        <v>32</v>
      </c>
      <c r="P433" s="14"/>
    </row>
    <row r="434" spans="1:19" x14ac:dyDescent="0.25">
      <c r="A434" s="6"/>
      <c r="B434" s="7">
        <v>44215</v>
      </c>
      <c r="C434" s="8" t="s">
        <v>130</v>
      </c>
      <c r="D434" s="8" t="s">
        <v>131</v>
      </c>
      <c r="E434" s="9" t="s">
        <v>132</v>
      </c>
      <c r="F434" s="9" t="s">
        <v>36</v>
      </c>
      <c r="G434" s="17">
        <v>0.9243055555555556</v>
      </c>
      <c r="H434" s="17">
        <v>0.94513888888888886</v>
      </c>
      <c r="I434" s="9">
        <v>44270</v>
      </c>
      <c r="J434" s="9">
        <v>18510</v>
      </c>
      <c r="K434" s="10">
        <f t="shared" si="13"/>
        <v>25760</v>
      </c>
      <c r="L434" s="10">
        <v>5186</v>
      </c>
      <c r="M434" s="11" t="s">
        <v>31</v>
      </c>
      <c r="N434" s="12">
        <v>25760</v>
      </c>
      <c r="O434" s="13" t="s">
        <v>32</v>
      </c>
      <c r="P434" s="14"/>
    </row>
    <row r="435" spans="1:19" x14ac:dyDescent="0.25">
      <c r="A435" s="6"/>
      <c r="B435" s="7">
        <v>44215</v>
      </c>
      <c r="C435" s="8" t="s">
        <v>33</v>
      </c>
      <c r="D435" s="8" t="s">
        <v>202</v>
      </c>
      <c r="E435" s="9" t="s">
        <v>591</v>
      </c>
      <c r="F435" s="9" t="s">
        <v>419</v>
      </c>
      <c r="G435" s="17">
        <v>0.96111111111111114</v>
      </c>
      <c r="H435" s="17">
        <v>1.5972222222222224E-2</v>
      </c>
      <c r="I435" s="9">
        <v>6590</v>
      </c>
      <c r="J435" s="9">
        <v>4180</v>
      </c>
      <c r="K435" s="10">
        <f t="shared" si="13"/>
        <v>2410</v>
      </c>
      <c r="L435" s="10">
        <v>26369</v>
      </c>
      <c r="M435" s="11" t="s">
        <v>31</v>
      </c>
      <c r="N435" s="12">
        <v>2410</v>
      </c>
      <c r="O435" s="13" t="s">
        <v>32</v>
      </c>
      <c r="P435" s="14"/>
    </row>
    <row r="436" spans="1:19" s="1" customFormat="1" x14ac:dyDescent="0.25">
      <c r="A436" s="6"/>
      <c r="B436" s="7">
        <v>44215</v>
      </c>
      <c r="C436" s="8" t="s">
        <v>37</v>
      </c>
      <c r="D436" s="8" t="s">
        <v>122</v>
      </c>
      <c r="E436" s="9" t="s">
        <v>123</v>
      </c>
      <c r="F436" s="9" t="s">
        <v>36</v>
      </c>
      <c r="G436" s="17">
        <v>0.96250000000000002</v>
      </c>
      <c r="H436" s="17">
        <v>0.98611111111111116</v>
      </c>
      <c r="I436" s="9">
        <v>16055</v>
      </c>
      <c r="J436" s="9">
        <v>6420</v>
      </c>
      <c r="K436" s="10">
        <f t="shared" ref="K436" si="14">+I436-J436</f>
        <v>9635</v>
      </c>
      <c r="L436" s="10">
        <v>26367</v>
      </c>
      <c r="M436" s="11" t="s">
        <v>124</v>
      </c>
      <c r="N436" s="12">
        <v>9635</v>
      </c>
      <c r="O436" s="13" t="s">
        <v>32</v>
      </c>
      <c r="P436" s="14"/>
    </row>
    <row r="437" spans="1:19" x14ac:dyDescent="0.25">
      <c r="A437" s="6"/>
      <c r="B437" s="7">
        <v>44215</v>
      </c>
      <c r="C437" s="8" t="s">
        <v>625</v>
      </c>
      <c r="D437" s="8" t="s">
        <v>382</v>
      </c>
      <c r="E437" s="9" t="s">
        <v>119</v>
      </c>
      <c r="F437" s="9" t="s">
        <v>36</v>
      </c>
      <c r="G437" s="17">
        <v>0</v>
      </c>
      <c r="H437" s="17">
        <v>5.4166666666666669E-2</v>
      </c>
      <c r="I437" s="9">
        <v>5980</v>
      </c>
      <c r="J437" s="9">
        <v>3900</v>
      </c>
      <c r="K437" s="10">
        <f t="shared" si="13"/>
        <v>2080</v>
      </c>
      <c r="L437" s="10">
        <v>735</v>
      </c>
      <c r="M437" s="11" t="s">
        <v>31</v>
      </c>
      <c r="N437" s="12">
        <v>2080</v>
      </c>
      <c r="O437" s="13" t="s">
        <v>32</v>
      </c>
      <c r="P437" s="14"/>
    </row>
    <row r="438" spans="1:19" x14ac:dyDescent="0.25">
      <c r="A438" s="6"/>
      <c r="B438" s="7">
        <v>44216</v>
      </c>
      <c r="C438" s="8" t="s">
        <v>216</v>
      </c>
      <c r="D438" s="8" t="s">
        <v>598</v>
      </c>
      <c r="E438" s="9" t="s">
        <v>599</v>
      </c>
      <c r="F438" s="9" t="s">
        <v>36</v>
      </c>
      <c r="G438" s="17">
        <v>9.2361111111111116E-2</v>
      </c>
      <c r="H438" s="17">
        <v>0.12430555555555556</v>
      </c>
      <c r="I438" s="9">
        <v>50670</v>
      </c>
      <c r="J438" s="9">
        <v>18530</v>
      </c>
      <c r="K438" s="10">
        <f t="shared" si="13"/>
        <v>32140</v>
      </c>
      <c r="L438" s="10">
        <v>5188</v>
      </c>
      <c r="M438" s="11" t="s">
        <v>31</v>
      </c>
      <c r="N438" s="12">
        <v>32140</v>
      </c>
      <c r="O438" s="13" t="s">
        <v>32</v>
      </c>
      <c r="P438" s="14"/>
      <c r="Q438">
        <f>5530*2.2</f>
        <v>12166.000000000002</v>
      </c>
      <c r="R438">
        <f>+Q438-100</f>
        <v>12066.000000000002</v>
      </c>
    </row>
    <row r="439" spans="1:19" x14ac:dyDescent="0.25">
      <c r="A439" s="6"/>
      <c r="B439" s="7">
        <v>44216</v>
      </c>
      <c r="C439" s="8" t="s">
        <v>216</v>
      </c>
      <c r="D439" s="8" t="s">
        <v>217</v>
      </c>
      <c r="E439" s="9" t="s">
        <v>218</v>
      </c>
      <c r="F439" s="9" t="s">
        <v>36</v>
      </c>
      <c r="G439" s="17">
        <v>0.13125000000000001</v>
      </c>
      <c r="H439" s="17">
        <v>0.15347222222222223</v>
      </c>
      <c r="I439" s="9">
        <v>50060</v>
      </c>
      <c r="J439" s="9">
        <v>19630</v>
      </c>
      <c r="K439" s="10">
        <f t="shared" si="13"/>
        <v>30430</v>
      </c>
      <c r="L439" s="10">
        <v>5189</v>
      </c>
      <c r="M439" s="11" t="s">
        <v>31</v>
      </c>
      <c r="N439" s="12">
        <v>30430</v>
      </c>
      <c r="O439" s="13" t="s">
        <v>32</v>
      </c>
      <c r="P439" s="14"/>
    </row>
    <row r="440" spans="1:19" x14ac:dyDescent="0.25">
      <c r="A440" s="6"/>
      <c r="B440" s="7">
        <v>44216</v>
      </c>
      <c r="C440" s="8" t="s">
        <v>142</v>
      </c>
      <c r="D440" s="8" t="s">
        <v>143</v>
      </c>
      <c r="E440" s="9" t="s">
        <v>144</v>
      </c>
      <c r="F440" s="9" t="s">
        <v>626</v>
      </c>
      <c r="G440" s="17">
        <v>0.22222222222222221</v>
      </c>
      <c r="H440" s="17">
        <v>0.23124999999999998</v>
      </c>
      <c r="I440" s="9">
        <v>26950</v>
      </c>
      <c r="J440" s="9">
        <v>15220</v>
      </c>
      <c r="K440" s="10">
        <f t="shared" si="13"/>
        <v>11730</v>
      </c>
      <c r="L440" s="10">
        <v>725</v>
      </c>
      <c r="M440" s="11" t="s">
        <v>442</v>
      </c>
      <c r="N440" s="12">
        <v>11306</v>
      </c>
      <c r="O440" s="13" t="s">
        <v>32</v>
      </c>
      <c r="P440" s="14"/>
    </row>
    <row r="441" spans="1:19" x14ac:dyDescent="0.25">
      <c r="A441" s="6"/>
      <c r="B441" s="7">
        <v>44216</v>
      </c>
      <c r="C441" s="8" t="s">
        <v>33</v>
      </c>
      <c r="D441" s="8" t="s">
        <v>348</v>
      </c>
      <c r="E441" s="9" t="s">
        <v>215</v>
      </c>
      <c r="F441" s="9" t="s">
        <v>36</v>
      </c>
      <c r="G441" s="17">
        <v>0.32083333333333336</v>
      </c>
      <c r="H441" s="17">
        <v>0.34930555555555554</v>
      </c>
      <c r="I441" s="9">
        <v>10120</v>
      </c>
      <c r="J441" s="9">
        <v>4590</v>
      </c>
      <c r="K441" s="10">
        <f t="shared" si="13"/>
        <v>5530</v>
      </c>
      <c r="L441" s="10">
        <v>26370</v>
      </c>
      <c r="M441" s="11" t="s">
        <v>31</v>
      </c>
      <c r="N441" s="12">
        <v>5530</v>
      </c>
      <c r="O441" s="13" t="s">
        <v>32</v>
      </c>
      <c r="P441" s="14"/>
    </row>
    <row r="442" spans="1:19" x14ac:dyDescent="0.25">
      <c r="A442" s="6"/>
      <c r="B442" s="15">
        <v>44216</v>
      </c>
      <c r="C442" s="8" t="s">
        <v>164</v>
      </c>
      <c r="D442" s="8" t="s">
        <v>219</v>
      </c>
      <c r="E442" s="9" t="s">
        <v>95</v>
      </c>
      <c r="F442" s="9" t="s">
        <v>99</v>
      </c>
      <c r="G442" s="17">
        <v>0.37361111111111112</v>
      </c>
      <c r="H442" s="17">
        <v>0.39930555555555558</v>
      </c>
      <c r="I442" s="9">
        <v>6580</v>
      </c>
      <c r="J442" s="9">
        <v>17120</v>
      </c>
      <c r="K442" s="10">
        <f t="shared" si="13"/>
        <v>-10540</v>
      </c>
      <c r="L442" s="10">
        <v>15405</v>
      </c>
      <c r="M442" s="11" t="s">
        <v>166</v>
      </c>
      <c r="N442" s="12">
        <v>210</v>
      </c>
      <c r="O442" s="13" t="s">
        <v>54</v>
      </c>
      <c r="P442" s="14"/>
    </row>
    <row r="443" spans="1:19" x14ac:dyDescent="0.25">
      <c r="A443" s="6"/>
      <c r="B443" s="7">
        <v>44216</v>
      </c>
      <c r="C443" s="8" t="s">
        <v>164</v>
      </c>
      <c r="D443" s="8" t="s">
        <v>94</v>
      </c>
      <c r="E443" s="9" t="s">
        <v>172</v>
      </c>
      <c r="F443" s="9" t="s">
        <v>608</v>
      </c>
      <c r="G443" s="17">
        <v>0.41875000000000001</v>
      </c>
      <c r="H443" s="17">
        <v>0.43194444444444446</v>
      </c>
      <c r="I443" s="9">
        <v>15350</v>
      </c>
      <c r="J443" s="9">
        <v>6340</v>
      </c>
      <c r="K443" s="10">
        <f t="shared" si="13"/>
        <v>9010</v>
      </c>
      <c r="L443" s="10">
        <v>15358</v>
      </c>
      <c r="M443" s="11" t="s">
        <v>398</v>
      </c>
      <c r="N443" s="12">
        <v>179</v>
      </c>
      <c r="O443" s="13" t="s">
        <v>54</v>
      </c>
      <c r="P443" s="14"/>
    </row>
    <row r="444" spans="1:19" x14ac:dyDescent="0.25">
      <c r="A444" s="6"/>
      <c r="B444" s="7">
        <v>44216</v>
      </c>
      <c r="C444" s="8" t="s">
        <v>603</v>
      </c>
      <c r="D444" s="8" t="s">
        <v>34</v>
      </c>
      <c r="E444" s="9" t="s">
        <v>35</v>
      </c>
      <c r="F444" s="9" t="s">
        <v>36</v>
      </c>
      <c r="G444" s="17">
        <v>0.45416666666666666</v>
      </c>
      <c r="H444" s="17">
        <v>0.49236111111111108</v>
      </c>
      <c r="I444" s="9">
        <v>13370</v>
      </c>
      <c r="J444" s="9">
        <v>5370</v>
      </c>
      <c r="K444" s="10">
        <f t="shared" si="13"/>
        <v>8000</v>
      </c>
      <c r="L444" s="10">
        <v>26371</v>
      </c>
      <c r="M444" s="11" t="s">
        <v>31</v>
      </c>
      <c r="N444" s="12">
        <v>8000</v>
      </c>
      <c r="O444" s="13" t="s">
        <v>32</v>
      </c>
      <c r="P444" s="14">
        <f>8000*2.2</f>
        <v>17600</v>
      </c>
    </row>
    <row r="445" spans="1:19" x14ac:dyDescent="0.25">
      <c r="A445" s="6"/>
      <c r="B445" s="7">
        <v>44216</v>
      </c>
      <c r="C445" s="8" t="s">
        <v>114</v>
      </c>
      <c r="D445" s="8" t="s">
        <v>450</v>
      </c>
      <c r="E445" s="9" t="s">
        <v>451</v>
      </c>
      <c r="F445" s="9" t="s">
        <v>36</v>
      </c>
      <c r="G445" s="17">
        <v>0.4548611111111111</v>
      </c>
      <c r="H445" s="17">
        <v>0.51874999999999993</v>
      </c>
      <c r="I445" s="9">
        <v>7670</v>
      </c>
      <c r="J445" s="9">
        <v>3930</v>
      </c>
      <c r="K445" s="10">
        <f t="shared" si="13"/>
        <v>3740</v>
      </c>
      <c r="L445" s="10">
        <v>26373</v>
      </c>
      <c r="M445" s="11" t="s">
        <v>31</v>
      </c>
      <c r="N445" s="12">
        <v>3740</v>
      </c>
      <c r="O445" s="13" t="s">
        <v>32</v>
      </c>
      <c r="P445" s="14"/>
      <c r="Q445">
        <f>126+30+30+30</f>
        <v>216</v>
      </c>
    </row>
    <row r="446" spans="1:19" x14ac:dyDescent="0.25">
      <c r="A446" s="6"/>
      <c r="B446" s="7">
        <v>44216</v>
      </c>
      <c r="C446" s="8" t="s">
        <v>627</v>
      </c>
      <c r="D446" s="8" t="s">
        <v>552</v>
      </c>
      <c r="E446" s="9" t="s">
        <v>628</v>
      </c>
      <c r="F446" s="9" t="s">
        <v>629</v>
      </c>
      <c r="G446" s="17">
        <v>0.45624999999999999</v>
      </c>
      <c r="H446" s="17">
        <v>0.46527777777777773</v>
      </c>
      <c r="I446" s="9">
        <v>18990</v>
      </c>
      <c r="J446" s="9">
        <v>9650</v>
      </c>
      <c r="K446" s="10">
        <f t="shared" si="13"/>
        <v>9340</v>
      </c>
      <c r="L446" s="10">
        <v>81114</v>
      </c>
      <c r="M446" s="11" t="s">
        <v>630</v>
      </c>
      <c r="N446" s="12">
        <v>9340</v>
      </c>
      <c r="O446" s="13" t="s">
        <v>32</v>
      </c>
      <c r="P446" s="14"/>
      <c r="R446">
        <f>4790*2.2</f>
        <v>10538</v>
      </c>
      <c r="S446">
        <f>+R446-80</f>
        <v>10458</v>
      </c>
    </row>
    <row r="447" spans="1:19" x14ac:dyDescent="0.25">
      <c r="A447" s="6"/>
      <c r="B447" s="7">
        <v>44216</v>
      </c>
      <c r="C447" s="8" t="s">
        <v>603</v>
      </c>
      <c r="D447" s="8" t="s">
        <v>255</v>
      </c>
      <c r="E447" s="9" t="s">
        <v>181</v>
      </c>
      <c r="F447" s="9" t="s">
        <v>36</v>
      </c>
      <c r="G447" s="17">
        <v>0.46111111111111108</v>
      </c>
      <c r="H447" s="17">
        <v>0.50208333333333333</v>
      </c>
      <c r="I447" s="9">
        <v>8850</v>
      </c>
      <c r="J447" s="9">
        <v>4060</v>
      </c>
      <c r="K447" s="10">
        <f t="shared" si="13"/>
        <v>4790</v>
      </c>
      <c r="L447" s="10">
        <v>26372</v>
      </c>
      <c r="M447" s="11" t="s">
        <v>31</v>
      </c>
      <c r="N447" s="12">
        <v>4790</v>
      </c>
      <c r="O447" s="13" t="s">
        <v>32</v>
      </c>
      <c r="P447" s="14"/>
    </row>
    <row r="448" spans="1:19" x14ac:dyDescent="0.25">
      <c r="A448" s="6"/>
      <c r="B448" s="7">
        <v>44216</v>
      </c>
      <c r="C448" s="8" t="s">
        <v>164</v>
      </c>
      <c r="D448" s="8" t="s">
        <v>219</v>
      </c>
      <c r="E448" s="9" t="s">
        <v>95</v>
      </c>
      <c r="F448" s="9" t="s">
        <v>99</v>
      </c>
      <c r="G448" s="17">
        <v>0.48749999999999999</v>
      </c>
      <c r="H448" s="17">
        <v>0.49861111111111112</v>
      </c>
      <c r="I448" s="9">
        <v>17560</v>
      </c>
      <c r="J448" s="9">
        <v>6670</v>
      </c>
      <c r="K448" s="10">
        <f t="shared" si="13"/>
        <v>10890</v>
      </c>
      <c r="L448" s="10">
        <v>15365</v>
      </c>
      <c r="M448" s="11" t="s">
        <v>398</v>
      </c>
      <c r="N448" s="12">
        <v>216</v>
      </c>
      <c r="O448" s="13" t="s">
        <v>54</v>
      </c>
      <c r="P448" s="14"/>
    </row>
    <row r="449" spans="1:18" x14ac:dyDescent="0.25">
      <c r="A449" s="6"/>
      <c r="B449" s="7">
        <v>44216</v>
      </c>
      <c r="C449" s="8" t="s">
        <v>130</v>
      </c>
      <c r="D449" s="8" t="s">
        <v>631</v>
      </c>
      <c r="E449" s="9" t="s">
        <v>632</v>
      </c>
      <c r="F449" s="9" t="s">
        <v>36</v>
      </c>
      <c r="G449" s="17">
        <v>0.48958333333333331</v>
      </c>
      <c r="H449" s="17">
        <v>0.51666666666666672</v>
      </c>
      <c r="I449" s="9">
        <v>48400</v>
      </c>
      <c r="J449" s="9">
        <v>18150</v>
      </c>
      <c r="K449" s="10">
        <f t="shared" si="13"/>
        <v>30250</v>
      </c>
      <c r="L449" s="10">
        <v>5190</v>
      </c>
      <c r="M449" s="11" t="s">
        <v>31</v>
      </c>
      <c r="N449" s="12">
        <v>68552</v>
      </c>
      <c r="O449" s="13" t="s">
        <v>49</v>
      </c>
      <c r="P449" s="14"/>
      <c r="Q449">
        <f>8000*2.2</f>
        <v>17600</v>
      </c>
      <c r="R449">
        <f>+Q449-100</f>
        <v>17500</v>
      </c>
    </row>
    <row r="450" spans="1:18" x14ac:dyDescent="0.25">
      <c r="A450" s="6"/>
      <c r="B450" s="7">
        <v>44216</v>
      </c>
      <c r="C450" s="8" t="s">
        <v>610</v>
      </c>
      <c r="D450" s="8" t="s">
        <v>610</v>
      </c>
      <c r="E450" s="9" t="s">
        <v>633</v>
      </c>
      <c r="F450" s="9" t="s">
        <v>36</v>
      </c>
      <c r="G450" s="17">
        <v>0.56180555555555556</v>
      </c>
      <c r="H450" s="17">
        <v>0.58263888888888882</v>
      </c>
      <c r="I450" s="9">
        <v>4460</v>
      </c>
      <c r="J450" s="9">
        <v>2050</v>
      </c>
      <c r="K450" s="10">
        <f t="shared" si="13"/>
        <v>2410</v>
      </c>
      <c r="L450" s="10">
        <v>26374</v>
      </c>
      <c r="M450" s="11" t="s">
        <v>31</v>
      </c>
      <c r="N450" s="12">
        <v>2410</v>
      </c>
      <c r="O450" s="13" t="s">
        <v>32</v>
      </c>
      <c r="P450" s="14"/>
    </row>
    <row r="451" spans="1:18" x14ac:dyDescent="0.25">
      <c r="A451" s="6"/>
      <c r="B451" s="7">
        <v>44216</v>
      </c>
      <c r="C451" s="8" t="s">
        <v>634</v>
      </c>
      <c r="D451" s="8" t="s">
        <v>175</v>
      </c>
      <c r="E451" s="9" t="s">
        <v>176</v>
      </c>
      <c r="F451" s="9" t="s">
        <v>36</v>
      </c>
      <c r="G451" s="17">
        <v>0.57986111111111105</v>
      </c>
      <c r="H451" s="17">
        <v>0.61041666666666672</v>
      </c>
      <c r="I451" s="9">
        <v>9080</v>
      </c>
      <c r="J451" s="9">
        <v>4290</v>
      </c>
      <c r="K451" s="10">
        <f t="shared" si="13"/>
        <v>4790</v>
      </c>
      <c r="L451" s="10">
        <v>26375</v>
      </c>
      <c r="M451" s="11" t="s">
        <v>31</v>
      </c>
      <c r="N451" s="12">
        <v>4790</v>
      </c>
      <c r="O451" s="13" t="s">
        <v>49</v>
      </c>
      <c r="P451" s="14"/>
    </row>
    <row r="452" spans="1:18" x14ac:dyDescent="0.25">
      <c r="A452" s="6"/>
      <c r="B452" s="7">
        <v>44216</v>
      </c>
      <c r="C452" s="8" t="s">
        <v>606</v>
      </c>
      <c r="D452" s="8" t="s">
        <v>635</v>
      </c>
      <c r="E452" s="9" t="s">
        <v>636</v>
      </c>
      <c r="F452" s="9" t="s">
        <v>36</v>
      </c>
      <c r="G452" s="17">
        <v>0.59305555555555556</v>
      </c>
      <c r="H452" s="17">
        <v>0.65902777777777777</v>
      </c>
      <c r="I452" s="9">
        <v>54660</v>
      </c>
      <c r="J452" s="9">
        <v>19250</v>
      </c>
      <c r="K452" s="10">
        <f t="shared" si="13"/>
        <v>35410</v>
      </c>
      <c r="L452" s="10">
        <v>870</v>
      </c>
      <c r="M452" s="11" t="s">
        <v>306</v>
      </c>
      <c r="N452" s="12">
        <v>10000</v>
      </c>
      <c r="O452" s="13" t="s">
        <v>84</v>
      </c>
      <c r="P452" s="14"/>
    </row>
    <row r="453" spans="1:18" x14ac:dyDescent="0.25">
      <c r="A453" s="6"/>
      <c r="B453" s="7">
        <v>44216</v>
      </c>
      <c r="C453" s="8" t="s">
        <v>164</v>
      </c>
      <c r="D453" s="8" t="s">
        <v>94</v>
      </c>
      <c r="E453" s="9" t="s">
        <v>95</v>
      </c>
      <c r="F453" s="9" t="s">
        <v>99</v>
      </c>
      <c r="G453" s="17">
        <v>0.59444444444444444</v>
      </c>
      <c r="H453" s="17">
        <v>0.61736111111111114</v>
      </c>
      <c r="I453" s="9">
        <v>6800</v>
      </c>
      <c r="J453" s="9">
        <v>19440</v>
      </c>
      <c r="K453" s="10">
        <f t="shared" si="13"/>
        <v>-12640</v>
      </c>
      <c r="L453" s="10">
        <v>15406</v>
      </c>
      <c r="M453" s="11" t="s">
        <v>166</v>
      </c>
      <c r="N453" s="12">
        <v>252</v>
      </c>
      <c r="O453" s="13" t="s">
        <v>54</v>
      </c>
      <c r="P453" s="14"/>
    </row>
    <row r="454" spans="1:18" x14ac:dyDescent="0.25">
      <c r="A454" s="6"/>
      <c r="B454" s="7">
        <v>44216</v>
      </c>
      <c r="C454" s="8" t="s">
        <v>637</v>
      </c>
      <c r="D454" s="8" t="s">
        <v>86</v>
      </c>
      <c r="E454" s="9" t="s">
        <v>87</v>
      </c>
      <c r="F454" s="9" t="s">
        <v>88</v>
      </c>
      <c r="G454" s="17">
        <v>0.60138888888888886</v>
      </c>
      <c r="H454" s="17">
        <v>0.625</v>
      </c>
      <c r="I454" s="9">
        <v>19150</v>
      </c>
      <c r="J454" s="9">
        <v>16540</v>
      </c>
      <c r="K454" s="10">
        <f t="shared" ref="K454:K519" si="15">+I454-J454</f>
        <v>2610</v>
      </c>
      <c r="L454" s="10">
        <v>2897</v>
      </c>
      <c r="M454" s="11" t="s">
        <v>77</v>
      </c>
      <c r="N454" s="12">
        <v>20</v>
      </c>
      <c r="O454" s="13" t="s">
        <v>80</v>
      </c>
      <c r="P454" s="14"/>
      <c r="Q454">
        <f>2410*2.2</f>
        <v>5302</v>
      </c>
    </row>
    <row r="455" spans="1:18" x14ac:dyDescent="0.25">
      <c r="A455" s="6"/>
      <c r="B455" s="7">
        <v>44216</v>
      </c>
      <c r="C455" s="8" t="s">
        <v>627</v>
      </c>
      <c r="D455" s="8" t="s">
        <v>552</v>
      </c>
      <c r="E455" s="9" t="s">
        <v>628</v>
      </c>
      <c r="F455" s="9" t="s">
        <v>629</v>
      </c>
      <c r="G455" s="17">
        <v>0.60486111111111118</v>
      </c>
      <c r="H455" s="17">
        <v>0.62013888888888891</v>
      </c>
      <c r="I455" s="9">
        <v>18010</v>
      </c>
      <c r="J455" s="9">
        <v>9620</v>
      </c>
      <c r="K455" s="10">
        <f t="shared" si="15"/>
        <v>8390</v>
      </c>
      <c r="L455" s="10">
        <v>81123</v>
      </c>
      <c r="M455" s="11" t="s">
        <v>630</v>
      </c>
      <c r="N455" s="12">
        <v>8390</v>
      </c>
      <c r="O455" s="13" t="s">
        <v>32</v>
      </c>
      <c r="P455" s="14"/>
    </row>
    <row r="456" spans="1:18" x14ac:dyDescent="0.25">
      <c r="A456" s="6"/>
      <c r="B456" s="7">
        <v>44216</v>
      </c>
      <c r="C456" s="8" t="s">
        <v>33</v>
      </c>
      <c r="D456" s="8" t="s">
        <v>348</v>
      </c>
      <c r="E456" s="9" t="s">
        <v>215</v>
      </c>
      <c r="F456" s="9" t="s">
        <v>36</v>
      </c>
      <c r="G456" s="17">
        <v>0.61458333333333337</v>
      </c>
      <c r="H456" s="17">
        <v>0.67638888888888893</v>
      </c>
      <c r="I456" s="9">
        <v>10060</v>
      </c>
      <c r="J456" s="9">
        <v>4580</v>
      </c>
      <c r="K456" s="10">
        <f t="shared" si="15"/>
        <v>5480</v>
      </c>
      <c r="L456" s="10">
        <v>26376</v>
      </c>
      <c r="M456" s="11" t="s">
        <v>31</v>
      </c>
      <c r="N456" s="12">
        <v>5480</v>
      </c>
      <c r="O456" s="13" t="s">
        <v>32</v>
      </c>
      <c r="P456" s="14"/>
    </row>
    <row r="457" spans="1:18" x14ac:dyDescent="0.25">
      <c r="A457" s="6"/>
      <c r="B457" s="7">
        <v>44216</v>
      </c>
      <c r="C457" s="8" t="s">
        <v>281</v>
      </c>
      <c r="D457" s="8" t="s">
        <v>249</v>
      </c>
      <c r="E457" s="9" t="s">
        <v>250</v>
      </c>
      <c r="F457" s="9" t="s">
        <v>59</v>
      </c>
      <c r="G457" s="17">
        <v>0.62152777777777779</v>
      </c>
      <c r="H457" s="17">
        <v>0.68888888888888899</v>
      </c>
      <c r="I457" s="9">
        <v>8870</v>
      </c>
      <c r="J457" s="9">
        <v>3790</v>
      </c>
      <c r="K457" s="10">
        <f t="shared" si="15"/>
        <v>5080</v>
      </c>
      <c r="L457" s="10" t="s">
        <v>639</v>
      </c>
      <c r="M457" s="11" t="s">
        <v>31</v>
      </c>
      <c r="N457" s="12">
        <v>5080</v>
      </c>
      <c r="O457" s="13" t="s">
        <v>32</v>
      </c>
      <c r="P457" s="14"/>
    </row>
    <row r="458" spans="1:18" x14ac:dyDescent="0.25">
      <c r="A458" s="6"/>
      <c r="B458" s="7">
        <v>44216</v>
      </c>
      <c r="C458" s="8" t="s">
        <v>208</v>
      </c>
      <c r="D458" s="8" t="s">
        <v>465</v>
      </c>
      <c r="E458" s="9" t="s">
        <v>614</v>
      </c>
      <c r="F458" s="9" t="s">
        <v>615</v>
      </c>
      <c r="G458" s="17">
        <v>0.62430555555555556</v>
      </c>
      <c r="H458" s="17">
        <v>0.3743055555555555</v>
      </c>
      <c r="I458" s="9">
        <v>41450</v>
      </c>
      <c r="J458" s="9">
        <v>15740</v>
      </c>
      <c r="K458" s="10">
        <f t="shared" si="15"/>
        <v>25710</v>
      </c>
      <c r="L458" s="10">
        <v>39936</v>
      </c>
      <c r="M458" s="11" t="s">
        <v>212</v>
      </c>
      <c r="N458" s="12">
        <v>25720</v>
      </c>
      <c r="O458" s="13" t="s">
        <v>32</v>
      </c>
      <c r="P458" s="14"/>
    </row>
    <row r="459" spans="1:18" x14ac:dyDescent="0.25">
      <c r="A459" s="6"/>
      <c r="B459" s="7">
        <v>44216</v>
      </c>
      <c r="C459" s="8" t="s">
        <v>55</v>
      </c>
      <c r="D459" s="8" t="s">
        <v>86</v>
      </c>
      <c r="E459" s="9" t="s">
        <v>87</v>
      </c>
      <c r="F459" s="9" t="s">
        <v>88</v>
      </c>
      <c r="G459" s="17">
        <v>0.62569444444444444</v>
      </c>
      <c r="H459" s="17">
        <v>0.35000000000000003</v>
      </c>
      <c r="I459" s="9">
        <v>16540</v>
      </c>
      <c r="J459" s="9">
        <v>39920</v>
      </c>
      <c r="K459" s="10">
        <f t="shared" si="15"/>
        <v>-23380</v>
      </c>
      <c r="L459" s="10">
        <v>5695</v>
      </c>
      <c r="M459" s="11" t="s">
        <v>89</v>
      </c>
      <c r="N459" s="12">
        <v>22230</v>
      </c>
      <c r="O459" s="13" t="s">
        <v>32</v>
      </c>
      <c r="P459" s="14" t="s">
        <v>648</v>
      </c>
    </row>
    <row r="460" spans="1:18" x14ac:dyDescent="0.25">
      <c r="A460" s="6"/>
      <c r="B460" s="7">
        <v>44216</v>
      </c>
      <c r="C460" s="8" t="s">
        <v>288</v>
      </c>
      <c r="D460" s="8" t="s">
        <v>29</v>
      </c>
      <c r="E460" s="9" t="s">
        <v>590</v>
      </c>
      <c r="F460" s="9" t="s">
        <v>36</v>
      </c>
      <c r="G460" s="17">
        <v>0.63472222222222219</v>
      </c>
      <c r="H460" s="17">
        <v>0.65</v>
      </c>
      <c r="I460" s="9">
        <v>7560</v>
      </c>
      <c r="J460" s="9">
        <v>3380</v>
      </c>
      <c r="K460" s="10">
        <f t="shared" si="15"/>
        <v>4180</v>
      </c>
      <c r="L460" s="10">
        <v>44438</v>
      </c>
      <c r="M460" s="11" t="s">
        <v>31</v>
      </c>
      <c r="N460" s="12">
        <v>9589</v>
      </c>
      <c r="O460" s="13" t="s">
        <v>49</v>
      </c>
      <c r="P460" s="14"/>
    </row>
    <row r="461" spans="1:18" x14ac:dyDescent="0.25">
      <c r="A461" s="6"/>
      <c r="B461" s="7">
        <v>44216</v>
      </c>
      <c r="C461" s="8" t="s">
        <v>130</v>
      </c>
      <c r="D461" s="8" t="s">
        <v>198</v>
      </c>
      <c r="E461" s="9" t="s">
        <v>405</v>
      </c>
      <c r="F461" s="9" t="s">
        <v>161</v>
      </c>
      <c r="G461" s="17">
        <v>0.68125000000000002</v>
      </c>
      <c r="H461" s="17">
        <v>0.76944444444444438</v>
      </c>
      <c r="I461" s="9">
        <v>18310</v>
      </c>
      <c r="J461" s="9">
        <v>38550</v>
      </c>
      <c r="K461" s="10">
        <f t="shared" si="15"/>
        <v>-20240</v>
      </c>
      <c r="L461" s="10">
        <v>15408</v>
      </c>
      <c r="M461" s="11" t="s">
        <v>638</v>
      </c>
      <c r="N461" s="12">
        <v>800</v>
      </c>
      <c r="O461" s="13" t="s">
        <v>54</v>
      </c>
      <c r="P461" s="14"/>
      <c r="Q461">
        <f>5480*2.2</f>
        <v>12056.000000000002</v>
      </c>
      <c r="R461">
        <f>+Q461-100</f>
        <v>11956.000000000002</v>
      </c>
    </row>
    <row r="462" spans="1:18" x14ac:dyDescent="0.25">
      <c r="A462" s="6"/>
      <c r="B462" s="7">
        <v>44216</v>
      </c>
      <c r="C462" s="8" t="s">
        <v>164</v>
      </c>
      <c r="D462" s="8" t="s">
        <v>94</v>
      </c>
      <c r="E462" s="9" t="s">
        <v>95</v>
      </c>
      <c r="F462" s="9" t="s">
        <v>99</v>
      </c>
      <c r="G462" s="17">
        <v>0.70000000000000007</v>
      </c>
      <c r="H462" s="17">
        <v>0.71666666666666667</v>
      </c>
      <c r="I462" s="9">
        <v>15840</v>
      </c>
      <c r="J462" s="9">
        <v>6690</v>
      </c>
      <c r="K462" s="10">
        <f t="shared" si="15"/>
        <v>9150</v>
      </c>
      <c r="L462" s="10">
        <v>15366</v>
      </c>
      <c r="M462" s="11" t="s">
        <v>398</v>
      </c>
      <c r="N462" s="12">
        <v>180</v>
      </c>
      <c r="O462" s="13" t="s">
        <v>54</v>
      </c>
      <c r="P462" s="14"/>
      <c r="Q462">
        <f>5080*2.2</f>
        <v>11176</v>
      </c>
      <c r="R462">
        <f>+Q462-5100</f>
        <v>6076</v>
      </c>
    </row>
    <row r="463" spans="1:18" x14ac:dyDescent="0.25">
      <c r="A463" s="6"/>
      <c r="B463" s="7">
        <v>44216</v>
      </c>
      <c r="C463" s="8" t="s">
        <v>33</v>
      </c>
      <c r="D463" s="8" t="s">
        <v>34</v>
      </c>
      <c r="E463" s="9" t="s">
        <v>35</v>
      </c>
      <c r="F463" s="9" t="s">
        <v>36</v>
      </c>
      <c r="G463" s="17">
        <v>0.70347222222222217</v>
      </c>
      <c r="H463" s="17">
        <v>0.73263888888888884</v>
      </c>
      <c r="I463" s="9">
        <v>10460</v>
      </c>
      <c r="J463" s="9">
        <v>5340</v>
      </c>
      <c r="K463" s="10">
        <f t="shared" si="15"/>
        <v>5120</v>
      </c>
      <c r="L463" s="10">
        <v>26378</v>
      </c>
      <c r="M463" s="11" t="s">
        <v>31</v>
      </c>
      <c r="N463" s="12">
        <v>5120</v>
      </c>
      <c r="O463" s="13" t="s">
        <v>32</v>
      </c>
      <c r="P463" s="14">
        <v>6000</v>
      </c>
      <c r="Q463">
        <f>+N463*2.2</f>
        <v>11264</v>
      </c>
    </row>
    <row r="464" spans="1:18" x14ac:dyDescent="0.25">
      <c r="A464" s="6"/>
      <c r="B464" s="7">
        <v>44216</v>
      </c>
      <c r="C464" s="8" t="s">
        <v>190</v>
      </c>
      <c r="D464" s="8" t="s">
        <v>191</v>
      </c>
      <c r="E464" s="9" t="s">
        <v>483</v>
      </c>
      <c r="F464" s="9" t="s">
        <v>36</v>
      </c>
      <c r="G464" s="17">
        <v>0.71527777777777779</v>
      </c>
      <c r="H464" s="17">
        <v>0.79791666666666661</v>
      </c>
      <c r="I464" s="9">
        <v>13520</v>
      </c>
      <c r="J464" s="9">
        <v>4910</v>
      </c>
      <c r="K464" s="10">
        <f t="shared" si="15"/>
        <v>8610</v>
      </c>
      <c r="L464" s="10">
        <v>349269</v>
      </c>
      <c r="M464" s="11" t="s">
        <v>31</v>
      </c>
      <c r="N464" s="12">
        <v>19150</v>
      </c>
      <c r="O464" s="13" t="s">
        <v>49</v>
      </c>
      <c r="P464" s="14"/>
    </row>
    <row r="465" spans="1:26" x14ac:dyDescent="0.25">
      <c r="A465" s="6"/>
      <c r="B465" s="7">
        <v>44216</v>
      </c>
      <c r="C465" s="8" t="s">
        <v>603</v>
      </c>
      <c r="D465" s="8" t="s">
        <v>255</v>
      </c>
      <c r="E465" s="9" t="s">
        <v>181</v>
      </c>
      <c r="F465" s="9" t="s">
        <v>36</v>
      </c>
      <c r="G465" s="17">
        <v>0.73611111111111116</v>
      </c>
      <c r="H465" s="17">
        <v>0.79166666666666663</v>
      </c>
      <c r="I465" s="9">
        <v>9160</v>
      </c>
      <c r="J465" s="9">
        <v>4070</v>
      </c>
      <c r="K465" s="10">
        <f t="shared" si="15"/>
        <v>5090</v>
      </c>
      <c r="L465" s="10">
        <v>26379</v>
      </c>
      <c r="M465" s="11" t="s">
        <v>31</v>
      </c>
      <c r="N465" s="12">
        <v>5090</v>
      </c>
      <c r="O465" s="13" t="s">
        <v>32</v>
      </c>
      <c r="P465" s="14"/>
    </row>
    <row r="466" spans="1:26" x14ac:dyDescent="0.25">
      <c r="A466" s="6"/>
      <c r="B466" s="7">
        <v>44216</v>
      </c>
      <c r="C466" s="8" t="s">
        <v>33</v>
      </c>
      <c r="D466" s="8" t="s">
        <v>202</v>
      </c>
      <c r="E466" s="9" t="s">
        <v>591</v>
      </c>
      <c r="F466" s="9" t="s">
        <v>419</v>
      </c>
      <c r="G466" s="17">
        <v>0.77361111111111114</v>
      </c>
      <c r="H466" s="17">
        <v>0.8125</v>
      </c>
      <c r="I466" s="9">
        <v>9340</v>
      </c>
      <c r="J466" s="9">
        <v>4190</v>
      </c>
      <c r="K466" s="10">
        <f t="shared" si="15"/>
        <v>5150</v>
      </c>
      <c r="L466" s="10">
        <v>26381</v>
      </c>
      <c r="M466" s="11" t="s">
        <v>31</v>
      </c>
      <c r="N466" s="12">
        <v>5150</v>
      </c>
      <c r="O466" s="13" t="s">
        <v>32</v>
      </c>
      <c r="P466" s="14"/>
    </row>
    <row r="467" spans="1:26" x14ac:dyDescent="0.25">
      <c r="A467" s="6"/>
      <c r="B467" s="7">
        <v>44216</v>
      </c>
      <c r="C467" s="8" t="s">
        <v>603</v>
      </c>
      <c r="D467" s="8" t="s">
        <v>324</v>
      </c>
      <c r="E467" s="9" t="s">
        <v>197</v>
      </c>
      <c r="F467" s="9" t="s">
        <v>36</v>
      </c>
      <c r="G467" s="17">
        <v>0.78611111111111109</v>
      </c>
      <c r="H467" s="17">
        <v>0.81111111111111101</v>
      </c>
      <c r="I467" s="9">
        <v>10100</v>
      </c>
      <c r="J467" s="9">
        <v>4620</v>
      </c>
      <c r="K467" s="10">
        <f t="shared" si="15"/>
        <v>5480</v>
      </c>
      <c r="L467" s="10">
        <v>26380</v>
      </c>
      <c r="M467" s="11" t="s">
        <v>31</v>
      </c>
      <c r="N467" s="12">
        <v>5480</v>
      </c>
      <c r="O467" s="13" t="s">
        <v>32</v>
      </c>
      <c r="P467" s="14"/>
    </row>
    <row r="468" spans="1:26" x14ac:dyDescent="0.25">
      <c r="A468" s="6"/>
      <c r="B468" s="7">
        <v>44216</v>
      </c>
      <c r="C468" s="8" t="s">
        <v>130</v>
      </c>
      <c r="D468" s="8" t="s">
        <v>582</v>
      </c>
      <c r="E468" s="9" t="s">
        <v>149</v>
      </c>
      <c r="F468" s="9" t="s">
        <v>36</v>
      </c>
      <c r="G468" s="17">
        <v>0.79999999999999993</v>
      </c>
      <c r="H468" s="17">
        <v>0.83124999999999993</v>
      </c>
      <c r="I468" s="9">
        <v>53010</v>
      </c>
      <c r="J468" s="9">
        <v>18880</v>
      </c>
      <c r="K468" s="10">
        <f t="shared" si="15"/>
        <v>34130</v>
      </c>
      <c r="L468" s="10">
        <v>5191</v>
      </c>
      <c r="M468" s="11" t="s">
        <v>31</v>
      </c>
      <c r="N468" s="12">
        <v>34130</v>
      </c>
      <c r="O468" s="13" t="s">
        <v>32</v>
      </c>
      <c r="P468" s="14"/>
      <c r="S468">
        <v>699</v>
      </c>
      <c r="T468">
        <f>+S468+1</f>
        <v>700</v>
      </c>
    </row>
    <row r="469" spans="1:26" x14ac:dyDescent="0.25">
      <c r="A469" s="6"/>
      <c r="B469" s="7">
        <v>44216</v>
      </c>
      <c r="C469" s="8" t="s">
        <v>223</v>
      </c>
      <c r="D469" s="8" t="s">
        <v>530</v>
      </c>
      <c r="E469" s="9" t="s">
        <v>531</v>
      </c>
      <c r="F469" s="9" t="s">
        <v>140</v>
      </c>
      <c r="G469" s="17">
        <v>0.80833333333333324</v>
      </c>
      <c r="H469" s="17">
        <v>0.84097222222222223</v>
      </c>
      <c r="I469" s="9">
        <v>11470</v>
      </c>
      <c r="J469" s="9">
        <v>8240</v>
      </c>
      <c r="K469" s="10">
        <f t="shared" si="15"/>
        <v>3230</v>
      </c>
      <c r="L469" s="10" t="s">
        <v>640</v>
      </c>
      <c r="M469" s="11" t="s">
        <v>225</v>
      </c>
      <c r="N469" s="12">
        <v>7674</v>
      </c>
      <c r="O469" s="13" t="s">
        <v>49</v>
      </c>
      <c r="P469" s="14"/>
    </row>
    <row r="470" spans="1:26" x14ac:dyDescent="0.25">
      <c r="A470" s="6"/>
      <c r="B470" s="7">
        <v>44216</v>
      </c>
      <c r="C470" s="8" t="s">
        <v>60</v>
      </c>
      <c r="D470" s="8" t="s">
        <v>382</v>
      </c>
      <c r="E470" s="9" t="s">
        <v>119</v>
      </c>
      <c r="F470" s="9" t="s">
        <v>36</v>
      </c>
      <c r="G470" s="17">
        <v>0.82430555555555562</v>
      </c>
      <c r="H470" s="17">
        <v>0.89444444444444438</v>
      </c>
      <c r="I470" s="9">
        <v>8960</v>
      </c>
      <c r="J470" s="9">
        <v>3860</v>
      </c>
      <c r="K470" s="10">
        <f t="shared" si="15"/>
        <v>5100</v>
      </c>
      <c r="L470" s="10" t="s">
        <v>641</v>
      </c>
      <c r="M470" s="11" t="s">
        <v>31</v>
      </c>
      <c r="N470" s="12">
        <v>5100</v>
      </c>
      <c r="O470" s="13" t="s">
        <v>32</v>
      </c>
      <c r="P470" s="14"/>
    </row>
    <row r="471" spans="1:26" x14ac:dyDescent="0.25">
      <c r="A471" s="6"/>
      <c r="B471" s="7">
        <v>44216</v>
      </c>
      <c r="C471" s="8" t="s">
        <v>610</v>
      </c>
      <c r="D471" s="8" t="s">
        <v>643</v>
      </c>
      <c r="E471" s="9" t="s">
        <v>642</v>
      </c>
      <c r="F471" s="9" t="s">
        <v>36</v>
      </c>
      <c r="G471" s="17">
        <v>0.82500000000000007</v>
      </c>
      <c r="H471" s="17">
        <v>0.875</v>
      </c>
      <c r="I471" s="9">
        <v>12810</v>
      </c>
      <c r="J471" s="9">
        <v>4870</v>
      </c>
      <c r="K471" s="10">
        <f t="shared" si="15"/>
        <v>7940</v>
      </c>
      <c r="L471" s="10">
        <v>26382</v>
      </c>
      <c r="M471" s="11" t="s">
        <v>31</v>
      </c>
      <c r="N471" s="12">
        <v>7940</v>
      </c>
      <c r="O471" s="13" t="s">
        <v>32</v>
      </c>
      <c r="P471" s="14"/>
    </row>
    <row r="472" spans="1:26" x14ac:dyDescent="0.25">
      <c r="A472" s="6"/>
      <c r="B472" s="7">
        <v>44216</v>
      </c>
      <c r="C472" s="8" t="s">
        <v>37</v>
      </c>
      <c r="D472" s="8" t="s">
        <v>122</v>
      </c>
      <c r="E472" s="9" t="s">
        <v>123</v>
      </c>
      <c r="F472" s="9" t="s">
        <v>36</v>
      </c>
      <c r="G472" s="17">
        <v>0.9159722222222223</v>
      </c>
      <c r="H472" s="17">
        <v>0.94097222222222221</v>
      </c>
      <c r="I472" s="9">
        <v>15750</v>
      </c>
      <c r="J472" s="9">
        <v>6380</v>
      </c>
      <c r="K472" s="10">
        <f t="shared" si="15"/>
        <v>9370</v>
      </c>
      <c r="L472" s="10">
        <v>26383</v>
      </c>
      <c r="M472" s="11" t="s">
        <v>124</v>
      </c>
      <c r="N472" s="12">
        <v>9370</v>
      </c>
      <c r="O472" s="13" t="s">
        <v>32</v>
      </c>
      <c r="P472" s="14"/>
    </row>
    <row r="473" spans="1:26" x14ac:dyDescent="0.25">
      <c r="A473" s="6"/>
      <c r="B473" s="7">
        <v>44216</v>
      </c>
      <c r="C473" s="8" t="s">
        <v>517</v>
      </c>
      <c r="D473" s="8" t="s">
        <v>602</v>
      </c>
      <c r="E473" s="9" t="s">
        <v>277</v>
      </c>
      <c r="F473" s="9" t="s">
        <v>266</v>
      </c>
      <c r="G473" s="17">
        <v>0.94652777777777775</v>
      </c>
      <c r="H473" s="17">
        <v>0.17013888888888887</v>
      </c>
      <c r="I473" s="9">
        <v>6520</v>
      </c>
      <c r="J473" s="9">
        <v>5470</v>
      </c>
      <c r="K473" s="10">
        <f t="shared" si="15"/>
        <v>1050</v>
      </c>
      <c r="L473" s="10">
        <v>21741</v>
      </c>
      <c r="M473" s="11" t="s">
        <v>517</v>
      </c>
      <c r="N473" s="12">
        <v>1050</v>
      </c>
      <c r="O473" s="13" t="s">
        <v>32</v>
      </c>
      <c r="P473" s="14"/>
      <c r="Q473" t="s">
        <v>646</v>
      </c>
      <c r="R473">
        <v>58</v>
      </c>
      <c r="S473">
        <v>10</v>
      </c>
      <c r="T473">
        <f>+S473*R473</f>
        <v>580</v>
      </c>
    </row>
    <row r="474" spans="1:26" s="1" customFormat="1" x14ac:dyDescent="0.25">
      <c r="A474" s="6"/>
      <c r="B474" s="7">
        <v>44217</v>
      </c>
      <c r="C474" s="8" t="s">
        <v>443</v>
      </c>
      <c r="D474" s="8" t="s">
        <v>336</v>
      </c>
      <c r="E474" s="9" t="s">
        <v>337</v>
      </c>
      <c r="F474" s="9" t="s">
        <v>36</v>
      </c>
      <c r="G474" s="17">
        <v>3.9583333333333331E-2</v>
      </c>
      <c r="H474" s="17">
        <v>0.26180555555555557</v>
      </c>
      <c r="I474" s="9">
        <v>18690</v>
      </c>
      <c r="J474" s="9">
        <v>7730</v>
      </c>
      <c r="K474" s="10">
        <f t="shared" ref="K474" si="16">+I474-J474</f>
        <v>10960</v>
      </c>
      <c r="L474" s="10" t="s">
        <v>644</v>
      </c>
      <c r="M474" s="11" t="s">
        <v>645</v>
      </c>
      <c r="N474" s="12">
        <v>10927</v>
      </c>
      <c r="O474" s="13" t="s">
        <v>32</v>
      </c>
      <c r="P474" s="14"/>
      <c r="Q474" s="1" t="s">
        <v>647</v>
      </c>
      <c r="R474" s="1">
        <v>57</v>
      </c>
      <c r="S474" s="1">
        <v>10</v>
      </c>
      <c r="T474" s="1">
        <f>+S474*R474</f>
        <v>570</v>
      </c>
    </row>
    <row r="475" spans="1:26" x14ac:dyDescent="0.25">
      <c r="A475" s="6"/>
      <c r="B475" s="7">
        <v>44217</v>
      </c>
      <c r="C475" s="8" t="s">
        <v>142</v>
      </c>
      <c r="D475" s="8" t="s">
        <v>284</v>
      </c>
      <c r="E475" s="9" t="s">
        <v>144</v>
      </c>
      <c r="F475" s="9" t="s">
        <v>626</v>
      </c>
      <c r="G475" s="17">
        <v>0.10416666666666667</v>
      </c>
      <c r="H475" s="17">
        <v>0.11041666666666666</v>
      </c>
      <c r="I475" s="9">
        <v>30920</v>
      </c>
      <c r="J475" s="9">
        <v>17110</v>
      </c>
      <c r="K475" s="10">
        <f t="shared" si="15"/>
        <v>13810</v>
      </c>
      <c r="L475" s="10">
        <v>6838</v>
      </c>
      <c r="M475" s="11" t="s">
        <v>442</v>
      </c>
      <c r="N475" s="12">
        <v>12597</v>
      </c>
      <c r="O475" s="13" t="s">
        <v>32</v>
      </c>
      <c r="P475" s="14"/>
      <c r="T475">
        <f>+T474+T473</f>
        <v>1150</v>
      </c>
    </row>
    <row r="476" spans="1:26" x14ac:dyDescent="0.25">
      <c r="A476" s="6"/>
      <c r="B476" s="15">
        <v>44217</v>
      </c>
      <c r="C476" s="8" t="s">
        <v>653</v>
      </c>
      <c r="D476" s="8" t="s">
        <v>564</v>
      </c>
      <c r="E476" s="9" t="s">
        <v>565</v>
      </c>
      <c r="F476" s="9" t="s">
        <v>36</v>
      </c>
      <c r="G476" s="17">
        <v>0.37222222222222223</v>
      </c>
      <c r="H476" s="17">
        <v>0.4909722222222222</v>
      </c>
      <c r="I476" s="9">
        <v>13450</v>
      </c>
      <c r="J476" s="9">
        <v>13540</v>
      </c>
      <c r="K476" s="10">
        <f t="shared" si="15"/>
        <v>-90</v>
      </c>
      <c r="L476" s="10" t="s">
        <v>196</v>
      </c>
      <c r="M476" s="11" t="s">
        <v>649</v>
      </c>
      <c r="N476" s="12">
        <v>90</v>
      </c>
      <c r="O476" s="13" t="s">
        <v>32</v>
      </c>
      <c r="P476" s="14"/>
      <c r="T476">
        <v>23380</v>
      </c>
    </row>
    <row r="477" spans="1:26" x14ac:dyDescent="0.25">
      <c r="A477" s="6"/>
      <c r="B477" s="7">
        <v>44217</v>
      </c>
      <c r="C477" s="8" t="s">
        <v>651</v>
      </c>
      <c r="D477" s="8" t="s">
        <v>650</v>
      </c>
      <c r="E477" s="9" t="s">
        <v>652</v>
      </c>
      <c r="F477" s="9" t="s">
        <v>36</v>
      </c>
      <c r="G477" s="17">
        <v>0.3840277777777778</v>
      </c>
      <c r="H477" s="17">
        <v>0.6430555555555556</v>
      </c>
      <c r="I477" s="9">
        <v>15090</v>
      </c>
      <c r="J477" s="9">
        <v>36120</v>
      </c>
      <c r="K477" s="10">
        <f t="shared" si="15"/>
        <v>-21030</v>
      </c>
      <c r="L477" s="10">
        <v>5701</v>
      </c>
      <c r="M477" s="11" t="s">
        <v>89</v>
      </c>
      <c r="N477" s="12">
        <v>19965</v>
      </c>
      <c r="O477" s="13" t="s">
        <v>32</v>
      </c>
      <c r="P477" s="14" t="s">
        <v>673</v>
      </c>
      <c r="T477">
        <f>+T476-T475</f>
        <v>22230</v>
      </c>
    </row>
    <row r="478" spans="1:26" x14ac:dyDescent="0.25">
      <c r="A478" s="6"/>
      <c r="B478" s="7">
        <v>44217</v>
      </c>
      <c r="C478" s="8" t="s">
        <v>651</v>
      </c>
      <c r="D478" s="8" t="s">
        <v>654</v>
      </c>
      <c r="E478" s="9" t="s">
        <v>655</v>
      </c>
      <c r="F478" s="9" t="s">
        <v>36</v>
      </c>
      <c r="G478" s="17">
        <v>0.38611111111111113</v>
      </c>
      <c r="H478" s="17">
        <v>0.63750000000000007</v>
      </c>
      <c r="I478" s="9">
        <v>13900</v>
      </c>
      <c r="J478" s="9">
        <v>34850</v>
      </c>
      <c r="K478" s="10">
        <f t="shared" si="15"/>
        <v>-20950</v>
      </c>
      <c r="L478" s="10">
        <v>5700</v>
      </c>
      <c r="M478" s="11" t="s">
        <v>89</v>
      </c>
      <c r="N478" s="12">
        <v>19885</v>
      </c>
      <c r="O478" s="13" t="s">
        <v>32</v>
      </c>
      <c r="P478" s="14" t="s">
        <v>673</v>
      </c>
    </row>
    <row r="479" spans="1:26" x14ac:dyDescent="0.25">
      <c r="A479" s="6"/>
      <c r="B479" s="7">
        <v>44217</v>
      </c>
      <c r="C479" s="8" t="s">
        <v>651</v>
      </c>
      <c r="D479" s="8" t="s">
        <v>656</v>
      </c>
      <c r="E479" s="9" t="s">
        <v>657</v>
      </c>
      <c r="F479" s="9" t="s">
        <v>36</v>
      </c>
      <c r="G479" s="17">
        <v>0.38819444444444445</v>
      </c>
      <c r="H479" s="17">
        <v>0.60972222222222217</v>
      </c>
      <c r="I479" s="9">
        <v>12130</v>
      </c>
      <c r="J479" s="9">
        <v>33040</v>
      </c>
      <c r="K479" s="10">
        <f t="shared" si="15"/>
        <v>-20910</v>
      </c>
      <c r="L479" s="10">
        <v>5699</v>
      </c>
      <c r="M479" s="11" t="s">
        <v>89</v>
      </c>
      <c r="N479" s="12">
        <v>19857</v>
      </c>
      <c r="O479" s="13" t="s">
        <v>32</v>
      </c>
      <c r="P479" s="14" t="s">
        <v>670</v>
      </c>
      <c r="Q479" t="s">
        <v>667</v>
      </c>
      <c r="R479">
        <v>57</v>
      </c>
      <c r="S479">
        <v>6</v>
      </c>
      <c r="T479">
        <f>+S479*R479</f>
        <v>342</v>
      </c>
      <c r="U479" t="s">
        <v>671</v>
      </c>
      <c r="X479">
        <v>20910</v>
      </c>
      <c r="Y479" s="25">
        <f>+X479/18</f>
        <v>1161.6666666666667</v>
      </c>
      <c r="Z479" s="25">
        <f>+Y479-60</f>
        <v>1101.6666666666667</v>
      </c>
    </row>
    <row r="480" spans="1:26" x14ac:dyDescent="0.25">
      <c r="A480" s="6"/>
      <c r="B480" s="7">
        <v>44217</v>
      </c>
      <c r="C480" s="8" t="s">
        <v>651</v>
      </c>
      <c r="D480" s="8" t="s">
        <v>658</v>
      </c>
      <c r="E480" s="9" t="s">
        <v>659</v>
      </c>
      <c r="F480" s="9" t="s">
        <v>36</v>
      </c>
      <c r="G480" s="17">
        <v>0.44305555555555554</v>
      </c>
      <c r="H480" s="17">
        <v>0.68888888888888899</v>
      </c>
      <c r="I480" s="9">
        <v>15100</v>
      </c>
      <c r="J480" s="9">
        <v>35190</v>
      </c>
      <c r="K480" s="10">
        <f t="shared" si="15"/>
        <v>-20090</v>
      </c>
      <c r="L480" s="10">
        <v>5703</v>
      </c>
      <c r="M480" s="11" t="s">
        <v>89</v>
      </c>
      <c r="N480" s="12">
        <v>19049</v>
      </c>
      <c r="O480" s="13" t="s">
        <v>32</v>
      </c>
      <c r="P480" s="14" t="s">
        <v>679</v>
      </c>
      <c r="Q480" t="s">
        <v>668</v>
      </c>
      <c r="R480">
        <v>58</v>
      </c>
      <c r="S480">
        <v>9</v>
      </c>
      <c r="T480" s="1">
        <f>+S480*R480</f>
        <v>522</v>
      </c>
      <c r="Z480">
        <f>+Z479*18</f>
        <v>19830</v>
      </c>
    </row>
    <row r="481" spans="1:25" x14ac:dyDescent="0.25">
      <c r="A481" s="6"/>
      <c r="B481" s="7">
        <v>44217</v>
      </c>
      <c r="C481" s="8" t="s">
        <v>651</v>
      </c>
      <c r="D481" s="8" t="s">
        <v>660</v>
      </c>
      <c r="E481" s="9" t="s">
        <v>661</v>
      </c>
      <c r="F481" s="9" t="s">
        <v>36</v>
      </c>
      <c r="G481" s="17">
        <v>0.44444444444444442</v>
      </c>
      <c r="H481" s="17">
        <v>0.64861111111111114</v>
      </c>
      <c r="I481" s="9">
        <v>11740</v>
      </c>
      <c r="J481" s="9">
        <v>32690</v>
      </c>
      <c r="K481" s="10">
        <f t="shared" si="15"/>
        <v>-20950</v>
      </c>
      <c r="L481" s="10">
        <v>5702</v>
      </c>
      <c r="M481" s="11" t="s">
        <v>89</v>
      </c>
      <c r="N481" s="12">
        <v>19906</v>
      </c>
      <c r="O481" s="13" t="s">
        <v>32</v>
      </c>
      <c r="P481" s="14" t="s">
        <v>676</v>
      </c>
      <c r="Q481" t="s">
        <v>669</v>
      </c>
      <c r="R481">
        <v>63</v>
      </c>
      <c r="S481">
        <v>3</v>
      </c>
      <c r="T481" s="1">
        <f>+S481*R481</f>
        <v>189</v>
      </c>
    </row>
    <row r="482" spans="1:25" x14ac:dyDescent="0.25">
      <c r="A482" s="6"/>
      <c r="B482" s="7">
        <v>44217</v>
      </c>
      <c r="C482" s="8" t="s">
        <v>653</v>
      </c>
      <c r="D482" s="8" t="s">
        <v>662</v>
      </c>
      <c r="E482" s="9" t="s">
        <v>663</v>
      </c>
      <c r="F482" s="9" t="s">
        <v>36</v>
      </c>
      <c r="G482" s="17">
        <v>0.48888888888888887</v>
      </c>
      <c r="H482" s="17">
        <v>0.5083333333333333</v>
      </c>
      <c r="I482" s="9">
        <v>13300</v>
      </c>
      <c r="J482" s="9">
        <v>34710</v>
      </c>
      <c r="K482" s="10">
        <f t="shared" si="15"/>
        <v>-21410</v>
      </c>
      <c r="L482" s="10">
        <v>5696</v>
      </c>
      <c r="M482" s="11" t="s">
        <v>664</v>
      </c>
      <c r="N482" s="12">
        <v>6162</v>
      </c>
      <c r="O482" s="13" t="s">
        <v>84</v>
      </c>
      <c r="P482" s="14"/>
      <c r="S482">
        <f>+S481+S480+S479</f>
        <v>18</v>
      </c>
      <c r="T482" s="1">
        <f>+T481+T480+T479</f>
        <v>1053</v>
      </c>
      <c r="U482">
        <v>20910</v>
      </c>
      <c r="V482">
        <f>+U482-T482</f>
        <v>19857</v>
      </c>
      <c r="W482" t="s">
        <v>10</v>
      </c>
      <c r="X482" s="1"/>
      <c r="Y482">
        <v>4.2009999999999996</v>
      </c>
    </row>
    <row r="483" spans="1:25" x14ac:dyDescent="0.25">
      <c r="A483" s="6"/>
      <c r="B483" s="7">
        <v>44217</v>
      </c>
      <c r="C483" s="8" t="s">
        <v>653</v>
      </c>
      <c r="D483" s="8" t="s">
        <v>564</v>
      </c>
      <c r="E483" s="9" t="s">
        <v>565</v>
      </c>
      <c r="F483" s="9" t="s">
        <v>36</v>
      </c>
      <c r="G483" s="17">
        <v>0.4916666666666667</v>
      </c>
      <c r="H483" s="17">
        <v>0.52916666666666667</v>
      </c>
      <c r="I483" s="9">
        <v>13540</v>
      </c>
      <c r="J483" s="9">
        <v>34930</v>
      </c>
      <c r="K483" s="10">
        <f t="shared" si="15"/>
        <v>-21390</v>
      </c>
      <c r="L483" s="10">
        <v>5697</v>
      </c>
      <c r="M483" s="11" t="s">
        <v>664</v>
      </c>
      <c r="N483" s="12">
        <v>6156</v>
      </c>
      <c r="O483" s="13" t="s">
        <v>84</v>
      </c>
      <c r="P483" s="14"/>
    </row>
    <row r="484" spans="1:25" s="51" customFormat="1" x14ac:dyDescent="0.25">
      <c r="A484" s="41"/>
      <c r="B484" s="42">
        <v>44217</v>
      </c>
      <c r="C484" s="43" t="s">
        <v>665</v>
      </c>
      <c r="D484" s="43" t="s">
        <v>464</v>
      </c>
      <c r="E484" s="44" t="s">
        <v>277</v>
      </c>
      <c r="F484" s="44" t="s">
        <v>36</v>
      </c>
      <c r="G484" s="45">
        <v>0.49861111111111112</v>
      </c>
      <c r="H484" s="45">
        <v>0.50208333333333333</v>
      </c>
      <c r="I484" s="44">
        <v>6550</v>
      </c>
      <c r="J484" s="44">
        <v>5570</v>
      </c>
      <c r="K484" s="46">
        <f t="shared" si="15"/>
        <v>980</v>
      </c>
      <c r="L484" s="46" t="s">
        <v>196</v>
      </c>
      <c r="M484" s="47" t="s">
        <v>666</v>
      </c>
      <c r="N484" s="48">
        <v>980</v>
      </c>
      <c r="O484" s="49" t="s">
        <v>32</v>
      </c>
      <c r="P484" s="50"/>
      <c r="Q484" s="51" t="s">
        <v>667</v>
      </c>
      <c r="R484" s="51">
        <v>57</v>
      </c>
      <c r="S484" s="51">
        <v>4</v>
      </c>
      <c r="T484" s="51">
        <f>+S484*R484</f>
        <v>228</v>
      </c>
      <c r="U484" s="51" t="s">
        <v>672</v>
      </c>
    </row>
    <row r="485" spans="1:25" x14ac:dyDescent="0.25">
      <c r="A485" s="6"/>
      <c r="B485" s="7">
        <v>44217</v>
      </c>
      <c r="C485" s="8" t="s">
        <v>653</v>
      </c>
      <c r="D485" s="8" t="s">
        <v>560</v>
      </c>
      <c r="E485" s="9" t="s">
        <v>561</v>
      </c>
      <c r="F485" s="9" t="s">
        <v>36</v>
      </c>
      <c r="G485" s="17">
        <v>0.50138888888888888</v>
      </c>
      <c r="H485" s="17">
        <v>0.56111111111111112</v>
      </c>
      <c r="I485" s="9">
        <v>15080</v>
      </c>
      <c r="J485" s="9">
        <v>36930</v>
      </c>
      <c r="K485" s="10">
        <f t="shared" si="15"/>
        <v>-21850</v>
      </c>
      <c r="L485" s="10">
        <v>5698</v>
      </c>
      <c r="M485" s="11" t="s">
        <v>664</v>
      </c>
      <c r="N485" s="12">
        <v>6288</v>
      </c>
      <c r="O485" s="13" t="s">
        <v>84</v>
      </c>
      <c r="P485" s="14"/>
      <c r="Q485" s="1" t="s">
        <v>668</v>
      </c>
      <c r="R485" s="1">
        <v>58</v>
      </c>
      <c r="S485" s="1">
        <v>9</v>
      </c>
      <c r="T485" s="1">
        <f>+S485*R485</f>
        <v>522</v>
      </c>
      <c r="U485" s="1"/>
      <c r="V485" s="1"/>
      <c r="W485" s="1"/>
    </row>
    <row r="486" spans="1:25" s="51" customFormat="1" x14ac:dyDescent="0.25">
      <c r="A486" s="41"/>
      <c r="B486" s="42">
        <v>44217</v>
      </c>
      <c r="C486" s="43" t="s">
        <v>619</v>
      </c>
      <c r="D486" s="43" t="s">
        <v>464</v>
      </c>
      <c r="E486" s="44" t="s">
        <v>277</v>
      </c>
      <c r="F486" s="44" t="s">
        <v>36</v>
      </c>
      <c r="G486" s="45">
        <v>0.67708333333333337</v>
      </c>
      <c r="H486" s="45">
        <v>0.68194444444444446</v>
      </c>
      <c r="I486" s="44">
        <v>5850</v>
      </c>
      <c r="J486" s="44">
        <v>5580</v>
      </c>
      <c r="K486" s="46">
        <f t="shared" si="15"/>
        <v>270</v>
      </c>
      <c r="L486" s="46" t="s">
        <v>196</v>
      </c>
      <c r="M486" s="47" t="s">
        <v>677</v>
      </c>
      <c r="N486" s="48">
        <v>270</v>
      </c>
      <c r="O486" s="49" t="s">
        <v>32</v>
      </c>
      <c r="P486" s="50"/>
      <c r="Q486" s="51" t="s">
        <v>669</v>
      </c>
      <c r="R486" s="51">
        <v>63</v>
      </c>
      <c r="S486" s="51">
        <v>5</v>
      </c>
      <c r="T486" s="51">
        <f>+S486*R486</f>
        <v>315</v>
      </c>
    </row>
    <row r="487" spans="1:25" x14ac:dyDescent="0.25">
      <c r="A487" s="6"/>
      <c r="B487" s="7">
        <v>44217</v>
      </c>
      <c r="C487" s="8" t="s">
        <v>55</v>
      </c>
      <c r="D487" s="8" t="s">
        <v>299</v>
      </c>
      <c r="E487" s="9" t="s">
        <v>490</v>
      </c>
      <c r="F487" s="9" t="s">
        <v>491</v>
      </c>
      <c r="G487" s="17">
        <v>0.70208333333333339</v>
      </c>
      <c r="H487" s="17">
        <v>0.17152777777777775</v>
      </c>
      <c r="I487" s="9">
        <v>16150</v>
      </c>
      <c r="J487" s="9">
        <v>51260</v>
      </c>
      <c r="K487" s="10">
        <f t="shared" si="15"/>
        <v>-35110</v>
      </c>
      <c r="L487" s="10">
        <v>5704</v>
      </c>
      <c r="M487" s="11" t="s">
        <v>53</v>
      </c>
      <c r="N487" s="12">
        <v>700</v>
      </c>
      <c r="O487" s="13" t="s">
        <v>54</v>
      </c>
      <c r="P487" s="14"/>
      <c r="Q487" s="1"/>
      <c r="R487" s="1"/>
      <c r="S487" s="1">
        <f>+S486+S485+S484</f>
        <v>18</v>
      </c>
      <c r="T487" s="1">
        <f>+T486+T485+T484</f>
        <v>1065</v>
      </c>
      <c r="U487" s="1">
        <v>20950</v>
      </c>
      <c r="V487" s="1">
        <f>+U487-T487</f>
        <v>19885</v>
      </c>
      <c r="W487" s="1" t="s">
        <v>10</v>
      </c>
    </row>
    <row r="488" spans="1:25" x14ac:dyDescent="0.25">
      <c r="A488" s="6"/>
      <c r="B488" s="7">
        <v>44217</v>
      </c>
      <c r="C488" s="8" t="s">
        <v>55</v>
      </c>
      <c r="D488" s="8" t="s">
        <v>143</v>
      </c>
      <c r="E488" s="9" t="s">
        <v>144</v>
      </c>
      <c r="F488" s="9" t="s">
        <v>626</v>
      </c>
      <c r="G488" s="17">
        <v>0.70347222222222217</v>
      </c>
      <c r="H488" s="17">
        <v>0.78055555555555556</v>
      </c>
      <c r="I488" s="9">
        <v>16350</v>
      </c>
      <c r="J488" s="9">
        <v>51590</v>
      </c>
      <c r="K488" s="10">
        <f t="shared" si="15"/>
        <v>-35240</v>
      </c>
      <c r="L488" s="10">
        <v>5705</v>
      </c>
      <c r="M488" s="11" t="s">
        <v>53</v>
      </c>
      <c r="N488" s="12">
        <v>700</v>
      </c>
      <c r="O488" s="13" t="s">
        <v>54</v>
      </c>
      <c r="P488" s="14"/>
    </row>
    <row r="489" spans="1:25" x14ac:dyDescent="0.25">
      <c r="A489" s="6"/>
      <c r="B489" s="7">
        <v>44217</v>
      </c>
      <c r="C489" s="8" t="s">
        <v>208</v>
      </c>
      <c r="D489" s="8" t="s">
        <v>465</v>
      </c>
      <c r="E489" s="9" t="s">
        <v>614</v>
      </c>
      <c r="F489" s="9" t="s">
        <v>615</v>
      </c>
      <c r="G489" s="17">
        <v>0.70416666666666661</v>
      </c>
      <c r="H489" s="17">
        <v>0.46180555555555558</v>
      </c>
      <c r="I489" s="9">
        <v>37370</v>
      </c>
      <c r="J489" s="9">
        <v>15730</v>
      </c>
      <c r="K489" s="10">
        <f t="shared" si="15"/>
        <v>21640</v>
      </c>
      <c r="L489" s="10">
        <v>39977</v>
      </c>
      <c r="M489" s="11" t="s">
        <v>212</v>
      </c>
      <c r="N489" s="12">
        <v>21610</v>
      </c>
      <c r="O489" s="13" t="s">
        <v>32</v>
      </c>
      <c r="P489" s="14"/>
      <c r="Q489" s="1" t="s">
        <v>667</v>
      </c>
      <c r="R489" s="1">
        <v>57</v>
      </c>
      <c r="S489" s="1">
        <v>4</v>
      </c>
      <c r="T489" s="1">
        <f>+S489*R489</f>
        <v>228</v>
      </c>
      <c r="U489" s="1" t="s">
        <v>674</v>
      </c>
      <c r="V489" s="1"/>
      <c r="W489" s="1"/>
    </row>
    <row r="490" spans="1:25" x14ac:dyDescent="0.25">
      <c r="A490" s="6"/>
      <c r="B490" s="7">
        <v>44217</v>
      </c>
      <c r="C490" s="8" t="s">
        <v>208</v>
      </c>
      <c r="D490" s="8" t="s">
        <v>143</v>
      </c>
      <c r="E490" s="9" t="s">
        <v>628</v>
      </c>
      <c r="F490" s="9" t="s">
        <v>629</v>
      </c>
      <c r="G490" s="17">
        <v>0.72430555555555554</v>
      </c>
      <c r="H490" s="17">
        <v>0.7319444444444444</v>
      </c>
      <c r="I490" s="9">
        <v>22720</v>
      </c>
      <c r="J490" s="9">
        <v>9720</v>
      </c>
      <c r="K490" s="10">
        <f t="shared" si="15"/>
        <v>13000</v>
      </c>
      <c r="L490" s="10">
        <v>39982</v>
      </c>
      <c r="M490" s="11" t="s">
        <v>257</v>
      </c>
      <c r="N490" s="12">
        <v>13080</v>
      </c>
      <c r="O490" s="13" t="s">
        <v>32</v>
      </c>
      <c r="P490" s="14"/>
      <c r="Q490" s="1" t="s">
        <v>668</v>
      </c>
      <c r="R490" s="1">
        <v>58</v>
      </c>
      <c r="S490" s="1">
        <v>9</v>
      </c>
      <c r="T490" s="1">
        <f>+S490*R490</f>
        <v>522</v>
      </c>
      <c r="U490" s="1"/>
      <c r="V490" s="1"/>
      <c r="W490" s="1"/>
    </row>
    <row r="491" spans="1:25" x14ac:dyDescent="0.25">
      <c r="A491" s="6"/>
      <c r="B491" s="7">
        <v>44217</v>
      </c>
      <c r="C491" s="8" t="s">
        <v>685</v>
      </c>
      <c r="D491" s="8" t="s">
        <v>50</v>
      </c>
      <c r="E491" s="9" t="s">
        <v>285</v>
      </c>
      <c r="F491" s="9" t="s">
        <v>286</v>
      </c>
      <c r="G491" s="17">
        <v>0.83680555555555547</v>
      </c>
      <c r="H491" s="17">
        <v>0.25625000000000003</v>
      </c>
      <c r="I491" s="9">
        <v>16110</v>
      </c>
      <c r="J491" s="9">
        <v>44730</v>
      </c>
      <c r="K491" s="10">
        <f t="shared" si="15"/>
        <v>-28620</v>
      </c>
      <c r="L491" s="10"/>
      <c r="M491" s="11" t="s">
        <v>240</v>
      </c>
      <c r="N491" s="12">
        <v>28620</v>
      </c>
      <c r="O491" s="13" t="s">
        <v>32</v>
      </c>
      <c r="P491" s="14"/>
      <c r="Q491" s="1" t="s">
        <v>669</v>
      </c>
      <c r="R491" s="1">
        <v>63</v>
      </c>
      <c r="S491" s="1">
        <v>5</v>
      </c>
      <c r="T491" s="1">
        <f>+S491*R491</f>
        <v>315</v>
      </c>
      <c r="U491" s="1"/>
      <c r="V491" s="1"/>
      <c r="W491" s="1"/>
    </row>
    <row r="492" spans="1:25" x14ac:dyDescent="0.25">
      <c r="A492" s="6"/>
      <c r="B492" s="7">
        <v>44217</v>
      </c>
      <c r="C492" s="8" t="s">
        <v>680</v>
      </c>
      <c r="D492" s="8" t="s">
        <v>458</v>
      </c>
      <c r="E492" s="9" t="s">
        <v>531</v>
      </c>
      <c r="F492" s="9" t="s">
        <v>140</v>
      </c>
      <c r="G492" s="17">
        <v>0.94930555555555562</v>
      </c>
      <c r="H492" s="17">
        <v>0.3</v>
      </c>
      <c r="I492" s="9">
        <v>10580</v>
      </c>
      <c r="J492" s="9">
        <v>8240</v>
      </c>
      <c r="K492" s="10">
        <f t="shared" si="15"/>
        <v>2340</v>
      </c>
      <c r="L492" s="10" t="s">
        <v>686</v>
      </c>
      <c r="M492" s="11" t="s">
        <v>681</v>
      </c>
      <c r="N492" s="12">
        <v>5104</v>
      </c>
      <c r="O492" s="13" t="s">
        <v>49</v>
      </c>
      <c r="P492" s="14"/>
      <c r="Q492" s="1"/>
      <c r="R492" s="1"/>
      <c r="S492" s="1">
        <f>+S491+S490+S489</f>
        <v>18</v>
      </c>
      <c r="T492" s="1">
        <f>+T491+T490+T489</f>
        <v>1065</v>
      </c>
      <c r="U492" s="1">
        <v>21030</v>
      </c>
      <c r="V492" s="1">
        <f>+U492-T492</f>
        <v>19965</v>
      </c>
      <c r="W492" s="1" t="s">
        <v>10</v>
      </c>
      <c r="X492" s="1"/>
    </row>
    <row r="493" spans="1:25" x14ac:dyDescent="0.25">
      <c r="A493" s="6"/>
      <c r="B493" s="7">
        <v>44217</v>
      </c>
      <c r="C493" s="8" t="s">
        <v>37</v>
      </c>
      <c r="D493" s="8" t="s">
        <v>122</v>
      </c>
      <c r="E493" s="9" t="s">
        <v>123</v>
      </c>
      <c r="F493" s="9" t="s">
        <v>36</v>
      </c>
      <c r="G493" s="17">
        <v>0.97638888888888886</v>
      </c>
      <c r="H493" s="17">
        <v>4.0972222222222222E-2</v>
      </c>
      <c r="I493" s="9">
        <v>20435</v>
      </c>
      <c r="J493" s="9">
        <v>6410</v>
      </c>
      <c r="K493" s="10">
        <f t="shared" si="15"/>
        <v>14025</v>
      </c>
      <c r="L493" s="10">
        <v>26384</v>
      </c>
      <c r="M493" s="11" t="s">
        <v>682</v>
      </c>
      <c r="N493" s="12">
        <v>14025</v>
      </c>
      <c r="O493" s="13" t="s">
        <v>683</v>
      </c>
      <c r="P493" s="14"/>
    </row>
    <row r="494" spans="1:25" x14ac:dyDescent="0.25">
      <c r="A494" s="6"/>
      <c r="B494" s="7">
        <v>44218</v>
      </c>
      <c r="C494" s="8" t="s">
        <v>142</v>
      </c>
      <c r="D494" s="8" t="s">
        <v>209</v>
      </c>
      <c r="E494" s="9" t="s">
        <v>466</v>
      </c>
      <c r="F494" s="9" t="s">
        <v>52</v>
      </c>
      <c r="G494" s="17">
        <v>0.14166666666666666</v>
      </c>
      <c r="H494" s="17">
        <v>0.16458333333333333</v>
      </c>
      <c r="I494" s="9">
        <v>29730</v>
      </c>
      <c r="J494" s="9">
        <v>16480</v>
      </c>
      <c r="K494" s="10">
        <f t="shared" si="15"/>
        <v>13250</v>
      </c>
      <c r="L494" s="10">
        <v>727</v>
      </c>
      <c r="M494" s="11" t="s">
        <v>684</v>
      </c>
      <c r="N494" s="12">
        <v>13263</v>
      </c>
      <c r="O494" s="13" t="s">
        <v>32</v>
      </c>
      <c r="P494" s="14"/>
      <c r="Q494" s="1" t="s">
        <v>667</v>
      </c>
      <c r="R494" s="1">
        <v>57</v>
      </c>
      <c r="S494" s="1">
        <v>10</v>
      </c>
      <c r="T494" s="1">
        <f>+S494*R494</f>
        <v>570</v>
      </c>
      <c r="U494" s="1" t="s">
        <v>675</v>
      </c>
      <c r="V494" s="1"/>
      <c r="W494" s="1"/>
    </row>
    <row r="495" spans="1:25" x14ac:dyDescent="0.25">
      <c r="A495" s="6"/>
      <c r="B495" s="7">
        <v>44218</v>
      </c>
      <c r="C495" s="8" t="s">
        <v>517</v>
      </c>
      <c r="D495" s="8" t="s">
        <v>602</v>
      </c>
      <c r="E495" s="9" t="s">
        <v>277</v>
      </c>
      <c r="F495" s="9" t="s">
        <v>266</v>
      </c>
      <c r="G495" s="17">
        <v>0.24027777777777778</v>
      </c>
      <c r="H495" s="17"/>
      <c r="I495" s="9">
        <v>6430</v>
      </c>
      <c r="J495" s="9"/>
      <c r="K495" s="10">
        <f t="shared" si="15"/>
        <v>6430</v>
      </c>
      <c r="L495" s="10"/>
      <c r="M495" s="11" t="s">
        <v>517</v>
      </c>
      <c r="N495" s="12"/>
      <c r="O495" s="13" t="s">
        <v>32</v>
      </c>
      <c r="P495" s="14"/>
      <c r="Q495" s="1" t="s">
        <v>668</v>
      </c>
      <c r="R495" s="1">
        <v>58</v>
      </c>
      <c r="S495" s="1">
        <v>6</v>
      </c>
      <c r="T495" s="1">
        <f>+S495*R495</f>
        <v>348</v>
      </c>
      <c r="U495" s="1"/>
      <c r="V495" s="1"/>
      <c r="W495" s="1"/>
    </row>
    <row r="496" spans="1:25" x14ac:dyDescent="0.25">
      <c r="A496" s="6"/>
      <c r="B496" s="15">
        <v>44218</v>
      </c>
      <c r="C496" s="16" t="s">
        <v>164</v>
      </c>
      <c r="D496" s="8" t="s">
        <v>86</v>
      </c>
      <c r="E496" s="9" t="s">
        <v>87</v>
      </c>
      <c r="F496" s="9" t="s">
        <v>88</v>
      </c>
      <c r="G496" s="17">
        <v>0.40486111111111112</v>
      </c>
      <c r="H496" s="17">
        <v>0.44375000000000003</v>
      </c>
      <c r="I496" s="9">
        <v>17640</v>
      </c>
      <c r="J496" s="9">
        <v>42910</v>
      </c>
      <c r="K496" s="10">
        <f t="shared" si="15"/>
        <v>-25270</v>
      </c>
      <c r="L496" s="10">
        <v>15410</v>
      </c>
      <c r="M496" s="11" t="s">
        <v>166</v>
      </c>
      <c r="N496" s="12">
        <v>504</v>
      </c>
      <c r="O496" s="13" t="s">
        <v>54</v>
      </c>
      <c r="P496" s="14"/>
      <c r="Q496" s="1" t="s">
        <v>669</v>
      </c>
      <c r="R496" s="1">
        <v>63</v>
      </c>
      <c r="S496" s="1">
        <v>2</v>
      </c>
      <c r="T496" s="1">
        <f>+S496*R496</f>
        <v>126</v>
      </c>
      <c r="U496" s="1"/>
      <c r="V496" s="1"/>
      <c r="W496" s="1"/>
    </row>
    <row r="497" spans="1:24" x14ac:dyDescent="0.25">
      <c r="A497" s="6"/>
      <c r="B497" s="7">
        <v>44218</v>
      </c>
      <c r="C497" s="8" t="s">
        <v>164</v>
      </c>
      <c r="D497" s="8" t="s">
        <v>94</v>
      </c>
      <c r="E497" s="9" t="s">
        <v>687</v>
      </c>
      <c r="F497" s="9" t="s">
        <v>480</v>
      </c>
      <c r="G497" s="17">
        <v>0.43958333333333338</v>
      </c>
      <c r="H497" s="17">
        <v>0.4604166666666667</v>
      </c>
      <c r="I497" s="9">
        <v>6700</v>
      </c>
      <c r="J497" s="9">
        <v>19350</v>
      </c>
      <c r="K497" s="10">
        <f t="shared" si="15"/>
        <v>-12650</v>
      </c>
      <c r="L497" s="10">
        <v>15411</v>
      </c>
      <c r="M497" s="11" t="s">
        <v>166</v>
      </c>
      <c r="N497" s="12">
        <v>252</v>
      </c>
      <c r="O497" s="13" t="s">
        <v>54</v>
      </c>
      <c r="P497" s="14"/>
      <c r="Q497" s="1"/>
      <c r="R497" s="1"/>
      <c r="S497" s="1">
        <f>+S496+S495+S494</f>
        <v>18</v>
      </c>
      <c r="T497" s="1">
        <f>+T496+T495+T494</f>
        <v>1044</v>
      </c>
      <c r="U497" s="1">
        <v>20950</v>
      </c>
      <c r="V497" s="1">
        <f>+U497-T497</f>
        <v>19906</v>
      </c>
      <c r="W497" s="1" t="s">
        <v>10</v>
      </c>
      <c r="X497" s="1"/>
    </row>
    <row r="498" spans="1:24" x14ac:dyDescent="0.25">
      <c r="A498" s="6"/>
      <c r="B498" s="7">
        <v>44218</v>
      </c>
      <c r="C498" s="8" t="s">
        <v>164</v>
      </c>
      <c r="D498" s="8" t="s">
        <v>86</v>
      </c>
      <c r="E498" s="9" t="s">
        <v>87</v>
      </c>
      <c r="F498" s="9" t="s">
        <v>88</v>
      </c>
      <c r="G498" s="17">
        <v>0.51041666666666663</v>
      </c>
      <c r="H498" s="17">
        <v>0.58194444444444449</v>
      </c>
      <c r="I498" s="9">
        <v>17600</v>
      </c>
      <c r="J498" s="9">
        <v>42920</v>
      </c>
      <c r="K498" s="10">
        <f t="shared" si="15"/>
        <v>-25320</v>
      </c>
      <c r="L498" s="10">
        <v>15412</v>
      </c>
      <c r="M498" s="11" t="s">
        <v>166</v>
      </c>
      <c r="N498" s="12">
        <v>504</v>
      </c>
      <c r="O498" s="13" t="s">
        <v>54</v>
      </c>
      <c r="P498" s="14"/>
      <c r="Q498" s="1"/>
    </row>
    <row r="499" spans="1:24" x14ac:dyDescent="0.25">
      <c r="A499" s="6"/>
      <c r="B499" s="7">
        <v>44218</v>
      </c>
      <c r="C499" s="8" t="s">
        <v>164</v>
      </c>
      <c r="D499" s="8" t="s">
        <v>94</v>
      </c>
      <c r="E499" s="9" t="s">
        <v>687</v>
      </c>
      <c r="F499" s="9" t="s">
        <v>480</v>
      </c>
      <c r="G499" s="17">
        <v>0.5493055555555556</v>
      </c>
      <c r="H499" s="17">
        <v>0.58750000000000002</v>
      </c>
      <c r="I499" s="9">
        <v>6650</v>
      </c>
      <c r="J499" s="9">
        <v>19340</v>
      </c>
      <c r="K499" s="10">
        <f t="shared" si="15"/>
        <v>-12690</v>
      </c>
      <c r="L499" s="10">
        <v>15413</v>
      </c>
      <c r="M499" s="11" t="s">
        <v>166</v>
      </c>
      <c r="N499" s="12">
        <v>252</v>
      </c>
      <c r="O499" s="13" t="s">
        <v>54</v>
      </c>
      <c r="P499" s="14"/>
      <c r="Q499" s="1" t="s">
        <v>667</v>
      </c>
      <c r="R499" s="1">
        <v>57</v>
      </c>
      <c r="S499" s="1">
        <v>3</v>
      </c>
      <c r="T499" s="1">
        <f>+S499*R499</f>
        <v>171</v>
      </c>
      <c r="U499" s="1" t="s">
        <v>678</v>
      </c>
      <c r="V499" s="1"/>
      <c r="W499" s="1"/>
    </row>
    <row r="500" spans="1:24" x14ac:dyDescent="0.25">
      <c r="A500" s="6"/>
      <c r="B500" s="7">
        <v>44218</v>
      </c>
      <c r="C500" s="8" t="s">
        <v>208</v>
      </c>
      <c r="D500" s="8" t="s">
        <v>465</v>
      </c>
      <c r="E500" s="9" t="s">
        <v>614</v>
      </c>
      <c r="F500" s="9" t="s">
        <v>615</v>
      </c>
      <c r="G500" s="17">
        <v>0.61805555555555558</v>
      </c>
      <c r="H500" s="17">
        <v>0.375</v>
      </c>
      <c r="I500" s="9">
        <v>39900</v>
      </c>
      <c r="J500" s="9">
        <v>15830</v>
      </c>
      <c r="K500" s="10">
        <f t="shared" si="15"/>
        <v>24070</v>
      </c>
      <c r="L500" s="10">
        <v>39995</v>
      </c>
      <c r="M500" s="11" t="s">
        <v>212</v>
      </c>
      <c r="N500" s="12">
        <v>24170</v>
      </c>
      <c r="O500" s="13" t="s">
        <v>32</v>
      </c>
      <c r="P500" s="14"/>
      <c r="Q500" s="1" t="s">
        <v>668</v>
      </c>
      <c r="R500" s="1">
        <v>58</v>
      </c>
      <c r="S500" s="1">
        <v>15</v>
      </c>
      <c r="T500" s="1">
        <f>+S500*R500</f>
        <v>870</v>
      </c>
      <c r="U500" s="1"/>
      <c r="V500" s="1"/>
      <c r="W500" s="1"/>
    </row>
    <row r="501" spans="1:24" x14ac:dyDescent="0.25">
      <c r="A501" s="6"/>
      <c r="B501" s="7">
        <v>44218</v>
      </c>
      <c r="C501" s="8" t="s">
        <v>688</v>
      </c>
      <c r="D501" s="8" t="s">
        <v>689</v>
      </c>
      <c r="E501" s="9" t="s">
        <v>690</v>
      </c>
      <c r="F501" s="9" t="s">
        <v>691</v>
      </c>
      <c r="G501" s="17">
        <v>0.62916666666666665</v>
      </c>
      <c r="H501" s="17">
        <v>0.64722222222222225</v>
      </c>
      <c r="I501" s="9">
        <v>5290</v>
      </c>
      <c r="J501" s="9">
        <v>6050</v>
      </c>
      <c r="K501" s="10">
        <f t="shared" si="15"/>
        <v>-760</v>
      </c>
      <c r="L501" s="10">
        <v>15414</v>
      </c>
      <c r="M501" s="11" t="s">
        <v>692</v>
      </c>
      <c r="N501" s="12">
        <v>760</v>
      </c>
      <c r="O501" s="13" t="s">
        <v>32</v>
      </c>
      <c r="P501" s="14"/>
      <c r="Q501" s="1" t="s">
        <v>669</v>
      </c>
      <c r="R501" s="1">
        <v>63</v>
      </c>
      <c r="S501" s="1">
        <v>0</v>
      </c>
      <c r="T501" s="1">
        <f>+S501*R501</f>
        <v>0</v>
      </c>
      <c r="U501" s="1"/>
      <c r="V501" s="1"/>
      <c r="W501" s="1"/>
    </row>
    <row r="502" spans="1:24" x14ac:dyDescent="0.25">
      <c r="A502" s="6"/>
      <c r="B502" s="7">
        <v>44218</v>
      </c>
      <c r="C502" s="8" t="s">
        <v>164</v>
      </c>
      <c r="D502" s="8" t="s">
        <v>86</v>
      </c>
      <c r="E502" s="9" t="s">
        <v>87</v>
      </c>
      <c r="F502" s="9" t="s">
        <v>88</v>
      </c>
      <c r="G502" s="17">
        <v>0.6333333333333333</v>
      </c>
      <c r="H502" s="17">
        <v>0.66597222222222219</v>
      </c>
      <c r="I502" s="9">
        <v>17570</v>
      </c>
      <c r="J502" s="9">
        <v>42900</v>
      </c>
      <c r="K502" s="10">
        <f t="shared" si="15"/>
        <v>-25330</v>
      </c>
      <c r="L502" s="10">
        <v>15415</v>
      </c>
      <c r="M502" s="11" t="s">
        <v>166</v>
      </c>
      <c r="N502" s="12">
        <v>504</v>
      </c>
      <c r="O502" s="13" t="s">
        <v>54</v>
      </c>
      <c r="P502" s="14"/>
      <c r="Q502" s="1"/>
      <c r="R502" s="1"/>
      <c r="S502" s="1">
        <f>+S501+S500+S499</f>
        <v>18</v>
      </c>
      <c r="T502" s="1">
        <f>+T501+T500+T499</f>
        <v>1041</v>
      </c>
      <c r="U502" s="1">
        <v>20090</v>
      </c>
      <c r="V502" s="1">
        <f>+U502-T502</f>
        <v>19049</v>
      </c>
      <c r="W502" s="1" t="s">
        <v>10</v>
      </c>
    </row>
    <row r="503" spans="1:24" x14ac:dyDescent="0.25">
      <c r="A503" s="6"/>
      <c r="B503" s="7">
        <v>44218</v>
      </c>
      <c r="C503" s="8" t="s">
        <v>208</v>
      </c>
      <c r="D503" s="8" t="s">
        <v>198</v>
      </c>
      <c r="E503" s="9" t="s">
        <v>405</v>
      </c>
      <c r="F503" s="9" t="s">
        <v>161</v>
      </c>
      <c r="G503" s="17">
        <v>0.65486111111111112</v>
      </c>
      <c r="H503" s="17">
        <v>0.6743055555555556</v>
      </c>
      <c r="I503" s="9">
        <v>42640</v>
      </c>
      <c r="J503" s="9">
        <v>16550</v>
      </c>
      <c r="K503" s="10">
        <f t="shared" si="15"/>
        <v>26090</v>
      </c>
      <c r="L503" s="10">
        <v>39999</v>
      </c>
      <c r="M503" s="11" t="s">
        <v>442</v>
      </c>
      <c r="N503" s="12">
        <v>26090</v>
      </c>
      <c r="O503" s="13" t="s">
        <v>32</v>
      </c>
      <c r="P503" s="14"/>
      <c r="Q503" s="1"/>
    </row>
    <row r="504" spans="1:24" x14ac:dyDescent="0.25">
      <c r="A504" s="6"/>
      <c r="B504" s="7">
        <v>44218</v>
      </c>
      <c r="C504" s="8" t="s">
        <v>55</v>
      </c>
      <c r="D504" s="8" t="s">
        <v>143</v>
      </c>
      <c r="E504" s="9" t="s">
        <v>144</v>
      </c>
      <c r="F504" s="9" t="s">
        <v>626</v>
      </c>
      <c r="G504" s="17">
        <v>0.69305555555555554</v>
      </c>
      <c r="H504" s="17">
        <v>0.79513888888888884</v>
      </c>
      <c r="I504" s="9">
        <v>16380</v>
      </c>
      <c r="J504" s="9">
        <v>51650</v>
      </c>
      <c r="K504" s="10">
        <f t="shared" si="15"/>
        <v>-35270</v>
      </c>
      <c r="L504" s="10">
        <v>5706</v>
      </c>
      <c r="M504" s="11" t="s">
        <v>53</v>
      </c>
      <c r="N504" s="12">
        <v>700</v>
      </c>
      <c r="O504" s="13" t="s">
        <v>54</v>
      </c>
      <c r="P504" s="14"/>
      <c r="Q504" s="2"/>
    </row>
    <row r="505" spans="1:24" s="51" customFormat="1" x14ac:dyDescent="0.25">
      <c r="A505" s="41"/>
      <c r="B505" s="42">
        <v>44218</v>
      </c>
      <c r="C505" s="43" t="s">
        <v>665</v>
      </c>
      <c r="D505" s="43" t="s">
        <v>464</v>
      </c>
      <c r="E505" s="44" t="s">
        <v>277</v>
      </c>
      <c r="F505" s="44" t="s">
        <v>36</v>
      </c>
      <c r="G505" s="45">
        <v>0.71388888888888891</v>
      </c>
      <c r="H505" s="45">
        <v>0.71805555555555556</v>
      </c>
      <c r="I505" s="44">
        <v>7330</v>
      </c>
      <c r="J505" s="44">
        <v>5570</v>
      </c>
      <c r="K505" s="46">
        <f t="shared" ref="K505" si="17">+I505-J505</f>
        <v>1760</v>
      </c>
      <c r="L505" s="46">
        <v>21775</v>
      </c>
      <c r="M505" s="47" t="s">
        <v>693</v>
      </c>
      <c r="N505" s="48">
        <v>1760</v>
      </c>
      <c r="O505" s="49" t="s">
        <v>32</v>
      </c>
      <c r="P505" s="50"/>
      <c r="Q505" s="51" t="s">
        <v>667</v>
      </c>
      <c r="R505" s="51">
        <v>57</v>
      </c>
      <c r="S505" s="51">
        <v>4</v>
      </c>
      <c r="T505" s="51">
        <f>+S505*R505</f>
        <v>228</v>
      </c>
      <c r="U505" s="51" t="s">
        <v>672</v>
      </c>
    </row>
    <row r="506" spans="1:24" s="51" customFormat="1" x14ac:dyDescent="0.25">
      <c r="A506" s="41"/>
      <c r="B506" s="42">
        <v>44218</v>
      </c>
      <c r="C506" s="43" t="s">
        <v>665</v>
      </c>
      <c r="D506" s="43" t="s">
        <v>464</v>
      </c>
      <c r="E506" s="44" t="s">
        <v>277</v>
      </c>
      <c r="F506" s="44" t="s">
        <v>36</v>
      </c>
      <c r="G506" s="45">
        <v>0.72430555555555554</v>
      </c>
      <c r="H506" s="45">
        <v>0.72916666666666663</v>
      </c>
      <c r="I506" s="44">
        <v>6010</v>
      </c>
      <c r="J506" s="44">
        <v>5570</v>
      </c>
      <c r="K506" s="46">
        <f t="shared" ref="K506:K507" si="18">+I506-J506</f>
        <v>440</v>
      </c>
      <c r="L506" s="46">
        <v>21776</v>
      </c>
      <c r="M506" s="47" t="s">
        <v>693</v>
      </c>
      <c r="N506" s="48">
        <v>440</v>
      </c>
      <c r="O506" s="49" t="s">
        <v>32</v>
      </c>
      <c r="P506" s="50"/>
      <c r="Q506" s="51" t="s">
        <v>667</v>
      </c>
      <c r="R506" s="51">
        <v>57</v>
      </c>
      <c r="S506" s="51">
        <v>4</v>
      </c>
      <c r="T506" s="51">
        <f>+S506*R506</f>
        <v>228</v>
      </c>
      <c r="U506" s="51" t="s">
        <v>672</v>
      </c>
    </row>
    <row r="507" spans="1:24" s="2" customFormat="1" x14ac:dyDescent="0.25">
      <c r="A507" s="6"/>
      <c r="B507" s="7">
        <v>44218</v>
      </c>
      <c r="C507" s="8" t="s">
        <v>241</v>
      </c>
      <c r="D507" s="8" t="s">
        <v>219</v>
      </c>
      <c r="E507" s="9" t="s">
        <v>220</v>
      </c>
      <c r="F507" s="9" t="s">
        <v>221</v>
      </c>
      <c r="G507" s="17">
        <v>0.7402777777777777</v>
      </c>
      <c r="H507" s="17"/>
      <c r="I507" s="9"/>
      <c r="J507" s="9"/>
      <c r="K507" s="10">
        <f t="shared" si="18"/>
        <v>0</v>
      </c>
      <c r="L507" s="10">
        <v>1179</v>
      </c>
      <c r="M507" s="11" t="s">
        <v>714</v>
      </c>
      <c r="N507" s="12">
        <v>28</v>
      </c>
      <c r="O507" s="13" t="s">
        <v>80</v>
      </c>
      <c r="P507" s="14" t="s">
        <v>709</v>
      </c>
    </row>
    <row r="508" spans="1:24" x14ac:dyDescent="0.25">
      <c r="A508" s="6"/>
      <c r="B508" s="7">
        <v>44218</v>
      </c>
      <c r="C508" s="8" t="s">
        <v>164</v>
      </c>
      <c r="D508" s="8" t="s">
        <v>86</v>
      </c>
      <c r="E508" s="9" t="s">
        <v>87</v>
      </c>
      <c r="F508" s="9" t="s">
        <v>88</v>
      </c>
      <c r="G508" s="17">
        <v>0.74236111111111114</v>
      </c>
      <c r="H508" s="17">
        <v>0.78888888888888886</v>
      </c>
      <c r="I508" s="9">
        <v>33960</v>
      </c>
      <c r="J508" s="9">
        <v>16320</v>
      </c>
      <c r="K508" s="10">
        <f t="shared" si="15"/>
        <v>17640</v>
      </c>
      <c r="L508" s="10">
        <v>15367</v>
      </c>
      <c r="M508" s="11" t="s">
        <v>398</v>
      </c>
      <c r="N508" s="12">
        <v>342</v>
      </c>
      <c r="O508" s="13" t="s">
        <v>54</v>
      </c>
      <c r="P508" s="14"/>
      <c r="Q508" s="1"/>
    </row>
    <row r="509" spans="1:24" x14ac:dyDescent="0.25">
      <c r="A509" s="6"/>
      <c r="B509" s="7">
        <v>44218</v>
      </c>
      <c r="C509" s="8" t="s">
        <v>37</v>
      </c>
      <c r="D509" s="8" t="s">
        <v>122</v>
      </c>
      <c r="E509" s="9" t="s">
        <v>123</v>
      </c>
      <c r="F509" s="9" t="s">
        <v>36</v>
      </c>
      <c r="G509" s="17">
        <v>0.90416666666666667</v>
      </c>
      <c r="H509" s="17">
        <v>0.96527777777777779</v>
      </c>
      <c r="I509" s="9">
        <v>15885</v>
      </c>
      <c r="J509" s="9">
        <v>6370</v>
      </c>
      <c r="K509" s="10">
        <f t="shared" si="15"/>
        <v>9515</v>
      </c>
      <c r="L509" s="10">
        <v>26385</v>
      </c>
      <c r="M509" s="11" t="s">
        <v>694</v>
      </c>
      <c r="N509" s="12">
        <v>9515</v>
      </c>
      <c r="O509" s="13" t="s">
        <v>32</v>
      </c>
      <c r="P509" s="14"/>
      <c r="Q509" s="1"/>
    </row>
    <row r="510" spans="1:24" x14ac:dyDescent="0.25">
      <c r="A510" s="6"/>
      <c r="B510" s="7">
        <v>44218</v>
      </c>
      <c r="C510" s="8" t="s">
        <v>289</v>
      </c>
      <c r="D510" s="8" t="s">
        <v>392</v>
      </c>
      <c r="E510" s="9" t="s">
        <v>110</v>
      </c>
      <c r="F510" s="9" t="s">
        <v>111</v>
      </c>
      <c r="G510" s="17">
        <v>0.90972222222222221</v>
      </c>
      <c r="H510" s="17">
        <v>0.30902777777777779</v>
      </c>
      <c r="I510" s="9">
        <v>13390</v>
      </c>
      <c r="J510" s="9">
        <v>6510</v>
      </c>
      <c r="K510" s="10">
        <f t="shared" si="15"/>
        <v>6880</v>
      </c>
      <c r="L510" s="10">
        <v>9039</v>
      </c>
      <c r="M510" s="11" t="s">
        <v>695</v>
      </c>
      <c r="N510" s="12">
        <v>6880</v>
      </c>
      <c r="O510" s="13" t="s">
        <v>32</v>
      </c>
      <c r="P510" s="14"/>
      <c r="Q510" s="1"/>
    </row>
    <row r="511" spans="1:24" x14ac:dyDescent="0.25">
      <c r="A511" s="6"/>
      <c r="B511" s="7">
        <v>44218</v>
      </c>
      <c r="C511" s="8" t="s">
        <v>208</v>
      </c>
      <c r="D511" s="8" t="s">
        <v>198</v>
      </c>
      <c r="E511" s="9" t="s">
        <v>405</v>
      </c>
      <c r="F511" s="9" t="s">
        <v>161</v>
      </c>
      <c r="G511" s="17">
        <v>0.95833333333333337</v>
      </c>
      <c r="H511" s="17">
        <v>0.97638888888888886</v>
      </c>
      <c r="I511" s="9">
        <v>41740</v>
      </c>
      <c r="J511" s="9">
        <v>18460</v>
      </c>
      <c r="K511" s="10">
        <f t="shared" si="15"/>
        <v>23280</v>
      </c>
      <c r="L511" s="10" t="s">
        <v>697</v>
      </c>
      <c r="M511" s="11" t="s">
        <v>696</v>
      </c>
      <c r="N511" s="12">
        <v>23280</v>
      </c>
      <c r="O511" s="13" t="s">
        <v>32</v>
      </c>
      <c r="P511" s="14"/>
      <c r="Q511" s="1"/>
    </row>
    <row r="512" spans="1:24" x14ac:dyDescent="0.25">
      <c r="A512" s="6"/>
      <c r="B512" s="7">
        <v>44218</v>
      </c>
      <c r="C512" s="8" t="s">
        <v>698</v>
      </c>
      <c r="D512" s="8" t="s">
        <v>458</v>
      </c>
      <c r="E512" s="9" t="s">
        <v>699</v>
      </c>
      <c r="F512" s="9" t="s">
        <v>140</v>
      </c>
      <c r="G512" s="17">
        <v>0.97430555555555554</v>
      </c>
      <c r="H512" s="17">
        <v>0.29583333333333334</v>
      </c>
      <c r="I512" s="9">
        <v>17700</v>
      </c>
      <c r="J512" s="9">
        <v>8250</v>
      </c>
      <c r="K512" s="10">
        <f t="shared" si="15"/>
        <v>9450</v>
      </c>
      <c r="L512" s="10" t="s">
        <v>700</v>
      </c>
      <c r="M512" s="11" t="s">
        <v>695</v>
      </c>
      <c r="N512" s="12">
        <v>9450</v>
      </c>
      <c r="O512" s="13" t="s">
        <v>32</v>
      </c>
      <c r="P512" s="14"/>
      <c r="Q512" s="1"/>
    </row>
    <row r="513" spans="1:17" x14ac:dyDescent="0.25">
      <c r="A513" s="6"/>
      <c r="B513" s="7">
        <v>44219</v>
      </c>
      <c r="C513" s="8" t="s">
        <v>443</v>
      </c>
      <c r="D513" s="8" t="s">
        <v>336</v>
      </c>
      <c r="E513" s="9" t="s">
        <v>337</v>
      </c>
      <c r="F513" s="9" t="s">
        <v>36</v>
      </c>
      <c r="G513" s="17">
        <v>4.8611111111111112E-2</v>
      </c>
      <c r="H513" s="17">
        <v>0.26111111111111113</v>
      </c>
      <c r="I513" s="9">
        <v>18930</v>
      </c>
      <c r="J513" s="9">
        <v>7750</v>
      </c>
      <c r="K513" s="10">
        <f t="shared" si="15"/>
        <v>11180</v>
      </c>
      <c r="L513" s="10">
        <v>13700</v>
      </c>
      <c r="M513" s="11" t="s">
        <v>701</v>
      </c>
      <c r="N513" s="12">
        <v>11170</v>
      </c>
      <c r="O513" s="13" t="s">
        <v>32</v>
      </c>
      <c r="P513" s="14"/>
      <c r="Q513" s="1"/>
    </row>
    <row r="514" spans="1:17" x14ac:dyDescent="0.25">
      <c r="A514" s="6"/>
      <c r="B514" s="7">
        <v>44219</v>
      </c>
      <c r="C514" s="8" t="s">
        <v>517</v>
      </c>
      <c r="D514" s="8" t="s">
        <v>453</v>
      </c>
      <c r="E514" s="9" t="s">
        <v>277</v>
      </c>
      <c r="F514" s="9" t="s">
        <v>266</v>
      </c>
      <c r="G514" s="17">
        <v>0.12291666666666667</v>
      </c>
      <c r="H514" s="17">
        <v>0.13819444444444443</v>
      </c>
      <c r="I514" s="9">
        <v>6020</v>
      </c>
      <c r="J514" s="9">
        <v>5640</v>
      </c>
      <c r="K514" s="10">
        <f t="shared" si="15"/>
        <v>380</v>
      </c>
      <c r="L514" s="10"/>
      <c r="M514" s="11" t="s">
        <v>517</v>
      </c>
      <c r="N514" s="12">
        <v>380</v>
      </c>
      <c r="O514" s="13" t="s">
        <v>32</v>
      </c>
      <c r="P514" s="14"/>
    </row>
    <row r="515" spans="1:17" x14ac:dyDescent="0.25">
      <c r="A515" s="6"/>
      <c r="B515" s="7">
        <v>44219</v>
      </c>
      <c r="C515" s="8" t="s">
        <v>142</v>
      </c>
      <c r="D515" s="8" t="s">
        <v>209</v>
      </c>
      <c r="E515" s="9" t="s">
        <v>466</v>
      </c>
      <c r="F515" s="9" t="s">
        <v>52</v>
      </c>
      <c r="G515" s="17">
        <v>0.17291666666666669</v>
      </c>
      <c r="H515" s="17">
        <v>0.18888888888888888</v>
      </c>
      <c r="I515" s="9">
        <v>33270</v>
      </c>
      <c r="J515" s="9">
        <v>16520</v>
      </c>
      <c r="K515" s="10">
        <f t="shared" si="15"/>
        <v>16750</v>
      </c>
      <c r="L515" s="10">
        <v>728</v>
      </c>
      <c r="M515" s="11" t="s">
        <v>702</v>
      </c>
      <c r="N515" s="12">
        <v>18677</v>
      </c>
      <c r="O515" s="13" t="s">
        <v>32</v>
      </c>
      <c r="P515" s="14"/>
    </row>
    <row r="516" spans="1:17" x14ac:dyDescent="0.25">
      <c r="A516" s="6"/>
      <c r="B516" s="15">
        <v>44219</v>
      </c>
      <c r="C516" s="8" t="s">
        <v>424</v>
      </c>
      <c r="D516" s="8" t="s">
        <v>299</v>
      </c>
      <c r="E516" s="9" t="s">
        <v>490</v>
      </c>
      <c r="F516" s="9" t="s">
        <v>491</v>
      </c>
      <c r="G516" s="17">
        <v>0.31111111111111112</v>
      </c>
      <c r="H516" s="17">
        <v>0.43888888888888888</v>
      </c>
      <c r="I516" s="9">
        <v>16020</v>
      </c>
      <c r="J516" s="9">
        <v>51120</v>
      </c>
      <c r="K516" s="10">
        <f t="shared" si="15"/>
        <v>-35100</v>
      </c>
      <c r="L516" s="10">
        <v>5708</v>
      </c>
      <c r="M516" s="11" t="s">
        <v>703</v>
      </c>
      <c r="N516" s="12">
        <v>700</v>
      </c>
      <c r="O516" s="13" t="s">
        <v>54</v>
      </c>
      <c r="P516" s="14"/>
    </row>
    <row r="517" spans="1:17" x14ac:dyDescent="0.25">
      <c r="A517" s="6"/>
      <c r="B517" s="7">
        <v>44219</v>
      </c>
      <c r="C517" s="8" t="s">
        <v>208</v>
      </c>
      <c r="D517" s="8" t="s">
        <v>198</v>
      </c>
      <c r="E517" s="9" t="s">
        <v>405</v>
      </c>
      <c r="F517" s="9" t="s">
        <v>161</v>
      </c>
      <c r="G517" s="17">
        <v>0.37013888888888885</v>
      </c>
      <c r="H517" s="17">
        <v>0.37986111111111115</v>
      </c>
      <c r="I517" s="9">
        <v>39560</v>
      </c>
      <c r="J517" s="9">
        <v>18500</v>
      </c>
      <c r="K517" s="10">
        <f t="shared" si="15"/>
        <v>21060</v>
      </c>
      <c r="L517" s="10">
        <v>39999</v>
      </c>
      <c r="M517" s="11" t="s">
        <v>708</v>
      </c>
      <c r="N517" s="12">
        <v>21050</v>
      </c>
      <c r="O517" s="13" t="s">
        <v>32</v>
      </c>
      <c r="P517" s="14"/>
    </row>
    <row r="518" spans="1:17" x14ac:dyDescent="0.25">
      <c r="A518" s="6"/>
      <c r="B518" s="7">
        <v>44219</v>
      </c>
      <c r="C518" s="8" t="s">
        <v>424</v>
      </c>
      <c r="D518" s="8" t="s">
        <v>704</v>
      </c>
      <c r="E518" s="9" t="s">
        <v>705</v>
      </c>
      <c r="F518" s="9" t="s">
        <v>36</v>
      </c>
      <c r="G518" s="17">
        <v>0.38541666666666669</v>
      </c>
      <c r="H518" s="17">
        <v>0.62916666666666665</v>
      </c>
      <c r="I518" s="9">
        <v>17720</v>
      </c>
      <c r="J518" s="9">
        <v>52760</v>
      </c>
      <c r="K518" s="10">
        <f t="shared" si="15"/>
        <v>-35040</v>
      </c>
      <c r="L518" s="10">
        <v>5711</v>
      </c>
      <c r="M518" s="11" t="s">
        <v>703</v>
      </c>
      <c r="N518" s="12">
        <v>700</v>
      </c>
      <c r="O518" s="13" t="s">
        <v>54</v>
      </c>
      <c r="P518" s="14"/>
    </row>
    <row r="519" spans="1:17" x14ac:dyDescent="0.25">
      <c r="A519" s="6"/>
      <c r="B519" s="7">
        <v>44219</v>
      </c>
      <c r="C519" s="8" t="s">
        <v>424</v>
      </c>
      <c r="D519" s="8" t="s">
        <v>706</v>
      </c>
      <c r="E519" s="9" t="s">
        <v>707</v>
      </c>
      <c r="F519" s="9" t="s">
        <v>36</v>
      </c>
      <c r="G519" s="17">
        <v>0.38680555555555557</v>
      </c>
      <c r="H519" s="17">
        <v>0.62152777777777779</v>
      </c>
      <c r="I519" s="9">
        <v>16810</v>
      </c>
      <c r="J519" s="9">
        <v>51890</v>
      </c>
      <c r="K519" s="10">
        <f t="shared" si="15"/>
        <v>-35080</v>
      </c>
      <c r="L519" s="10">
        <v>5712</v>
      </c>
      <c r="M519" s="11" t="s">
        <v>703</v>
      </c>
      <c r="N519" s="12">
        <v>700</v>
      </c>
      <c r="O519" s="13" t="s">
        <v>54</v>
      </c>
      <c r="P519" s="14"/>
    </row>
    <row r="520" spans="1:17" x14ac:dyDescent="0.25">
      <c r="A520" s="6"/>
      <c r="B520" s="7">
        <v>44219</v>
      </c>
      <c r="C520" s="8" t="s">
        <v>33</v>
      </c>
      <c r="D520" s="8" t="s">
        <v>175</v>
      </c>
      <c r="E520" s="9" t="s">
        <v>176</v>
      </c>
      <c r="F520" s="9" t="s">
        <v>36</v>
      </c>
      <c r="G520" s="17">
        <v>0.44375000000000003</v>
      </c>
      <c r="H520" s="17">
        <v>0.46597222222222223</v>
      </c>
      <c r="I520" s="9">
        <v>5830</v>
      </c>
      <c r="J520" s="9">
        <v>4300</v>
      </c>
      <c r="K520" s="10">
        <f t="shared" ref="K520:K585" si="19">+I520-J520</f>
        <v>1530</v>
      </c>
      <c r="L520" s="10">
        <v>26386</v>
      </c>
      <c r="M520" s="11" t="s">
        <v>48</v>
      </c>
      <c r="N520" s="12">
        <v>1530</v>
      </c>
      <c r="O520" s="13" t="s">
        <v>32</v>
      </c>
      <c r="P520" s="14"/>
    </row>
    <row r="521" spans="1:17" x14ac:dyDescent="0.25">
      <c r="A521" s="6"/>
      <c r="B521" s="7">
        <v>44219</v>
      </c>
      <c r="C521" s="8" t="s">
        <v>710</v>
      </c>
      <c r="D521" s="8" t="s">
        <v>654</v>
      </c>
      <c r="E521" s="9" t="s">
        <v>655</v>
      </c>
      <c r="F521" s="9" t="s">
        <v>36</v>
      </c>
      <c r="G521" s="17">
        <v>0.44861111111111113</v>
      </c>
      <c r="H521" s="17">
        <v>0.61458333333333337</v>
      </c>
      <c r="I521" s="9">
        <v>15550</v>
      </c>
      <c r="J521" s="9">
        <v>40550</v>
      </c>
      <c r="K521" s="10">
        <f t="shared" si="19"/>
        <v>-25000</v>
      </c>
      <c r="L521" s="10">
        <v>5709</v>
      </c>
      <c r="M521" s="11" t="s">
        <v>713</v>
      </c>
      <c r="N521" s="12">
        <v>1000</v>
      </c>
      <c r="O521" s="13" t="s">
        <v>54</v>
      </c>
      <c r="P521" s="14"/>
    </row>
    <row r="522" spans="1:17" x14ac:dyDescent="0.25">
      <c r="A522" s="6"/>
      <c r="B522" s="7">
        <v>44219</v>
      </c>
      <c r="C522" s="8" t="s">
        <v>710</v>
      </c>
      <c r="D522" s="8" t="s">
        <v>656</v>
      </c>
      <c r="E522" s="9" t="s">
        <v>657</v>
      </c>
      <c r="F522" s="9" t="s">
        <v>36</v>
      </c>
      <c r="G522" s="17">
        <v>0.45</v>
      </c>
      <c r="H522" s="17">
        <v>0.6333333333333333</v>
      </c>
      <c r="I522" s="9">
        <v>13830</v>
      </c>
      <c r="J522" s="9">
        <v>38830</v>
      </c>
      <c r="K522" s="10">
        <f t="shared" si="19"/>
        <v>-25000</v>
      </c>
      <c r="L522" s="10">
        <v>5710</v>
      </c>
      <c r="M522" s="11" t="s">
        <v>713</v>
      </c>
      <c r="N522" s="12">
        <v>1000</v>
      </c>
      <c r="O522" s="13" t="s">
        <v>54</v>
      </c>
      <c r="P522" s="14"/>
    </row>
    <row r="523" spans="1:17" s="51" customFormat="1" x14ac:dyDescent="0.25">
      <c r="A523" s="41"/>
      <c r="B523" s="42">
        <v>44219</v>
      </c>
      <c r="C523" s="43" t="s">
        <v>619</v>
      </c>
      <c r="D523" s="52" t="s">
        <v>711</v>
      </c>
      <c r="E523" s="44" t="s">
        <v>277</v>
      </c>
      <c r="F523" s="44" t="s">
        <v>266</v>
      </c>
      <c r="G523" s="45">
        <v>0.50763888888888886</v>
      </c>
      <c r="H523" s="45">
        <v>0.51527777777777783</v>
      </c>
      <c r="I523" s="44">
        <v>810</v>
      </c>
      <c r="J523" s="44">
        <v>170</v>
      </c>
      <c r="K523" s="46">
        <f t="shared" si="19"/>
        <v>640</v>
      </c>
      <c r="L523" s="46" t="s">
        <v>196</v>
      </c>
      <c r="M523" s="47" t="s">
        <v>712</v>
      </c>
      <c r="N523" s="48">
        <v>640</v>
      </c>
      <c r="O523" s="49" t="s">
        <v>32</v>
      </c>
      <c r="P523" s="50"/>
    </row>
    <row r="524" spans="1:17" x14ac:dyDescent="0.25">
      <c r="A524" s="6"/>
      <c r="B524" s="7">
        <v>44219</v>
      </c>
      <c r="C524" s="8" t="s">
        <v>55</v>
      </c>
      <c r="D524" s="8" t="s">
        <v>86</v>
      </c>
      <c r="E524" s="9" t="s">
        <v>87</v>
      </c>
      <c r="F524" s="9" t="s">
        <v>36</v>
      </c>
      <c r="G524" s="17">
        <v>0.63611111111111118</v>
      </c>
      <c r="H524" s="17">
        <v>0.68333333333333324</v>
      </c>
      <c r="I524" s="9">
        <v>15640</v>
      </c>
      <c r="J524" s="9">
        <v>50740</v>
      </c>
      <c r="K524" s="10">
        <f t="shared" si="19"/>
        <v>-35100</v>
      </c>
      <c r="L524" s="10">
        <v>5713</v>
      </c>
      <c r="M524" s="11" t="s">
        <v>703</v>
      </c>
      <c r="N524" s="12">
        <v>700</v>
      </c>
      <c r="O524" s="13" t="s">
        <v>54</v>
      </c>
      <c r="P524" s="14"/>
    </row>
    <row r="525" spans="1:17" x14ac:dyDescent="0.25">
      <c r="A525" s="6"/>
      <c r="B525" s="7">
        <v>44219</v>
      </c>
      <c r="C525" s="8" t="s">
        <v>130</v>
      </c>
      <c r="D525" s="8" t="s">
        <v>219</v>
      </c>
      <c r="E525" s="9" t="s">
        <v>220</v>
      </c>
      <c r="F525" s="9" t="s">
        <v>221</v>
      </c>
      <c r="G525" s="17">
        <v>0.72152777777777777</v>
      </c>
      <c r="H525" s="17">
        <v>0.75555555555555554</v>
      </c>
      <c r="I525" s="9">
        <v>9260</v>
      </c>
      <c r="J525" s="9">
        <v>8510</v>
      </c>
      <c r="K525" s="10">
        <f t="shared" si="19"/>
        <v>750</v>
      </c>
      <c r="L525" s="10">
        <v>4589</v>
      </c>
      <c r="M525" s="11" t="s">
        <v>715</v>
      </c>
      <c r="N525" s="12">
        <v>12</v>
      </c>
      <c r="O525" s="13" t="s">
        <v>80</v>
      </c>
      <c r="P525" s="14"/>
    </row>
    <row r="526" spans="1:17" x14ac:dyDescent="0.25">
      <c r="A526" s="6"/>
      <c r="B526" s="7">
        <v>44219</v>
      </c>
      <c r="C526" s="8" t="s">
        <v>37</v>
      </c>
      <c r="D526" s="8" t="s">
        <v>122</v>
      </c>
      <c r="E526" s="9" t="s">
        <v>719</v>
      </c>
      <c r="F526" s="9" t="s">
        <v>36</v>
      </c>
      <c r="G526" s="17">
        <v>0.85555555555555562</v>
      </c>
      <c r="H526" s="17">
        <v>0.89583333333333337</v>
      </c>
      <c r="I526" s="9">
        <v>17055</v>
      </c>
      <c r="J526" s="9">
        <v>6280</v>
      </c>
      <c r="K526" s="10">
        <f t="shared" si="19"/>
        <v>10775</v>
      </c>
      <c r="L526" s="10">
        <v>26387</v>
      </c>
      <c r="M526" s="11" t="s">
        <v>694</v>
      </c>
      <c r="N526" s="12">
        <v>10775</v>
      </c>
      <c r="O526" s="13" t="s">
        <v>32</v>
      </c>
      <c r="P526" s="14"/>
    </row>
    <row r="527" spans="1:17" x14ac:dyDescent="0.25">
      <c r="A527" s="6"/>
      <c r="B527" s="7">
        <v>44219</v>
      </c>
      <c r="C527" s="8" t="s">
        <v>716</v>
      </c>
      <c r="D527" s="8" t="s">
        <v>530</v>
      </c>
      <c r="E527" s="9" t="s">
        <v>699</v>
      </c>
      <c r="F527" s="9" t="s">
        <v>140</v>
      </c>
      <c r="G527" s="17">
        <v>0.88888888888888884</v>
      </c>
      <c r="H527" s="17">
        <v>0.93055555555555547</v>
      </c>
      <c r="I527" s="9">
        <v>19220</v>
      </c>
      <c r="J527" s="9">
        <v>8190</v>
      </c>
      <c r="K527" s="10">
        <f t="shared" ref="K527" si="20">+I527-J527</f>
        <v>11030</v>
      </c>
      <c r="L527" s="10" t="s">
        <v>717</v>
      </c>
      <c r="M527" s="11" t="s">
        <v>718</v>
      </c>
      <c r="N527" s="12">
        <v>11030</v>
      </c>
      <c r="O527" s="13" t="s">
        <v>32</v>
      </c>
      <c r="P527" s="14"/>
    </row>
    <row r="528" spans="1:17" x14ac:dyDescent="0.25">
      <c r="A528" s="6"/>
      <c r="B528" s="7">
        <v>44219</v>
      </c>
      <c r="C528" s="8" t="s">
        <v>37</v>
      </c>
      <c r="D528" s="8" t="s">
        <v>41</v>
      </c>
      <c r="E528" s="9" t="s">
        <v>206</v>
      </c>
      <c r="F528" s="9" t="s">
        <v>36</v>
      </c>
      <c r="G528" s="17">
        <v>0.90486111111111101</v>
      </c>
      <c r="H528" s="17">
        <v>0.93263888888888891</v>
      </c>
      <c r="I528" s="9">
        <v>11275</v>
      </c>
      <c r="J528" s="9">
        <v>3970</v>
      </c>
      <c r="K528" s="10">
        <f t="shared" si="19"/>
        <v>7305</v>
      </c>
      <c r="L528" s="10">
        <v>26388</v>
      </c>
      <c r="M528" s="11" t="s">
        <v>720</v>
      </c>
      <c r="N528" s="12">
        <v>7305</v>
      </c>
      <c r="O528" s="13" t="s">
        <v>32</v>
      </c>
      <c r="P528" s="14"/>
    </row>
    <row r="529" spans="1:27" x14ac:dyDescent="0.25">
      <c r="A529" s="6"/>
      <c r="B529" s="7">
        <v>44219</v>
      </c>
      <c r="C529" s="8" t="s">
        <v>289</v>
      </c>
      <c r="D529" s="8" t="s">
        <v>392</v>
      </c>
      <c r="E529" s="9" t="s">
        <v>110</v>
      </c>
      <c r="F529" s="9" t="s">
        <v>111</v>
      </c>
      <c r="G529" s="17">
        <v>0.90833333333333333</v>
      </c>
      <c r="H529" s="17">
        <v>0.99791666666666667</v>
      </c>
      <c r="I529" s="9">
        <v>15560</v>
      </c>
      <c r="J529" s="9">
        <v>6520</v>
      </c>
      <c r="K529" s="10">
        <f t="shared" si="19"/>
        <v>9040</v>
      </c>
      <c r="L529" s="10">
        <v>9041</v>
      </c>
      <c r="M529" s="11" t="s">
        <v>718</v>
      </c>
      <c r="N529" s="12">
        <v>9040</v>
      </c>
      <c r="O529" s="13" t="s">
        <v>32</v>
      </c>
      <c r="P529" s="14"/>
    </row>
    <row r="530" spans="1:27" x14ac:dyDescent="0.25">
      <c r="A530" s="6"/>
      <c r="B530" s="7">
        <v>44220</v>
      </c>
      <c r="C530" s="8" t="s">
        <v>142</v>
      </c>
      <c r="D530" s="8" t="s">
        <v>209</v>
      </c>
      <c r="E530" s="9" t="s">
        <v>466</v>
      </c>
      <c r="F530" s="9" t="s">
        <v>52</v>
      </c>
      <c r="G530" s="17">
        <v>8.4027777777777771E-2</v>
      </c>
      <c r="H530" s="17">
        <v>9.3055555555555558E-2</v>
      </c>
      <c r="I530" s="9">
        <v>28700</v>
      </c>
      <c r="J530" s="9">
        <v>16540</v>
      </c>
      <c r="K530" s="10">
        <f t="shared" si="19"/>
        <v>12160</v>
      </c>
      <c r="L530" s="10">
        <v>729</v>
      </c>
      <c r="M530" s="11" t="s">
        <v>684</v>
      </c>
      <c r="N530" s="12">
        <v>12538</v>
      </c>
      <c r="O530" s="13" t="s">
        <v>32</v>
      </c>
      <c r="P530" s="14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6"/>
      <c r="B531" s="15">
        <v>44220</v>
      </c>
      <c r="C531" s="16" t="s">
        <v>407</v>
      </c>
      <c r="D531" s="8" t="s">
        <v>79</v>
      </c>
      <c r="E531" s="9" t="s">
        <v>425</v>
      </c>
      <c r="F531" s="9" t="s">
        <v>59</v>
      </c>
      <c r="G531" s="17">
        <v>0.53125</v>
      </c>
      <c r="H531" s="17">
        <v>0.56180555555555556</v>
      </c>
      <c r="I531" s="9">
        <v>11170</v>
      </c>
      <c r="J531" s="9">
        <v>5640</v>
      </c>
      <c r="K531" s="10">
        <f t="shared" si="19"/>
        <v>5530</v>
      </c>
      <c r="L531" s="10">
        <v>120326</v>
      </c>
      <c r="M531" s="11" t="s">
        <v>31</v>
      </c>
      <c r="N531" s="12">
        <v>5530</v>
      </c>
      <c r="O531" s="13" t="s">
        <v>32</v>
      </c>
      <c r="P531" s="14"/>
      <c r="Q531" s="1"/>
      <c r="R531" s="1"/>
      <c r="S531" s="1"/>
      <c r="T531" s="1"/>
      <c r="U531" s="1"/>
      <c r="V531" s="1">
        <v>0</v>
      </c>
      <c r="W531" s="1"/>
      <c r="X531" s="1"/>
      <c r="Y531" s="1"/>
      <c r="Z531" s="1"/>
      <c r="AA531" s="1"/>
    </row>
    <row r="532" spans="1:27" x14ac:dyDescent="0.25">
      <c r="A532" s="6"/>
      <c r="B532" s="7">
        <v>44220</v>
      </c>
      <c r="C532" s="8" t="s">
        <v>467</v>
      </c>
      <c r="D532" s="8" t="s">
        <v>524</v>
      </c>
      <c r="E532" s="9" t="s">
        <v>525</v>
      </c>
      <c r="F532" s="9" t="s">
        <v>526</v>
      </c>
      <c r="G532" s="17">
        <v>0.53888888888888886</v>
      </c>
      <c r="H532" s="17">
        <v>0.66805555555555562</v>
      </c>
      <c r="I532" s="9">
        <v>38170</v>
      </c>
      <c r="J532" s="9">
        <v>20450</v>
      </c>
      <c r="K532" s="10">
        <f t="shared" si="19"/>
        <v>17720</v>
      </c>
      <c r="L532" s="10">
        <v>26389</v>
      </c>
      <c r="M532" s="11" t="s">
        <v>31</v>
      </c>
      <c r="N532" s="12">
        <v>17720</v>
      </c>
      <c r="O532" s="13" t="s">
        <v>32</v>
      </c>
      <c r="P532" s="14"/>
      <c r="Q532" s="1"/>
      <c r="R532" s="1"/>
      <c r="S532" s="1"/>
      <c r="T532" s="1"/>
      <c r="U532" s="1"/>
      <c r="V532" s="1">
        <v>14350</v>
      </c>
      <c r="W532" s="1"/>
      <c r="X532" s="1">
        <v>0</v>
      </c>
      <c r="Y532" s="1"/>
      <c r="Z532" s="1"/>
      <c r="AA532" s="1"/>
    </row>
    <row r="533" spans="1:27" x14ac:dyDescent="0.25">
      <c r="A533" s="6"/>
      <c r="B533" s="7">
        <v>44220</v>
      </c>
      <c r="C533" s="8" t="s">
        <v>190</v>
      </c>
      <c r="D533" s="8" t="s">
        <v>191</v>
      </c>
      <c r="E533" s="9" t="s">
        <v>483</v>
      </c>
      <c r="F533" s="9" t="s">
        <v>36</v>
      </c>
      <c r="G533" s="17">
        <v>0.57430555555555551</v>
      </c>
      <c r="H533" s="17">
        <v>0.66597222222222219</v>
      </c>
      <c r="I533" s="9">
        <v>10770</v>
      </c>
      <c r="J533" s="9">
        <v>4950</v>
      </c>
      <c r="K533" s="10">
        <f t="shared" si="19"/>
        <v>5820</v>
      </c>
      <c r="L533" s="10">
        <v>349571</v>
      </c>
      <c r="M533" s="11" t="s">
        <v>31</v>
      </c>
      <c r="N533" s="12">
        <v>5820</v>
      </c>
      <c r="O533" s="13" t="s">
        <v>32</v>
      </c>
      <c r="P533" s="14"/>
      <c r="Q533" s="1"/>
      <c r="R533" s="1"/>
      <c r="S533" s="1"/>
      <c r="T533" s="1"/>
      <c r="U533" s="1"/>
      <c r="V533" s="1"/>
      <c r="W533" s="1"/>
      <c r="X533" s="1">
        <v>40110</v>
      </c>
      <c r="Y533" s="1"/>
      <c r="Z533" s="1"/>
      <c r="AA533" s="1"/>
    </row>
    <row r="534" spans="1:27" x14ac:dyDescent="0.25">
      <c r="A534" s="6"/>
      <c r="B534" s="7">
        <v>44220</v>
      </c>
      <c r="C534" s="8" t="s">
        <v>114</v>
      </c>
      <c r="D534" s="8" t="s">
        <v>115</v>
      </c>
      <c r="E534" s="9" t="s">
        <v>116</v>
      </c>
      <c r="F534" s="9" t="s">
        <v>36</v>
      </c>
      <c r="G534" s="17">
        <v>0.65694444444444444</v>
      </c>
      <c r="H534" s="17">
        <v>0.67152777777777783</v>
      </c>
      <c r="I534" s="9">
        <v>7960</v>
      </c>
      <c r="J534" s="9">
        <v>3880</v>
      </c>
      <c r="K534" s="10">
        <f t="shared" si="19"/>
        <v>4080</v>
      </c>
      <c r="L534" s="10">
        <v>26390</v>
      </c>
      <c r="M534" s="11" t="s">
        <v>31</v>
      </c>
      <c r="N534" s="12">
        <v>4080</v>
      </c>
      <c r="O534" s="13" t="s">
        <v>32</v>
      </c>
      <c r="P534" s="14"/>
      <c r="Q534" s="1"/>
      <c r="R534" s="1"/>
      <c r="S534" s="1"/>
      <c r="T534" s="1"/>
      <c r="U534" s="1"/>
      <c r="V534" s="1"/>
      <c r="W534" s="1"/>
      <c r="X534" s="1">
        <v>14350</v>
      </c>
      <c r="Y534" s="25">
        <v>35.776614310645726</v>
      </c>
      <c r="Z534" s="1"/>
      <c r="AA534" s="1"/>
    </row>
    <row r="535" spans="1:27" x14ac:dyDescent="0.25">
      <c r="A535" s="6"/>
      <c r="B535" s="7">
        <v>44220</v>
      </c>
      <c r="C535" s="8" t="s">
        <v>721</v>
      </c>
      <c r="D535" s="8" t="s">
        <v>722</v>
      </c>
      <c r="E535" s="9" t="s">
        <v>723</v>
      </c>
      <c r="F535" s="9" t="s">
        <v>36</v>
      </c>
      <c r="G535" s="17">
        <v>0.65763888888888888</v>
      </c>
      <c r="H535" s="17">
        <v>0.70694444444444438</v>
      </c>
      <c r="I535" s="9">
        <v>8550</v>
      </c>
      <c r="J535" s="9">
        <v>4110</v>
      </c>
      <c r="K535" s="10">
        <f t="shared" si="19"/>
        <v>4440</v>
      </c>
      <c r="L535" s="10">
        <v>3483</v>
      </c>
      <c r="M535" s="11" t="s">
        <v>31</v>
      </c>
      <c r="N535" s="12">
        <v>4440</v>
      </c>
      <c r="O535" s="13" t="s">
        <v>32</v>
      </c>
      <c r="P535" s="14"/>
      <c r="Q535" s="1"/>
      <c r="R535" s="1"/>
      <c r="S535" s="1"/>
      <c r="T535" s="1"/>
      <c r="U535" s="1"/>
      <c r="V535" s="1"/>
      <c r="W535" s="1">
        <v>2576</v>
      </c>
      <c r="X535" s="1">
        <v>25760</v>
      </c>
      <c r="Y535" s="25">
        <v>64.223385689354274</v>
      </c>
      <c r="Z535" s="1"/>
      <c r="AA535" s="1">
        <v>2576</v>
      </c>
    </row>
    <row r="536" spans="1:27" x14ac:dyDescent="0.25">
      <c r="A536" s="6"/>
      <c r="B536" s="7">
        <v>44220</v>
      </c>
      <c r="C536" s="8" t="s">
        <v>724</v>
      </c>
      <c r="D536" s="8" t="s">
        <v>725</v>
      </c>
      <c r="E536" s="9" t="s">
        <v>74</v>
      </c>
      <c r="F536" s="9" t="s">
        <v>437</v>
      </c>
      <c r="G536" s="17">
        <v>0.6743055555555556</v>
      </c>
      <c r="H536" s="17">
        <v>0.70416666666666661</v>
      </c>
      <c r="I536" s="9">
        <v>9330</v>
      </c>
      <c r="J536" s="9">
        <v>5090</v>
      </c>
      <c r="K536" s="10">
        <f t="shared" si="19"/>
        <v>4240</v>
      </c>
      <c r="L536" s="10">
        <v>120332</v>
      </c>
      <c r="M536" s="11" t="s">
        <v>31</v>
      </c>
      <c r="N536" s="12">
        <v>4240</v>
      </c>
      <c r="O536" s="13" t="s">
        <v>32</v>
      </c>
      <c r="P536" s="14"/>
      <c r="Q536" s="1"/>
      <c r="R536" s="1"/>
      <c r="S536" s="1"/>
      <c r="T536" s="1"/>
      <c r="U536" s="1"/>
      <c r="V536" s="1"/>
      <c r="W536" s="1"/>
      <c r="X536" s="1">
        <v>40110</v>
      </c>
      <c r="Y536" s="25">
        <v>100</v>
      </c>
      <c r="Z536" s="1"/>
      <c r="AA536" s="1" t="s">
        <v>22</v>
      </c>
    </row>
    <row r="537" spans="1:27" s="1" customFormat="1" x14ac:dyDescent="0.25">
      <c r="A537" s="6"/>
      <c r="B537" s="7">
        <v>44220</v>
      </c>
      <c r="C537" s="8" t="s">
        <v>33</v>
      </c>
      <c r="D537" s="8" t="s">
        <v>728</v>
      </c>
      <c r="E537" s="9" t="s">
        <v>256</v>
      </c>
      <c r="F537" s="9" t="s">
        <v>36</v>
      </c>
      <c r="G537" s="17">
        <v>0.70624999999999993</v>
      </c>
      <c r="H537" s="17">
        <v>0.76388888888888884</v>
      </c>
      <c r="I537" s="9">
        <v>9230</v>
      </c>
      <c r="J537" s="9">
        <v>4100</v>
      </c>
      <c r="K537" s="10">
        <f t="shared" ref="K537" si="21">+I537-J537</f>
        <v>5130</v>
      </c>
      <c r="L537" s="10">
        <v>26392</v>
      </c>
      <c r="M537" s="11" t="s">
        <v>31</v>
      </c>
      <c r="N537" s="12">
        <v>5130</v>
      </c>
      <c r="O537" s="13" t="s">
        <v>32</v>
      </c>
      <c r="P537" s="14"/>
    </row>
    <row r="538" spans="1:27" x14ac:dyDescent="0.25">
      <c r="A538" s="6"/>
      <c r="B538" s="7">
        <v>44220</v>
      </c>
      <c r="C538" s="8" t="s">
        <v>726</v>
      </c>
      <c r="D538" s="8" t="s">
        <v>727</v>
      </c>
      <c r="E538" s="9" t="s">
        <v>176</v>
      </c>
      <c r="F538" s="9" t="s">
        <v>154</v>
      </c>
      <c r="G538" s="17">
        <v>0.72083333333333333</v>
      </c>
      <c r="H538" s="17">
        <v>0.78680555555555554</v>
      </c>
      <c r="I538" s="9">
        <v>11130</v>
      </c>
      <c r="J538" s="9">
        <v>4290</v>
      </c>
      <c r="K538" s="10">
        <f t="shared" si="19"/>
        <v>6840</v>
      </c>
      <c r="L538" s="10">
        <v>3484</v>
      </c>
      <c r="M538" s="11" t="s">
        <v>31</v>
      </c>
      <c r="N538" s="12">
        <v>6840</v>
      </c>
      <c r="O538" s="13" t="s">
        <v>32</v>
      </c>
      <c r="P538" s="14" t="s">
        <v>729</v>
      </c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6"/>
      <c r="B539" s="7">
        <v>44220</v>
      </c>
      <c r="C539" s="8" t="s">
        <v>37</v>
      </c>
      <c r="D539" s="8" t="s">
        <v>41</v>
      </c>
      <c r="E539" s="9" t="s">
        <v>206</v>
      </c>
      <c r="F539" s="9" t="s">
        <v>36</v>
      </c>
      <c r="G539" s="17">
        <v>0.7402777777777777</v>
      </c>
      <c r="H539" s="17">
        <v>0.76180555555555562</v>
      </c>
      <c r="I539" s="9">
        <v>12580</v>
      </c>
      <c r="J539" s="9">
        <v>4040</v>
      </c>
      <c r="K539" s="10">
        <f t="shared" si="19"/>
        <v>8540</v>
      </c>
      <c r="L539" s="10">
        <v>26391</v>
      </c>
      <c r="M539" s="11" t="s">
        <v>720</v>
      </c>
      <c r="N539" s="12">
        <v>8540</v>
      </c>
      <c r="O539" s="13" t="s">
        <v>32</v>
      </c>
      <c r="P539" s="14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6"/>
      <c r="B540" s="7">
        <v>44220</v>
      </c>
      <c r="C540" s="8" t="s">
        <v>730</v>
      </c>
      <c r="D540" s="8" t="s">
        <v>530</v>
      </c>
      <c r="E540" s="9" t="s">
        <v>699</v>
      </c>
      <c r="F540" s="9" t="s">
        <v>140</v>
      </c>
      <c r="G540" s="17">
        <v>0.75902777777777775</v>
      </c>
      <c r="H540" s="17">
        <v>0.34861111111111115</v>
      </c>
      <c r="I540" s="9">
        <v>15820</v>
      </c>
      <c r="J540" s="9">
        <v>8250</v>
      </c>
      <c r="K540" s="10">
        <f t="shared" si="19"/>
        <v>7570</v>
      </c>
      <c r="L540" s="10">
        <v>1503</v>
      </c>
      <c r="M540" s="11" t="s">
        <v>731</v>
      </c>
      <c r="N540" s="12">
        <v>15490.3</v>
      </c>
      <c r="O540" s="13" t="s">
        <v>49</v>
      </c>
      <c r="P540" s="14"/>
      <c r="Q540" s="1"/>
      <c r="R540" s="1"/>
      <c r="S540" s="1"/>
      <c r="T540" s="1"/>
      <c r="U540" s="1"/>
      <c r="V540" s="1"/>
      <c r="W540" s="1"/>
      <c r="X540" s="1"/>
      <c r="Y540" s="25" t="e">
        <v>#DIV/0!</v>
      </c>
      <c r="Z540" s="1" t="s">
        <v>23</v>
      </c>
      <c r="AA540" s="1"/>
    </row>
    <row r="541" spans="1:27" x14ac:dyDescent="0.25">
      <c r="A541" s="6"/>
      <c r="B541" s="7">
        <v>44220</v>
      </c>
      <c r="C541" s="8" t="s">
        <v>732</v>
      </c>
      <c r="D541" s="8" t="s">
        <v>68</v>
      </c>
      <c r="E541" s="9" t="s">
        <v>733</v>
      </c>
      <c r="F541" s="9" t="s">
        <v>36</v>
      </c>
      <c r="G541" s="17">
        <v>0.80972222222222223</v>
      </c>
      <c r="H541" s="17">
        <v>0.87152777777777779</v>
      </c>
      <c r="I541" s="9">
        <v>11120</v>
      </c>
      <c r="J541" s="9">
        <v>4920</v>
      </c>
      <c r="K541" s="10">
        <f t="shared" si="19"/>
        <v>6200</v>
      </c>
      <c r="L541" s="10">
        <v>120330</v>
      </c>
      <c r="M541" s="11" t="s">
        <v>31</v>
      </c>
      <c r="N541" s="12">
        <v>6200</v>
      </c>
      <c r="O541" s="13" t="s">
        <v>32</v>
      </c>
      <c r="P541" s="14"/>
      <c r="Q541" s="1"/>
      <c r="R541" s="1"/>
      <c r="S541" s="1"/>
      <c r="T541" s="1"/>
      <c r="U541" s="1"/>
      <c r="V541" s="1"/>
      <c r="W541" s="1"/>
      <c r="X541" s="1"/>
      <c r="Y541" s="25" t="e">
        <v>#DIV/0!</v>
      </c>
      <c r="Z541" s="1" t="s">
        <v>24</v>
      </c>
      <c r="AA541" s="1"/>
    </row>
    <row r="542" spans="1:27" x14ac:dyDescent="0.25">
      <c r="A542" s="6"/>
      <c r="B542" s="7">
        <v>44220</v>
      </c>
      <c r="C542" s="8" t="s">
        <v>407</v>
      </c>
      <c r="D542" s="8" t="s">
        <v>79</v>
      </c>
      <c r="E542" s="9" t="s">
        <v>425</v>
      </c>
      <c r="F542" s="9" t="s">
        <v>59</v>
      </c>
      <c r="G542" s="17">
        <v>0.96250000000000002</v>
      </c>
      <c r="H542" s="17">
        <v>1.3888888888888888E-2</v>
      </c>
      <c r="I542" s="9">
        <v>11080</v>
      </c>
      <c r="J542" s="9">
        <v>5610</v>
      </c>
      <c r="K542" s="10">
        <f t="shared" si="19"/>
        <v>5470</v>
      </c>
      <c r="L542" s="10">
        <v>120327</v>
      </c>
      <c r="M542" s="11" t="s">
        <v>31</v>
      </c>
      <c r="N542" s="12">
        <v>5470</v>
      </c>
      <c r="O542" s="13" t="s">
        <v>32</v>
      </c>
      <c r="P542" s="14"/>
      <c r="Q542" s="1"/>
      <c r="R542" s="1"/>
      <c r="S542" s="1"/>
      <c r="T542" s="1"/>
      <c r="U542" s="1"/>
      <c r="V542" s="1"/>
      <c r="W542" s="1"/>
      <c r="X542" s="1"/>
      <c r="Y542" s="25" t="e">
        <v>#DIV/0!</v>
      </c>
      <c r="Z542" s="1" t="s">
        <v>25</v>
      </c>
      <c r="AA542" s="1">
        <v>100</v>
      </c>
    </row>
    <row r="543" spans="1:27" x14ac:dyDescent="0.25">
      <c r="A543" s="6"/>
      <c r="B543" s="7">
        <v>44221</v>
      </c>
      <c r="C543" s="8" t="s">
        <v>732</v>
      </c>
      <c r="D543" s="8" t="s">
        <v>725</v>
      </c>
      <c r="E543" s="9" t="s">
        <v>74</v>
      </c>
      <c r="F543" s="9" t="s">
        <v>437</v>
      </c>
      <c r="G543" s="17">
        <v>0.12986111111111112</v>
      </c>
      <c r="H543" s="17">
        <v>0.16180555555555556</v>
      </c>
      <c r="I543" s="9">
        <v>10180</v>
      </c>
      <c r="J543" s="9">
        <v>5200</v>
      </c>
      <c r="K543" s="10">
        <f t="shared" si="19"/>
        <v>4980</v>
      </c>
      <c r="L543" s="10">
        <v>120333</v>
      </c>
      <c r="M543" s="11" t="s">
        <v>31</v>
      </c>
      <c r="N543" s="12">
        <v>4980</v>
      </c>
      <c r="O543" s="13" t="s">
        <v>32</v>
      </c>
      <c r="P543" s="14"/>
      <c r="Q543" s="1"/>
      <c r="R543" s="1"/>
      <c r="S543" s="1"/>
      <c r="T543" s="1"/>
      <c r="U543" s="25"/>
      <c r="V543" s="1"/>
      <c r="W543" s="1"/>
      <c r="X543" s="1"/>
      <c r="Y543" s="1"/>
      <c r="Z543" s="1"/>
      <c r="AA543" s="1"/>
    </row>
    <row r="544" spans="1:27" x14ac:dyDescent="0.25">
      <c r="A544" s="6"/>
      <c r="B544" s="15">
        <v>44221</v>
      </c>
      <c r="C544" s="16" t="s">
        <v>734</v>
      </c>
      <c r="D544" s="8" t="s">
        <v>735</v>
      </c>
      <c r="E544" s="9" t="s">
        <v>238</v>
      </c>
      <c r="F544" s="9" t="s">
        <v>36</v>
      </c>
      <c r="G544" s="17">
        <v>0.47083333333333338</v>
      </c>
      <c r="H544" s="17">
        <v>0.61736111111111114</v>
      </c>
      <c r="I544" s="9">
        <v>17740</v>
      </c>
      <c r="J544" s="9">
        <v>49020</v>
      </c>
      <c r="K544" s="10">
        <f t="shared" si="19"/>
        <v>-31280</v>
      </c>
      <c r="L544" s="10">
        <v>5714</v>
      </c>
      <c r="M544" s="11" t="s">
        <v>736</v>
      </c>
      <c r="N544" s="12">
        <v>600</v>
      </c>
      <c r="O544" s="13" t="s">
        <v>54</v>
      </c>
      <c r="P544" s="14"/>
      <c r="Q544" s="1"/>
      <c r="R544" s="1"/>
      <c r="S544" s="1"/>
      <c r="T544" s="1"/>
      <c r="U544" s="25"/>
      <c r="V544" s="1"/>
      <c r="W544" s="1"/>
      <c r="X544" s="1"/>
      <c r="Y544" s="1"/>
      <c r="Z544" s="1"/>
      <c r="AA544" s="1"/>
    </row>
    <row r="545" spans="1:27" x14ac:dyDescent="0.25">
      <c r="A545" s="6"/>
      <c r="B545" s="7">
        <v>44221</v>
      </c>
      <c r="C545" s="8" t="s">
        <v>732</v>
      </c>
      <c r="D545" s="8" t="s">
        <v>68</v>
      </c>
      <c r="E545" s="9" t="s">
        <v>733</v>
      </c>
      <c r="F545" s="9" t="s">
        <v>36</v>
      </c>
      <c r="G545" s="17">
        <v>0.54027777777777775</v>
      </c>
      <c r="H545" s="17">
        <v>0.58194444444444449</v>
      </c>
      <c r="I545" s="9">
        <v>10190</v>
      </c>
      <c r="J545" s="9">
        <v>4840</v>
      </c>
      <c r="K545" s="10">
        <f t="shared" si="19"/>
        <v>5350</v>
      </c>
      <c r="L545" s="10">
        <v>120336</v>
      </c>
      <c r="M545" s="11" t="s">
        <v>31</v>
      </c>
      <c r="N545" s="12">
        <v>5350</v>
      </c>
      <c r="O545" s="13" t="s">
        <v>32</v>
      </c>
      <c r="P545" s="14"/>
      <c r="Q545" s="1"/>
      <c r="R545" s="1"/>
      <c r="S545" s="1"/>
      <c r="T545" s="1"/>
      <c r="U545" s="25"/>
      <c r="V545" s="1"/>
      <c r="W545" s="1"/>
      <c r="X545" s="1"/>
      <c r="Y545" s="1"/>
      <c r="Z545" s="1"/>
      <c r="AA545" s="1"/>
    </row>
    <row r="546" spans="1:27" x14ac:dyDescent="0.25">
      <c r="A546" s="6"/>
      <c r="B546" s="7">
        <v>44221</v>
      </c>
      <c r="C546" s="8" t="s">
        <v>498</v>
      </c>
      <c r="D546" s="8" t="s">
        <v>737</v>
      </c>
      <c r="E546" s="9" t="s">
        <v>738</v>
      </c>
      <c r="F546" s="9" t="s">
        <v>36</v>
      </c>
      <c r="G546" s="17">
        <v>0.54097222222222219</v>
      </c>
      <c r="H546" s="17">
        <v>0.56597222222222221</v>
      </c>
      <c r="I546" s="9">
        <v>6500</v>
      </c>
      <c r="J546" s="9">
        <v>3320</v>
      </c>
      <c r="K546" s="10">
        <f t="shared" si="19"/>
        <v>3180</v>
      </c>
      <c r="L546" s="10">
        <v>11005</v>
      </c>
      <c r="M546" s="11" t="s">
        <v>500</v>
      </c>
      <c r="N546" s="12">
        <v>3180</v>
      </c>
      <c r="O546" s="13" t="s">
        <v>32</v>
      </c>
      <c r="P546" s="14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6"/>
      <c r="B547" s="7">
        <v>44221</v>
      </c>
      <c r="C547" s="8" t="s">
        <v>208</v>
      </c>
      <c r="D547" s="8" t="s">
        <v>198</v>
      </c>
      <c r="E547" s="9" t="s">
        <v>405</v>
      </c>
      <c r="F547" s="9" t="s">
        <v>161</v>
      </c>
      <c r="G547" s="17">
        <v>0.55625000000000002</v>
      </c>
      <c r="H547" s="17">
        <v>0.625</v>
      </c>
      <c r="I547" s="9">
        <v>39090</v>
      </c>
      <c r="J547" s="9">
        <v>16630</v>
      </c>
      <c r="K547" s="10">
        <f t="shared" si="19"/>
        <v>22460</v>
      </c>
      <c r="L547" s="10">
        <v>40014</v>
      </c>
      <c r="M547" s="11" t="s">
        <v>739</v>
      </c>
      <c r="N547" s="12">
        <v>22450</v>
      </c>
      <c r="O547" s="13" t="s">
        <v>32</v>
      </c>
      <c r="P547" s="14"/>
      <c r="Q547" s="1"/>
      <c r="R547" s="1"/>
      <c r="S547" s="1"/>
      <c r="T547" s="1"/>
      <c r="U547" s="1"/>
      <c r="V547" s="1"/>
      <c r="W547" s="1"/>
      <c r="X547" s="1"/>
      <c r="Y547" s="1"/>
    </row>
    <row r="548" spans="1:27" s="1" customFormat="1" x14ac:dyDescent="0.25">
      <c r="A548" s="6"/>
      <c r="B548" s="7">
        <v>44221</v>
      </c>
      <c r="C548" s="8" t="s">
        <v>740</v>
      </c>
      <c r="D548" s="8" t="s">
        <v>479</v>
      </c>
      <c r="E548" s="9" t="s">
        <v>285</v>
      </c>
      <c r="F548" s="9" t="s">
        <v>286</v>
      </c>
      <c r="G548" s="17">
        <v>0.56319444444444444</v>
      </c>
      <c r="H548" s="17">
        <v>0.57500000000000007</v>
      </c>
      <c r="I548" s="9">
        <v>38340</v>
      </c>
      <c r="J548" s="9">
        <v>16430</v>
      </c>
      <c r="K548" s="10">
        <f t="shared" ref="K548" si="22">+I548-J548</f>
        <v>21910</v>
      </c>
      <c r="L548" s="10">
        <v>34836</v>
      </c>
      <c r="M548" s="11" t="s">
        <v>741</v>
      </c>
      <c r="N548" s="12">
        <v>20</v>
      </c>
      <c r="O548" s="13" t="s">
        <v>742</v>
      </c>
      <c r="P548" s="14"/>
      <c r="Y548" s="1">
        <v>0</v>
      </c>
    </row>
    <row r="549" spans="1:27" x14ac:dyDescent="0.25">
      <c r="A549" s="6"/>
      <c r="B549" s="7">
        <v>44221</v>
      </c>
      <c r="C549" s="8" t="s">
        <v>606</v>
      </c>
      <c r="D549" s="8" t="s">
        <v>607</v>
      </c>
      <c r="E549" s="9" t="s">
        <v>318</v>
      </c>
      <c r="F549" s="9" t="s">
        <v>36</v>
      </c>
      <c r="G549" s="17">
        <v>0.56527777777777777</v>
      </c>
      <c r="H549" s="17">
        <v>0.62291666666666667</v>
      </c>
      <c r="I549" s="9">
        <v>55800</v>
      </c>
      <c r="J549" s="9">
        <v>20330</v>
      </c>
      <c r="K549" s="10">
        <f t="shared" si="19"/>
        <v>35470</v>
      </c>
      <c r="L549" s="10">
        <v>883</v>
      </c>
      <c r="M549" s="11" t="s">
        <v>306</v>
      </c>
      <c r="N549" s="12">
        <v>10000</v>
      </c>
      <c r="O549" s="13" t="s">
        <v>84</v>
      </c>
      <c r="P549" s="14"/>
      <c r="Q549" s="1"/>
      <c r="R549" s="1"/>
      <c r="S549" s="1"/>
      <c r="T549" s="1"/>
      <c r="U549" s="1"/>
      <c r="V549" s="1"/>
      <c r="W549" s="1"/>
      <c r="X549" s="1"/>
      <c r="Y549" s="1"/>
    </row>
    <row r="550" spans="1:27" x14ac:dyDescent="0.25">
      <c r="A550" s="6"/>
      <c r="B550" s="7">
        <v>44221</v>
      </c>
      <c r="C550" s="8" t="s">
        <v>743</v>
      </c>
      <c r="D550" s="8" t="s">
        <v>744</v>
      </c>
      <c r="E550" s="9" t="s">
        <v>745</v>
      </c>
      <c r="F550" s="9" t="s">
        <v>480</v>
      </c>
      <c r="G550" s="17">
        <v>0.57361111111111118</v>
      </c>
      <c r="H550" s="17">
        <v>0.59444444444444444</v>
      </c>
      <c r="I550" s="9">
        <v>6640</v>
      </c>
      <c r="J550" s="9">
        <v>19320</v>
      </c>
      <c r="K550" s="10">
        <f t="shared" si="19"/>
        <v>-12680</v>
      </c>
      <c r="L550" s="10">
        <v>15418</v>
      </c>
      <c r="M550" s="11" t="s">
        <v>166</v>
      </c>
      <c r="N550" s="12">
        <v>252</v>
      </c>
      <c r="O550" s="13" t="s">
        <v>54</v>
      </c>
      <c r="P550" s="14"/>
      <c r="Q550" s="1"/>
      <c r="R550" s="1"/>
      <c r="S550" s="1"/>
      <c r="T550" s="1"/>
      <c r="U550" s="1"/>
      <c r="V550" s="1"/>
      <c r="W550" s="1"/>
      <c r="X550" s="1"/>
      <c r="Y550" s="1"/>
    </row>
    <row r="551" spans="1:27" x14ac:dyDescent="0.25">
      <c r="A551" s="6"/>
      <c r="B551" s="7">
        <v>44221</v>
      </c>
      <c r="C551" s="8" t="s">
        <v>55</v>
      </c>
      <c r="D551" s="8" t="s">
        <v>86</v>
      </c>
      <c r="E551" s="9" t="s">
        <v>87</v>
      </c>
      <c r="F551" s="9" t="s">
        <v>88</v>
      </c>
      <c r="G551" s="17">
        <v>0.62708333333333333</v>
      </c>
      <c r="H551" s="17">
        <v>0.7729166666666667</v>
      </c>
      <c r="I551" s="9">
        <v>15870</v>
      </c>
      <c r="J551" s="9">
        <v>51150</v>
      </c>
      <c r="K551" s="10">
        <f t="shared" si="19"/>
        <v>-35280</v>
      </c>
      <c r="L551" s="10">
        <v>5718</v>
      </c>
      <c r="M551" s="11" t="s">
        <v>53</v>
      </c>
      <c r="N551" s="12">
        <v>700</v>
      </c>
      <c r="O551" s="13" t="s">
        <v>54</v>
      </c>
      <c r="P551" s="14"/>
      <c r="Q551" s="1"/>
      <c r="R551" s="1"/>
      <c r="S551" s="1"/>
      <c r="T551" s="1"/>
      <c r="U551" s="1"/>
      <c r="V551" s="1"/>
      <c r="W551" s="1"/>
      <c r="X551" s="1"/>
      <c r="Y551" s="1">
        <v>0</v>
      </c>
    </row>
    <row r="552" spans="1:27" x14ac:dyDescent="0.25">
      <c r="A552" s="7"/>
      <c r="B552" s="7">
        <v>44221</v>
      </c>
      <c r="C552" s="8" t="s">
        <v>606</v>
      </c>
      <c r="D552" s="8" t="s">
        <v>746</v>
      </c>
      <c r="E552" s="9" t="s">
        <v>747</v>
      </c>
      <c r="F552" s="9" t="s">
        <v>36</v>
      </c>
      <c r="G552" s="17">
        <v>0.62916666666666665</v>
      </c>
      <c r="H552" s="17">
        <v>0.6875</v>
      </c>
      <c r="I552" s="9">
        <v>53190</v>
      </c>
      <c r="J552" s="9">
        <v>17610</v>
      </c>
      <c r="K552" s="10">
        <f t="shared" si="19"/>
        <v>35580</v>
      </c>
      <c r="L552" s="10">
        <v>884</v>
      </c>
      <c r="M552" s="11" t="s">
        <v>306</v>
      </c>
      <c r="N552" s="12">
        <v>10000</v>
      </c>
      <c r="O552" s="13" t="s">
        <v>84</v>
      </c>
      <c r="P552" s="14"/>
      <c r="Q552" s="1"/>
      <c r="R552" s="1"/>
      <c r="S552" s="1"/>
      <c r="T552" s="1"/>
      <c r="U552" s="1"/>
      <c r="V552" s="1"/>
      <c r="W552" s="1"/>
      <c r="X552" s="1"/>
      <c r="Y552" s="1"/>
    </row>
    <row r="553" spans="1:27" x14ac:dyDescent="0.25">
      <c r="A553" s="7"/>
      <c r="B553" s="7">
        <v>44221</v>
      </c>
      <c r="C553" s="8" t="s">
        <v>743</v>
      </c>
      <c r="D553" s="8" t="s">
        <v>209</v>
      </c>
      <c r="E553" s="9" t="s">
        <v>466</v>
      </c>
      <c r="F553" s="9" t="s">
        <v>52</v>
      </c>
      <c r="G553" s="17">
        <v>0.6333333333333333</v>
      </c>
      <c r="H553" s="17">
        <v>0.66041666666666665</v>
      </c>
      <c r="I553" s="9">
        <v>14140</v>
      </c>
      <c r="J553" s="9">
        <v>18370</v>
      </c>
      <c r="K553" s="10">
        <f t="shared" si="19"/>
        <v>-4230</v>
      </c>
      <c r="L553" s="10">
        <v>15419</v>
      </c>
      <c r="M553" s="11" t="s">
        <v>166</v>
      </c>
      <c r="N553" s="12">
        <v>84</v>
      </c>
      <c r="O553" s="13" t="s">
        <v>54</v>
      </c>
      <c r="P553" s="14"/>
      <c r="Q553" s="1"/>
      <c r="R553" s="1"/>
      <c r="S553" s="1"/>
      <c r="T553" s="1"/>
      <c r="U553" s="1"/>
      <c r="V553" s="1"/>
      <c r="W553" s="1"/>
      <c r="X553" s="1"/>
      <c r="Y553" s="1"/>
    </row>
    <row r="554" spans="1:27" x14ac:dyDescent="0.25">
      <c r="A554" s="7"/>
      <c r="B554" s="7">
        <v>44221</v>
      </c>
      <c r="C554" s="8" t="s">
        <v>55</v>
      </c>
      <c r="D554" s="8" t="s">
        <v>465</v>
      </c>
      <c r="E554" s="9" t="s">
        <v>748</v>
      </c>
      <c r="F554" s="9" t="s">
        <v>749</v>
      </c>
      <c r="G554" s="17">
        <v>0.64166666666666672</v>
      </c>
      <c r="H554" s="17">
        <v>0.75555555555555554</v>
      </c>
      <c r="I554" s="9">
        <v>16820</v>
      </c>
      <c r="J554" s="9">
        <v>39540</v>
      </c>
      <c r="K554" s="10">
        <f t="shared" si="19"/>
        <v>-22720</v>
      </c>
      <c r="L554" s="10">
        <v>5716</v>
      </c>
      <c r="M554" s="11" t="s">
        <v>89</v>
      </c>
      <c r="N554" s="12">
        <v>21569</v>
      </c>
      <c r="O554" s="13" t="s">
        <v>32</v>
      </c>
      <c r="P554" s="14" t="s">
        <v>753</v>
      </c>
      <c r="Q554" s="1"/>
      <c r="R554" s="1"/>
      <c r="S554" s="1"/>
      <c r="T554" s="1"/>
      <c r="U554" s="1">
        <v>0.25</v>
      </c>
      <c r="V554" s="1"/>
      <c r="W554" s="1">
        <v>0.5</v>
      </c>
      <c r="X554" s="1"/>
      <c r="Y554" s="1"/>
    </row>
    <row r="555" spans="1:27" x14ac:dyDescent="0.25">
      <c r="A555" s="7"/>
      <c r="B555" s="7">
        <v>44221</v>
      </c>
      <c r="C555" s="8" t="s">
        <v>750</v>
      </c>
      <c r="D555" s="8" t="s">
        <v>175</v>
      </c>
      <c r="E555" s="9" t="s">
        <v>176</v>
      </c>
      <c r="F555" s="9" t="s">
        <v>36</v>
      </c>
      <c r="G555" s="17">
        <v>0.64583333333333337</v>
      </c>
      <c r="H555" s="17">
        <v>0.68958333333333333</v>
      </c>
      <c r="I555" s="9">
        <v>9200</v>
      </c>
      <c r="J555" s="9">
        <v>4300</v>
      </c>
      <c r="K555" s="10">
        <f t="shared" si="19"/>
        <v>4900</v>
      </c>
      <c r="L555" s="10">
        <v>3496</v>
      </c>
      <c r="M555" s="11" t="s">
        <v>31</v>
      </c>
      <c r="N555" s="12">
        <f>11184+267+76</f>
        <v>11527</v>
      </c>
      <c r="O555" s="13" t="s">
        <v>49</v>
      </c>
      <c r="P555" s="14"/>
      <c r="Q555" s="1"/>
      <c r="R555" s="1">
        <v>31290</v>
      </c>
      <c r="S555" s="1">
        <f>+R555-1104</f>
        <v>30186</v>
      </c>
      <c r="T555" s="1"/>
      <c r="U555" s="1"/>
      <c r="V555" s="1"/>
      <c r="W555" s="1"/>
      <c r="X555" s="1"/>
      <c r="Y555" s="1"/>
    </row>
    <row r="556" spans="1:27" x14ac:dyDescent="0.25">
      <c r="A556" s="7"/>
      <c r="B556" s="7">
        <v>44221</v>
      </c>
      <c r="C556" s="8" t="s">
        <v>424</v>
      </c>
      <c r="D556" s="8" t="s">
        <v>299</v>
      </c>
      <c r="E556" s="9" t="s">
        <v>490</v>
      </c>
      <c r="F556" s="9" t="s">
        <v>491</v>
      </c>
      <c r="G556" s="17">
        <v>0.65208333333333335</v>
      </c>
      <c r="H556" s="17">
        <v>0.67986111111111114</v>
      </c>
      <c r="I556" s="9">
        <v>16050</v>
      </c>
      <c r="J556" s="9">
        <v>51170</v>
      </c>
      <c r="K556" s="10">
        <f t="shared" si="19"/>
        <v>-35120</v>
      </c>
      <c r="L556" s="10">
        <v>5719</v>
      </c>
      <c r="M556" s="11" t="s">
        <v>53</v>
      </c>
      <c r="N556" s="12">
        <v>700</v>
      </c>
      <c r="O556" s="13" t="s">
        <v>54</v>
      </c>
      <c r="P556" s="14" t="s">
        <v>784</v>
      </c>
      <c r="Q556" s="1"/>
      <c r="R556" s="1"/>
      <c r="S556" s="1"/>
      <c r="T556" s="1"/>
      <c r="U556" s="1"/>
      <c r="V556" s="1"/>
      <c r="W556" s="1"/>
      <c r="X556" s="1"/>
      <c r="Y556" s="1"/>
    </row>
    <row r="557" spans="1:27" x14ac:dyDescent="0.25">
      <c r="A557" s="7"/>
      <c r="B557" s="7">
        <v>44221</v>
      </c>
      <c r="C557" s="8" t="s">
        <v>743</v>
      </c>
      <c r="D557" s="8" t="s">
        <v>744</v>
      </c>
      <c r="E557" s="9" t="s">
        <v>745</v>
      </c>
      <c r="F557" s="9" t="s">
        <v>480</v>
      </c>
      <c r="G557" s="17">
        <v>0.6777777777777777</v>
      </c>
      <c r="H557" s="17">
        <v>0.69444444444444453</v>
      </c>
      <c r="I557" s="9">
        <v>16130</v>
      </c>
      <c r="J557" s="9">
        <v>6050</v>
      </c>
      <c r="K557" s="10">
        <f t="shared" si="19"/>
        <v>10080</v>
      </c>
      <c r="L557" s="10">
        <v>15371</v>
      </c>
      <c r="M557" s="11" t="s">
        <v>398</v>
      </c>
      <c r="N557" s="12">
        <v>186</v>
      </c>
      <c r="O557" s="13" t="s">
        <v>54</v>
      </c>
      <c r="P557" s="14" t="s">
        <v>751</v>
      </c>
      <c r="Q557" s="1"/>
      <c r="R557" s="1"/>
      <c r="S557" s="1"/>
      <c r="T557" s="1"/>
      <c r="U557" s="1"/>
      <c r="V557" s="1"/>
      <c r="W557" s="1"/>
      <c r="X557" s="1"/>
      <c r="Y557" s="1"/>
    </row>
    <row r="558" spans="1:27" x14ac:dyDescent="0.25">
      <c r="A558" s="7"/>
      <c r="B558" s="7">
        <v>44221</v>
      </c>
      <c r="C558" s="8" t="s">
        <v>734</v>
      </c>
      <c r="D558" s="8" t="s">
        <v>103</v>
      </c>
      <c r="E558" s="9" t="s">
        <v>104</v>
      </c>
      <c r="F558" s="9" t="s">
        <v>36</v>
      </c>
      <c r="G558" s="17">
        <v>0.68263888888888891</v>
      </c>
      <c r="H558" s="17">
        <v>0.75902777777777775</v>
      </c>
      <c r="I558" s="9">
        <v>16990</v>
      </c>
      <c r="J558" s="9">
        <v>48280</v>
      </c>
      <c r="K558" s="10">
        <f t="shared" si="19"/>
        <v>-31290</v>
      </c>
      <c r="L558" s="10">
        <v>5715</v>
      </c>
      <c r="M558" s="11" t="s">
        <v>53</v>
      </c>
      <c r="N558" s="12">
        <v>600</v>
      </c>
      <c r="O558" s="13" t="s">
        <v>54</v>
      </c>
      <c r="P558" s="14" t="s">
        <v>168</v>
      </c>
      <c r="Q558" s="1"/>
      <c r="R558" s="1" t="s">
        <v>752</v>
      </c>
      <c r="S558" s="1">
        <v>57</v>
      </c>
      <c r="T558" s="1">
        <v>9</v>
      </c>
      <c r="U558" s="1">
        <f>+T558*S558</f>
        <v>513</v>
      </c>
      <c r="V558" s="1"/>
      <c r="W558" s="1"/>
      <c r="X558" s="1"/>
      <c r="Y558" s="1"/>
    </row>
    <row r="559" spans="1:27" x14ac:dyDescent="0.25">
      <c r="A559" s="7"/>
      <c r="B559" s="7">
        <v>44221</v>
      </c>
      <c r="C559" s="8" t="s">
        <v>424</v>
      </c>
      <c r="D559" s="8" t="s">
        <v>143</v>
      </c>
      <c r="E559" s="9" t="s">
        <v>144</v>
      </c>
      <c r="F559" s="9" t="s">
        <v>626</v>
      </c>
      <c r="G559" s="17">
        <v>0.68402777777777779</v>
      </c>
      <c r="H559" s="17"/>
      <c r="I559" s="9">
        <v>16410</v>
      </c>
      <c r="J559" s="9"/>
      <c r="K559" s="10">
        <f t="shared" si="19"/>
        <v>16410</v>
      </c>
      <c r="L559" s="10"/>
      <c r="M559" s="11" t="s">
        <v>53</v>
      </c>
      <c r="N559" s="12"/>
      <c r="O559" s="13" t="s">
        <v>54</v>
      </c>
      <c r="P559" s="22" t="s">
        <v>759</v>
      </c>
      <c r="Q559" s="1"/>
      <c r="R559" s="1" t="s">
        <v>90</v>
      </c>
      <c r="S559" s="1">
        <v>58</v>
      </c>
      <c r="T559" s="1">
        <v>11</v>
      </c>
      <c r="U559" s="1">
        <f>+T559*S559</f>
        <v>638</v>
      </c>
      <c r="V559" s="1"/>
      <c r="W559" s="1"/>
      <c r="X559" s="1"/>
      <c r="Y559" s="1"/>
    </row>
    <row r="560" spans="1:27" x14ac:dyDescent="0.25">
      <c r="A560" s="7"/>
      <c r="B560" s="7">
        <v>44221</v>
      </c>
      <c r="C560" s="8" t="s">
        <v>208</v>
      </c>
      <c r="D560" s="8" t="s">
        <v>198</v>
      </c>
      <c r="E560" s="9" t="s">
        <v>405</v>
      </c>
      <c r="F560" s="9" t="s">
        <v>161</v>
      </c>
      <c r="G560" s="17">
        <v>0.73333333333333339</v>
      </c>
      <c r="H560" s="17">
        <v>0.74791666666666667</v>
      </c>
      <c r="I560" s="9">
        <v>33720</v>
      </c>
      <c r="J560" s="9">
        <v>16630</v>
      </c>
      <c r="K560" s="10">
        <f t="shared" si="19"/>
        <v>17090</v>
      </c>
      <c r="L560" s="10">
        <v>40014</v>
      </c>
      <c r="M560" s="11" t="s">
        <v>739</v>
      </c>
      <c r="N560" s="12">
        <v>17090</v>
      </c>
      <c r="O560" s="13" t="s">
        <v>32</v>
      </c>
      <c r="P560" s="14"/>
      <c r="Q560" s="1"/>
      <c r="R560" s="1"/>
      <c r="S560" s="1"/>
      <c r="T560" s="1">
        <f>+T559+T558</f>
        <v>20</v>
      </c>
      <c r="U560" s="1">
        <f>+U559+U558</f>
        <v>1151</v>
      </c>
      <c r="V560" s="1">
        <v>22720</v>
      </c>
      <c r="W560" s="1">
        <f>+V560-U560</f>
        <v>21569</v>
      </c>
      <c r="X560" s="1"/>
      <c r="Y560" s="1"/>
    </row>
    <row r="561" spans="1:25" x14ac:dyDescent="0.25">
      <c r="A561" s="7"/>
      <c r="B561" s="7">
        <v>44221</v>
      </c>
      <c r="C561" s="8" t="s">
        <v>85</v>
      </c>
      <c r="D561" s="8" t="s">
        <v>198</v>
      </c>
      <c r="E561" s="9" t="s">
        <v>405</v>
      </c>
      <c r="F561" s="9" t="s">
        <v>161</v>
      </c>
      <c r="G561" s="17">
        <v>0.76180555555555562</v>
      </c>
      <c r="H561" s="17">
        <v>0.7895833333333333</v>
      </c>
      <c r="I561" s="9">
        <v>17340</v>
      </c>
      <c r="J561" s="9">
        <v>39700</v>
      </c>
      <c r="K561" s="10">
        <f t="shared" si="19"/>
        <v>-22360</v>
      </c>
      <c r="L561" s="10">
        <v>5717</v>
      </c>
      <c r="M561" s="11" t="s">
        <v>89</v>
      </c>
      <c r="N561" s="12">
        <v>21200</v>
      </c>
      <c r="O561" s="13" t="s">
        <v>32</v>
      </c>
      <c r="P561" s="14" t="s">
        <v>756</v>
      </c>
      <c r="Q561" s="1"/>
      <c r="R561" s="1"/>
      <c r="S561" s="1">
        <f>5640*2.2</f>
        <v>12408.000000000002</v>
      </c>
      <c r="T561" s="18">
        <f>+S561-N562</f>
        <v>-1337.9999999999982</v>
      </c>
      <c r="U561" s="1"/>
      <c r="V561" s="1"/>
      <c r="W561" s="1"/>
      <c r="X561" s="1"/>
      <c r="Y561" s="1"/>
    </row>
    <row r="562" spans="1:25" x14ac:dyDescent="0.25">
      <c r="A562" s="7"/>
      <c r="B562" s="7">
        <v>44221</v>
      </c>
      <c r="C562" s="8" t="s">
        <v>60</v>
      </c>
      <c r="D562" s="8" t="s">
        <v>233</v>
      </c>
      <c r="E562" s="9" t="s">
        <v>528</v>
      </c>
      <c r="F562" s="9" t="s">
        <v>59</v>
      </c>
      <c r="G562" s="17">
        <v>0.76666666666666661</v>
      </c>
      <c r="H562" s="17">
        <v>0.84236111111111101</v>
      </c>
      <c r="I562" s="9">
        <v>9600</v>
      </c>
      <c r="J562" s="9">
        <v>3960</v>
      </c>
      <c r="K562" s="10">
        <f t="shared" si="19"/>
        <v>5640</v>
      </c>
      <c r="L562" s="10" t="s">
        <v>754</v>
      </c>
      <c r="M562" s="11" t="s">
        <v>31</v>
      </c>
      <c r="N562" s="12">
        <f>1246+12500</f>
        <v>13746</v>
      </c>
      <c r="O562" s="13" t="s">
        <v>49</v>
      </c>
      <c r="P562" s="14"/>
      <c r="Q562" s="1"/>
      <c r="R562" s="1"/>
      <c r="S562" s="18">
        <f>+S561-N562</f>
        <v>-1337.9999999999982</v>
      </c>
      <c r="T562" s="1">
        <v>1246</v>
      </c>
      <c r="U562" s="1">
        <f>+T562-S561</f>
        <v>-11162.000000000002</v>
      </c>
      <c r="V562" s="1"/>
      <c r="W562" s="1"/>
      <c r="X562" s="1"/>
      <c r="Y562" s="1"/>
    </row>
    <row r="563" spans="1:25" x14ac:dyDescent="0.25">
      <c r="A563" s="7"/>
      <c r="B563" s="7">
        <v>44221</v>
      </c>
      <c r="C563" s="8" t="s">
        <v>603</v>
      </c>
      <c r="D563" s="8" t="s">
        <v>375</v>
      </c>
      <c r="E563" s="9" t="s">
        <v>215</v>
      </c>
      <c r="F563" s="9" t="s">
        <v>36</v>
      </c>
      <c r="G563" s="17">
        <v>0.77500000000000002</v>
      </c>
      <c r="H563" s="17">
        <v>0.7993055555555556</v>
      </c>
      <c r="I563" s="9">
        <v>10370</v>
      </c>
      <c r="J563" s="9">
        <v>4610</v>
      </c>
      <c r="K563" s="10">
        <f t="shared" si="19"/>
        <v>5760</v>
      </c>
      <c r="L563" s="10">
        <v>26394</v>
      </c>
      <c r="M563" s="11" t="s">
        <v>31</v>
      </c>
      <c r="N563" s="12">
        <v>5760</v>
      </c>
      <c r="O563" s="13" t="s">
        <v>32</v>
      </c>
      <c r="P563" s="14"/>
      <c r="Q563" s="1"/>
      <c r="R563" s="1"/>
      <c r="S563" s="1"/>
      <c r="T563" s="1"/>
      <c r="U563" s="1"/>
      <c r="V563" s="1"/>
      <c r="W563" s="1"/>
      <c r="X563" s="1"/>
      <c r="Y563" s="1"/>
    </row>
    <row r="564" spans="1:25" x14ac:dyDescent="0.25">
      <c r="A564" s="7"/>
      <c r="B564" s="7">
        <v>44221</v>
      </c>
      <c r="C564" s="8" t="s">
        <v>289</v>
      </c>
      <c r="D564" s="8" t="s">
        <v>552</v>
      </c>
      <c r="E564" s="9" t="s">
        <v>110</v>
      </c>
      <c r="F564" s="9" t="s">
        <v>111</v>
      </c>
      <c r="G564" s="17">
        <v>0.78402777777777777</v>
      </c>
      <c r="H564" s="17">
        <v>3.4027777777777775E-2</v>
      </c>
      <c r="I564" s="9">
        <v>14410</v>
      </c>
      <c r="J564" s="9">
        <v>6490</v>
      </c>
      <c r="K564" s="10">
        <f t="shared" si="19"/>
        <v>7920</v>
      </c>
      <c r="L564" s="10">
        <v>9044</v>
      </c>
      <c r="M564" s="11" t="s">
        <v>48</v>
      </c>
      <c r="N564" s="12">
        <v>7920</v>
      </c>
      <c r="O564" s="13" t="s">
        <v>32</v>
      </c>
      <c r="P564" s="14"/>
      <c r="Q564" s="1"/>
      <c r="R564" s="1"/>
      <c r="S564" s="1"/>
    </row>
    <row r="565" spans="1:25" x14ac:dyDescent="0.25">
      <c r="A565" s="7"/>
      <c r="B565" s="7">
        <v>44221</v>
      </c>
      <c r="C565" s="8" t="s">
        <v>610</v>
      </c>
      <c r="D565" s="8" t="s">
        <v>610</v>
      </c>
      <c r="E565" s="9" t="s">
        <v>611</v>
      </c>
      <c r="F565" s="9" t="s">
        <v>36</v>
      </c>
      <c r="G565" s="17">
        <v>0.78611111111111109</v>
      </c>
      <c r="H565" s="17">
        <v>0.82847222222222217</v>
      </c>
      <c r="I565" s="9">
        <v>9510</v>
      </c>
      <c r="J565" s="9">
        <v>7820</v>
      </c>
      <c r="K565" s="10">
        <f t="shared" si="19"/>
        <v>1690</v>
      </c>
      <c r="L565" s="10">
        <v>26395</v>
      </c>
      <c r="M565" s="11" t="s">
        <v>159</v>
      </c>
      <c r="N565" s="12">
        <v>1690</v>
      </c>
      <c r="O565" s="13" t="s">
        <v>32</v>
      </c>
      <c r="P565" s="14"/>
      <c r="Q565" s="1" t="s">
        <v>91</v>
      </c>
      <c r="R565" s="1">
        <v>5</v>
      </c>
      <c r="S565" s="1">
        <v>57</v>
      </c>
      <c r="T565" s="1">
        <f t="shared" ref="T565:T566" si="23">+S565*R565</f>
        <v>285</v>
      </c>
    </row>
    <row r="566" spans="1:25" x14ac:dyDescent="0.25">
      <c r="A566" s="7"/>
      <c r="B566" s="7">
        <v>44221</v>
      </c>
      <c r="C566" s="8" t="s">
        <v>208</v>
      </c>
      <c r="D566" s="8" t="s">
        <v>479</v>
      </c>
      <c r="E566" s="9" t="s">
        <v>614</v>
      </c>
      <c r="F566" s="9" t="s">
        <v>615</v>
      </c>
      <c r="G566" s="17">
        <v>0.79375000000000007</v>
      </c>
      <c r="H566" s="17">
        <v>0.71944444444444444</v>
      </c>
      <c r="I566" s="9">
        <v>34160</v>
      </c>
      <c r="J566" s="9">
        <v>15740</v>
      </c>
      <c r="K566" s="10">
        <f t="shared" si="19"/>
        <v>18420</v>
      </c>
      <c r="L566" s="10">
        <v>40024</v>
      </c>
      <c r="M566" s="11" t="s">
        <v>212</v>
      </c>
      <c r="N566" s="12">
        <v>18450</v>
      </c>
      <c r="O566" s="13" t="s">
        <v>32</v>
      </c>
      <c r="P566" s="14"/>
      <c r="Q566" s="1" t="s">
        <v>90</v>
      </c>
      <c r="R566" s="1">
        <v>14</v>
      </c>
      <c r="S566" s="1">
        <v>58</v>
      </c>
      <c r="T566" s="1">
        <f t="shared" si="23"/>
        <v>812</v>
      </c>
    </row>
    <row r="567" spans="1:25" x14ac:dyDescent="0.25">
      <c r="A567" s="7"/>
      <c r="B567" s="7">
        <v>44221</v>
      </c>
      <c r="C567" s="8" t="s">
        <v>610</v>
      </c>
      <c r="D567" s="8" t="s">
        <v>610</v>
      </c>
      <c r="E567" s="9" t="s">
        <v>611</v>
      </c>
      <c r="F567" s="9" t="s">
        <v>36</v>
      </c>
      <c r="G567" s="17">
        <v>0.82847222222222217</v>
      </c>
      <c r="H567" s="17">
        <v>0.86875000000000002</v>
      </c>
      <c r="I567" s="9">
        <v>7820</v>
      </c>
      <c r="J567" s="9">
        <v>4840</v>
      </c>
      <c r="K567" s="10">
        <f t="shared" si="19"/>
        <v>2980</v>
      </c>
      <c r="L567" s="10">
        <v>26396</v>
      </c>
      <c r="M567" s="11" t="s">
        <v>31</v>
      </c>
      <c r="N567" s="12">
        <v>2980</v>
      </c>
      <c r="O567" s="13" t="s">
        <v>32</v>
      </c>
      <c r="P567" s="14"/>
      <c r="Q567" s="1" t="s">
        <v>755</v>
      </c>
      <c r="R567" s="1">
        <v>1</v>
      </c>
      <c r="S567" s="1">
        <v>63</v>
      </c>
      <c r="T567">
        <f>+S567*R567</f>
        <v>63</v>
      </c>
    </row>
    <row r="568" spans="1:25" x14ac:dyDescent="0.25">
      <c r="A568" s="6"/>
      <c r="B568" s="7">
        <v>44221</v>
      </c>
      <c r="C568" s="8" t="s">
        <v>37</v>
      </c>
      <c r="D568" s="8" t="s">
        <v>38</v>
      </c>
      <c r="E568" s="9" t="s">
        <v>719</v>
      </c>
      <c r="F568" s="9" t="s">
        <v>36</v>
      </c>
      <c r="G568" s="17">
        <v>0.91736111111111107</v>
      </c>
      <c r="H568" s="17">
        <v>0.97361111111111109</v>
      </c>
      <c r="I568" s="9">
        <v>16510</v>
      </c>
      <c r="J568" s="9">
        <v>6350</v>
      </c>
      <c r="K568" s="10">
        <f t="shared" si="19"/>
        <v>10160</v>
      </c>
      <c r="L568" s="10">
        <v>26397</v>
      </c>
      <c r="M568" s="11" t="s">
        <v>124</v>
      </c>
      <c r="N568" s="12">
        <v>10160</v>
      </c>
      <c r="O568" s="13" t="s">
        <v>32</v>
      </c>
      <c r="P568" s="14"/>
      <c r="Q568" s="1"/>
      <c r="R568" s="1">
        <f>+R567+R566+R565</f>
        <v>20</v>
      </c>
      <c r="S568" s="1"/>
      <c r="T568" s="1">
        <f>+T567+T566+T565</f>
        <v>1160</v>
      </c>
      <c r="U568">
        <v>22360</v>
      </c>
      <c r="V568">
        <f>+U568-T568</f>
        <v>21200</v>
      </c>
    </row>
    <row r="569" spans="1:25" x14ac:dyDescent="0.25">
      <c r="A569" s="6"/>
      <c r="B569" s="7">
        <v>44222</v>
      </c>
      <c r="C569" s="8" t="s">
        <v>208</v>
      </c>
      <c r="D569" s="8" t="s">
        <v>209</v>
      </c>
      <c r="E569" s="9" t="s">
        <v>466</v>
      </c>
      <c r="F569" s="9" t="s">
        <v>52</v>
      </c>
      <c r="G569" s="17">
        <v>2.7777777777777776E-2</v>
      </c>
      <c r="H569" s="17">
        <v>4.3750000000000004E-2</v>
      </c>
      <c r="I569" s="9">
        <v>43180</v>
      </c>
      <c r="J569" s="9">
        <v>16470</v>
      </c>
      <c r="K569" s="10">
        <f t="shared" si="19"/>
        <v>26710</v>
      </c>
      <c r="L569" s="10">
        <v>40014</v>
      </c>
      <c r="M569" s="11" t="s">
        <v>739</v>
      </c>
      <c r="N569" s="12">
        <f>19780+6900</f>
        <v>26680</v>
      </c>
      <c r="O569" s="13" t="s">
        <v>32</v>
      </c>
      <c r="P569" s="14"/>
      <c r="Q569" s="1"/>
      <c r="R569" s="1"/>
      <c r="S569" s="1"/>
    </row>
    <row r="570" spans="1:25" x14ac:dyDescent="0.25">
      <c r="A570" s="6"/>
      <c r="B570" s="7">
        <v>44222</v>
      </c>
      <c r="C570" s="8" t="s">
        <v>443</v>
      </c>
      <c r="D570" s="8" t="s">
        <v>336</v>
      </c>
      <c r="E570" s="9" t="s">
        <v>337</v>
      </c>
      <c r="F570" s="9" t="s">
        <v>36</v>
      </c>
      <c r="G570" s="17">
        <v>5.8333333333333327E-2</v>
      </c>
      <c r="H570" s="17">
        <v>0.18958333333333333</v>
      </c>
      <c r="I570" s="9">
        <v>19070</v>
      </c>
      <c r="J570" s="9">
        <v>7720</v>
      </c>
      <c r="K570" s="10">
        <f t="shared" si="19"/>
        <v>11350</v>
      </c>
      <c r="L570" s="10" t="s">
        <v>757</v>
      </c>
      <c r="M570" s="11" t="s">
        <v>739</v>
      </c>
      <c r="N570" s="12">
        <f>8851+2565</f>
        <v>11416</v>
      </c>
      <c r="O570" s="13" t="s">
        <v>32</v>
      </c>
      <c r="P570" s="14" t="s">
        <v>758</v>
      </c>
      <c r="Q570" s="1"/>
      <c r="R570" s="1"/>
      <c r="S570" s="1"/>
    </row>
    <row r="571" spans="1:25" x14ac:dyDescent="0.25">
      <c r="A571" s="6"/>
      <c r="B571" s="7">
        <v>44222</v>
      </c>
      <c r="C571" s="8" t="s">
        <v>193</v>
      </c>
      <c r="D571" s="8" t="s">
        <v>602</v>
      </c>
      <c r="E571" s="9" t="s">
        <v>277</v>
      </c>
      <c r="F571" s="9" t="s">
        <v>266</v>
      </c>
      <c r="G571" s="17">
        <v>6.0416666666666667E-2</v>
      </c>
      <c r="H571" s="17"/>
      <c r="I571" s="9">
        <v>6710</v>
      </c>
      <c r="J571" s="9"/>
      <c r="K571" s="10">
        <f t="shared" si="19"/>
        <v>6710</v>
      </c>
      <c r="L571" s="10" t="s">
        <v>196</v>
      </c>
      <c r="M571" s="11" t="s">
        <v>517</v>
      </c>
      <c r="N571" s="12"/>
      <c r="O571" s="13" t="s">
        <v>32</v>
      </c>
      <c r="P571" s="14"/>
      <c r="Q571" s="1"/>
      <c r="R571" s="1"/>
      <c r="S571" s="1"/>
    </row>
    <row r="572" spans="1:25" x14ac:dyDescent="0.25">
      <c r="A572" s="6"/>
      <c r="B572" s="7">
        <v>44222</v>
      </c>
      <c r="C572" s="8" t="s">
        <v>142</v>
      </c>
      <c r="D572" s="8" t="s">
        <v>50</v>
      </c>
      <c r="E572" s="9" t="s">
        <v>285</v>
      </c>
      <c r="F572" s="9" t="s">
        <v>286</v>
      </c>
      <c r="G572" s="17">
        <v>0.21666666666666667</v>
      </c>
      <c r="H572" s="17">
        <v>0.22847222222222222</v>
      </c>
      <c r="I572" s="9">
        <v>33130</v>
      </c>
      <c r="J572" s="9">
        <v>16230</v>
      </c>
      <c r="K572" s="10">
        <f t="shared" si="19"/>
        <v>16900</v>
      </c>
      <c r="L572" s="10">
        <v>730</v>
      </c>
      <c r="M572" s="11" t="s">
        <v>442</v>
      </c>
      <c r="N572" s="12">
        <v>16984</v>
      </c>
      <c r="O572" s="13" t="s">
        <v>32</v>
      </c>
      <c r="P572" s="14"/>
      <c r="Q572" s="1"/>
      <c r="R572" s="1"/>
      <c r="S572" s="1"/>
    </row>
    <row r="573" spans="1:25" x14ac:dyDescent="0.25">
      <c r="A573" s="6"/>
      <c r="B573" s="7">
        <v>44222</v>
      </c>
      <c r="C573" s="8" t="s">
        <v>208</v>
      </c>
      <c r="D573" s="8" t="s">
        <v>209</v>
      </c>
      <c r="E573" s="9" t="s">
        <v>466</v>
      </c>
      <c r="F573" s="9" t="s">
        <v>52</v>
      </c>
      <c r="G573" s="17">
        <v>0.24652777777777779</v>
      </c>
      <c r="H573" s="17">
        <v>0.25277777777777777</v>
      </c>
      <c r="I573" s="9">
        <v>32310</v>
      </c>
      <c r="J573" s="9">
        <v>16470</v>
      </c>
      <c r="K573" s="10">
        <f t="shared" si="19"/>
        <v>15840</v>
      </c>
      <c r="L573" s="10">
        <v>40014</v>
      </c>
      <c r="M573" s="11" t="s">
        <v>739</v>
      </c>
      <c r="N573" s="12">
        <f>4160+11700</f>
        <v>15860</v>
      </c>
      <c r="O573" s="13" t="s">
        <v>32</v>
      </c>
      <c r="P573" s="14"/>
      <c r="Q573" s="1"/>
      <c r="R573" s="1"/>
      <c r="S573" s="1"/>
    </row>
    <row r="574" spans="1:25" x14ac:dyDescent="0.25">
      <c r="A574" s="6"/>
      <c r="B574" s="15">
        <v>44222</v>
      </c>
      <c r="C574" s="16" t="s">
        <v>130</v>
      </c>
      <c r="D574" s="16" t="s">
        <v>472</v>
      </c>
      <c r="E574" s="21" t="s">
        <v>473</v>
      </c>
      <c r="F574" s="21" t="s">
        <v>154</v>
      </c>
      <c r="G574" s="59">
        <v>0.25833333333333336</v>
      </c>
      <c r="H574" s="59">
        <v>0.69861111111111107</v>
      </c>
      <c r="I574" s="21">
        <v>17730</v>
      </c>
      <c r="J574" s="21">
        <v>33960</v>
      </c>
      <c r="K574" s="60">
        <f t="shared" si="19"/>
        <v>-16230</v>
      </c>
      <c r="L574" s="60">
        <v>15424</v>
      </c>
      <c r="M574" s="61" t="s">
        <v>240</v>
      </c>
      <c r="N574" s="62">
        <v>16230</v>
      </c>
      <c r="O574" s="63" t="s">
        <v>32</v>
      </c>
      <c r="P574" s="14"/>
      <c r="Q574" s="1"/>
      <c r="R574" s="1"/>
      <c r="S574" s="1"/>
    </row>
    <row r="575" spans="1:25" x14ac:dyDescent="0.25">
      <c r="A575" s="6"/>
      <c r="B575" s="7">
        <v>44222</v>
      </c>
      <c r="C575" s="8" t="s">
        <v>164</v>
      </c>
      <c r="D575" s="8" t="s">
        <v>143</v>
      </c>
      <c r="E575" s="9" t="s">
        <v>144</v>
      </c>
      <c r="F575" s="9" t="s">
        <v>626</v>
      </c>
      <c r="G575" s="17">
        <v>0.3756944444444445</v>
      </c>
      <c r="H575" s="17">
        <v>0.47222222222222227</v>
      </c>
      <c r="I575" s="9">
        <v>16470</v>
      </c>
      <c r="J575" s="9">
        <v>41780</v>
      </c>
      <c r="K575" s="10">
        <f t="shared" si="19"/>
        <v>-25310</v>
      </c>
      <c r="L575" s="10">
        <v>15420</v>
      </c>
      <c r="M575" s="11" t="s">
        <v>166</v>
      </c>
      <c r="N575" s="12">
        <v>503</v>
      </c>
      <c r="O575" s="13" t="s">
        <v>54</v>
      </c>
      <c r="P575" s="14"/>
      <c r="Q575" s="1"/>
      <c r="R575" s="1"/>
      <c r="S575" s="1"/>
    </row>
    <row r="576" spans="1:25" x14ac:dyDescent="0.25">
      <c r="A576" s="6"/>
      <c r="B576" s="7">
        <v>44222</v>
      </c>
      <c r="C576" s="8" t="s">
        <v>164</v>
      </c>
      <c r="D576" s="8" t="s">
        <v>760</v>
      </c>
      <c r="E576" s="9" t="s">
        <v>95</v>
      </c>
      <c r="F576" s="9" t="s">
        <v>480</v>
      </c>
      <c r="G576" s="17">
        <v>0.38680555555555557</v>
      </c>
      <c r="H576" s="17">
        <v>0.4909722222222222</v>
      </c>
      <c r="I576" s="9">
        <v>6590</v>
      </c>
      <c r="J576" s="9">
        <v>17170</v>
      </c>
      <c r="K576" s="10">
        <f t="shared" si="19"/>
        <v>-10580</v>
      </c>
      <c r="L576" s="10">
        <v>15421</v>
      </c>
      <c r="M576" s="11" t="s">
        <v>166</v>
      </c>
      <c r="N576" s="12">
        <v>210</v>
      </c>
      <c r="O576" s="13" t="s">
        <v>54</v>
      </c>
      <c r="P576" s="14"/>
      <c r="Q576" s="1"/>
      <c r="R576" s="1"/>
      <c r="S576" s="1"/>
    </row>
    <row r="577" spans="1:19" x14ac:dyDescent="0.25">
      <c r="A577" s="6"/>
      <c r="B577" s="7">
        <v>44222</v>
      </c>
      <c r="C577" s="8" t="s">
        <v>164</v>
      </c>
      <c r="D577" s="8" t="s">
        <v>299</v>
      </c>
      <c r="E577" s="9" t="s">
        <v>761</v>
      </c>
      <c r="F577" s="9" t="s">
        <v>762</v>
      </c>
      <c r="G577" s="17">
        <v>0.43055555555555558</v>
      </c>
      <c r="H577" s="17">
        <v>0.51666666666666672</v>
      </c>
      <c r="I577" s="9">
        <v>6400</v>
      </c>
      <c r="J577" s="9">
        <v>16950</v>
      </c>
      <c r="K577" s="10">
        <f t="shared" si="19"/>
        <v>-10550</v>
      </c>
      <c r="L577" s="10">
        <v>15422</v>
      </c>
      <c r="M577" s="11" t="s">
        <v>166</v>
      </c>
      <c r="N577" s="12">
        <v>210</v>
      </c>
      <c r="O577" s="13" t="s">
        <v>54</v>
      </c>
      <c r="P577" s="14"/>
      <c r="Q577" s="1"/>
      <c r="R577" s="1"/>
      <c r="S577" s="1"/>
    </row>
    <row r="578" spans="1:19" x14ac:dyDescent="0.25">
      <c r="A578" s="6"/>
      <c r="B578" s="7">
        <v>44222</v>
      </c>
      <c r="C578" s="8" t="s">
        <v>33</v>
      </c>
      <c r="D578" s="8" t="s">
        <v>175</v>
      </c>
      <c r="E578" s="9" t="s">
        <v>197</v>
      </c>
      <c r="F578" s="9" t="s">
        <v>36</v>
      </c>
      <c r="G578" s="17">
        <v>0.45555555555555555</v>
      </c>
      <c r="H578" s="17">
        <v>0.49305555555555558</v>
      </c>
      <c r="I578" s="9">
        <v>6980</v>
      </c>
      <c r="J578" s="9">
        <v>4980</v>
      </c>
      <c r="K578" s="10">
        <f t="shared" si="19"/>
        <v>2000</v>
      </c>
      <c r="L578" s="10">
        <v>26398</v>
      </c>
      <c r="M578" s="11" t="s">
        <v>48</v>
      </c>
      <c r="N578" s="12">
        <v>2000</v>
      </c>
      <c r="O578" s="13" t="s">
        <v>32</v>
      </c>
      <c r="P578" s="14"/>
      <c r="Q578" s="1"/>
      <c r="R578" s="1"/>
      <c r="S578" s="1"/>
    </row>
    <row r="579" spans="1:19" x14ac:dyDescent="0.25">
      <c r="A579" s="6"/>
      <c r="B579" s="7">
        <v>44222</v>
      </c>
      <c r="C579" s="8" t="s">
        <v>740</v>
      </c>
      <c r="D579" s="8" t="s">
        <v>479</v>
      </c>
      <c r="E579" s="9" t="s">
        <v>285</v>
      </c>
      <c r="F579" s="9" t="s">
        <v>286</v>
      </c>
      <c r="G579" s="17">
        <v>0.5493055555555556</v>
      </c>
      <c r="H579" s="17">
        <v>0.55902777777777779</v>
      </c>
      <c r="I579" s="9">
        <v>37190</v>
      </c>
      <c r="J579" s="9">
        <v>16330</v>
      </c>
      <c r="K579" s="10">
        <f t="shared" si="19"/>
        <v>20860</v>
      </c>
      <c r="L579" s="10">
        <v>34872</v>
      </c>
      <c r="M579" s="11" t="s">
        <v>741</v>
      </c>
      <c r="N579" s="12">
        <v>20</v>
      </c>
      <c r="O579" s="13" t="s">
        <v>742</v>
      </c>
      <c r="P579" s="14"/>
      <c r="Q579" s="1"/>
      <c r="R579" s="1"/>
      <c r="S579" s="1"/>
    </row>
    <row r="580" spans="1:19" x14ac:dyDescent="0.25">
      <c r="A580" s="6"/>
      <c r="B580" s="7">
        <v>44222</v>
      </c>
      <c r="C580" s="8" t="s">
        <v>164</v>
      </c>
      <c r="D580" s="8" t="s">
        <v>143</v>
      </c>
      <c r="E580" s="9" t="s">
        <v>144</v>
      </c>
      <c r="F580" s="9" t="s">
        <v>626</v>
      </c>
      <c r="G580" s="17">
        <v>0.57013888888888886</v>
      </c>
      <c r="H580" s="17">
        <v>0.59027777777777779</v>
      </c>
      <c r="I580" s="9">
        <v>35870</v>
      </c>
      <c r="J580" s="9">
        <v>16480</v>
      </c>
      <c r="K580" s="10">
        <f t="shared" si="19"/>
        <v>19390</v>
      </c>
      <c r="L580" s="10">
        <v>15373</v>
      </c>
      <c r="M580" s="11" t="s">
        <v>398</v>
      </c>
      <c r="N580" s="12">
        <v>384</v>
      </c>
      <c r="O580" s="13" t="s">
        <v>54</v>
      </c>
      <c r="P580" s="14"/>
      <c r="Q580" s="1"/>
      <c r="R580" s="1"/>
      <c r="S580" s="1"/>
    </row>
    <row r="581" spans="1:19" x14ac:dyDescent="0.25">
      <c r="A581" s="6"/>
      <c r="B581" s="7">
        <v>44222</v>
      </c>
      <c r="C581" s="8" t="s">
        <v>208</v>
      </c>
      <c r="D581" s="8" t="s">
        <v>209</v>
      </c>
      <c r="E581" s="9" t="s">
        <v>466</v>
      </c>
      <c r="F581" s="9" t="s">
        <v>52</v>
      </c>
      <c r="G581" s="17">
        <v>0.5805555555555556</v>
      </c>
      <c r="H581" s="17">
        <v>0.59652777777777777</v>
      </c>
      <c r="I581" s="9">
        <v>40890</v>
      </c>
      <c r="J581" s="9">
        <v>16430</v>
      </c>
      <c r="K581" s="10">
        <f t="shared" si="19"/>
        <v>24460</v>
      </c>
      <c r="L581" s="10">
        <v>40043</v>
      </c>
      <c r="M581" s="11" t="s">
        <v>442</v>
      </c>
      <c r="N581" s="12">
        <v>24470</v>
      </c>
      <c r="O581" s="13" t="s">
        <v>32</v>
      </c>
      <c r="P581" s="14"/>
      <c r="Q581" s="1"/>
      <c r="R581" s="1"/>
      <c r="S581" s="1"/>
    </row>
    <row r="582" spans="1:19" x14ac:dyDescent="0.25">
      <c r="A582" s="6"/>
      <c r="B582" s="7">
        <v>44222</v>
      </c>
      <c r="C582" s="8" t="s">
        <v>424</v>
      </c>
      <c r="D582" s="8" t="s">
        <v>763</v>
      </c>
      <c r="E582" s="9" t="s">
        <v>764</v>
      </c>
      <c r="F582" s="9" t="s">
        <v>36</v>
      </c>
      <c r="G582" s="17">
        <v>0.6166666666666667</v>
      </c>
      <c r="H582" s="17">
        <v>0.7402777777777777</v>
      </c>
      <c r="I582" s="9">
        <v>16860</v>
      </c>
      <c r="J582" s="9">
        <v>51980</v>
      </c>
      <c r="K582" s="10">
        <f t="shared" si="19"/>
        <v>-35120</v>
      </c>
      <c r="L582" s="10">
        <v>5721</v>
      </c>
      <c r="M582" s="11" t="s">
        <v>53</v>
      </c>
      <c r="N582" s="12">
        <v>700</v>
      </c>
      <c r="O582" s="13" t="s">
        <v>54</v>
      </c>
      <c r="P582" s="14"/>
      <c r="Q582" s="1"/>
      <c r="R582" s="1"/>
      <c r="S582" s="1"/>
    </row>
    <row r="583" spans="1:19" x14ac:dyDescent="0.25">
      <c r="A583" s="6"/>
      <c r="B583" s="7">
        <v>44222</v>
      </c>
      <c r="C583" s="8" t="s">
        <v>424</v>
      </c>
      <c r="D583" s="8" t="s">
        <v>143</v>
      </c>
      <c r="E583" s="9" t="s">
        <v>144</v>
      </c>
      <c r="F583" s="9" t="s">
        <v>626</v>
      </c>
      <c r="G583" s="17">
        <v>0.62638888888888888</v>
      </c>
      <c r="H583" s="17">
        <v>0.73749999999999993</v>
      </c>
      <c r="I583" s="9">
        <v>16360</v>
      </c>
      <c r="J583" s="9">
        <v>51540</v>
      </c>
      <c r="K583" s="10">
        <f t="shared" si="19"/>
        <v>-35180</v>
      </c>
      <c r="L583" s="10">
        <v>5720</v>
      </c>
      <c r="M583" s="11" t="s">
        <v>53</v>
      </c>
      <c r="N583" s="12">
        <v>700</v>
      </c>
      <c r="O583" s="13" t="s">
        <v>54</v>
      </c>
      <c r="P583" s="14"/>
      <c r="Q583" s="1"/>
      <c r="R583" s="1"/>
      <c r="S583" s="1"/>
    </row>
    <row r="584" spans="1:19" x14ac:dyDescent="0.25">
      <c r="A584" s="6"/>
      <c r="B584" s="7">
        <v>44222</v>
      </c>
      <c r="C584" s="8" t="s">
        <v>164</v>
      </c>
      <c r="D584" s="8" t="s">
        <v>760</v>
      </c>
      <c r="E584" s="9" t="s">
        <v>95</v>
      </c>
      <c r="F584" s="9" t="s">
        <v>480</v>
      </c>
      <c r="G584" s="17">
        <v>0.63750000000000007</v>
      </c>
      <c r="H584" s="17">
        <v>0.65972222222222221</v>
      </c>
      <c r="I584" s="9">
        <v>14110</v>
      </c>
      <c r="J584" s="9">
        <v>6550</v>
      </c>
      <c r="K584" s="10">
        <f t="shared" si="19"/>
        <v>7560</v>
      </c>
      <c r="L584" s="10">
        <v>15374</v>
      </c>
      <c r="M584" s="11" t="s">
        <v>398</v>
      </c>
      <c r="N584" s="12">
        <v>150</v>
      </c>
      <c r="O584" s="13" t="s">
        <v>54</v>
      </c>
      <c r="P584" s="14"/>
      <c r="Q584" s="1"/>
      <c r="R584" s="1"/>
      <c r="S584" s="1"/>
    </row>
    <row r="585" spans="1:19" x14ac:dyDescent="0.25">
      <c r="A585" s="6"/>
      <c r="B585" s="7">
        <v>44222</v>
      </c>
      <c r="C585" s="8" t="s">
        <v>55</v>
      </c>
      <c r="D585" s="8" t="s">
        <v>765</v>
      </c>
      <c r="E585" s="9" t="s">
        <v>766</v>
      </c>
      <c r="F585" s="9" t="s">
        <v>36</v>
      </c>
      <c r="G585" s="17">
        <v>0.65833333333333333</v>
      </c>
      <c r="H585" s="17">
        <v>0.78402777777777777</v>
      </c>
      <c r="I585" s="9">
        <v>17650</v>
      </c>
      <c r="J585" s="9">
        <v>52700</v>
      </c>
      <c r="K585" s="10">
        <f t="shared" si="19"/>
        <v>-35050</v>
      </c>
      <c r="L585" s="10">
        <v>5722</v>
      </c>
      <c r="M585" s="11" t="s">
        <v>53</v>
      </c>
      <c r="N585" s="12">
        <v>700</v>
      </c>
      <c r="O585" s="13" t="s">
        <v>54</v>
      </c>
      <c r="P585" s="14"/>
      <c r="Q585" s="1"/>
      <c r="R585" s="1"/>
      <c r="S585" s="1"/>
    </row>
    <row r="586" spans="1:19" x14ac:dyDescent="0.25">
      <c r="A586" s="6"/>
      <c r="B586" s="7">
        <v>44222</v>
      </c>
      <c r="C586" s="8" t="s">
        <v>767</v>
      </c>
      <c r="D586" s="8" t="s">
        <v>219</v>
      </c>
      <c r="E586" s="9" t="s">
        <v>220</v>
      </c>
      <c r="F586" s="9" t="s">
        <v>221</v>
      </c>
      <c r="G586" s="17">
        <v>0.73888888888888893</v>
      </c>
      <c r="H586" s="17">
        <v>0.75555555555555554</v>
      </c>
      <c r="I586" s="9">
        <v>11090</v>
      </c>
      <c r="J586" s="9">
        <v>9590</v>
      </c>
      <c r="K586" s="10">
        <f t="shared" ref="K586:K650" si="24">+I586-J586</f>
        <v>1500</v>
      </c>
      <c r="L586" s="10">
        <v>1171</v>
      </c>
      <c r="M586" s="11" t="s">
        <v>77</v>
      </c>
      <c r="N586" s="12">
        <v>28</v>
      </c>
      <c r="O586" s="13" t="s">
        <v>80</v>
      </c>
      <c r="P586" s="14"/>
      <c r="Q586" s="1"/>
      <c r="R586" s="1"/>
      <c r="S586" s="1"/>
    </row>
    <row r="587" spans="1:19" x14ac:dyDescent="0.25">
      <c r="A587" s="6"/>
      <c r="B587" s="7">
        <v>44222</v>
      </c>
      <c r="C587" s="8" t="s">
        <v>768</v>
      </c>
      <c r="D587" s="8" t="s">
        <v>735</v>
      </c>
      <c r="E587" s="9" t="s">
        <v>585</v>
      </c>
      <c r="F587" s="9" t="s">
        <v>36</v>
      </c>
      <c r="G587" s="17">
        <v>0.74236111111111114</v>
      </c>
      <c r="H587" s="17">
        <v>0.7909722222222223</v>
      </c>
      <c r="I587" s="9">
        <v>17690</v>
      </c>
      <c r="J587" s="9">
        <v>49030</v>
      </c>
      <c r="K587" s="10">
        <f t="shared" si="24"/>
        <v>-31340</v>
      </c>
      <c r="L587" s="10">
        <v>5723</v>
      </c>
      <c r="M587" s="11" t="s">
        <v>53</v>
      </c>
      <c r="N587" s="12">
        <v>600</v>
      </c>
      <c r="O587" s="13" t="s">
        <v>54</v>
      </c>
      <c r="P587" s="14" t="s">
        <v>168</v>
      </c>
      <c r="Q587" s="1"/>
      <c r="R587" s="1"/>
      <c r="S587" s="1"/>
    </row>
    <row r="588" spans="1:19" x14ac:dyDescent="0.25">
      <c r="A588" s="6"/>
      <c r="B588" s="7">
        <v>44222</v>
      </c>
      <c r="C588" s="8" t="s">
        <v>769</v>
      </c>
      <c r="D588" s="8" t="s">
        <v>530</v>
      </c>
      <c r="E588" s="9" t="s">
        <v>699</v>
      </c>
      <c r="F588" s="9" t="s">
        <v>140</v>
      </c>
      <c r="G588" s="17">
        <v>0.74444444444444446</v>
      </c>
      <c r="H588" s="17">
        <v>0.78819444444444453</v>
      </c>
      <c r="I588" s="9">
        <v>12610</v>
      </c>
      <c r="J588" s="9">
        <v>8240</v>
      </c>
      <c r="K588" s="10">
        <f t="shared" si="24"/>
        <v>4370</v>
      </c>
      <c r="L588" s="10" t="s">
        <v>770</v>
      </c>
      <c r="M588" s="11" t="s">
        <v>225</v>
      </c>
      <c r="N588" s="12">
        <v>4370</v>
      </c>
      <c r="O588" s="13" t="s">
        <v>32</v>
      </c>
      <c r="P588" s="14"/>
      <c r="Q588" s="1"/>
      <c r="R588" s="1"/>
      <c r="S588" s="1"/>
    </row>
    <row r="589" spans="1:19" s="1" customFormat="1" x14ac:dyDescent="0.25">
      <c r="A589" s="6"/>
      <c r="B589" s="7">
        <v>44222</v>
      </c>
      <c r="C589" s="8" t="s">
        <v>193</v>
      </c>
      <c r="D589" s="8" t="s">
        <v>602</v>
      </c>
      <c r="E589" s="9" t="s">
        <v>277</v>
      </c>
      <c r="F589" s="9" t="s">
        <v>266</v>
      </c>
      <c r="G589" s="17">
        <v>0.77916666666666667</v>
      </c>
      <c r="H589" s="17"/>
      <c r="I589" s="9">
        <v>6090</v>
      </c>
      <c r="J589" s="9"/>
      <c r="K589" s="10">
        <f t="shared" si="24"/>
        <v>6090</v>
      </c>
      <c r="L589" s="10"/>
      <c r="M589" s="11" t="s">
        <v>517</v>
      </c>
      <c r="N589" s="12"/>
      <c r="O589" s="13" t="s">
        <v>32</v>
      </c>
      <c r="P589" s="14"/>
    </row>
    <row r="590" spans="1:19" x14ac:dyDescent="0.25">
      <c r="A590" s="6"/>
      <c r="B590" s="7">
        <v>44222</v>
      </c>
      <c r="C590" s="8" t="s">
        <v>734</v>
      </c>
      <c r="D590" s="8" t="s">
        <v>103</v>
      </c>
      <c r="E590" s="9" t="s">
        <v>104</v>
      </c>
      <c r="F590" s="9" t="s">
        <v>36</v>
      </c>
      <c r="G590" s="17">
        <v>0.80486111111111114</v>
      </c>
      <c r="H590" s="17">
        <v>0.82777777777777783</v>
      </c>
      <c r="I590" s="9">
        <v>16800</v>
      </c>
      <c r="J590" s="9">
        <v>48190</v>
      </c>
      <c r="K590" s="10">
        <f t="shared" si="24"/>
        <v>-31390</v>
      </c>
      <c r="L590" s="10">
        <v>5724</v>
      </c>
      <c r="M590" s="11" t="s">
        <v>53</v>
      </c>
      <c r="N590" s="12">
        <v>600</v>
      </c>
      <c r="O590" s="13" t="s">
        <v>54</v>
      </c>
      <c r="P590" s="14" t="s">
        <v>168</v>
      </c>
      <c r="Q590" s="1"/>
      <c r="R590" s="1"/>
      <c r="S590" s="1"/>
    </row>
    <row r="591" spans="1:19" x14ac:dyDescent="0.25">
      <c r="A591" s="6"/>
      <c r="B591" s="7">
        <v>44222</v>
      </c>
      <c r="C591" s="8" t="s">
        <v>208</v>
      </c>
      <c r="D591" s="8" t="s">
        <v>479</v>
      </c>
      <c r="E591" s="9" t="s">
        <v>614</v>
      </c>
      <c r="F591" s="9" t="s">
        <v>615</v>
      </c>
      <c r="G591" s="17">
        <v>0.80763888888888891</v>
      </c>
      <c r="H591" s="17">
        <v>0.36249999999999999</v>
      </c>
      <c r="I591" s="9">
        <v>38060</v>
      </c>
      <c r="J591" s="9">
        <v>15670</v>
      </c>
      <c r="K591" s="10">
        <f t="shared" si="24"/>
        <v>22390</v>
      </c>
      <c r="L591" s="10">
        <v>40053</v>
      </c>
      <c r="M591" s="11" t="s">
        <v>771</v>
      </c>
      <c r="N591" s="12">
        <v>22340</v>
      </c>
      <c r="O591" s="13" t="s">
        <v>772</v>
      </c>
      <c r="P591" s="14"/>
      <c r="Q591" s="1"/>
      <c r="R591" s="1"/>
      <c r="S591" s="1"/>
    </row>
    <row r="592" spans="1:19" x14ac:dyDescent="0.25">
      <c r="A592" s="6"/>
      <c r="B592" s="7">
        <v>44222</v>
      </c>
      <c r="C592" s="8" t="s">
        <v>208</v>
      </c>
      <c r="D592" s="8" t="s">
        <v>209</v>
      </c>
      <c r="E592" s="9" t="s">
        <v>466</v>
      </c>
      <c r="F592" s="9" t="s">
        <v>52</v>
      </c>
      <c r="G592" s="17">
        <v>0.80902777777777779</v>
      </c>
      <c r="H592" s="17">
        <v>0.8256944444444444</v>
      </c>
      <c r="I592" s="9">
        <v>42530</v>
      </c>
      <c r="J592" s="9">
        <v>16680</v>
      </c>
      <c r="K592" s="10">
        <f t="shared" si="24"/>
        <v>25850</v>
      </c>
      <c r="L592" s="10">
        <v>40043</v>
      </c>
      <c r="M592" s="11" t="s">
        <v>773</v>
      </c>
      <c r="N592" s="12">
        <v>23850</v>
      </c>
      <c r="O592" s="13" t="s">
        <v>32</v>
      </c>
      <c r="P592" s="14"/>
      <c r="Q592" s="1"/>
      <c r="R592" s="1"/>
      <c r="S592" s="1"/>
    </row>
    <row r="593" spans="1:19" x14ac:dyDescent="0.25">
      <c r="A593" s="6"/>
      <c r="B593" s="7">
        <v>44222</v>
      </c>
      <c r="C593" s="8" t="s">
        <v>774</v>
      </c>
      <c r="D593" s="8" t="s">
        <v>775</v>
      </c>
      <c r="E593" s="9" t="s">
        <v>776</v>
      </c>
      <c r="F593" s="17" t="s">
        <v>36</v>
      </c>
      <c r="G593" s="17">
        <v>0.85069444444444453</v>
      </c>
      <c r="H593" s="17">
        <v>0.97291666666666676</v>
      </c>
      <c r="I593" s="9">
        <v>38640</v>
      </c>
      <c r="J593" s="9">
        <v>16770</v>
      </c>
      <c r="K593" s="10">
        <f t="shared" si="24"/>
        <v>21870</v>
      </c>
      <c r="L593" s="10">
        <v>351</v>
      </c>
      <c r="M593" s="11" t="s">
        <v>777</v>
      </c>
      <c r="N593" s="12">
        <v>840</v>
      </c>
      <c r="O593" s="13" t="s">
        <v>54</v>
      </c>
      <c r="P593" s="14"/>
      <c r="Q593" s="1"/>
      <c r="R593" s="1"/>
      <c r="S593" s="1"/>
    </row>
    <row r="594" spans="1:19" x14ac:dyDescent="0.25">
      <c r="A594" s="6"/>
      <c r="B594" s="7">
        <v>44222</v>
      </c>
      <c r="C594" s="52" t="s">
        <v>619</v>
      </c>
      <c r="D594" s="52" t="s">
        <v>778</v>
      </c>
      <c r="E594" s="53" t="s">
        <v>277</v>
      </c>
      <c r="F594" s="53" t="s">
        <v>779</v>
      </c>
      <c r="G594" s="54">
        <v>0.89166666666666661</v>
      </c>
      <c r="H594" s="54">
        <v>0.90138888888888891</v>
      </c>
      <c r="I594" s="53">
        <v>5810</v>
      </c>
      <c r="J594" s="53">
        <v>5490</v>
      </c>
      <c r="K594" s="55">
        <f t="shared" si="24"/>
        <v>320</v>
      </c>
      <c r="L594" s="55" t="s">
        <v>196</v>
      </c>
      <c r="M594" s="56" t="s">
        <v>780</v>
      </c>
      <c r="N594" s="57">
        <v>320</v>
      </c>
      <c r="O594" s="58" t="s">
        <v>32</v>
      </c>
      <c r="P594" s="14"/>
      <c r="Q594" s="1"/>
      <c r="R594" s="1"/>
      <c r="S594" s="1"/>
    </row>
    <row r="595" spans="1:19" x14ac:dyDescent="0.25">
      <c r="A595" s="6"/>
      <c r="B595" s="7">
        <v>44222</v>
      </c>
      <c r="C595" s="8" t="s">
        <v>37</v>
      </c>
      <c r="D595" s="8" t="s">
        <v>38</v>
      </c>
      <c r="E595" s="9" t="s">
        <v>39</v>
      </c>
      <c r="F595" s="9" t="s">
        <v>36</v>
      </c>
      <c r="G595" s="17">
        <v>0.89930555555555547</v>
      </c>
      <c r="H595" s="17">
        <v>0.9458333333333333</v>
      </c>
      <c r="I595" s="9">
        <v>13435</v>
      </c>
      <c r="J595" s="9">
        <v>6260</v>
      </c>
      <c r="K595" s="10">
        <f t="shared" si="24"/>
        <v>7175</v>
      </c>
      <c r="L595" s="10">
        <v>26400</v>
      </c>
      <c r="M595" s="11" t="s">
        <v>781</v>
      </c>
      <c r="N595" s="12">
        <v>7175</v>
      </c>
      <c r="O595" s="13" t="s">
        <v>32</v>
      </c>
      <c r="P595" s="14"/>
      <c r="Q595" s="1"/>
      <c r="R595" s="1"/>
      <c r="S595" s="1"/>
    </row>
    <row r="596" spans="1:19" x14ac:dyDescent="0.25">
      <c r="A596" s="6"/>
      <c r="B596" s="7">
        <v>44223</v>
      </c>
      <c r="C596" s="8" t="s">
        <v>142</v>
      </c>
      <c r="D596" s="8" t="s">
        <v>50</v>
      </c>
      <c r="E596" s="9" t="s">
        <v>285</v>
      </c>
      <c r="F596" s="9" t="s">
        <v>286</v>
      </c>
      <c r="G596" s="17">
        <v>0.13055555555555556</v>
      </c>
      <c r="H596" s="17">
        <v>0.14027777777777778</v>
      </c>
      <c r="I596" s="9">
        <v>32790</v>
      </c>
      <c r="J596" s="9">
        <v>16210</v>
      </c>
      <c r="K596" s="10">
        <f t="shared" si="24"/>
        <v>16580</v>
      </c>
      <c r="L596" s="10">
        <v>731</v>
      </c>
      <c r="M596" s="11" t="s">
        <v>782</v>
      </c>
      <c r="N596" s="12">
        <v>16888</v>
      </c>
      <c r="O596" s="13" t="s">
        <v>32</v>
      </c>
      <c r="P596" s="14"/>
      <c r="Q596" s="1"/>
      <c r="R596" s="1"/>
      <c r="S596" s="1"/>
    </row>
    <row r="597" spans="1:19" x14ac:dyDescent="0.25">
      <c r="A597" s="6"/>
      <c r="B597" s="7">
        <v>44223</v>
      </c>
      <c r="C597" s="8" t="s">
        <v>208</v>
      </c>
      <c r="D597" s="8" t="s">
        <v>209</v>
      </c>
      <c r="E597" s="9" t="s">
        <v>51</v>
      </c>
      <c r="F597" s="9" t="s">
        <v>52</v>
      </c>
      <c r="G597" s="17">
        <v>0.23055555555555554</v>
      </c>
      <c r="H597" s="17">
        <v>0.24166666666666667</v>
      </c>
      <c r="I597" s="9">
        <v>41560</v>
      </c>
      <c r="J597" s="9">
        <v>16590</v>
      </c>
      <c r="K597" s="10">
        <f t="shared" si="24"/>
        <v>24970</v>
      </c>
      <c r="L597" s="10">
        <v>40043</v>
      </c>
      <c r="M597" s="11" t="s">
        <v>783</v>
      </c>
      <c r="N597" s="12">
        <v>24970</v>
      </c>
      <c r="O597" s="13" t="s">
        <v>32</v>
      </c>
      <c r="P597" s="14"/>
    </row>
    <row r="598" spans="1:19" x14ac:dyDescent="0.25">
      <c r="A598" s="6"/>
      <c r="B598" s="15">
        <v>44223</v>
      </c>
      <c r="C598" s="8" t="s">
        <v>55</v>
      </c>
      <c r="D598" s="8" t="s">
        <v>465</v>
      </c>
      <c r="E598" s="9" t="s">
        <v>748</v>
      </c>
      <c r="F598" s="9" t="s">
        <v>749</v>
      </c>
      <c r="G598" s="17">
        <v>0.35138888888888892</v>
      </c>
      <c r="H598" s="17">
        <v>0.37083333333333335</v>
      </c>
      <c r="I598" s="9">
        <v>19180</v>
      </c>
      <c r="J598" s="9">
        <v>16900</v>
      </c>
      <c r="K598" s="10">
        <f t="shared" si="24"/>
        <v>2280</v>
      </c>
      <c r="L598" s="10">
        <v>3009</v>
      </c>
      <c r="M598" s="11" t="s">
        <v>77</v>
      </c>
      <c r="N598" s="12">
        <v>37</v>
      </c>
      <c r="O598" s="13" t="s">
        <v>80</v>
      </c>
      <c r="P598" s="14"/>
    </row>
    <row r="599" spans="1:19" x14ac:dyDescent="0.25">
      <c r="A599" s="6"/>
      <c r="B599" s="7">
        <v>44223</v>
      </c>
      <c r="C599" s="8" t="s">
        <v>164</v>
      </c>
      <c r="D599" s="8" t="s">
        <v>198</v>
      </c>
      <c r="E599" s="9" t="s">
        <v>405</v>
      </c>
      <c r="F599" s="9" t="s">
        <v>161</v>
      </c>
      <c r="G599" s="17">
        <v>0.3576388888888889</v>
      </c>
      <c r="H599" s="17">
        <v>0.3979166666666667</v>
      </c>
      <c r="I599" s="9">
        <v>18560</v>
      </c>
      <c r="J599" s="9">
        <v>43820</v>
      </c>
      <c r="K599" s="10">
        <f t="shared" si="24"/>
        <v>-25260</v>
      </c>
      <c r="L599" s="10">
        <v>15425</v>
      </c>
      <c r="M599" s="11" t="s">
        <v>166</v>
      </c>
      <c r="N599" s="12">
        <v>504</v>
      </c>
      <c r="O599" s="13" t="s">
        <v>54</v>
      </c>
      <c r="P599" s="14"/>
    </row>
    <row r="600" spans="1:19" x14ac:dyDescent="0.25">
      <c r="A600" s="6"/>
      <c r="B600" s="7">
        <v>44223</v>
      </c>
      <c r="C600" s="8" t="s">
        <v>164</v>
      </c>
      <c r="D600" s="8" t="s">
        <v>86</v>
      </c>
      <c r="E600" s="9" t="s">
        <v>87</v>
      </c>
      <c r="F600" s="9" t="s">
        <v>88</v>
      </c>
      <c r="G600" s="17">
        <v>0.36805555555555558</v>
      </c>
      <c r="H600" s="17">
        <v>0.40625</v>
      </c>
      <c r="I600" s="9">
        <v>16900</v>
      </c>
      <c r="J600" s="9">
        <v>42190</v>
      </c>
      <c r="K600" s="10">
        <f t="shared" si="24"/>
        <v>-25290</v>
      </c>
      <c r="L600" s="10">
        <v>15427</v>
      </c>
      <c r="M600" s="11" t="s">
        <v>166</v>
      </c>
      <c r="N600" s="12">
        <v>504</v>
      </c>
      <c r="O600" s="13" t="s">
        <v>54</v>
      </c>
      <c r="P600" s="14"/>
    </row>
    <row r="601" spans="1:19" x14ac:dyDescent="0.25">
      <c r="A601" s="6"/>
      <c r="B601" s="7">
        <v>44223</v>
      </c>
      <c r="C601" s="8" t="s">
        <v>164</v>
      </c>
      <c r="D601" s="8" t="s">
        <v>198</v>
      </c>
      <c r="E601" s="9" t="s">
        <v>405</v>
      </c>
      <c r="F601" s="9" t="s">
        <v>161</v>
      </c>
      <c r="G601" s="17">
        <v>0.47638888888888892</v>
      </c>
      <c r="H601" s="17">
        <v>0.50069444444444444</v>
      </c>
      <c r="I601" s="9">
        <v>18580</v>
      </c>
      <c r="J601" s="9">
        <v>43850</v>
      </c>
      <c r="K601" s="10">
        <f t="shared" si="24"/>
        <v>-25270</v>
      </c>
      <c r="L601" s="10">
        <v>15428</v>
      </c>
      <c r="M601" s="11" t="s">
        <v>166</v>
      </c>
      <c r="N601" s="12">
        <v>504</v>
      </c>
      <c r="O601" s="13" t="s">
        <v>54</v>
      </c>
      <c r="P601" s="14"/>
    </row>
    <row r="602" spans="1:19" x14ac:dyDescent="0.25">
      <c r="A602" s="6"/>
      <c r="B602" s="7">
        <v>44223</v>
      </c>
      <c r="C602" s="8" t="s">
        <v>164</v>
      </c>
      <c r="D602" s="8" t="s">
        <v>86</v>
      </c>
      <c r="E602" s="9" t="s">
        <v>87</v>
      </c>
      <c r="F602" s="9" t="s">
        <v>88</v>
      </c>
      <c r="G602" s="17">
        <v>0.49861111111111112</v>
      </c>
      <c r="H602" s="17">
        <v>0.56736111111111109</v>
      </c>
      <c r="I602" s="9">
        <v>25410</v>
      </c>
      <c r="J602" s="9">
        <v>16270</v>
      </c>
      <c r="K602" s="10">
        <f t="shared" si="24"/>
        <v>9140</v>
      </c>
      <c r="L602" s="10">
        <v>15377</v>
      </c>
      <c r="M602" s="11" t="s">
        <v>398</v>
      </c>
      <c r="N602" s="12">
        <v>180</v>
      </c>
      <c r="O602" s="13" t="s">
        <v>54</v>
      </c>
      <c r="P602" s="14"/>
    </row>
    <row r="603" spans="1:19" x14ac:dyDescent="0.25">
      <c r="A603" s="6"/>
      <c r="B603" s="7">
        <v>44223</v>
      </c>
      <c r="C603" s="8" t="s">
        <v>164</v>
      </c>
      <c r="D603" s="8" t="s">
        <v>86</v>
      </c>
      <c r="E603" s="9" t="s">
        <v>87</v>
      </c>
      <c r="F603" s="9" t="s">
        <v>88</v>
      </c>
      <c r="G603" s="17">
        <v>0.56805555555555554</v>
      </c>
      <c r="H603" s="17">
        <v>0.59722222222222221</v>
      </c>
      <c r="I603" s="9">
        <v>16870</v>
      </c>
      <c r="J603" s="9">
        <v>42160</v>
      </c>
      <c r="K603" s="10">
        <f t="shared" si="24"/>
        <v>-25290</v>
      </c>
      <c r="L603" s="10">
        <v>15429</v>
      </c>
      <c r="M603" s="11" t="s">
        <v>166</v>
      </c>
      <c r="N603" s="12">
        <v>504</v>
      </c>
      <c r="O603" s="13" t="s">
        <v>54</v>
      </c>
      <c r="P603" s="14"/>
      <c r="R603">
        <f>208+90+90</f>
        <v>388</v>
      </c>
    </row>
    <row r="604" spans="1:19" x14ac:dyDescent="0.25">
      <c r="A604" s="6"/>
      <c r="B604" s="7">
        <v>44223</v>
      </c>
      <c r="C604" s="8" t="s">
        <v>208</v>
      </c>
      <c r="D604" s="8" t="s">
        <v>209</v>
      </c>
      <c r="E604" s="9" t="s">
        <v>466</v>
      </c>
      <c r="F604" s="9" t="s">
        <v>52</v>
      </c>
      <c r="G604" s="17">
        <v>0.58194444444444449</v>
      </c>
      <c r="H604" s="17">
        <v>0.59583333333333333</v>
      </c>
      <c r="I604" s="9">
        <v>40850</v>
      </c>
      <c r="J604" s="9">
        <v>16570</v>
      </c>
      <c r="K604" s="10">
        <f t="shared" si="24"/>
        <v>24280</v>
      </c>
      <c r="L604" s="10">
        <v>40066</v>
      </c>
      <c r="M604" s="11" t="s">
        <v>782</v>
      </c>
      <c r="N604" s="12">
        <v>24290</v>
      </c>
      <c r="O604" s="13" t="s">
        <v>32</v>
      </c>
      <c r="P604" s="14"/>
    </row>
    <row r="605" spans="1:19" x14ac:dyDescent="0.25">
      <c r="A605" s="6"/>
      <c r="B605" s="7">
        <v>44223</v>
      </c>
      <c r="C605" s="8" t="s">
        <v>424</v>
      </c>
      <c r="D605" s="8" t="s">
        <v>706</v>
      </c>
      <c r="E605" s="9" t="s">
        <v>707</v>
      </c>
      <c r="F605" s="9" t="s">
        <v>36</v>
      </c>
      <c r="G605" s="17">
        <v>0.62916666666666665</v>
      </c>
      <c r="H605" s="17">
        <v>0.75138888888888899</v>
      </c>
      <c r="I605" s="9">
        <v>16800</v>
      </c>
      <c r="J605" s="9">
        <v>51900</v>
      </c>
      <c r="K605" s="10">
        <f t="shared" si="24"/>
        <v>-35100</v>
      </c>
      <c r="L605" s="10">
        <v>5726</v>
      </c>
      <c r="M605" s="11" t="s">
        <v>53</v>
      </c>
      <c r="N605" s="12">
        <v>700</v>
      </c>
      <c r="O605" s="13" t="s">
        <v>54</v>
      </c>
      <c r="P605" s="14"/>
    </row>
    <row r="606" spans="1:19" x14ac:dyDescent="0.25">
      <c r="A606" s="6"/>
      <c r="B606" s="7">
        <v>44223</v>
      </c>
      <c r="C606" s="8" t="s">
        <v>289</v>
      </c>
      <c r="D606" s="8" t="s">
        <v>552</v>
      </c>
      <c r="E606" s="9" t="s">
        <v>110</v>
      </c>
      <c r="F606" s="9" t="s">
        <v>111</v>
      </c>
      <c r="G606" s="17">
        <v>0.64166666666666672</v>
      </c>
      <c r="H606" s="17">
        <v>0.70416666666666661</v>
      </c>
      <c r="I606" s="9">
        <v>10220</v>
      </c>
      <c r="J606" s="9">
        <v>6480</v>
      </c>
      <c r="K606" s="10">
        <f t="shared" si="24"/>
        <v>3740</v>
      </c>
      <c r="L606" s="10">
        <v>9045</v>
      </c>
      <c r="M606" s="11" t="s">
        <v>48</v>
      </c>
      <c r="N606" s="12">
        <v>3740</v>
      </c>
      <c r="O606" s="13" t="s">
        <v>32</v>
      </c>
      <c r="P606" s="14"/>
    </row>
    <row r="607" spans="1:19" s="51" customFormat="1" x14ac:dyDescent="0.25">
      <c r="A607" s="41"/>
      <c r="B607" s="42">
        <v>44223</v>
      </c>
      <c r="C607" s="43" t="s">
        <v>37</v>
      </c>
      <c r="D607" s="43" t="s">
        <v>602</v>
      </c>
      <c r="E607" s="44" t="s">
        <v>277</v>
      </c>
      <c r="F607" s="44" t="s">
        <v>266</v>
      </c>
      <c r="G607" s="45">
        <v>0.64374999999999993</v>
      </c>
      <c r="H607" s="45">
        <v>0.71666666666666667</v>
      </c>
      <c r="I607" s="44">
        <v>6250</v>
      </c>
      <c r="J607" s="44">
        <v>5500</v>
      </c>
      <c r="K607" s="46">
        <f t="shared" si="24"/>
        <v>750</v>
      </c>
      <c r="L607" s="46" t="s">
        <v>196</v>
      </c>
      <c r="M607" s="47" t="s">
        <v>786</v>
      </c>
      <c r="N607" s="48">
        <v>750</v>
      </c>
      <c r="O607" s="49" t="s">
        <v>32</v>
      </c>
      <c r="P607" s="50"/>
    </row>
    <row r="608" spans="1:19" x14ac:dyDescent="0.25">
      <c r="A608" s="6"/>
      <c r="B608" s="7">
        <v>44223</v>
      </c>
      <c r="C608" s="8" t="s">
        <v>164</v>
      </c>
      <c r="D608" s="8" t="s">
        <v>198</v>
      </c>
      <c r="E608" s="9" t="s">
        <v>405</v>
      </c>
      <c r="F608" s="9" t="s">
        <v>161</v>
      </c>
      <c r="G608" s="17">
        <v>0.65208333333333335</v>
      </c>
      <c r="H608" s="17">
        <v>0.67083333333333339</v>
      </c>
      <c r="I608" s="9">
        <v>36550</v>
      </c>
      <c r="J608" s="9">
        <v>18510</v>
      </c>
      <c r="K608" s="10">
        <f t="shared" si="24"/>
        <v>18040</v>
      </c>
      <c r="L608" s="10">
        <v>15378</v>
      </c>
      <c r="M608" s="11" t="s">
        <v>398</v>
      </c>
      <c r="N608" s="12">
        <v>358</v>
      </c>
      <c r="O608" s="13" t="s">
        <v>54</v>
      </c>
      <c r="P608" s="14"/>
    </row>
    <row r="609" spans="1:23" x14ac:dyDescent="0.25">
      <c r="A609" s="6"/>
      <c r="B609" s="7">
        <v>44223</v>
      </c>
      <c r="C609" s="8" t="s">
        <v>424</v>
      </c>
      <c r="D609" s="8" t="s">
        <v>86</v>
      </c>
      <c r="E609" s="9" t="s">
        <v>87</v>
      </c>
      <c r="F609" s="9" t="s">
        <v>88</v>
      </c>
      <c r="G609" s="17">
        <v>0.66875000000000007</v>
      </c>
      <c r="H609" s="17">
        <v>0.78402777777777777</v>
      </c>
      <c r="I609" s="9">
        <v>15650</v>
      </c>
      <c r="J609" s="9">
        <v>50760</v>
      </c>
      <c r="K609" s="10">
        <f t="shared" si="24"/>
        <v>-35110</v>
      </c>
      <c r="L609" s="10">
        <v>5729</v>
      </c>
      <c r="M609" s="11" t="s">
        <v>53</v>
      </c>
      <c r="N609" s="12">
        <v>700</v>
      </c>
      <c r="O609" s="13" t="s">
        <v>54</v>
      </c>
      <c r="P609" s="14"/>
    </row>
    <row r="610" spans="1:23" x14ac:dyDescent="0.25">
      <c r="A610" s="6"/>
      <c r="B610" s="7">
        <v>44223</v>
      </c>
      <c r="C610" s="8" t="s">
        <v>610</v>
      </c>
      <c r="D610" s="8" t="s">
        <v>610</v>
      </c>
      <c r="E610" s="9" t="s">
        <v>611</v>
      </c>
      <c r="F610" s="9" t="s">
        <v>36</v>
      </c>
      <c r="G610" s="17">
        <v>0.67986111111111114</v>
      </c>
      <c r="H610" s="17">
        <v>0.70972222222222225</v>
      </c>
      <c r="I610" s="9">
        <v>8220</v>
      </c>
      <c r="J610" s="9">
        <v>7570</v>
      </c>
      <c r="K610" s="10">
        <f t="shared" si="24"/>
        <v>650</v>
      </c>
      <c r="L610" s="10">
        <v>26401</v>
      </c>
      <c r="M610" s="11" t="s">
        <v>159</v>
      </c>
      <c r="N610" s="12">
        <v>650</v>
      </c>
      <c r="O610" s="13" t="s">
        <v>32</v>
      </c>
      <c r="P610" s="14"/>
    </row>
    <row r="611" spans="1:23" x14ac:dyDescent="0.25">
      <c r="A611" s="6"/>
      <c r="B611" s="7">
        <v>44223</v>
      </c>
      <c r="C611" s="8" t="s">
        <v>55</v>
      </c>
      <c r="D611" s="8" t="s">
        <v>143</v>
      </c>
      <c r="E611" s="9" t="s">
        <v>144</v>
      </c>
      <c r="F611" s="9" t="s">
        <v>626</v>
      </c>
      <c r="G611" s="17">
        <v>0.68333333333333324</v>
      </c>
      <c r="H611" s="17">
        <v>0.75624999999999998</v>
      </c>
      <c r="I611" s="9">
        <v>16380</v>
      </c>
      <c r="J611" s="9">
        <v>51630</v>
      </c>
      <c r="K611" s="10">
        <f t="shared" si="24"/>
        <v>-35250</v>
      </c>
      <c r="L611" s="10">
        <v>5725</v>
      </c>
      <c r="M611" s="11" t="s">
        <v>53</v>
      </c>
      <c r="N611" s="12">
        <v>700</v>
      </c>
      <c r="O611" s="13" t="s">
        <v>54</v>
      </c>
      <c r="P611" s="14"/>
    </row>
    <row r="612" spans="1:23" x14ac:dyDescent="0.25">
      <c r="A612" s="6"/>
      <c r="B612" s="7">
        <v>44223</v>
      </c>
      <c r="C612" s="8" t="s">
        <v>55</v>
      </c>
      <c r="D612" s="8" t="s">
        <v>198</v>
      </c>
      <c r="E612" s="9" t="s">
        <v>405</v>
      </c>
      <c r="F612" s="9" t="s">
        <v>161</v>
      </c>
      <c r="G612" s="17">
        <v>0.71388888888888891</v>
      </c>
      <c r="H612" s="17">
        <v>0.7631944444444444</v>
      </c>
      <c r="I612" s="9">
        <v>17240</v>
      </c>
      <c r="J612" s="9">
        <v>40390</v>
      </c>
      <c r="K612" s="10">
        <f t="shared" si="24"/>
        <v>-23150</v>
      </c>
      <c r="L612" s="10">
        <v>5728</v>
      </c>
      <c r="M612" s="11" t="s">
        <v>89</v>
      </c>
      <c r="N612" s="12">
        <v>21999</v>
      </c>
      <c r="O612" s="13" t="s">
        <v>32</v>
      </c>
      <c r="P612" s="14" t="s">
        <v>753</v>
      </c>
    </row>
    <row r="613" spans="1:23" x14ac:dyDescent="0.25">
      <c r="A613" s="6"/>
      <c r="B613" s="7">
        <v>44223</v>
      </c>
      <c r="C613" s="8" t="s">
        <v>55</v>
      </c>
      <c r="D613" s="8" t="s">
        <v>299</v>
      </c>
      <c r="E613" s="9" t="s">
        <v>490</v>
      </c>
      <c r="F613" s="9" t="s">
        <v>491</v>
      </c>
      <c r="G613" s="17">
        <v>0.72569444444444453</v>
      </c>
      <c r="H613" s="17">
        <v>0.20555555555555557</v>
      </c>
      <c r="I613" s="9">
        <v>16190</v>
      </c>
      <c r="J613" s="9">
        <v>51320</v>
      </c>
      <c r="K613" s="10">
        <f t="shared" si="24"/>
        <v>-35130</v>
      </c>
      <c r="L613" s="10">
        <v>5727</v>
      </c>
      <c r="M613" s="11" t="s">
        <v>53</v>
      </c>
      <c r="N613" s="12">
        <v>700</v>
      </c>
      <c r="O613" s="13" t="s">
        <v>54</v>
      </c>
      <c r="P613" s="14"/>
      <c r="S613" t="s">
        <v>787</v>
      </c>
    </row>
    <row r="614" spans="1:23" x14ac:dyDescent="0.25">
      <c r="A614" s="6"/>
      <c r="B614" s="7">
        <v>44223</v>
      </c>
      <c r="C614" s="8" t="s">
        <v>768</v>
      </c>
      <c r="D614" s="8" t="s">
        <v>735</v>
      </c>
      <c r="E614" s="9" t="s">
        <v>585</v>
      </c>
      <c r="F614" s="9" t="s">
        <v>36</v>
      </c>
      <c r="G614" s="17">
        <v>0.75902777777777775</v>
      </c>
      <c r="H614" s="17">
        <v>0.78888888888888886</v>
      </c>
      <c r="I614" s="9">
        <v>17670</v>
      </c>
      <c r="J614" s="9">
        <v>48990</v>
      </c>
      <c r="K614" s="10">
        <f t="shared" si="24"/>
        <v>-31320</v>
      </c>
      <c r="L614" s="10">
        <v>5730</v>
      </c>
      <c r="M614" s="11" t="s">
        <v>53</v>
      </c>
      <c r="N614" s="12">
        <v>600</v>
      </c>
      <c r="O614" s="13" t="s">
        <v>54</v>
      </c>
      <c r="P614" s="14" t="s">
        <v>168</v>
      </c>
    </row>
    <row r="615" spans="1:23" x14ac:dyDescent="0.25">
      <c r="A615" s="6"/>
      <c r="B615" s="7">
        <v>44223</v>
      </c>
      <c r="C615" s="8" t="s">
        <v>424</v>
      </c>
      <c r="D615" s="8" t="s">
        <v>788</v>
      </c>
      <c r="E615" s="9" t="s">
        <v>789</v>
      </c>
      <c r="F615" s="9" t="s">
        <v>36</v>
      </c>
      <c r="G615" s="17">
        <v>0.78819444444444453</v>
      </c>
      <c r="H615" s="17"/>
      <c r="I615" s="9">
        <v>18570</v>
      </c>
      <c r="J615" s="9"/>
      <c r="K615" s="10">
        <f t="shared" si="24"/>
        <v>18570</v>
      </c>
      <c r="L615" s="10"/>
      <c r="M615" s="11" t="s">
        <v>53</v>
      </c>
      <c r="N615" s="12"/>
      <c r="O615" s="13" t="s">
        <v>54</v>
      </c>
      <c r="P615" s="14" t="s">
        <v>799</v>
      </c>
      <c r="Q615">
        <v>31320</v>
      </c>
      <c r="R615">
        <f>+Q615-1104</f>
        <v>30216</v>
      </c>
    </row>
    <row r="616" spans="1:23" x14ac:dyDescent="0.25">
      <c r="A616" s="6"/>
      <c r="B616" s="7">
        <v>44223</v>
      </c>
      <c r="C616" s="8" t="s">
        <v>208</v>
      </c>
      <c r="D616" s="8" t="s">
        <v>209</v>
      </c>
      <c r="E616" s="9" t="s">
        <v>466</v>
      </c>
      <c r="F616" s="9" t="s">
        <v>52</v>
      </c>
      <c r="G616" s="17">
        <v>0.79166666666666663</v>
      </c>
      <c r="H616" s="17">
        <v>0.79999999999999993</v>
      </c>
      <c r="I616" s="9">
        <v>37990</v>
      </c>
      <c r="J616" s="9">
        <v>16560</v>
      </c>
      <c r="K616" s="10">
        <f t="shared" si="24"/>
        <v>21430</v>
      </c>
      <c r="L616" s="10">
        <v>40066</v>
      </c>
      <c r="M616" s="11" t="s">
        <v>782</v>
      </c>
      <c r="N616" s="12">
        <v>21420</v>
      </c>
      <c r="O616" s="13" t="s">
        <v>32</v>
      </c>
      <c r="P616" s="14"/>
    </row>
    <row r="617" spans="1:23" x14ac:dyDescent="0.25">
      <c r="A617" s="6"/>
      <c r="B617" s="7">
        <v>44223</v>
      </c>
      <c r="C617" s="8" t="s">
        <v>98</v>
      </c>
      <c r="D617" s="8" t="s">
        <v>103</v>
      </c>
      <c r="E617" s="9" t="s">
        <v>104</v>
      </c>
      <c r="F617" s="9" t="s">
        <v>36</v>
      </c>
      <c r="G617" s="17">
        <v>0.80208333333333337</v>
      </c>
      <c r="H617" s="17">
        <v>0.8833333333333333</v>
      </c>
      <c r="I617" s="9">
        <v>16860</v>
      </c>
      <c r="J617" s="9">
        <v>48230</v>
      </c>
      <c r="K617" s="10">
        <f t="shared" si="24"/>
        <v>-31370</v>
      </c>
      <c r="L617" s="10">
        <v>5731</v>
      </c>
      <c r="M617" s="11" t="s">
        <v>53</v>
      </c>
      <c r="N617" s="12">
        <v>600</v>
      </c>
      <c r="O617" s="13" t="s">
        <v>54</v>
      </c>
      <c r="P617" s="14" t="s">
        <v>168</v>
      </c>
    </row>
    <row r="618" spans="1:23" x14ac:dyDescent="0.25">
      <c r="A618" s="6"/>
      <c r="B618" s="7">
        <v>44223</v>
      </c>
      <c r="C618" s="8" t="s">
        <v>790</v>
      </c>
      <c r="D618" s="8" t="s">
        <v>458</v>
      </c>
      <c r="E618" s="9" t="s">
        <v>699</v>
      </c>
      <c r="F618" s="9" t="s">
        <v>459</v>
      </c>
      <c r="G618" s="17">
        <v>0.80833333333333324</v>
      </c>
      <c r="H618" s="17">
        <v>0.34722222222222227</v>
      </c>
      <c r="I618" s="9">
        <v>16480</v>
      </c>
      <c r="J618" s="9">
        <v>8270</v>
      </c>
      <c r="K618" s="10">
        <f t="shared" si="24"/>
        <v>8210</v>
      </c>
      <c r="L618" s="10" t="s">
        <v>791</v>
      </c>
      <c r="M618" s="11" t="s">
        <v>718</v>
      </c>
      <c r="N618" s="12">
        <v>8210</v>
      </c>
      <c r="O618" s="13" t="s">
        <v>32</v>
      </c>
      <c r="P618" s="14"/>
      <c r="R618" t="s">
        <v>90</v>
      </c>
      <c r="S618">
        <v>11</v>
      </c>
      <c r="T618">
        <v>58</v>
      </c>
      <c r="U618">
        <f>+T618*S618</f>
        <v>638</v>
      </c>
    </row>
    <row r="619" spans="1:23" x14ac:dyDescent="0.25">
      <c r="A619" s="6"/>
      <c r="B619" s="7">
        <v>44223</v>
      </c>
      <c r="C619" s="8" t="s">
        <v>208</v>
      </c>
      <c r="D619" s="8" t="s">
        <v>479</v>
      </c>
      <c r="E619" s="9" t="s">
        <v>614</v>
      </c>
      <c r="F619" s="9" t="s">
        <v>615</v>
      </c>
      <c r="G619" s="17">
        <v>0.80902777777777779</v>
      </c>
      <c r="H619" s="17">
        <v>0.44375000000000003</v>
      </c>
      <c r="I619" s="9">
        <v>36230</v>
      </c>
      <c r="J619" s="9">
        <v>15850</v>
      </c>
      <c r="K619" s="10">
        <f t="shared" si="24"/>
        <v>20380</v>
      </c>
      <c r="L619" s="10">
        <v>40080</v>
      </c>
      <c r="M619" s="11" t="s">
        <v>771</v>
      </c>
      <c r="N619" s="12">
        <v>20810</v>
      </c>
      <c r="O619" s="13" t="s">
        <v>32</v>
      </c>
      <c r="P619" s="14"/>
      <c r="R619" t="s">
        <v>91</v>
      </c>
      <c r="S619">
        <v>9</v>
      </c>
      <c r="T619">
        <v>57</v>
      </c>
      <c r="U619" s="1">
        <f>+T619*S619</f>
        <v>513</v>
      </c>
    </row>
    <row r="620" spans="1:23" x14ac:dyDescent="0.25">
      <c r="A620" s="6"/>
      <c r="B620" s="7">
        <v>44223</v>
      </c>
      <c r="C620" s="8" t="s">
        <v>37</v>
      </c>
      <c r="D620" s="8" t="s">
        <v>38</v>
      </c>
      <c r="E620" s="9" t="s">
        <v>39</v>
      </c>
      <c r="F620" s="9" t="s">
        <v>792</v>
      </c>
      <c r="G620" s="17">
        <v>0.92847222222222225</v>
      </c>
      <c r="H620" s="17">
        <v>0.97222222222222221</v>
      </c>
      <c r="I620" s="9">
        <v>13660</v>
      </c>
      <c r="J620" s="9">
        <v>6300</v>
      </c>
      <c r="K620" s="10">
        <f t="shared" si="24"/>
        <v>7360</v>
      </c>
      <c r="L620" s="10">
        <v>26402</v>
      </c>
      <c r="M620" s="11" t="s">
        <v>781</v>
      </c>
      <c r="N620" s="12">
        <v>7360</v>
      </c>
      <c r="O620" s="13" t="s">
        <v>32</v>
      </c>
      <c r="P620" s="14"/>
      <c r="S620">
        <f>+S619+S618</f>
        <v>20</v>
      </c>
      <c r="U620" s="1">
        <f>+U619+U618</f>
        <v>1151</v>
      </c>
      <c r="V620">
        <v>23150</v>
      </c>
      <c r="W620">
        <f>+V620-U620</f>
        <v>21999</v>
      </c>
    </row>
    <row r="621" spans="1:23" x14ac:dyDescent="0.25">
      <c r="A621" s="6"/>
      <c r="B621" s="7">
        <v>44224</v>
      </c>
      <c r="C621" s="8" t="s">
        <v>443</v>
      </c>
      <c r="D621" s="8" t="s">
        <v>336</v>
      </c>
      <c r="E621" s="9" t="s">
        <v>337</v>
      </c>
      <c r="F621" s="9" t="s">
        <v>36</v>
      </c>
      <c r="G621" s="17">
        <v>4.027777777777778E-2</v>
      </c>
      <c r="H621" s="17">
        <v>0.14652777777777778</v>
      </c>
      <c r="I621" s="9">
        <v>18040</v>
      </c>
      <c r="J621" s="9">
        <v>7760</v>
      </c>
      <c r="K621" s="10">
        <f t="shared" si="24"/>
        <v>10280</v>
      </c>
      <c r="L621" s="10" t="s">
        <v>793</v>
      </c>
      <c r="M621" s="11" t="s">
        <v>794</v>
      </c>
      <c r="N621" s="12">
        <v>10291</v>
      </c>
      <c r="O621" s="13" t="s">
        <v>32</v>
      </c>
      <c r="P621" s="14"/>
    </row>
    <row r="622" spans="1:23" x14ac:dyDescent="0.25">
      <c r="A622" s="6"/>
      <c r="B622" s="7">
        <v>44224</v>
      </c>
      <c r="C622" s="8" t="s">
        <v>142</v>
      </c>
      <c r="D622" s="8" t="s">
        <v>50</v>
      </c>
      <c r="E622" s="9" t="s">
        <v>285</v>
      </c>
      <c r="F622" s="9" t="s">
        <v>286</v>
      </c>
      <c r="G622" s="17">
        <v>0.1076388888888889</v>
      </c>
      <c r="H622" s="17">
        <v>0.12013888888888889</v>
      </c>
      <c r="I622" s="9">
        <v>32550</v>
      </c>
      <c r="J622" s="9">
        <v>16280</v>
      </c>
      <c r="K622" s="10">
        <f t="shared" ref="K622" si="25">+I622-J622</f>
        <v>16270</v>
      </c>
      <c r="L622" s="10">
        <v>732</v>
      </c>
      <c r="M622" s="11" t="s">
        <v>773</v>
      </c>
      <c r="N622" s="12">
        <v>16619</v>
      </c>
      <c r="O622" s="13" t="s">
        <v>32</v>
      </c>
      <c r="P622" s="14"/>
    </row>
    <row r="623" spans="1:23" x14ac:dyDescent="0.25">
      <c r="A623" s="6"/>
      <c r="B623" s="7">
        <v>44224</v>
      </c>
      <c r="C623" s="8" t="s">
        <v>208</v>
      </c>
      <c r="D623" s="8" t="s">
        <v>209</v>
      </c>
      <c r="E623" s="9" t="s">
        <v>51</v>
      </c>
      <c r="F623" s="17" t="s">
        <v>52</v>
      </c>
      <c r="G623" s="17">
        <v>0.23819444444444446</v>
      </c>
      <c r="H623" s="17">
        <v>0.24583333333333335</v>
      </c>
      <c r="I623" s="9">
        <v>41030</v>
      </c>
      <c r="J623" s="9">
        <v>16620</v>
      </c>
      <c r="K623" s="10">
        <f t="shared" si="24"/>
        <v>24410</v>
      </c>
      <c r="L623" s="10">
        <v>40066</v>
      </c>
      <c r="M623" s="11" t="s">
        <v>773</v>
      </c>
      <c r="N623" s="12">
        <v>24320</v>
      </c>
      <c r="O623" s="13" t="s">
        <v>32</v>
      </c>
      <c r="P623" s="14"/>
    </row>
    <row r="624" spans="1:23" x14ac:dyDescent="0.25">
      <c r="A624" s="6"/>
      <c r="B624" s="15">
        <v>44224</v>
      </c>
      <c r="C624" s="16" t="s">
        <v>164</v>
      </c>
      <c r="D624" s="8" t="s">
        <v>479</v>
      </c>
      <c r="E624" s="9" t="s">
        <v>761</v>
      </c>
      <c r="F624" s="9" t="s">
        <v>762</v>
      </c>
      <c r="G624" s="17">
        <v>0.48472222222222222</v>
      </c>
      <c r="H624" s="17">
        <v>0.49652777777777773</v>
      </c>
      <c r="I624" s="9">
        <v>15660</v>
      </c>
      <c r="J624" s="9">
        <v>6540</v>
      </c>
      <c r="K624" s="10">
        <f t="shared" si="24"/>
        <v>9120</v>
      </c>
      <c r="L624" s="10">
        <v>15364</v>
      </c>
      <c r="M624" s="11" t="s">
        <v>398</v>
      </c>
      <c r="N624" s="12">
        <v>180</v>
      </c>
      <c r="O624" s="13" t="s">
        <v>54</v>
      </c>
      <c r="P624" s="14"/>
    </row>
    <row r="625" spans="1:17" x14ac:dyDescent="0.25">
      <c r="A625" s="6"/>
      <c r="B625" s="7">
        <v>44224</v>
      </c>
      <c r="C625" s="8" t="s">
        <v>208</v>
      </c>
      <c r="D625" s="8" t="s">
        <v>209</v>
      </c>
      <c r="E625" s="9" t="s">
        <v>51</v>
      </c>
      <c r="F625" s="17" t="s">
        <v>52</v>
      </c>
      <c r="G625" s="17">
        <v>0.49444444444444446</v>
      </c>
      <c r="H625" s="17">
        <v>0.50763888888888886</v>
      </c>
      <c r="I625" s="9">
        <v>40270</v>
      </c>
      <c r="J625" s="9">
        <v>16590</v>
      </c>
      <c r="K625" s="10">
        <f t="shared" si="24"/>
        <v>23680</v>
      </c>
      <c r="L625" s="10" t="s">
        <v>796</v>
      </c>
      <c r="M625" s="11" t="s">
        <v>795</v>
      </c>
      <c r="N625" s="12">
        <v>23650</v>
      </c>
      <c r="O625" s="13" t="s">
        <v>32</v>
      </c>
      <c r="P625" s="14"/>
    </row>
    <row r="626" spans="1:17" s="51" customFormat="1" x14ac:dyDescent="0.25">
      <c r="A626" s="41"/>
      <c r="B626" s="42">
        <v>44223</v>
      </c>
      <c r="C626" s="43" t="s">
        <v>797</v>
      </c>
      <c r="D626" s="43" t="s">
        <v>602</v>
      </c>
      <c r="E626" s="44" t="s">
        <v>277</v>
      </c>
      <c r="F626" s="44" t="s">
        <v>266</v>
      </c>
      <c r="G626" s="45">
        <v>0.5541666666666667</v>
      </c>
      <c r="H626" s="45">
        <v>0.57430555555555551</v>
      </c>
      <c r="I626" s="44">
        <v>5580</v>
      </c>
      <c r="J626" s="44">
        <v>6180</v>
      </c>
      <c r="K626" s="46">
        <f t="shared" ref="K626" si="26">+I626-J626</f>
        <v>-600</v>
      </c>
      <c r="L626" s="46" t="s">
        <v>196</v>
      </c>
      <c r="M626" s="47" t="s">
        <v>798</v>
      </c>
      <c r="N626" s="48">
        <v>600</v>
      </c>
      <c r="O626" s="49" t="s">
        <v>32</v>
      </c>
      <c r="P626" s="50"/>
    </row>
    <row r="627" spans="1:17" x14ac:dyDescent="0.25">
      <c r="A627" s="6"/>
      <c r="B627" s="7">
        <v>44224</v>
      </c>
      <c r="C627" s="8" t="s">
        <v>164</v>
      </c>
      <c r="D627" s="8" t="s">
        <v>479</v>
      </c>
      <c r="E627" s="9" t="s">
        <v>761</v>
      </c>
      <c r="F627" s="9" t="s">
        <v>762</v>
      </c>
      <c r="G627" s="17">
        <v>0.59652777777777777</v>
      </c>
      <c r="H627" s="17">
        <v>0.61111111111111105</v>
      </c>
      <c r="I627" s="9">
        <v>14020</v>
      </c>
      <c r="J627" s="9">
        <v>6380</v>
      </c>
      <c r="K627" s="10">
        <f t="shared" si="24"/>
        <v>7640</v>
      </c>
      <c r="L627" s="10">
        <v>15381</v>
      </c>
      <c r="M627" s="11" t="s">
        <v>398</v>
      </c>
      <c r="N627" s="12">
        <v>150</v>
      </c>
      <c r="O627" s="13" t="s">
        <v>54</v>
      </c>
      <c r="P627" s="14"/>
    </row>
    <row r="628" spans="1:17" x14ac:dyDescent="0.25">
      <c r="A628" s="6"/>
      <c r="B628" s="7">
        <v>44224</v>
      </c>
      <c r="C628" s="8" t="s">
        <v>509</v>
      </c>
      <c r="D628" s="8" t="s">
        <v>510</v>
      </c>
      <c r="E628" s="9" t="s">
        <v>412</v>
      </c>
      <c r="F628" s="9" t="s">
        <v>36</v>
      </c>
      <c r="G628" s="17">
        <v>0.62013888888888891</v>
      </c>
      <c r="H628" s="17">
        <v>0.67638888888888893</v>
      </c>
      <c r="I628" s="9">
        <v>19400</v>
      </c>
      <c r="J628" s="9">
        <v>8740</v>
      </c>
      <c r="K628" s="10">
        <f t="shared" si="24"/>
        <v>10660</v>
      </c>
      <c r="L628" s="10" t="s">
        <v>802</v>
      </c>
      <c r="M628" s="11" t="s">
        <v>800</v>
      </c>
      <c r="N628" s="12">
        <v>10660</v>
      </c>
      <c r="O628" s="13" t="s">
        <v>32</v>
      </c>
      <c r="P628" s="14" t="s">
        <v>801</v>
      </c>
    </row>
    <row r="629" spans="1:17" x14ac:dyDescent="0.25">
      <c r="A629" s="6"/>
      <c r="B629" s="7">
        <v>44224</v>
      </c>
      <c r="C629" s="8" t="s">
        <v>55</v>
      </c>
      <c r="D629" s="8" t="s">
        <v>86</v>
      </c>
      <c r="E629" s="9" t="s">
        <v>87</v>
      </c>
      <c r="F629" s="9" t="s">
        <v>88</v>
      </c>
      <c r="G629" s="17">
        <v>0.66666666666666663</v>
      </c>
      <c r="H629" s="17">
        <v>0.78541666666666676</v>
      </c>
      <c r="I629" s="9">
        <v>15860</v>
      </c>
      <c r="J629" s="9">
        <v>51170</v>
      </c>
      <c r="K629" s="10">
        <f t="shared" si="24"/>
        <v>-35310</v>
      </c>
      <c r="L629" s="10">
        <v>5735</v>
      </c>
      <c r="M629" s="11" t="s">
        <v>53</v>
      </c>
      <c r="N629" s="12">
        <v>700</v>
      </c>
      <c r="O629" s="13" t="s">
        <v>54</v>
      </c>
      <c r="P629" s="14"/>
      <c r="Q629" s="1"/>
    </row>
    <row r="630" spans="1:17" x14ac:dyDescent="0.25">
      <c r="A630" s="6"/>
      <c r="B630" s="7">
        <v>44224</v>
      </c>
      <c r="C630" s="8" t="s">
        <v>55</v>
      </c>
      <c r="D630" s="8" t="s">
        <v>143</v>
      </c>
      <c r="E630" s="9" t="s">
        <v>144</v>
      </c>
      <c r="F630" s="9" t="s">
        <v>626</v>
      </c>
      <c r="G630" s="17">
        <v>0.66805555555555562</v>
      </c>
      <c r="H630" s="17">
        <v>0.78333333333333333</v>
      </c>
      <c r="I630" s="9">
        <v>16440</v>
      </c>
      <c r="J630" s="9">
        <v>51500</v>
      </c>
      <c r="K630" s="10">
        <f t="shared" si="24"/>
        <v>-35060</v>
      </c>
      <c r="L630" s="10">
        <v>5734</v>
      </c>
      <c r="M630" s="11" t="s">
        <v>53</v>
      </c>
      <c r="N630" s="12">
        <v>700</v>
      </c>
      <c r="O630" s="13" t="s">
        <v>54</v>
      </c>
      <c r="P630" s="14"/>
      <c r="Q630" s="1"/>
    </row>
    <row r="631" spans="1:17" x14ac:dyDescent="0.25">
      <c r="A631" s="6"/>
      <c r="B631" s="7">
        <v>44224</v>
      </c>
      <c r="C631" s="8" t="s">
        <v>164</v>
      </c>
      <c r="D631" s="8" t="s">
        <v>479</v>
      </c>
      <c r="E631" s="9" t="s">
        <v>761</v>
      </c>
      <c r="F631" s="9" t="s">
        <v>762</v>
      </c>
      <c r="G631" s="17">
        <v>0.67222222222222217</v>
      </c>
      <c r="H631" s="17">
        <v>0.58680555555555558</v>
      </c>
      <c r="I631" s="9">
        <v>14880</v>
      </c>
      <c r="J631" s="9">
        <v>6330</v>
      </c>
      <c r="K631" s="10">
        <f t="shared" si="24"/>
        <v>8550</v>
      </c>
      <c r="L631" s="10">
        <v>15382</v>
      </c>
      <c r="M631" s="11" t="s">
        <v>398</v>
      </c>
      <c r="N631" s="12">
        <v>168</v>
      </c>
      <c r="O631" s="13" t="s">
        <v>54</v>
      </c>
      <c r="P631" s="14"/>
      <c r="Q631" s="2"/>
    </row>
    <row r="632" spans="1:17" x14ac:dyDescent="0.25">
      <c r="A632" s="6"/>
      <c r="B632" s="7">
        <v>44224</v>
      </c>
      <c r="C632" s="8" t="s">
        <v>208</v>
      </c>
      <c r="D632" s="8" t="s">
        <v>209</v>
      </c>
      <c r="E632" s="9" t="s">
        <v>51</v>
      </c>
      <c r="F632" s="17" t="s">
        <v>52</v>
      </c>
      <c r="G632" s="17">
        <v>0.69236111111111109</v>
      </c>
      <c r="H632" s="17">
        <v>0.70416666666666661</v>
      </c>
      <c r="I632" s="9">
        <v>40170</v>
      </c>
      <c r="J632" s="9">
        <v>16570</v>
      </c>
      <c r="K632" s="10">
        <f t="shared" si="24"/>
        <v>23600</v>
      </c>
      <c r="L632" s="10">
        <v>40092</v>
      </c>
      <c r="M632" s="11" t="s">
        <v>773</v>
      </c>
      <c r="N632" s="12">
        <v>23590</v>
      </c>
      <c r="O632" s="13" t="s">
        <v>32</v>
      </c>
      <c r="P632" s="14"/>
      <c r="Q632" s="1"/>
    </row>
    <row r="633" spans="1:17" x14ac:dyDescent="0.25">
      <c r="A633" s="6"/>
      <c r="B633" s="7">
        <v>44224</v>
      </c>
      <c r="C633" s="8" t="s">
        <v>803</v>
      </c>
      <c r="D633" s="8" t="s">
        <v>103</v>
      </c>
      <c r="E633" s="9" t="s">
        <v>104</v>
      </c>
      <c r="F633" s="9" t="s">
        <v>36</v>
      </c>
      <c r="G633" s="17">
        <v>0.7090277777777777</v>
      </c>
      <c r="H633" s="17"/>
      <c r="I633" s="9">
        <v>16920</v>
      </c>
      <c r="J633" s="9"/>
      <c r="K633" s="10">
        <f t="shared" si="24"/>
        <v>16920</v>
      </c>
      <c r="L633" s="10"/>
      <c r="M633" s="11" t="s">
        <v>53</v>
      </c>
      <c r="N633" s="12"/>
      <c r="O633" s="13" t="s">
        <v>54</v>
      </c>
      <c r="P633" s="14" t="s">
        <v>168</v>
      </c>
      <c r="Q633" s="20" t="s">
        <v>812</v>
      </c>
    </row>
    <row r="634" spans="1:17" x14ac:dyDescent="0.25">
      <c r="A634" s="6"/>
      <c r="B634" s="7">
        <v>44224</v>
      </c>
      <c r="C634" s="8" t="s">
        <v>803</v>
      </c>
      <c r="D634" s="8" t="s">
        <v>735</v>
      </c>
      <c r="E634" s="9" t="s">
        <v>585</v>
      </c>
      <c r="F634" s="9" t="s">
        <v>36</v>
      </c>
      <c r="G634" s="17">
        <v>0.71805555555555556</v>
      </c>
      <c r="H634" s="17"/>
      <c r="I634" s="9">
        <v>17710</v>
      </c>
      <c r="J634" s="9"/>
      <c r="K634" s="10">
        <f t="shared" si="24"/>
        <v>17710</v>
      </c>
      <c r="L634" s="10"/>
      <c r="M634" s="11" t="s">
        <v>53</v>
      </c>
      <c r="N634" s="12"/>
      <c r="O634" s="13" t="s">
        <v>54</v>
      </c>
      <c r="P634" s="14" t="s">
        <v>168</v>
      </c>
      <c r="Q634" s="20" t="s">
        <v>812</v>
      </c>
    </row>
    <row r="635" spans="1:17" x14ac:dyDescent="0.25">
      <c r="A635" s="6"/>
      <c r="B635" s="7">
        <v>44224</v>
      </c>
      <c r="C635" s="8" t="s">
        <v>208</v>
      </c>
      <c r="D635" s="8" t="s">
        <v>479</v>
      </c>
      <c r="E635" s="9" t="s">
        <v>614</v>
      </c>
      <c r="F635" s="9" t="s">
        <v>615</v>
      </c>
      <c r="G635" s="17">
        <v>0.8222222222222223</v>
      </c>
      <c r="H635" s="17">
        <v>0.17222222222222225</v>
      </c>
      <c r="I635" s="9">
        <v>36420</v>
      </c>
      <c r="J635" s="9">
        <v>15660</v>
      </c>
      <c r="K635" s="10">
        <f t="shared" si="24"/>
        <v>20760</v>
      </c>
      <c r="L635" s="10">
        <v>40113</v>
      </c>
      <c r="M635" s="11" t="s">
        <v>771</v>
      </c>
      <c r="N635" s="12">
        <v>20720</v>
      </c>
      <c r="O635" s="13" t="s">
        <v>32</v>
      </c>
      <c r="P635" s="14"/>
      <c r="Q635" s="1"/>
    </row>
    <row r="636" spans="1:17" s="2" customFormat="1" x14ac:dyDescent="0.25">
      <c r="A636" s="6"/>
      <c r="B636" s="7">
        <v>44224</v>
      </c>
      <c r="C636" s="8" t="s">
        <v>208</v>
      </c>
      <c r="D636" s="8" t="s">
        <v>209</v>
      </c>
      <c r="E636" s="9" t="s">
        <v>51</v>
      </c>
      <c r="F636" s="17" t="s">
        <v>52</v>
      </c>
      <c r="G636" s="17">
        <v>0.87083333333333324</v>
      </c>
      <c r="H636" s="17">
        <v>0.8930555555555556</v>
      </c>
      <c r="I636" s="9">
        <v>32190</v>
      </c>
      <c r="J636" s="9">
        <v>16550</v>
      </c>
      <c r="K636" s="10">
        <f t="shared" si="24"/>
        <v>15640</v>
      </c>
      <c r="L636" s="10">
        <v>40092</v>
      </c>
      <c r="M636" s="11" t="s">
        <v>804</v>
      </c>
      <c r="N636" s="12">
        <f>3540+12080</f>
        <v>15620</v>
      </c>
      <c r="O636" s="13" t="s">
        <v>32</v>
      </c>
      <c r="P636" s="14"/>
    </row>
    <row r="637" spans="1:17" x14ac:dyDescent="0.25">
      <c r="A637" s="6"/>
      <c r="B637" s="7">
        <v>44224</v>
      </c>
      <c r="C637" s="8" t="s">
        <v>37</v>
      </c>
      <c r="D637" s="8" t="s">
        <v>38</v>
      </c>
      <c r="E637" s="9" t="s">
        <v>39</v>
      </c>
      <c r="F637" s="9" t="s">
        <v>792</v>
      </c>
      <c r="G637" s="17">
        <v>0.89236111111111116</v>
      </c>
      <c r="H637" s="17">
        <v>0.94097222222222221</v>
      </c>
      <c r="I637" s="9">
        <v>11535</v>
      </c>
      <c r="J637" s="9">
        <v>6260</v>
      </c>
      <c r="K637" s="10">
        <f t="shared" si="24"/>
        <v>5275</v>
      </c>
      <c r="L637" s="10">
        <v>2604</v>
      </c>
      <c r="M637" s="11" t="s">
        <v>805</v>
      </c>
      <c r="N637" s="12">
        <v>5275</v>
      </c>
      <c r="O637" s="13" t="s">
        <v>32</v>
      </c>
      <c r="P637" s="14"/>
      <c r="Q637" s="1"/>
    </row>
    <row r="638" spans="1:17" x14ac:dyDescent="0.25">
      <c r="A638" s="6"/>
      <c r="B638" s="7">
        <v>44225</v>
      </c>
      <c r="C638" s="8" t="s">
        <v>806</v>
      </c>
      <c r="D638" s="8" t="s">
        <v>458</v>
      </c>
      <c r="E638" s="17" t="s">
        <v>699</v>
      </c>
      <c r="F638" s="9" t="s">
        <v>459</v>
      </c>
      <c r="G638" s="17">
        <v>2.013888888888889E-2</v>
      </c>
      <c r="H638" s="17">
        <v>0.34722222222222227</v>
      </c>
      <c r="I638" s="9">
        <v>16150</v>
      </c>
      <c r="J638" s="9">
        <v>8250</v>
      </c>
      <c r="K638" s="10">
        <f t="shared" si="24"/>
        <v>7900</v>
      </c>
      <c r="L638" s="10" t="s">
        <v>807</v>
      </c>
      <c r="M638" s="11" t="s">
        <v>808</v>
      </c>
      <c r="N638" s="12">
        <v>7900</v>
      </c>
      <c r="O638" s="13" t="s">
        <v>32</v>
      </c>
      <c r="P638" s="14"/>
      <c r="Q638" s="1"/>
    </row>
    <row r="639" spans="1:17" x14ac:dyDescent="0.25">
      <c r="A639" s="6"/>
      <c r="B639" s="7">
        <v>44225</v>
      </c>
      <c r="C639" s="8" t="s">
        <v>142</v>
      </c>
      <c r="D639" s="8" t="s">
        <v>50</v>
      </c>
      <c r="E639" s="9" t="s">
        <v>285</v>
      </c>
      <c r="F639" s="9" t="s">
        <v>178</v>
      </c>
      <c r="G639" s="17">
        <v>7.9861111111111105E-2</v>
      </c>
      <c r="H639" s="17">
        <v>8.819444444444445E-2</v>
      </c>
      <c r="I639" s="9">
        <v>30860</v>
      </c>
      <c r="J639" s="9">
        <v>16230</v>
      </c>
      <c r="K639" s="10">
        <f t="shared" si="24"/>
        <v>14630</v>
      </c>
      <c r="L639" s="10">
        <v>733</v>
      </c>
      <c r="M639" s="11" t="s">
        <v>773</v>
      </c>
      <c r="N639" s="12">
        <v>14837</v>
      </c>
      <c r="O639" s="13" t="s">
        <v>32</v>
      </c>
      <c r="P639" s="14"/>
      <c r="Q639" s="1"/>
    </row>
    <row r="640" spans="1:17" x14ac:dyDescent="0.25">
      <c r="A640" s="6"/>
      <c r="B640" s="7">
        <v>44225</v>
      </c>
      <c r="C640" s="8" t="s">
        <v>208</v>
      </c>
      <c r="D640" s="8" t="s">
        <v>209</v>
      </c>
      <c r="E640" s="9" t="s">
        <v>51</v>
      </c>
      <c r="F640" s="9" t="s">
        <v>52</v>
      </c>
      <c r="G640" s="17">
        <v>0.24166666666666667</v>
      </c>
      <c r="H640" s="17">
        <v>0.24861111111111112</v>
      </c>
      <c r="I640" s="9">
        <v>37840</v>
      </c>
      <c r="J640" s="9">
        <v>16540</v>
      </c>
      <c r="K640" s="10">
        <f t="shared" si="24"/>
        <v>21300</v>
      </c>
      <c r="L640" s="10">
        <v>40092</v>
      </c>
      <c r="M640" s="11" t="s">
        <v>809</v>
      </c>
      <c r="N640" s="12">
        <v>21290</v>
      </c>
      <c r="O640" s="13" t="s">
        <v>32</v>
      </c>
      <c r="P640" s="14"/>
      <c r="Q640" s="1"/>
    </row>
    <row r="641" spans="1:19" x14ac:dyDescent="0.25">
      <c r="A641" s="6"/>
      <c r="B641" s="7">
        <v>44225</v>
      </c>
      <c r="C641" s="8" t="s">
        <v>208</v>
      </c>
      <c r="D641" s="8" t="s">
        <v>479</v>
      </c>
      <c r="E641" s="9" t="s">
        <v>614</v>
      </c>
      <c r="F641" s="9" t="s">
        <v>615</v>
      </c>
      <c r="G641" s="17">
        <v>0.24722222222222223</v>
      </c>
      <c r="H641" s="17">
        <v>0.27847222222222223</v>
      </c>
      <c r="I641" s="9">
        <v>35220</v>
      </c>
      <c r="J641" s="9">
        <v>15690</v>
      </c>
      <c r="K641" s="10">
        <f t="shared" si="24"/>
        <v>19530</v>
      </c>
      <c r="L641" s="10">
        <v>40115</v>
      </c>
      <c r="M641" s="11" t="s">
        <v>771</v>
      </c>
      <c r="N641" s="12">
        <v>19510</v>
      </c>
      <c r="O641" s="13" t="s">
        <v>32</v>
      </c>
      <c r="P641" s="14"/>
      <c r="Q641" s="1"/>
    </row>
    <row r="642" spans="1:19" s="51" customFormat="1" x14ac:dyDescent="0.25">
      <c r="A642" s="41"/>
      <c r="B642" s="42">
        <v>44225</v>
      </c>
      <c r="C642" s="43" t="s">
        <v>810</v>
      </c>
      <c r="D642" s="43" t="s">
        <v>602</v>
      </c>
      <c r="E642" s="44" t="s">
        <v>277</v>
      </c>
      <c r="F642" s="44" t="s">
        <v>266</v>
      </c>
      <c r="G642" s="45">
        <v>0.36458333333333331</v>
      </c>
      <c r="H642" s="45">
        <v>0.45416666666666666</v>
      </c>
      <c r="I642" s="44">
        <v>5580</v>
      </c>
      <c r="J642" s="44">
        <v>6190</v>
      </c>
      <c r="K642" s="46">
        <f t="shared" si="24"/>
        <v>-610</v>
      </c>
      <c r="L642" s="46">
        <v>21911</v>
      </c>
      <c r="M642" s="47" t="s">
        <v>811</v>
      </c>
      <c r="N642" s="48">
        <v>610</v>
      </c>
      <c r="O642" s="49" t="s">
        <v>32</v>
      </c>
      <c r="P642" s="50"/>
    </row>
    <row r="643" spans="1:19" x14ac:dyDescent="0.25">
      <c r="A643" s="6"/>
      <c r="B643" s="7">
        <v>44225</v>
      </c>
      <c r="C643" s="8" t="s">
        <v>164</v>
      </c>
      <c r="D643" s="8" t="s">
        <v>198</v>
      </c>
      <c r="E643" s="9" t="s">
        <v>405</v>
      </c>
      <c r="F643" s="9" t="s">
        <v>161</v>
      </c>
      <c r="G643" s="17">
        <v>0.3659722222222222</v>
      </c>
      <c r="H643" s="17">
        <v>0.41319444444444442</v>
      </c>
      <c r="I643" s="9">
        <v>18530</v>
      </c>
      <c r="J643" s="9">
        <v>43830</v>
      </c>
      <c r="K643" s="10">
        <f t="shared" si="24"/>
        <v>-25300</v>
      </c>
      <c r="L643" s="10">
        <v>15431</v>
      </c>
      <c r="M643" s="11" t="s">
        <v>166</v>
      </c>
      <c r="N643" s="12">
        <v>504</v>
      </c>
      <c r="O643" s="13" t="s">
        <v>54</v>
      </c>
      <c r="P643" s="14"/>
      <c r="Q643" s="1"/>
    </row>
    <row r="644" spans="1:19" x14ac:dyDescent="0.25">
      <c r="A644" s="6"/>
      <c r="B644" s="7">
        <v>44225</v>
      </c>
      <c r="C644" s="8" t="s">
        <v>164</v>
      </c>
      <c r="D644" s="8" t="s">
        <v>465</v>
      </c>
      <c r="E644" s="9" t="s">
        <v>761</v>
      </c>
      <c r="F644" s="9" t="s">
        <v>762</v>
      </c>
      <c r="G644" s="17">
        <v>0.38541666666666669</v>
      </c>
      <c r="H644" s="17">
        <v>0.41736111111111113</v>
      </c>
      <c r="I644" s="9">
        <v>6350</v>
      </c>
      <c r="J644" s="9">
        <v>10340</v>
      </c>
      <c r="K644" s="10">
        <f t="shared" si="24"/>
        <v>-3990</v>
      </c>
      <c r="L644" s="10">
        <v>15432</v>
      </c>
      <c r="M644" s="11" t="s">
        <v>166</v>
      </c>
      <c r="N644" s="12">
        <v>84</v>
      </c>
      <c r="O644" s="13" t="s">
        <v>54</v>
      </c>
      <c r="P644" s="14"/>
      <c r="Q644" s="1"/>
    </row>
    <row r="645" spans="1:19" x14ac:dyDescent="0.25">
      <c r="A645" s="6"/>
      <c r="B645" s="7">
        <v>44225</v>
      </c>
      <c r="C645" s="8" t="s">
        <v>164</v>
      </c>
      <c r="D645" s="8" t="s">
        <v>465</v>
      </c>
      <c r="E645" s="9" t="s">
        <v>761</v>
      </c>
      <c r="F645" s="9" t="s">
        <v>762</v>
      </c>
      <c r="G645" s="17">
        <v>0.51111111111111118</v>
      </c>
      <c r="H645" s="17">
        <v>0.58680555555555558</v>
      </c>
      <c r="I645" s="9">
        <v>8880</v>
      </c>
      <c r="J645" s="9">
        <v>6030</v>
      </c>
      <c r="K645" s="10">
        <f t="shared" si="24"/>
        <v>2850</v>
      </c>
      <c r="L645" s="10">
        <v>15383</v>
      </c>
      <c r="M645" s="11" t="s">
        <v>398</v>
      </c>
      <c r="N645" s="12">
        <v>55</v>
      </c>
      <c r="O645" s="13" t="s">
        <v>54</v>
      </c>
      <c r="P645" s="14"/>
      <c r="Q645" s="1"/>
      <c r="R645" s="1"/>
      <c r="S645" s="1"/>
    </row>
    <row r="646" spans="1:19" x14ac:dyDescent="0.25">
      <c r="A646" s="6"/>
      <c r="B646" s="7">
        <v>44225</v>
      </c>
      <c r="C646" s="8" t="s">
        <v>208</v>
      </c>
      <c r="D646" s="8" t="s">
        <v>209</v>
      </c>
      <c r="E646" s="9" t="s">
        <v>51</v>
      </c>
      <c r="F646" s="17" t="s">
        <v>52</v>
      </c>
      <c r="G646" s="17">
        <v>0.53055555555555556</v>
      </c>
      <c r="H646" s="17">
        <v>0.5444444444444444</v>
      </c>
      <c r="I646" s="9">
        <v>41900</v>
      </c>
      <c r="J646" s="9">
        <v>16530</v>
      </c>
      <c r="K646" s="10">
        <f t="shared" si="24"/>
        <v>25370</v>
      </c>
      <c r="L646" s="10">
        <v>40123</v>
      </c>
      <c r="M646" s="11" t="s">
        <v>804</v>
      </c>
      <c r="N646" s="12">
        <v>25350</v>
      </c>
      <c r="O646" s="13" t="s">
        <v>32</v>
      </c>
      <c r="P646" s="14"/>
      <c r="Q646" s="1"/>
      <c r="R646" s="1"/>
      <c r="S646" s="1"/>
    </row>
    <row r="647" spans="1:19" x14ac:dyDescent="0.25">
      <c r="A647" s="6"/>
      <c r="B647" s="7">
        <v>44225</v>
      </c>
      <c r="C647" s="8" t="s">
        <v>55</v>
      </c>
      <c r="D647" s="8" t="s">
        <v>299</v>
      </c>
      <c r="E647" s="9" t="s">
        <v>813</v>
      </c>
      <c r="F647" s="9" t="s">
        <v>814</v>
      </c>
      <c r="G647" s="17">
        <v>0.62430555555555556</v>
      </c>
      <c r="H647" s="17">
        <v>0.72013888888888899</v>
      </c>
      <c r="I647" s="9">
        <v>15290</v>
      </c>
      <c r="J647" s="9">
        <v>50400</v>
      </c>
      <c r="K647" s="10">
        <f t="shared" si="24"/>
        <v>-35110</v>
      </c>
      <c r="L647" s="10">
        <v>5736</v>
      </c>
      <c r="M647" s="11" t="s">
        <v>53</v>
      </c>
      <c r="N647" s="12">
        <v>700</v>
      </c>
      <c r="O647" s="13" t="s">
        <v>54</v>
      </c>
      <c r="P647" s="14"/>
      <c r="Q647" s="1"/>
      <c r="R647" s="1"/>
      <c r="S647" s="1"/>
    </row>
    <row r="648" spans="1:19" x14ac:dyDescent="0.25">
      <c r="A648" s="6"/>
      <c r="B648" s="7">
        <v>44225</v>
      </c>
      <c r="C648" s="8" t="s">
        <v>208</v>
      </c>
      <c r="D648" s="8" t="s">
        <v>209</v>
      </c>
      <c r="E648" s="9" t="s">
        <v>51</v>
      </c>
      <c r="F648" s="17" t="s">
        <v>52</v>
      </c>
      <c r="G648" s="17">
        <v>0.7597222222222223</v>
      </c>
      <c r="H648" s="17">
        <v>0.76874999999999993</v>
      </c>
      <c r="I648" s="9">
        <v>39420</v>
      </c>
      <c r="J648" s="9">
        <v>16520</v>
      </c>
      <c r="K648" s="10">
        <f t="shared" si="24"/>
        <v>22900</v>
      </c>
      <c r="L648" s="10">
        <v>40123</v>
      </c>
      <c r="M648" s="11" t="s">
        <v>804</v>
      </c>
      <c r="N648" s="12">
        <f>20590+2300</f>
        <v>22890</v>
      </c>
      <c r="O648" s="13" t="s">
        <v>32</v>
      </c>
      <c r="P648" s="14"/>
      <c r="Q648" s="1"/>
      <c r="R648" s="1"/>
      <c r="S648" s="1"/>
    </row>
    <row r="649" spans="1:19" x14ac:dyDescent="0.25">
      <c r="A649" s="6"/>
      <c r="B649" s="7">
        <v>44225</v>
      </c>
      <c r="C649" s="8" t="s">
        <v>208</v>
      </c>
      <c r="D649" s="8" t="s">
        <v>198</v>
      </c>
      <c r="E649" s="9" t="s">
        <v>405</v>
      </c>
      <c r="F649" s="9" t="s">
        <v>161</v>
      </c>
      <c r="G649" s="17">
        <v>0.82291666666666663</v>
      </c>
      <c r="H649" s="17">
        <v>0.3347222222222222</v>
      </c>
      <c r="I649" s="9">
        <v>36100</v>
      </c>
      <c r="J649" s="9">
        <v>18520</v>
      </c>
      <c r="K649" s="10">
        <f t="shared" si="24"/>
        <v>17580</v>
      </c>
      <c r="L649" s="10">
        <v>40139</v>
      </c>
      <c r="M649" s="11" t="s">
        <v>771</v>
      </c>
      <c r="N649" s="12">
        <v>17610</v>
      </c>
      <c r="O649" s="13" t="s">
        <v>32</v>
      </c>
      <c r="P649" s="14"/>
      <c r="Q649" s="1"/>
      <c r="R649" s="1"/>
      <c r="S649" s="1"/>
    </row>
    <row r="650" spans="1:19" x14ac:dyDescent="0.25">
      <c r="A650" s="6"/>
      <c r="B650" s="7">
        <v>44225</v>
      </c>
      <c r="C650" s="8" t="s">
        <v>37</v>
      </c>
      <c r="D650" s="8" t="s">
        <v>38</v>
      </c>
      <c r="E650" s="9" t="s">
        <v>39</v>
      </c>
      <c r="F650" s="9" t="s">
        <v>792</v>
      </c>
      <c r="G650" s="17">
        <v>0.8618055555555556</v>
      </c>
      <c r="H650" s="17">
        <v>0.8965277777777777</v>
      </c>
      <c r="I650" s="9">
        <v>15590</v>
      </c>
      <c r="J650" s="9">
        <v>6300</v>
      </c>
      <c r="K650" s="10">
        <f t="shared" si="24"/>
        <v>9290</v>
      </c>
      <c r="L650" s="10">
        <v>26404</v>
      </c>
      <c r="M650" s="11" t="s">
        <v>805</v>
      </c>
      <c r="N650" s="12">
        <v>9290</v>
      </c>
      <c r="O650" s="13" t="s">
        <v>32</v>
      </c>
      <c r="P650" s="14"/>
      <c r="Q650" s="1"/>
      <c r="R650" s="1"/>
      <c r="S650" s="1"/>
    </row>
    <row r="651" spans="1:19" x14ac:dyDescent="0.25">
      <c r="A651" s="6"/>
      <c r="B651" s="7">
        <v>44225</v>
      </c>
      <c r="C651" s="8" t="s">
        <v>422</v>
      </c>
      <c r="D651" s="8" t="s">
        <v>458</v>
      </c>
      <c r="E651" s="9" t="s">
        <v>699</v>
      </c>
      <c r="F651" s="9" t="s">
        <v>459</v>
      </c>
      <c r="G651" s="17">
        <v>0.89861111111111114</v>
      </c>
      <c r="H651" s="17">
        <v>0.1277777777777778</v>
      </c>
      <c r="I651" s="9">
        <v>18600</v>
      </c>
      <c r="J651" s="9">
        <v>8250</v>
      </c>
      <c r="K651" s="10">
        <f t="shared" ref="K651:K679" si="27">+I651-J651</f>
        <v>10350</v>
      </c>
      <c r="L651" s="10">
        <v>1506</v>
      </c>
      <c r="M651" s="11" t="s">
        <v>48</v>
      </c>
      <c r="N651" s="12">
        <v>20169.900000000001</v>
      </c>
      <c r="O651" s="13" t="s">
        <v>49</v>
      </c>
      <c r="P651" s="14"/>
      <c r="Q651" s="1"/>
      <c r="R651" s="1"/>
      <c r="S651" s="1"/>
    </row>
    <row r="652" spans="1:19" x14ac:dyDescent="0.25">
      <c r="A652" s="6"/>
      <c r="B652" s="7">
        <v>44226</v>
      </c>
      <c r="C652" s="8" t="s">
        <v>443</v>
      </c>
      <c r="D652" s="8" t="s">
        <v>336</v>
      </c>
      <c r="E652" s="9" t="s">
        <v>337</v>
      </c>
      <c r="F652" s="9" t="s">
        <v>36</v>
      </c>
      <c r="G652" s="17">
        <v>0.1111111111111111</v>
      </c>
      <c r="H652" s="17">
        <v>0.18958333333333333</v>
      </c>
      <c r="I652" s="9">
        <v>18540</v>
      </c>
      <c r="J652" s="9">
        <v>7910</v>
      </c>
      <c r="K652" s="10">
        <f t="shared" si="27"/>
        <v>10630</v>
      </c>
      <c r="L652" s="10" t="s">
        <v>815</v>
      </c>
      <c r="M652" s="11" t="s">
        <v>816</v>
      </c>
      <c r="N652" s="12">
        <v>10637</v>
      </c>
      <c r="O652" s="13" t="s">
        <v>32</v>
      </c>
      <c r="P652" s="14"/>
      <c r="Q652" s="1"/>
      <c r="R652" s="1"/>
      <c r="S652" s="1"/>
    </row>
    <row r="653" spans="1:19" x14ac:dyDescent="0.25">
      <c r="A653" s="6"/>
      <c r="B653" s="7">
        <v>44226</v>
      </c>
      <c r="C653" s="8" t="s">
        <v>142</v>
      </c>
      <c r="D653" s="8" t="s">
        <v>479</v>
      </c>
      <c r="E653" s="9" t="s">
        <v>490</v>
      </c>
      <c r="F653" s="9" t="s">
        <v>491</v>
      </c>
      <c r="G653" s="17">
        <v>0.18333333333333335</v>
      </c>
      <c r="H653" s="17">
        <v>0.19791666666666666</v>
      </c>
      <c r="I653" s="9">
        <v>32250</v>
      </c>
      <c r="J653" s="9">
        <v>17840</v>
      </c>
      <c r="K653" s="10">
        <f t="shared" si="27"/>
        <v>14410</v>
      </c>
      <c r="L653" s="10">
        <v>734</v>
      </c>
      <c r="M653" s="11" t="s">
        <v>773</v>
      </c>
      <c r="N653" s="12">
        <v>14217</v>
      </c>
      <c r="O653" s="13" t="s">
        <v>32</v>
      </c>
      <c r="P653" s="14"/>
      <c r="Q653" s="1"/>
      <c r="R653" s="1"/>
      <c r="S653" s="1"/>
    </row>
    <row r="654" spans="1:19" x14ac:dyDescent="0.25">
      <c r="A654" s="6"/>
      <c r="B654" s="7">
        <v>44226</v>
      </c>
      <c r="C654" s="8" t="s">
        <v>680</v>
      </c>
      <c r="D654" s="8" t="s">
        <v>174</v>
      </c>
      <c r="E654" s="9" t="s">
        <v>110</v>
      </c>
      <c r="F654" s="9" t="s">
        <v>111</v>
      </c>
      <c r="G654" s="17">
        <v>0.21388888888888891</v>
      </c>
      <c r="H654" s="17">
        <v>0.26597222222222222</v>
      </c>
      <c r="I654" s="9">
        <v>13780</v>
      </c>
      <c r="J654" s="9">
        <v>6610</v>
      </c>
      <c r="K654" s="10">
        <f t="shared" si="27"/>
        <v>7170</v>
      </c>
      <c r="L654" s="10" t="s">
        <v>817</v>
      </c>
      <c r="M654" s="11" t="s">
        <v>718</v>
      </c>
      <c r="N654" s="12">
        <v>7170</v>
      </c>
      <c r="O654" s="13" t="s">
        <v>32</v>
      </c>
      <c r="P654" s="14"/>
      <c r="Q654" s="1"/>
      <c r="R654" s="1"/>
      <c r="S654" s="1"/>
    </row>
    <row r="655" spans="1:19" x14ac:dyDescent="0.25">
      <c r="A655" s="6"/>
      <c r="B655" s="7">
        <v>44226</v>
      </c>
      <c r="C655" s="8" t="s">
        <v>208</v>
      </c>
      <c r="D655" s="8" t="s">
        <v>209</v>
      </c>
      <c r="E655" s="9" t="s">
        <v>51</v>
      </c>
      <c r="F655" s="17" t="s">
        <v>52</v>
      </c>
      <c r="G655" s="17">
        <v>0.23124999999999998</v>
      </c>
      <c r="H655" s="17">
        <v>0.23958333333333334</v>
      </c>
      <c r="I655" s="9">
        <v>36510</v>
      </c>
      <c r="J655" s="9">
        <v>16560</v>
      </c>
      <c r="K655" s="10">
        <f t="shared" si="27"/>
        <v>19950</v>
      </c>
      <c r="L655" s="10">
        <v>40123</v>
      </c>
      <c r="M655" s="11" t="s">
        <v>773</v>
      </c>
      <c r="N655" s="12">
        <v>19980</v>
      </c>
      <c r="O655" s="13" t="s">
        <v>32</v>
      </c>
      <c r="P655" s="14"/>
      <c r="Q655" s="1"/>
      <c r="R655" s="1"/>
      <c r="S655" s="1"/>
    </row>
    <row r="656" spans="1:19" x14ac:dyDescent="0.25">
      <c r="A656" s="6"/>
      <c r="B656" s="15">
        <v>44226</v>
      </c>
      <c r="C656" s="16" t="s">
        <v>424</v>
      </c>
      <c r="D656" s="8" t="s">
        <v>818</v>
      </c>
      <c r="E656" s="9" t="s">
        <v>819</v>
      </c>
      <c r="F656" s="9" t="s">
        <v>36</v>
      </c>
      <c r="G656" s="17">
        <v>0.27499999999999997</v>
      </c>
      <c r="H656" s="17">
        <v>0.41250000000000003</v>
      </c>
      <c r="I656" s="9">
        <v>16410</v>
      </c>
      <c r="J656" s="9">
        <v>51500</v>
      </c>
      <c r="K656" s="10">
        <f t="shared" si="27"/>
        <v>-35090</v>
      </c>
      <c r="L656" s="10">
        <v>5738</v>
      </c>
      <c r="M656" s="11" t="s">
        <v>736</v>
      </c>
      <c r="N656" s="12">
        <v>700</v>
      </c>
      <c r="O656" s="13" t="s">
        <v>54</v>
      </c>
      <c r="P656" s="14"/>
      <c r="Q656" s="1"/>
      <c r="R656" s="1"/>
      <c r="S656" s="1"/>
    </row>
    <row r="657" spans="1:37" x14ac:dyDescent="0.25">
      <c r="A657" s="6"/>
      <c r="B657" s="7">
        <v>44226</v>
      </c>
      <c r="C657" s="8" t="s">
        <v>208</v>
      </c>
      <c r="D657" s="8" t="s">
        <v>209</v>
      </c>
      <c r="E657" s="9" t="s">
        <v>51</v>
      </c>
      <c r="F657" s="17" t="s">
        <v>52</v>
      </c>
      <c r="G657" s="17">
        <v>0.29236111111111113</v>
      </c>
      <c r="H657" s="17">
        <v>0.29722222222222222</v>
      </c>
      <c r="I657" s="9">
        <v>28280</v>
      </c>
      <c r="J657" s="9">
        <v>16500</v>
      </c>
      <c r="K657" s="10">
        <f t="shared" si="27"/>
        <v>11780</v>
      </c>
      <c r="L657" s="10">
        <v>40123</v>
      </c>
      <c r="M657" s="11" t="s">
        <v>804</v>
      </c>
      <c r="N657" s="12">
        <v>11740</v>
      </c>
      <c r="O657" s="13" t="s">
        <v>32</v>
      </c>
      <c r="P657" s="14"/>
      <c r="Q657" s="1"/>
      <c r="R657" s="1"/>
      <c r="S657" s="1"/>
    </row>
    <row r="658" spans="1:37" x14ac:dyDescent="0.25">
      <c r="A658" s="6"/>
      <c r="B658" s="7">
        <v>44226</v>
      </c>
      <c r="C658" s="8" t="s">
        <v>424</v>
      </c>
      <c r="D658" s="8" t="s">
        <v>706</v>
      </c>
      <c r="E658" s="9" t="s">
        <v>707</v>
      </c>
      <c r="F658" s="9" t="s">
        <v>36</v>
      </c>
      <c r="G658" s="17">
        <v>0.29375000000000001</v>
      </c>
      <c r="H658" s="17">
        <v>0.40972222222222227</v>
      </c>
      <c r="I658" s="9">
        <v>16860</v>
      </c>
      <c r="J658" s="9">
        <v>51940</v>
      </c>
      <c r="K658" s="10">
        <f t="shared" si="27"/>
        <v>-35080</v>
      </c>
      <c r="L658" s="10">
        <v>5737</v>
      </c>
      <c r="M658" s="11" t="s">
        <v>736</v>
      </c>
      <c r="N658" s="12">
        <v>700</v>
      </c>
      <c r="O658" s="13" t="s">
        <v>54</v>
      </c>
      <c r="P658" s="14"/>
      <c r="Q658" s="1"/>
      <c r="R658" s="1"/>
      <c r="S658" s="1"/>
    </row>
    <row r="659" spans="1:37" x14ac:dyDescent="0.25">
      <c r="A659" s="7"/>
      <c r="B659" s="7">
        <v>44226</v>
      </c>
      <c r="C659" s="8" t="s">
        <v>820</v>
      </c>
      <c r="D659" s="8" t="s">
        <v>821</v>
      </c>
      <c r="E659" s="9" t="s">
        <v>822</v>
      </c>
      <c r="F659" s="9" t="s">
        <v>36</v>
      </c>
      <c r="G659" s="17">
        <v>0.39374999999999999</v>
      </c>
      <c r="H659" s="17">
        <v>0.46180555555555558</v>
      </c>
      <c r="I659" s="9">
        <v>4010</v>
      </c>
      <c r="J659" s="9">
        <v>5850</v>
      </c>
      <c r="K659" s="10">
        <f t="shared" si="27"/>
        <v>-1840</v>
      </c>
      <c r="L659" s="10">
        <v>15332</v>
      </c>
      <c r="M659" s="11" t="s">
        <v>823</v>
      </c>
      <c r="N659" s="12">
        <v>1840</v>
      </c>
      <c r="O659" s="13" t="s">
        <v>32</v>
      </c>
      <c r="P659" s="14"/>
      <c r="Q659" s="1"/>
      <c r="R659" s="1"/>
      <c r="S659" s="1"/>
    </row>
    <row r="660" spans="1:37" x14ac:dyDescent="0.25">
      <c r="A660" s="7"/>
      <c r="B660" s="7">
        <v>44226</v>
      </c>
      <c r="C660" s="8" t="s">
        <v>55</v>
      </c>
      <c r="D660" s="8" t="s">
        <v>479</v>
      </c>
      <c r="E660" s="9" t="s">
        <v>490</v>
      </c>
      <c r="F660" s="9" t="s">
        <v>491</v>
      </c>
      <c r="G660" s="17">
        <v>0.44722222222222219</v>
      </c>
      <c r="H660" s="17">
        <v>0.61597222222222225</v>
      </c>
      <c r="I660" s="9">
        <v>16060</v>
      </c>
      <c r="J660" s="9">
        <v>51170</v>
      </c>
      <c r="K660" s="10">
        <f t="shared" si="27"/>
        <v>-35110</v>
      </c>
      <c r="L660" s="10">
        <v>5740</v>
      </c>
      <c r="M660" s="11" t="s">
        <v>736</v>
      </c>
      <c r="N660" s="12">
        <v>700</v>
      </c>
      <c r="O660" s="13" t="s">
        <v>54</v>
      </c>
      <c r="P660" s="14"/>
      <c r="Q660" s="1"/>
      <c r="R660" s="1"/>
      <c r="S660" s="1"/>
    </row>
    <row r="661" spans="1:37" x14ac:dyDescent="0.25">
      <c r="A661" s="7"/>
      <c r="B661" s="7">
        <v>44226</v>
      </c>
      <c r="C661" s="8" t="s">
        <v>825</v>
      </c>
      <c r="D661" s="8" t="s">
        <v>826</v>
      </c>
      <c r="E661" s="9" t="s">
        <v>525</v>
      </c>
      <c r="F661" s="17" t="s">
        <v>827</v>
      </c>
      <c r="G661" s="17">
        <v>0.45069444444444445</v>
      </c>
      <c r="H661" s="17">
        <v>0.47222222222222227</v>
      </c>
      <c r="I661" s="9">
        <v>21520</v>
      </c>
      <c r="J661" s="9">
        <v>19940</v>
      </c>
      <c r="K661" s="10">
        <f t="shared" si="27"/>
        <v>1580</v>
      </c>
      <c r="L661" s="10">
        <v>21930</v>
      </c>
      <c r="M661" s="11" t="s">
        <v>828</v>
      </c>
      <c r="N661" s="12">
        <v>12</v>
      </c>
      <c r="O661" s="13" t="s">
        <v>80</v>
      </c>
      <c r="P661" s="14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x14ac:dyDescent="0.25">
      <c r="A662" s="7"/>
      <c r="B662" s="7">
        <v>44226</v>
      </c>
      <c r="C662" s="8" t="s">
        <v>824</v>
      </c>
      <c r="D662" s="8" t="s">
        <v>284</v>
      </c>
      <c r="E662" s="9" t="s">
        <v>285</v>
      </c>
      <c r="F662" s="9" t="s">
        <v>286</v>
      </c>
      <c r="G662" s="17">
        <v>0.49513888888888885</v>
      </c>
      <c r="H662" s="17">
        <v>0.60555555555555551</v>
      </c>
      <c r="I662" s="9">
        <v>15740</v>
      </c>
      <c r="J662" s="9">
        <v>50850</v>
      </c>
      <c r="K662" s="10">
        <f t="shared" si="27"/>
        <v>-35110</v>
      </c>
      <c r="L662" s="10">
        <v>5739</v>
      </c>
      <c r="M662" s="11" t="s">
        <v>736</v>
      </c>
      <c r="N662" s="12">
        <v>700</v>
      </c>
      <c r="O662" s="13" t="s">
        <v>54</v>
      </c>
      <c r="P662" s="14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s="51" customFormat="1" x14ac:dyDescent="0.25">
      <c r="A663" s="41"/>
      <c r="B663" s="42">
        <v>44225</v>
      </c>
      <c r="C663" s="43" t="s">
        <v>829</v>
      </c>
      <c r="D663" s="43" t="s">
        <v>830</v>
      </c>
      <c r="E663" s="44" t="s">
        <v>277</v>
      </c>
      <c r="F663" s="44" t="s">
        <v>266</v>
      </c>
      <c r="G663" s="45">
        <v>0.51944444444444449</v>
      </c>
      <c r="H663" s="45">
        <v>0.52638888888888891</v>
      </c>
      <c r="I663" s="44">
        <v>6000</v>
      </c>
      <c r="J663" s="44">
        <v>5580</v>
      </c>
      <c r="K663" s="46">
        <f t="shared" si="27"/>
        <v>420</v>
      </c>
      <c r="L663" s="46">
        <v>21932</v>
      </c>
      <c r="M663" s="47" t="s">
        <v>831</v>
      </c>
      <c r="N663" s="48">
        <v>420</v>
      </c>
      <c r="O663" s="49" t="s">
        <v>32</v>
      </c>
      <c r="P663" s="50"/>
    </row>
    <row r="664" spans="1:37" x14ac:dyDescent="0.25">
      <c r="A664" s="7"/>
      <c r="B664" s="7">
        <v>44226</v>
      </c>
      <c r="C664" s="8" t="s">
        <v>37</v>
      </c>
      <c r="D664" s="8" t="s">
        <v>38</v>
      </c>
      <c r="E664" s="9" t="s">
        <v>39</v>
      </c>
      <c r="F664" s="9" t="s">
        <v>36</v>
      </c>
      <c r="G664" s="17">
        <v>0.82777777777777783</v>
      </c>
      <c r="H664" s="17">
        <v>0.86875000000000002</v>
      </c>
      <c r="I664" s="9">
        <v>13700</v>
      </c>
      <c r="J664" s="9">
        <v>6170</v>
      </c>
      <c r="K664" s="10">
        <f t="shared" si="27"/>
        <v>7530</v>
      </c>
      <c r="L664" s="10">
        <v>26405</v>
      </c>
      <c r="M664" s="11" t="s">
        <v>832</v>
      </c>
      <c r="N664" s="12">
        <v>7530</v>
      </c>
      <c r="O664" s="13" t="s">
        <v>32</v>
      </c>
      <c r="P664" s="14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x14ac:dyDescent="0.25">
      <c r="A665" s="7"/>
      <c r="B665" s="7">
        <v>44226</v>
      </c>
      <c r="C665" s="8" t="s">
        <v>37</v>
      </c>
      <c r="D665" s="8" t="s">
        <v>41</v>
      </c>
      <c r="E665" s="9" t="s">
        <v>206</v>
      </c>
      <c r="F665" s="9" t="s">
        <v>154</v>
      </c>
      <c r="G665" s="17">
        <v>0.83819444444444446</v>
      </c>
      <c r="H665" s="17">
        <v>0.87291666666666667</v>
      </c>
      <c r="I665" s="9">
        <v>10800</v>
      </c>
      <c r="J665" s="9">
        <v>3960</v>
      </c>
      <c r="K665" s="10">
        <f t="shared" si="27"/>
        <v>6840</v>
      </c>
      <c r="L665" s="10">
        <v>26406</v>
      </c>
      <c r="M665" s="11" t="s">
        <v>833</v>
      </c>
      <c r="N665" s="12">
        <v>6840</v>
      </c>
      <c r="O665" s="13" t="s">
        <v>32</v>
      </c>
      <c r="P665" s="14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x14ac:dyDescent="0.25">
      <c r="A666" s="6"/>
      <c r="B666" s="7">
        <v>44226</v>
      </c>
      <c r="C666" s="8" t="s">
        <v>422</v>
      </c>
      <c r="D666" s="8" t="s">
        <v>458</v>
      </c>
      <c r="E666" s="9" t="s">
        <v>699</v>
      </c>
      <c r="F666" s="9" t="s">
        <v>459</v>
      </c>
      <c r="G666" s="17">
        <v>0.87638888888888899</v>
      </c>
      <c r="H666" s="17">
        <v>0.28333333333333333</v>
      </c>
      <c r="I666" s="9">
        <v>17590</v>
      </c>
      <c r="J666" s="9">
        <v>8190</v>
      </c>
      <c r="K666" s="10">
        <f t="shared" si="27"/>
        <v>9400</v>
      </c>
      <c r="L666" s="10">
        <v>1510</v>
      </c>
      <c r="M666" s="11" t="s">
        <v>731</v>
      </c>
      <c r="N666" s="12">
        <v>9400</v>
      </c>
      <c r="O666" s="13" t="s">
        <v>49</v>
      </c>
      <c r="P666" s="14"/>
      <c r="Q666" s="1"/>
      <c r="R666" s="1">
        <f>3220*2.2</f>
        <v>7084.0000000000009</v>
      </c>
      <c r="S666" s="1">
        <f>+R666-4160</f>
        <v>2924.0000000000009</v>
      </c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x14ac:dyDescent="0.25">
      <c r="A667" s="6"/>
      <c r="B667" s="7">
        <v>44226</v>
      </c>
      <c r="C667" s="8" t="s">
        <v>289</v>
      </c>
      <c r="D667" s="8" t="s">
        <v>219</v>
      </c>
      <c r="E667" s="9" t="s">
        <v>110</v>
      </c>
      <c r="F667" s="9" t="s">
        <v>111</v>
      </c>
      <c r="G667" s="17">
        <v>0.87777777777777777</v>
      </c>
      <c r="H667" s="17">
        <v>0.31805555555555554</v>
      </c>
      <c r="I667" s="9">
        <v>13580</v>
      </c>
      <c r="J667" s="9">
        <v>6520</v>
      </c>
      <c r="K667" s="10">
        <f t="shared" si="27"/>
        <v>7060</v>
      </c>
      <c r="L667" s="10">
        <v>26407</v>
      </c>
      <c r="M667" s="11" t="s">
        <v>731</v>
      </c>
      <c r="N667" s="12">
        <v>7060</v>
      </c>
      <c r="O667" s="13" t="s">
        <v>683</v>
      </c>
      <c r="P667" s="14"/>
      <c r="Q667" s="1"/>
      <c r="R667" s="1">
        <v>4160</v>
      </c>
      <c r="S667" s="1">
        <f>+R667/2.2</f>
        <v>1890.9090909090908</v>
      </c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x14ac:dyDescent="0.25">
      <c r="A668" s="6"/>
      <c r="B668" s="7">
        <v>44226</v>
      </c>
      <c r="C668" s="8" t="s">
        <v>142</v>
      </c>
      <c r="D668" s="8" t="s">
        <v>86</v>
      </c>
      <c r="E668" s="9" t="s">
        <v>87</v>
      </c>
      <c r="F668" s="9" t="s">
        <v>88</v>
      </c>
      <c r="G668" s="17">
        <v>8.4027777777777771E-2</v>
      </c>
      <c r="H668" s="17">
        <v>9.375E-2</v>
      </c>
      <c r="I668" s="9">
        <v>30500</v>
      </c>
      <c r="J668" s="9">
        <v>17040</v>
      </c>
      <c r="K668" s="10">
        <f t="shared" si="27"/>
        <v>13460</v>
      </c>
      <c r="L668" s="10">
        <v>13460</v>
      </c>
      <c r="M668" s="11" t="s">
        <v>773</v>
      </c>
      <c r="N668" s="12">
        <v>14237</v>
      </c>
      <c r="O668" s="13" t="s">
        <v>683</v>
      </c>
      <c r="P668" s="14"/>
      <c r="Q668" s="1"/>
      <c r="R668" s="1">
        <v>3128</v>
      </c>
      <c r="S668" s="1">
        <f>+R668/2.2</f>
        <v>1421.8181818181818</v>
      </c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x14ac:dyDescent="0.25">
      <c r="A669" s="6"/>
      <c r="B669" s="7">
        <v>44227</v>
      </c>
      <c r="C669" s="8" t="s">
        <v>835</v>
      </c>
      <c r="D669" s="8" t="s">
        <v>552</v>
      </c>
      <c r="E669" s="9" t="s">
        <v>699</v>
      </c>
      <c r="F669" s="9" t="s">
        <v>459</v>
      </c>
      <c r="G669" s="17">
        <v>0.63472222222222219</v>
      </c>
      <c r="H669" s="17">
        <v>0.14861111111111111</v>
      </c>
      <c r="I669" s="9">
        <v>13160</v>
      </c>
      <c r="J669" s="9">
        <v>8360</v>
      </c>
      <c r="K669" s="10">
        <f t="shared" si="27"/>
        <v>4800</v>
      </c>
      <c r="L669" s="10">
        <v>3742</v>
      </c>
      <c r="M669" s="11" t="s">
        <v>731</v>
      </c>
      <c r="N669" s="12">
        <v>10933</v>
      </c>
      <c r="O669" s="13" t="s">
        <v>49</v>
      </c>
      <c r="P669" s="14"/>
      <c r="Q669" s="1"/>
      <c r="R669" s="1"/>
      <c r="S669" s="1">
        <f>+S668+S667</f>
        <v>3312.7272727272725</v>
      </c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25"/>
      <c r="AH669" s="25"/>
      <c r="AI669" s="25"/>
      <c r="AJ669" s="25"/>
      <c r="AK669" s="25"/>
    </row>
    <row r="670" spans="1:37" s="51" customFormat="1" x14ac:dyDescent="0.25">
      <c r="A670" s="41"/>
      <c r="B670" s="42">
        <v>44227</v>
      </c>
      <c r="C670" s="43" t="s">
        <v>37</v>
      </c>
      <c r="D670" s="43" t="s">
        <v>836</v>
      </c>
      <c r="E670" s="44" t="s">
        <v>277</v>
      </c>
      <c r="F670" s="44" t="s">
        <v>266</v>
      </c>
      <c r="G670" s="45">
        <v>0.75208333333333333</v>
      </c>
      <c r="H670" s="45">
        <v>0.15347222222222223</v>
      </c>
      <c r="I670" s="44">
        <v>1130</v>
      </c>
      <c r="J670" s="44">
        <v>170</v>
      </c>
      <c r="K670" s="46">
        <f t="shared" si="27"/>
        <v>960</v>
      </c>
      <c r="L670" s="46" t="s">
        <v>196</v>
      </c>
      <c r="M670" s="47" t="s">
        <v>837</v>
      </c>
      <c r="N670" s="48">
        <v>960</v>
      </c>
      <c r="O670" s="49" t="s">
        <v>683</v>
      </c>
      <c r="P670" s="50"/>
    </row>
    <row r="671" spans="1:37" x14ac:dyDescent="0.25">
      <c r="A671" s="6"/>
      <c r="B671" s="7">
        <v>44227</v>
      </c>
      <c r="C671" s="8" t="s">
        <v>64</v>
      </c>
      <c r="D671" s="8" t="s">
        <v>29</v>
      </c>
      <c r="E671" s="9" t="s">
        <v>30</v>
      </c>
      <c r="F671" s="9" t="s">
        <v>154</v>
      </c>
      <c r="G671" s="17">
        <v>0.87222222222222223</v>
      </c>
      <c r="H671" s="17">
        <v>0.92986111111111114</v>
      </c>
      <c r="I671" s="9">
        <v>7520</v>
      </c>
      <c r="J671" s="9">
        <v>3340</v>
      </c>
      <c r="K671" s="10">
        <f t="shared" si="27"/>
        <v>4180</v>
      </c>
      <c r="L671" s="10">
        <v>4092</v>
      </c>
      <c r="M671" s="11" t="s">
        <v>31</v>
      </c>
      <c r="N671" s="12">
        <v>9460.5</v>
      </c>
      <c r="O671" s="13" t="s">
        <v>49</v>
      </c>
      <c r="P671" s="14"/>
      <c r="Q671" s="1" t="s">
        <v>834</v>
      </c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x14ac:dyDescent="0.25">
      <c r="A672" s="6"/>
      <c r="B672" s="7">
        <v>44227</v>
      </c>
      <c r="C672" s="8" t="s">
        <v>37</v>
      </c>
      <c r="D672" s="8" t="s">
        <v>41</v>
      </c>
      <c r="E672" s="9" t="s">
        <v>39</v>
      </c>
      <c r="F672" s="9" t="s">
        <v>154</v>
      </c>
      <c r="G672" s="17">
        <v>0.87638888888888899</v>
      </c>
      <c r="H672" s="17">
        <v>0.96319444444444446</v>
      </c>
      <c r="I672" s="9">
        <v>16015</v>
      </c>
      <c r="J672" s="9">
        <v>6260</v>
      </c>
      <c r="K672" s="10">
        <f t="shared" si="27"/>
        <v>9755</v>
      </c>
      <c r="L672" s="10">
        <v>26408</v>
      </c>
      <c r="M672" s="11" t="s">
        <v>838</v>
      </c>
      <c r="N672" s="12">
        <v>9755</v>
      </c>
      <c r="O672" s="13" t="s">
        <v>32</v>
      </c>
      <c r="P672" s="14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x14ac:dyDescent="0.25">
      <c r="A673" s="6"/>
      <c r="B673" s="7">
        <v>44227</v>
      </c>
      <c r="C673" s="8" t="s">
        <v>347</v>
      </c>
      <c r="D673" s="8" t="s">
        <v>61</v>
      </c>
      <c r="E673" s="9" t="s">
        <v>62</v>
      </c>
      <c r="F673" s="9" t="s">
        <v>154</v>
      </c>
      <c r="G673" s="17">
        <v>0.90486111111111101</v>
      </c>
      <c r="H673" s="17">
        <v>0.96805555555555556</v>
      </c>
      <c r="I673" s="9">
        <v>7700</v>
      </c>
      <c r="J673" s="9">
        <v>3460</v>
      </c>
      <c r="K673" s="10">
        <f t="shared" si="27"/>
        <v>4240</v>
      </c>
      <c r="L673" s="10">
        <v>9942</v>
      </c>
      <c r="M673" s="11" t="s">
        <v>31</v>
      </c>
      <c r="N673" s="12">
        <v>9100</v>
      </c>
      <c r="O673" s="13" t="s">
        <v>49</v>
      </c>
      <c r="P673" s="14">
        <f>20*30</f>
        <v>600</v>
      </c>
      <c r="Q673" s="1">
        <f>4180*2.2</f>
        <v>9196</v>
      </c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x14ac:dyDescent="0.25">
      <c r="A674" s="6"/>
      <c r="B674" s="7">
        <v>44227</v>
      </c>
      <c r="C674" s="8" t="s">
        <v>33</v>
      </c>
      <c r="D674" s="8" t="s">
        <v>202</v>
      </c>
      <c r="E674" s="9" t="s">
        <v>604</v>
      </c>
      <c r="F674" s="9" t="s">
        <v>154</v>
      </c>
      <c r="G674" s="17">
        <v>0.92847222222222225</v>
      </c>
      <c r="H674" s="17">
        <v>0.98333333333333339</v>
      </c>
      <c r="I674" s="9">
        <v>9350</v>
      </c>
      <c r="J674" s="9">
        <v>4200</v>
      </c>
      <c r="K674" s="10">
        <f t="shared" si="27"/>
        <v>5150</v>
      </c>
      <c r="L674" s="10">
        <v>26409</v>
      </c>
      <c r="M674" s="11" t="s">
        <v>31</v>
      </c>
      <c r="N674" s="12">
        <v>5150</v>
      </c>
      <c r="O674" s="13" t="s">
        <v>32</v>
      </c>
      <c r="P674" s="14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x14ac:dyDescent="0.25">
      <c r="A675" s="6"/>
      <c r="B675" s="7">
        <v>44227</v>
      </c>
      <c r="C675" s="8" t="s">
        <v>130</v>
      </c>
      <c r="D675" s="8" t="s">
        <v>131</v>
      </c>
      <c r="E675" s="9" t="s">
        <v>132</v>
      </c>
      <c r="F675" s="9" t="s">
        <v>154</v>
      </c>
      <c r="G675" s="17">
        <v>0.9902777777777777</v>
      </c>
      <c r="H675" s="17">
        <v>9.7222222222222224E-3</v>
      </c>
      <c r="I675" s="9">
        <v>45830</v>
      </c>
      <c r="J675" s="9">
        <v>18630</v>
      </c>
      <c r="K675" s="10">
        <f t="shared" si="27"/>
        <v>27200</v>
      </c>
      <c r="L675" s="10">
        <v>5277</v>
      </c>
      <c r="M675" s="11" t="s">
        <v>31</v>
      </c>
      <c r="N675" s="12">
        <v>59862</v>
      </c>
      <c r="O675" s="13" t="s">
        <v>49</v>
      </c>
      <c r="P675" s="14"/>
      <c r="Q675" s="1"/>
      <c r="R675" s="1">
        <f>27200*2.2</f>
        <v>59840.000000000007</v>
      </c>
      <c r="S675" s="1">
        <f>+R675-15500</f>
        <v>44340.000000000007</v>
      </c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x14ac:dyDescent="0.25">
      <c r="A676" s="6"/>
      <c r="B676" s="7">
        <v>44227</v>
      </c>
      <c r="C676" s="8" t="s">
        <v>839</v>
      </c>
      <c r="D676" s="8" t="s">
        <v>382</v>
      </c>
      <c r="E676" s="9" t="s">
        <v>822</v>
      </c>
      <c r="F676" s="9" t="s">
        <v>154</v>
      </c>
      <c r="G676" s="17">
        <v>0.99305555555555547</v>
      </c>
      <c r="H676" s="17">
        <v>2.9166666666666664E-2</v>
      </c>
      <c r="I676" s="9">
        <v>7110</v>
      </c>
      <c r="J676" s="9">
        <v>3890</v>
      </c>
      <c r="K676" s="10">
        <f t="shared" si="27"/>
        <v>3220</v>
      </c>
      <c r="L676" s="10" t="s">
        <v>840</v>
      </c>
      <c r="M676" s="11" t="s">
        <v>31</v>
      </c>
      <c r="N676" s="12">
        <v>3220</v>
      </c>
      <c r="O676" s="13" t="s">
        <v>32</v>
      </c>
      <c r="P676" s="14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x14ac:dyDescent="0.25">
      <c r="A677" s="6"/>
      <c r="B677" s="7">
        <v>44228</v>
      </c>
      <c r="C677" s="8" t="s">
        <v>33</v>
      </c>
      <c r="D677" s="8" t="s">
        <v>841</v>
      </c>
      <c r="E677" s="9" t="s">
        <v>842</v>
      </c>
      <c r="F677" s="9" t="s">
        <v>154</v>
      </c>
      <c r="G677" s="17">
        <v>7.3611111111111113E-2</v>
      </c>
      <c r="H677" s="17">
        <v>0.15833333333333333</v>
      </c>
      <c r="I677" s="9">
        <v>6840</v>
      </c>
      <c r="J677" s="9">
        <v>4090</v>
      </c>
      <c r="K677" s="10">
        <f t="shared" si="27"/>
        <v>2750</v>
      </c>
      <c r="L677" s="10">
        <v>26411</v>
      </c>
      <c r="M677" s="11" t="s">
        <v>31</v>
      </c>
      <c r="N677" s="12">
        <v>2750</v>
      </c>
      <c r="O677" s="13" t="s">
        <v>32</v>
      </c>
      <c r="P677" s="14"/>
      <c r="Q677" s="1"/>
      <c r="R677" s="1">
        <f>2750*2.2</f>
        <v>6050.0000000000009</v>
      </c>
      <c r="S677" s="1">
        <f>+R677-100</f>
        <v>5950.0000000000009</v>
      </c>
    </row>
    <row r="678" spans="1:37" x14ac:dyDescent="0.25">
      <c r="A678" s="6"/>
      <c r="B678" s="7">
        <v>44228</v>
      </c>
      <c r="C678" s="8" t="s">
        <v>130</v>
      </c>
      <c r="D678" s="8" t="s">
        <v>217</v>
      </c>
      <c r="E678" s="9" t="s">
        <v>843</v>
      </c>
      <c r="F678" s="9" t="s">
        <v>154</v>
      </c>
      <c r="G678" s="17">
        <v>9.7222222222222224E-2</v>
      </c>
      <c r="H678" s="17">
        <v>0.11527777777777777</v>
      </c>
      <c r="I678" s="9">
        <v>50490</v>
      </c>
      <c r="J678" s="9">
        <v>19480</v>
      </c>
      <c r="K678" s="10">
        <f t="shared" si="27"/>
        <v>31010</v>
      </c>
      <c r="L678" s="10">
        <v>5278</v>
      </c>
      <c r="M678" s="11" t="s">
        <v>31</v>
      </c>
      <c r="N678" s="12">
        <v>68222</v>
      </c>
      <c r="O678" s="13" t="s">
        <v>49</v>
      </c>
      <c r="P678" s="14"/>
      <c r="Q678" s="1"/>
      <c r="R678" s="1"/>
      <c r="S678" s="1"/>
    </row>
    <row r="679" spans="1:37" x14ac:dyDescent="0.25">
      <c r="A679" s="6"/>
      <c r="B679" s="7">
        <v>44228</v>
      </c>
      <c r="C679" s="8" t="s">
        <v>130</v>
      </c>
      <c r="D679" s="8" t="s">
        <v>598</v>
      </c>
      <c r="E679" s="9" t="s">
        <v>789</v>
      </c>
      <c r="F679" s="9" t="s">
        <v>154</v>
      </c>
      <c r="G679" s="17">
        <v>0.21944444444444444</v>
      </c>
      <c r="H679" s="17">
        <v>0.25277777777777777</v>
      </c>
      <c r="I679" s="9">
        <v>49220</v>
      </c>
      <c r="J679" s="9">
        <v>18520</v>
      </c>
      <c r="K679" s="10">
        <f t="shared" si="27"/>
        <v>30700</v>
      </c>
      <c r="L679" s="10">
        <v>5279</v>
      </c>
      <c r="M679" s="11" t="s">
        <v>31</v>
      </c>
      <c r="N679" s="12">
        <v>67628</v>
      </c>
      <c r="O679" s="13" t="s">
        <v>49</v>
      </c>
      <c r="P679" s="14"/>
      <c r="Q679" s="1"/>
      <c r="R679" s="1"/>
      <c r="S679" s="1"/>
    </row>
    <row r="680" spans="1:37" x14ac:dyDescent="0.25">
      <c r="A680" s="6"/>
      <c r="P680" s="14"/>
      <c r="Q680" s="1"/>
      <c r="R680" s="1"/>
      <c r="S680" s="1"/>
    </row>
    <row r="681" spans="1:37" x14ac:dyDescent="0.25">
      <c r="A681" s="7"/>
      <c r="P681" s="14"/>
      <c r="Q681" s="1"/>
      <c r="R681" s="1"/>
      <c r="S681" s="1"/>
    </row>
    <row r="682" spans="1:37" x14ac:dyDescent="0.25">
      <c r="A682" s="7"/>
      <c r="B682" s="7">
        <v>44228</v>
      </c>
      <c r="C682" s="8"/>
      <c r="D682" s="8"/>
      <c r="E682" s="9"/>
      <c r="F682" s="9"/>
      <c r="G682" s="17"/>
      <c r="H682" s="17"/>
      <c r="I682" s="9"/>
      <c r="J682" s="9"/>
      <c r="K682" s="10">
        <f t="shared" ref="K682:K714" si="28">+I682-J682</f>
        <v>0</v>
      </c>
      <c r="L682" s="10"/>
      <c r="M682" s="11"/>
      <c r="N682" s="12"/>
      <c r="O682" s="13"/>
      <c r="P682" s="14"/>
      <c r="Q682" s="1"/>
      <c r="R682" s="1"/>
      <c r="S682" s="1"/>
    </row>
    <row r="683" spans="1:37" x14ac:dyDescent="0.25">
      <c r="A683" s="7"/>
      <c r="B683" s="7">
        <v>44228</v>
      </c>
      <c r="C683" s="8"/>
      <c r="D683" s="8"/>
      <c r="E683" s="9"/>
      <c r="F683" s="9"/>
      <c r="G683" s="17"/>
      <c r="H683" s="17"/>
      <c r="I683" s="9"/>
      <c r="J683" s="9"/>
      <c r="K683" s="10">
        <f t="shared" si="28"/>
        <v>0</v>
      </c>
      <c r="L683" s="10"/>
      <c r="M683" s="11"/>
      <c r="N683" s="12"/>
      <c r="O683" s="13"/>
      <c r="P683" s="14"/>
      <c r="Q683" s="1"/>
      <c r="R683" s="1"/>
      <c r="S683" s="1"/>
    </row>
    <row r="684" spans="1:37" x14ac:dyDescent="0.25">
      <c r="A684" s="7"/>
      <c r="B684" s="7">
        <v>44228</v>
      </c>
      <c r="C684" s="8"/>
      <c r="D684" s="8"/>
      <c r="E684" s="9"/>
      <c r="F684" s="9"/>
      <c r="G684" s="17"/>
      <c r="H684" s="17"/>
      <c r="I684" s="9"/>
      <c r="J684" s="9"/>
      <c r="K684" s="10">
        <f t="shared" si="28"/>
        <v>0</v>
      </c>
      <c r="L684" s="10"/>
      <c r="M684" s="11"/>
      <c r="N684" s="12"/>
      <c r="O684" s="13"/>
      <c r="P684" s="14"/>
      <c r="Q684" s="1"/>
      <c r="R684" s="1"/>
      <c r="S684" s="1"/>
    </row>
    <row r="685" spans="1:37" x14ac:dyDescent="0.25">
      <c r="A685" s="7"/>
      <c r="B685" s="7"/>
      <c r="C685" s="8"/>
      <c r="D685" s="8"/>
      <c r="E685" s="9"/>
      <c r="F685" s="9"/>
      <c r="G685" s="17"/>
      <c r="H685" s="17"/>
      <c r="I685" s="9"/>
      <c r="J685" s="9"/>
      <c r="K685" s="10">
        <f t="shared" si="28"/>
        <v>0</v>
      </c>
      <c r="L685" s="10"/>
      <c r="M685" s="11"/>
      <c r="N685" s="12"/>
      <c r="O685" s="13"/>
      <c r="P685" s="14"/>
      <c r="Q685" s="1"/>
      <c r="R685" s="1"/>
      <c r="S685" s="1"/>
    </row>
    <row r="686" spans="1:37" x14ac:dyDescent="0.25">
      <c r="A686" s="7"/>
      <c r="B686" s="7"/>
      <c r="C686" s="8"/>
      <c r="D686" s="8"/>
      <c r="E686" s="9"/>
      <c r="F686" s="9"/>
      <c r="G686" s="17"/>
      <c r="H686" s="17"/>
      <c r="I686" s="9"/>
      <c r="J686" s="9"/>
      <c r="K686" s="10">
        <f t="shared" si="28"/>
        <v>0</v>
      </c>
      <c r="L686" s="10"/>
      <c r="M686" s="11"/>
      <c r="N686" s="12"/>
      <c r="O686" s="13"/>
      <c r="P686" s="14"/>
      <c r="Q686" s="1"/>
      <c r="R686" s="1"/>
      <c r="S686" s="1"/>
    </row>
    <row r="687" spans="1:37" x14ac:dyDescent="0.25">
      <c r="A687" s="7"/>
      <c r="B687" s="7"/>
      <c r="C687" s="8"/>
      <c r="D687" s="8"/>
      <c r="E687" s="9"/>
      <c r="F687" s="9"/>
      <c r="G687" s="17"/>
      <c r="H687" s="17"/>
      <c r="I687" s="9"/>
      <c r="J687" s="9"/>
      <c r="K687" s="10">
        <f t="shared" si="28"/>
        <v>0</v>
      </c>
      <c r="L687" s="10"/>
      <c r="M687" s="11"/>
      <c r="N687" s="12"/>
      <c r="O687" s="13"/>
      <c r="P687" s="14"/>
      <c r="Q687" s="1"/>
      <c r="R687" s="1"/>
      <c r="S687" s="1"/>
    </row>
    <row r="688" spans="1:37" x14ac:dyDescent="0.25">
      <c r="A688" s="7"/>
      <c r="B688" s="7"/>
      <c r="C688" s="8"/>
      <c r="D688" s="8"/>
      <c r="E688" s="9"/>
      <c r="F688" s="9"/>
      <c r="G688" s="17"/>
      <c r="H688" s="17"/>
      <c r="I688" s="9"/>
      <c r="J688" s="9"/>
      <c r="K688" s="10">
        <f t="shared" si="28"/>
        <v>0</v>
      </c>
      <c r="L688" s="10"/>
      <c r="M688" s="11"/>
      <c r="N688" s="12"/>
      <c r="O688" s="13"/>
      <c r="P688" s="14"/>
      <c r="Q688" s="1"/>
      <c r="R688" s="1"/>
      <c r="S688" s="1"/>
    </row>
    <row r="689" spans="1:19" x14ac:dyDescent="0.25">
      <c r="A689" s="7"/>
      <c r="B689" s="7"/>
      <c r="C689" s="8"/>
      <c r="D689" s="8"/>
      <c r="E689" s="9"/>
      <c r="F689" s="9"/>
      <c r="G689" s="17"/>
      <c r="H689" s="17"/>
      <c r="I689" s="9"/>
      <c r="J689" s="9"/>
      <c r="K689" s="10">
        <f t="shared" si="28"/>
        <v>0</v>
      </c>
      <c r="L689" s="10"/>
      <c r="M689" s="11"/>
      <c r="N689" s="12"/>
      <c r="O689" s="13"/>
      <c r="P689" s="14"/>
      <c r="Q689" s="1"/>
      <c r="R689" s="1"/>
      <c r="S689" s="1"/>
    </row>
    <row r="690" spans="1:19" x14ac:dyDescent="0.25">
      <c r="A690" s="7"/>
      <c r="B690" s="7"/>
      <c r="C690" s="8"/>
      <c r="D690" s="8"/>
      <c r="E690" s="9"/>
      <c r="F690" s="9"/>
      <c r="G690" s="17"/>
      <c r="H690" s="17"/>
      <c r="I690" s="9"/>
      <c r="J690" s="9"/>
      <c r="K690" s="10">
        <f t="shared" si="28"/>
        <v>0</v>
      </c>
      <c r="L690" s="10"/>
      <c r="M690" s="11"/>
      <c r="N690" s="12"/>
      <c r="O690" s="13"/>
      <c r="P690" s="14"/>
      <c r="Q690" s="1"/>
      <c r="R690" s="1"/>
      <c r="S690" s="1"/>
    </row>
    <row r="691" spans="1:19" x14ac:dyDescent="0.25">
      <c r="A691" s="7"/>
      <c r="B691" s="7"/>
      <c r="C691" s="8"/>
      <c r="D691" s="8"/>
      <c r="E691" s="9"/>
      <c r="F691" s="9"/>
      <c r="G691" s="17"/>
      <c r="H691" s="17"/>
      <c r="I691" s="9"/>
      <c r="J691" s="9"/>
      <c r="K691" s="10">
        <f t="shared" si="28"/>
        <v>0</v>
      </c>
      <c r="L691" s="10"/>
      <c r="M691" s="11"/>
      <c r="N691" s="12"/>
      <c r="O691" s="13"/>
      <c r="P691" s="14"/>
      <c r="Q691" s="1"/>
      <c r="R691" s="1"/>
      <c r="S691" s="1"/>
    </row>
    <row r="692" spans="1:19" x14ac:dyDescent="0.25">
      <c r="A692" s="7"/>
      <c r="B692" s="7"/>
      <c r="C692" s="8"/>
      <c r="D692" s="8"/>
      <c r="E692" s="9"/>
      <c r="F692" s="9"/>
      <c r="G692" s="17"/>
      <c r="H692" s="17"/>
      <c r="I692" s="9"/>
      <c r="J692" s="9"/>
      <c r="K692" s="10">
        <f t="shared" si="28"/>
        <v>0</v>
      </c>
      <c r="L692" s="10"/>
      <c r="M692" s="11"/>
      <c r="N692" s="12"/>
      <c r="O692" s="13"/>
      <c r="P692" s="14"/>
      <c r="Q692" s="1"/>
      <c r="R692" s="1"/>
      <c r="S692" s="1"/>
    </row>
    <row r="693" spans="1:19" x14ac:dyDescent="0.25">
      <c r="A693" s="7"/>
      <c r="B693" s="15"/>
      <c r="C693" s="16"/>
      <c r="D693" s="8"/>
      <c r="E693" s="9"/>
      <c r="F693" s="9"/>
      <c r="G693" s="17"/>
      <c r="H693" s="17"/>
      <c r="I693" s="9"/>
      <c r="J693" s="9"/>
      <c r="K693" s="10">
        <f t="shared" si="28"/>
        <v>0</v>
      </c>
      <c r="L693" s="10"/>
      <c r="M693" s="11"/>
      <c r="N693" s="12"/>
      <c r="O693" s="13"/>
      <c r="P693" s="14"/>
    </row>
    <row r="694" spans="1:19" x14ac:dyDescent="0.25">
      <c r="A694" s="7"/>
      <c r="B694" s="7"/>
      <c r="C694" s="8"/>
      <c r="D694" s="8"/>
      <c r="E694" s="9"/>
      <c r="F694" s="9"/>
      <c r="G694" s="17"/>
      <c r="H694" s="17"/>
      <c r="I694" s="9"/>
      <c r="J694" s="9"/>
      <c r="K694" s="10">
        <f t="shared" si="28"/>
        <v>0</v>
      </c>
      <c r="L694" s="10"/>
      <c r="M694" s="11"/>
      <c r="N694" s="12"/>
      <c r="O694" s="13"/>
      <c r="P694" s="14"/>
    </row>
    <row r="695" spans="1:19" x14ac:dyDescent="0.25">
      <c r="A695" s="7"/>
      <c r="B695" s="7"/>
      <c r="C695" s="8"/>
      <c r="D695" s="8"/>
      <c r="E695" s="9"/>
      <c r="F695" s="9"/>
      <c r="G695" s="17"/>
      <c r="H695" s="17"/>
      <c r="I695" s="9"/>
      <c r="J695" s="9"/>
      <c r="K695" s="10">
        <f t="shared" si="28"/>
        <v>0</v>
      </c>
      <c r="L695" s="10"/>
      <c r="M695" s="11"/>
      <c r="N695" s="12"/>
      <c r="O695" s="13"/>
      <c r="P695" s="14"/>
    </row>
    <row r="696" spans="1:19" x14ac:dyDescent="0.25">
      <c r="A696" s="7"/>
      <c r="B696" s="7"/>
      <c r="C696" s="8"/>
      <c r="D696" s="8"/>
      <c r="E696" s="9"/>
      <c r="F696" s="9"/>
      <c r="G696" s="17"/>
      <c r="H696" s="17"/>
      <c r="I696" s="9"/>
      <c r="J696" s="9"/>
      <c r="K696" s="10">
        <f t="shared" si="28"/>
        <v>0</v>
      </c>
      <c r="L696" s="10"/>
      <c r="M696" s="11"/>
      <c r="N696" s="12"/>
      <c r="O696" s="13"/>
      <c r="P696" s="14"/>
    </row>
    <row r="697" spans="1:19" x14ac:dyDescent="0.25">
      <c r="A697" s="7"/>
      <c r="B697" s="7"/>
      <c r="C697" s="8"/>
      <c r="D697" s="8"/>
      <c r="E697" s="9"/>
      <c r="F697" s="9"/>
      <c r="G697" s="17"/>
      <c r="H697" s="17"/>
      <c r="I697" s="9"/>
      <c r="J697" s="9"/>
      <c r="K697" s="10">
        <f t="shared" si="28"/>
        <v>0</v>
      </c>
      <c r="L697" s="10"/>
      <c r="M697" s="11"/>
      <c r="N697" s="12"/>
      <c r="O697" s="13"/>
      <c r="P697" s="14"/>
    </row>
    <row r="698" spans="1:19" x14ac:dyDescent="0.25">
      <c r="A698" s="6"/>
      <c r="B698" s="7"/>
      <c r="C698" s="8"/>
      <c r="D698" s="8"/>
      <c r="E698" s="9"/>
      <c r="F698" s="9"/>
      <c r="G698" s="17"/>
      <c r="H698" s="17"/>
      <c r="I698" s="9"/>
      <c r="J698" s="9"/>
      <c r="K698" s="10">
        <f t="shared" si="28"/>
        <v>0</v>
      </c>
      <c r="L698" s="10"/>
      <c r="M698" s="11"/>
      <c r="N698" s="12"/>
      <c r="O698" s="13"/>
      <c r="P698" s="14"/>
    </row>
    <row r="699" spans="1:19" x14ac:dyDescent="0.25">
      <c r="A699" s="6"/>
      <c r="B699" s="7"/>
      <c r="C699" s="8"/>
      <c r="D699" s="8"/>
      <c r="E699" s="9"/>
      <c r="F699" s="9"/>
      <c r="G699" s="17"/>
      <c r="H699" s="17"/>
      <c r="I699" s="9"/>
      <c r="J699" s="9"/>
      <c r="K699" s="10">
        <f t="shared" si="28"/>
        <v>0</v>
      </c>
      <c r="L699" s="10"/>
      <c r="M699" s="11"/>
      <c r="N699" s="12"/>
      <c r="O699" s="13"/>
      <c r="P699" s="14"/>
    </row>
    <row r="700" spans="1:19" x14ac:dyDescent="0.25">
      <c r="A700" s="6"/>
      <c r="B700" s="7"/>
      <c r="C700" s="8"/>
      <c r="D700" s="8"/>
      <c r="E700" s="9"/>
      <c r="F700" s="9"/>
      <c r="G700" s="17"/>
      <c r="H700" s="17"/>
      <c r="I700" s="9"/>
      <c r="J700" s="9"/>
      <c r="K700" s="10">
        <f t="shared" si="28"/>
        <v>0</v>
      </c>
      <c r="L700" s="10"/>
      <c r="M700" s="11"/>
      <c r="N700" s="12"/>
      <c r="O700" s="13"/>
      <c r="P700" s="14"/>
    </row>
    <row r="701" spans="1:19" x14ac:dyDescent="0.25">
      <c r="A701" s="6"/>
      <c r="B701" s="7"/>
      <c r="C701" s="8"/>
      <c r="D701" s="8"/>
      <c r="E701" s="9"/>
      <c r="F701" s="9"/>
      <c r="G701" s="17"/>
      <c r="H701" s="17"/>
      <c r="I701" s="9"/>
      <c r="J701" s="9"/>
      <c r="K701" s="10">
        <f t="shared" si="28"/>
        <v>0</v>
      </c>
      <c r="L701" s="10"/>
      <c r="M701" s="11"/>
      <c r="N701" s="12"/>
      <c r="O701" s="13"/>
      <c r="P701" s="14"/>
    </row>
    <row r="702" spans="1:19" x14ac:dyDescent="0.25">
      <c r="A702" s="6"/>
      <c r="B702" s="7"/>
      <c r="C702" s="8"/>
      <c r="D702" s="8"/>
      <c r="E702" s="9"/>
      <c r="F702" s="9"/>
      <c r="G702" s="17"/>
      <c r="H702" s="17"/>
      <c r="I702" s="9"/>
      <c r="J702" s="9"/>
      <c r="K702" s="10">
        <f t="shared" si="28"/>
        <v>0</v>
      </c>
      <c r="L702" s="10"/>
      <c r="M702" s="11"/>
      <c r="N702" s="12"/>
      <c r="O702" s="13"/>
      <c r="P702" s="14"/>
    </row>
    <row r="703" spans="1:19" x14ac:dyDescent="0.25">
      <c r="A703" s="6"/>
      <c r="B703" s="7"/>
      <c r="C703" s="8"/>
      <c r="D703" s="8"/>
      <c r="E703" s="9"/>
      <c r="F703" s="9"/>
      <c r="G703" s="17"/>
      <c r="H703" s="17"/>
      <c r="I703" s="9"/>
      <c r="J703" s="9"/>
      <c r="K703" s="10">
        <f t="shared" si="28"/>
        <v>0</v>
      </c>
      <c r="L703" s="10"/>
      <c r="M703" s="11"/>
      <c r="N703" s="12"/>
      <c r="O703" s="13"/>
      <c r="P703" s="14"/>
    </row>
    <row r="704" spans="1:19" x14ac:dyDescent="0.25">
      <c r="A704" s="6"/>
      <c r="B704" s="7"/>
      <c r="C704" s="8"/>
      <c r="D704" s="8"/>
      <c r="E704" s="9"/>
      <c r="F704" s="9"/>
      <c r="G704" s="17"/>
      <c r="H704" s="17"/>
      <c r="I704" s="9"/>
      <c r="J704" s="9"/>
      <c r="K704" s="10">
        <f t="shared" si="28"/>
        <v>0</v>
      </c>
      <c r="L704" s="10"/>
      <c r="M704" s="11"/>
      <c r="N704" s="12"/>
      <c r="O704" s="13"/>
      <c r="P704" s="14"/>
    </row>
    <row r="705" spans="1:17" x14ac:dyDescent="0.25">
      <c r="A705" s="6"/>
      <c r="B705" s="15"/>
      <c r="C705" s="8"/>
      <c r="D705" s="8"/>
      <c r="E705" s="9"/>
      <c r="F705" s="9"/>
      <c r="G705" s="17"/>
      <c r="H705" s="17"/>
      <c r="I705" s="9"/>
      <c r="J705" s="9"/>
      <c r="K705" s="10">
        <f t="shared" si="28"/>
        <v>0</v>
      </c>
      <c r="L705" s="10"/>
      <c r="M705" s="11"/>
      <c r="N705" s="12"/>
      <c r="O705" s="13"/>
      <c r="P705" s="14"/>
    </row>
    <row r="706" spans="1:17" x14ac:dyDescent="0.25">
      <c r="A706" s="6"/>
      <c r="B706" s="7"/>
      <c r="C706" s="8"/>
      <c r="D706" s="8"/>
      <c r="E706" s="9"/>
      <c r="F706" s="9"/>
      <c r="G706" s="17"/>
      <c r="H706" s="17"/>
      <c r="I706" s="9"/>
      <c r="J706" s="9"/>
      <c r="K706" s="10">
        <f t="shared" si="28"/>
        <v>0</v>
      </c>
      <c r="L706" s="10"/>
      <c r="M706" s="11"/>
      <c r="N706" s="12"/>
      <c r="O706" s="13"/>
      <c r="P706" s="14"/>
    </row>
    <row r="707" spans="1:17" x14ac:dyDescent="0.25">
      <c r="A707" s="6"/>
      <c r="B707" s="7"/>
      <c r="C707" s="8"/>
      <c r="D707" s="8"/>
      <c r="E707" s="9"/>
      <c r="F707" s="9"/>
      <c r="G707" s="17"/>
      <c r="H707" s="17"/>
      <c r="I707" s="9"/>
      <c r="J707" s="9"/>
      <c r="K707" s="10">
        <f t="shared" si="28"/>
        <v>0</v>
      </c>
      <c r="L707" s="10"/>
      <c r="M707" s="11"/>
      <c r="N707" s="12"/>
      <c r="O707" s="13"/>
      <c r="P707" s="14"/>
    </row>
    <row r="708" spans="1:17" x14ac:dyDescent="0.25">
      <c r="A708" s="6"/>
      <c r="B708" s="7"/>
      <c r="C708" s="8"/>
      <c r="D708" s="8"/>
      <c r="E708" s="9"/>
      <c r="F708" s="9"/>
      <c r="G708" s="17"/>
      <c r="H708" s="17"/>
      <c r="I708" s="9"/>
      <c r="J708" s="9"/>
      <c r="K708" s="10">
        <f t="shared" si="28"/>
        <v>0</v>
      </c>
      <c r="L708" s="10"/>
      <c r="M708" s="11"/>
      <c r="N708" s="12"/>
      <c r="O708" s="13"/>
      <c r="P708" s="14"/>
    </row>
    <row r="709" spans="1:17" x14ac:dyDescent="0.25">
      <c r="A709" s="6"/>
      <c r="B709" s="7"/>
      <c r="C709" s="8"/>
      <c r="D709" s="8"/>
      <c r="E709" s="9"/>
      <c r="F709" s="9"/>
      <c r="G709" s="17"/>
      <c r="H709" s="17"/>
      <c r="I709" s="9"/>
      <c r="J709" s="9"/>
      <c r="K709" s="10">
        <f t="shared" si="28"/>
        <v>0</v>
      </c>
      <c r="L709" s="10"/>
      <c r="M709" s="11"/>
      <c r="N709" s="12"/>
      <c r="O709" s="13"/>
      <c r="P709" s="14"/>
      <c r="Q709" s="1"/>
    </row>
    <row r="710" spans="1:17" x14ac:dyDescent="0.25">
      <c r="A710" s="6"/>
      <c r="B710" s="7"/>
      <c r="C710" s="8"/>
      <c r="D710" s="8"/>
      <c r="E710" s="9"/>
      <c r="F710" s="9"/>
      <c r="G710" s="17"/>
      <c r="H710" s="17"/>
      <c r="I710" s="9"/>
      <c r="J710" s="9"/>
      <c r="K710" s="10">
        <f t="shared" si="28"/>
        <v>0</v>
      </c>
      <c r="L710" s="10"/>
      <c r="M710" s="11"/>
      <c r="N710" s="12"/>
      <c r="O710" s="13"/>
      <c r="P710" s="14"/>
      <c r="Q710" s="1"/>
    </row>
    <row r="711" spans="1:17" x14ac:dyDescent="0.25">
      <c r="A711" s="6"/>
      <c r="B711" s="7"/>
      <c r="C711" s="8"/>
      <c r="D711" s="8"/>
      <c r="E711" s="9"/>
      <c r="F711" s="9"/>
      <c r="G711" s="17"/>
      <c r="H711" s="17"/>
      <c r="I711" s="9"/>
      <c r="J711" s="9"/>
      <c r="K711" s="10">
        <f t="shared" si="28"/>
        <v>0</v>
      </c>
      <c r="L711" s="10"/>
      <c r="M711" s="11"/>
      <c r="N711" s="12"/>
      <c r="O711" s="13"/>
      <c r="P711" s="14"/>
      <c r="Q711" s="1"/>
    </row>
    <row r="712" spans="1:17" x14ac:dyDescent="0.25">
      <c r="A712" s="6"/>
      <c r="B712" s="15"/>
      <c r="C712" s="16"/>
      <c r="D712" s="8"/>
      <c r="E712" s="9"/>
      <c r="F712" s="9"/>
      <c r="G712" s="17"/>
      <c r="H712" s="17"/>
      <c r="I712" s="9"/>
      <c r="J712" s="9"/>
      <c r="K712" s="10">
        <f t="shared" si="28"/>
        <v>0</v>
      </c>
      <c r="L712" s="10"/>
      <c r="M712" s="11"/>
      <c r="N712" s="12"/>
      <c r="O712" s="13"/>
      <c r="P712" s="14"/>
      <c r="Q712" s="1"/>
    </row>
    <row r="713" spans="1:17" x14ac:dyDescent="0.25">
      <c r="A713" s="6"/>
      <c r="B713" s="7"/>
      <c r="C713" s="8"/>
      <c r="D713" s="8"/>
      <c r="E713" s="9"/>
      <c r="F713" s="9"/>
      <c r="G713" s="17"/>
      <c r="H713" s="17"/>
      <c r="I713" s="9"/>
      <c r="J713" s="9"/>
      <c r="K713" s="10">
        <f t="shared" si="28"/>
        <v>0</v>
      </c>
      <c r="L713" s="10"/>
      <c r="M713" s="11"/>
      <c r="N713" s="12"/>
      <c r="O713" s="13"/>
      <c r="P713" s="14"/>
      <c r="Q713" s="1"/>
    </row>
    <row r="714" spans="1:17" x14ac:dyDescent="0.25">
      <c r="A714" s="6"/>
      <c r="B714" s="7"/>
      <c r="C714" s="8"/>
      <c r="D714" s="8"/>
      <c r="E714" s="9"/>
      <c r="F714" s="9"/>
      <c r="G714" s="17"/>
      <c r="H714" s="17"/>
      <c r="I714" s="9"/>
      <c r="J714" s="9"/>
      <c r="K714" s="10">
        <f t="shared" si="28"/>
        <v>0</v>
      </c>
      <c r="L714" s="10"/>
      <c r="M714" s="11"/>
      <c r="N714" s="12"/>
      <c r="O714" s="13"/>
      <c r="P714" s="14"/>
      <c r="Q714" s="2"/>
    </row>
    <row r="715" spans="1:17" x14ac:dyDescent="0.25">
      <c r="A715" s="6"/>
      <c r="B715" s="7"/>
      <c r="C715" s="8"/>
      <c r="D715" s="8"/>
      <c r="E715" s="9"/>
      <c r="F715" s="9"/>
      <c r="G715" s="17"/>
      <c r="H715" s="17"/>
      <c r="I715" s="9"/>
      <c r="J715" s="9"/>
      <c r="K715" s="10">
        <f t="shared" ref="K715:K778" si="29">+I715-J715</f>
        <v>0</v>
      </c>
      <c r="L715" s="10"/>
      <c r="M715" s="11"/>
      <c r="N715" s="12"/>
      <c r="O715" s="13"/>
      <c r="P715" s="14"/>
      <c r="Q715" s="1"/>
    </row>
    <row r="716" spans="1:17" x14ac:dyDescent="0.25">
      <c r="A716" s="6"/>
      <c r="B716" s="7"/>
      <c r="C716" s="8"/>
      <c r="D716" s="8"/>
      <c r="E716" s="9"/>
      <c r="F716" s="9"/>
      <c r="G716" s="17"/>
      <c r="H716" s="17"/>
      <c r="I716" s="9"/>
      <c r="J716" s="9"/>
      <c r="K716" s="10">
        <f t="shared" si="29"/>
        <v>0</v>
      </c>
      <c r="L716" s="10"/>
      <c r="M716" s="11"/>
      <c r="N716" s="12"/>
      <c r="O716" s="13"/>
      <c r="P716" s="14"/>
      <c r="Q716" s="1"/>
    </row>
    <row r="717" spans="1:17" x14ac:dyDescent="0.25">
      <c r="A717" s="6"/>
      <c r="B717" s="7"/>
      <c r="C717" s="8"/>
      <c r="D717" s="8"/>
      <c r="E717" s="9"/>
      <c r="F717" s="9"/>
      <c r="G717" s="17"/>
      <c r="H717" s="17"/>
      <c r="I717" s="9"/>
      <c r="J717" s="9"/>
      <c r="K717" s="10">
        <f t="shared" si="29"/>
        <v>0</v>
      </c>
      <c r="L717" s="10"/>
      <c r="M717" s="11"/>
      <c r="N717" s="12"/>
      <c r="O717" s="13"/>
      <c r="P717" s="14"/>
      <c r="Q717" s="1"/>
    </row>
    <row r="718" spans="1:17" x14ac:dyDescent="0.25">
      <c r="A718" s="6"/>
      <c r="B718" s="7"/>
      <c r="C718" s="8"/>
      <c r="D718" s="8"/>
      <c r="E718" s="9"/>
      <c r="F718" s="9"/>
      <c r="G718" s="17"/>
      <c r="H718" s="17"/>
      <c r="I718" s="9"/>
      <c r="J718" s="9"/>
      <c r="K718" s="10">
        <f t="shared" si="29"/>
        <v>0</v>
      </c>
      <c r="L718" s="10"/>
      <c r="M718" s="11"/>
      <c r="N718" s="12"/>
      <c r="O718" s="13"/>
      <c r="P718" s="14"/>
      <c r="Q718" s="1"/>
    </row>
    <row r="719" spans="1:17" x14ac:dyDescent="0.25">
      <c r="A719" s="6"/>
      <c r="B719" s="7"/>
      <c r="C719" s="8"/>
      <c r="D719" s="8"/>
      <c r="E719" s="9"/>
      <c r="F719" s="9"/>
      <c r="G719" s="17"/>
      <c r="H719" s="17"/>
      <c r="I719" s="9"/>
      <c r="J719" s="9"/>
      <c r="K719" s="10">
        <f t="shared" si="29"/>
        <v>0</v>
      </c>
      <c r="L719" s="10"/>
      <c r="M719" s="11"/>
      <c r="N719" s="12"/>
      <c r="O719" s="13"/>
      <c r="P719" s="14"/>
      <c r="Q719" s="1"/>
    </row>
    <row r="720" spans="1:17" x14ac:dyDescent="0.25">
      <c r="A720" s="6"/>
      <c r="B720" s="7"/>
      <c r="C720" s="8"/>
      <c r="D720" s="8"/>
      <c r="E720" s="9"/>
      <c r="F720" s="9"/>
      <c r="G720" s="17"/>
      <c r="H720" s="17"/>
      <c r="I720" s="9"/>
      <c r="J720" s="9"/>
      <c r="K720" s="10">
        <f t="shared" si="29"/>
        <v>0</v>
      </c>
      <c r="L720" s="10"/>
      <c r="M720" s="11"/>
      <c r="N720" s="12"/>
      <c r="O720" s="13"/>
      <c r="P720" s="14"/>
      <c r="Q720" s="1"/>
    </row>
    <row r="721" spans="1:17" x14ac:dyDescent="0.25">
      <c r="A721" s="6"/>
      <c r="B721" s="15"/>
      <c r="C721" s="16"/>
      <c r="D721" s="8"/>
      <c r="E721" s="9"/>
      <c r="F721" s="9"/>
      <c r="G721" s="17"/>
      <c r="H721" s="17"/>
      <c r="I721" s="9"/>
      <c r="J721" s="9"/>
      <c r="K721" s="10">
        <f t="shared" si="29"/>
        <v>0</v>
      </c>
      <c r="L721" s="10"/>
      <c r="M721" s="11"/>
      <c r="N721" s="12"/>
      <c r="O721" s="13"/>
      <c r="P721" s="14"/>
      <c r="Q721" s="1"/>
    </row>
    <row r="722" spans="1:17" x14ac:dyDescent="0.25">
      <c r="A722" s="6"/>
      <c r="B722" s="7"/>
      <c r="C722" s="8"/>
      <c r="D722" s="8"/>
      <c r="E722" s="9"/>
      <c r="F722" s="9"/>
      <c r="G722" s="17"/>
      <c r="H722" s="17"/>
      <c r="I722" s="9"/>
      <c r="J722" s="9"/>
      <c r="K722" s="10">
        <f t="shared" si="29"/>
        <v>0</v>
      </c>
      <c r="L722" s="10"/>
      <c r="M722" s="11"/>
      <c r="N722" s="12"/>
      <c r="O722" s="13"/>
      <c r="P722" s="14"/>
      <c r="Q722" s="1"/>
    </row>
    <row r="723" spans="1:17" x14ac:dyDescent="0.25">
      <c r="A723" s="6"/>
      <c r="B723" s="7"/>
      <c r="C723" s="8"/>
      <c r="D723" s="8"/>
      <c r="E723" s="9"/>
      <c r="F723" s="9"/>
      <c r="G723" s="17"/>
      <c r="H723" s="17"/>
      <c r="I723" s="9"/>
      <c r="J723" s="9"/>
      <c r="K723" s="10">
        <f t="shared" si="29"/>
        <v>0</v>
      </c>
      <c r="L723" s="10"/>
      <c r="M723" s="11"/>
      <c r="N723" s="12"/>
      <c r="O723" s="13"/>
      <c r="P723" s="14"/>
      <c r="Q723" s="1"/>
    </row>
    <row r="724" spans="1:17" x14ac:dyDescent="0.25">
      <c r="A724" s="6"/>
      <c r="B724" s="7"/>
      <c r="C724" s="8"/>
      <c r="D724" s="8"/>
      <c r="E724" s="9"/>
      <c r="F724" s="9"/>
      <c r="G724" s="17"/>
      <c r="H724" s="17"/>
      <c r="I724" s="9"/>
      <c r="J724" s="9"/>
      <c r="K724" s="10">
        <f t="shared" si="29"/>
        <v>0</v>
      </c>
      <c r="L724" s="10"/>
      <c r="M724" s="11"/>
      <c r="N724" s="12"/>
      <c r="O724" s="13"/>
      <c r="P724" s="14"/>
      <c r="Q724" s="1"/>
    </row>
    <row r="725" spans="1:17" x14ac:dyDescent="0.25">
      <c r="A725" s="6"/>
      <c r="B725" s="7"/>
      <c r="C725" s="8"/>
      <c r="D725" s="8"/>
      <c r="E725" s="9"/>
      <c r="F725" s="9"/>
      <c r="G725" s="17"/>
      <c r="H725" s="17"/>
      <c r="I725" s="9"/>
      <c r="J725" s="9"/>
      <c r="K725" s="10">
        <f t="shared" si="29"/>
        <v>0</v>
      </c>
      <c r="L725" s="10"/>
      <c r="M725" s="11"/>
      <c r="N725" s="12"/>
      <c r="O725" s="13"/>
      <c r="P725" s="14"/>
    </row>
    <row r="726" spans="1:17" x14ac:dyDescent="0.25">
      <c r="A726" s="6"/>
      <c r="B726" s="7"/>
      <c r="C726" s="8"/>
      <c r="D726" s="8"/>
      <c r="E726" s="9"/>
      <c r="F726" s="9"/>
      <c r="G726" s="17"/>
      <c r="H726" s="17"/>
      <c r="I726" s="9"/>
      <c r="J726" s="9"/>
      <c r="K726" s="10">
        <f t="shared" si="29"/>
        <v>0</v>
      </c>
      <c r="L726" s="10"/>
      <c r="M726" s="11"/>
      <c r="N726" s="12"/>
      <c r="O726" s="13"/>
      <c r="P726" s="14"/>
    </row>
    <row r="727" spans="1:17" x14ac:dyDescent="0.25">
      <c r="A727" s="6"/>
      <c r="B727" s="7"/>
      <c r="C727" s="8"/>
      <c r="D727" s="8"/>
      <c r="E727" s="9"/>
      <c r="F727" s="9"/>
      <c r="G727" s="17"/>
      <c r="H727" s="17"/>
      <c r="I727" s="9"/>
      <c r="J727" s="9"/>
      <c r="K727" s="10">
        <f t="shared" si="29"/>
        <v>0</v>
      </c>
      <c r="L727" s="10"/>
      <c r="M727" s="11"/>
      <c r="N727" s="12"/>
      <c r="O727" s="13"/>
      <c r="P727" s="14"/>
    </row>
    <row r="728" spans="1:17" x14ac:dyDescent="0.25">
      <c r="A728" s="6"/>
      <c r="B728" s="7"/>
      <c r="C728" s="8"/>
      <c r="D728" s="8"/>
      <c r="E728" s="9"/>
      <c r="F728" s="9"/>
      <c r="G728" s="17"/>
      <c r="H728" s="17"/>
      <c r="I728" s="9"/>
      <c r="J728" s="9"/>
      <c r="K728" s="10">
        <f t="shared" si="29"/>
        <v>0</v>
      </c>
      <c r="L728" s="10"/>
      <c r="M728" s="11"/>
      <c r="N728" s="12"/>
      <c r="O728" s="13"/>
      <c r="P728" s="14"/>
    </row>
    <row r="729" spans="1:17" x14ac:dyDescent="0.25">
      <c r="A729" s="6"/>
      <c r="B729" s="7"/>
      <c r="C729" s="8"/>
      <c r="D729" s="8"/>
      <c r="E729" s="9"/>
      <c r="F729" s="9"/>
      <c r="G729" s="17"/>
      <c r="H729" s="17"/>
      <c r="I729" s="9"/>
      <c r="J729" s="9"/>
      <c r="K729" s="10">
        <f t="shared" si="29"/>
        <v>0</v>
      </c>
      <c r="L729" s="10"/>
      <c r="M729" s="11"/>
      <c r="N729" s="12"/>
      <c r="O729" s="13"/>
      <c r="P729" s="14"/>
    </row>
    <row r="730" spans="1:17" x14ac:dyDescent="0.25">
      <c r="A730" s="6"/>
      <c r="B730" s="7"/>
      <c r="C730" s="8"/>
      <c r="D730" s="8"/>
      <c r="E730" s="9"/>
      <c r="F730" s="9"/>
      <c r="G730" s="17"/>
      <c r="H730" s="17"/>
      <c r="I730" s="9"/>
      <c r="J730" s="9"/>
      <c r="K730" s="10">
        <f t="shared" si="29"/>
        <v>0</v>
      </c>
      <c r="L730" s="10"/>
      <c r="M730" s="11"/>
      <c r="N730" s="12"/>
      <c r="O730" s="13"/>
      <c r="P730" s="14"/>
    </row>
    <row r="731" spans="1:17" x14ac:dyDescent="0.25">
      <c r="A731" s="6"/>
      <c r="B731" s="7"/>
      <c r="C731" s="8"/>
      <c r="D731" s="8"/>
      <c r="E731" s="9"/>
      <c r="F731" s="9"/>
      <c r="G731" s="17"/>
      <c r="H731" s="17"/>
      <c r="I731" s="9"/>
      <c r="J731" s="9"/>
      <c r="K731" s="10">
        <f t="shared" si="29"/>
        <v>0</v>
      </c>
      <c r="L731" s="10"/>
      <c r="M731" s="11"/>
      <c r="N731" s="12"/>
      <c r="O731" s="13"/>
      <c r="P731" s="14"/>
    </row>
    <row r="732" spans="1:17" x14ac:dyDescent="0.25">
      <c r="A732" s="6"/>
      <c r="B732" s="7"/>
      <c r="C732" s="8"/>
      <c r="D732" s="8"/>
      <c r="E732" s="9"/>
      <c r="F732" s="9"/>
      <c r="G732" s="17"/>
      <c r="H732" s="17"/>
      <c r="I732" s="9"/>
      <c r="J732" s="9"/>
      <c r="K732" s="10">
        <f t="shared" si="29"/>
        <v>0</v>
      </c>
      <c r="L732" s="10"/>
      <c r="M732" s="11"/>
      <c r="N732" s="12"/>
      <c r="O732" s="13"/>
      <c r="P732" s="14"/>
    </row>
    <row r="733" spans="1:17" x14ac:dyDescent="0.25">
      <c r="A733" s="6"/>
      <c r="B733" s="7"/>
      <c r="C733" s="8"/>
      <c r="D733" s="8"/>
      <c r="E733" s="9"/>
      <c r="F733" s="9"/>
      <c r="G733" s="17"/>
      <c r="H733" s="17"/>
      <c r="I733" s="9"/>
      <c r="J733" s="9"/>
      <c r="K733" s="10">
        <f t="shared" si="29"/>
        <v>0</v>
      </c>
      <c r="L733" s="10"/>
      <c r="M733" s="11"/>
      <c r="N733" s="12"/>
      <c r="O733" s="13"/>
      <c r="P733" s="14"/>
    </row>
    <row r="734" spans="1:17" x14ac:dyDescent="0.25">
      <c r="A734" s="6"/>
      <c r="B734" s="15"/>
      <c r="C734" s="16"/>
      <c r="D734" s="8"/>
      <c r="E734" s="9"/>
      <c r="F734" s="9"/>
      <c r="G734" s="17"/>
      <c r="H734" s="17"/>
      <c r="I734" s="9"/>
      <c r="J734" s="9"/>
      <c r="K734" s="10">
        <f t="shared" si="29"/>
        <v>0</v>
      </c>
      <c r="L734" s="10"/>
      <c r="M734" s="11"/>
      <c r="N734" s="12"/>
      <c r="O734" s="13"/>
      <c r="P734" s="14"/>
    </row>
    <row r="735" spans="1:17" x14ac:dyDescent="0.25">
      <c r="A735" s="6"/>
      <c r="B735" s="7"/>
      <c r="C735" s="8"/>
      <c r="D735" s="8"/>
      <c r="E735" s="9"/>
      <c r="F735" s="9"/>
      <c r="G735" s="17"/>
      <c r="H735" s="17"/>
      <c r="I735" s="9"/>
      <c r="J735" s="9"/>
      <c r="K735" s="10">
        <f t="shared" si="29"/>
        <v>0</v>
      </c>
      <c r="L735" s="10"/>
      <c r="M735" s="11"/>
      <c r="N735" s="12"/>
      <c r="O735" s="13"/>
      <c r="P735" s="14"/>
    </row>
    <row r="736" spans="1:17" x14ac:dyDescent="0.25">
      <c r="A736" s="6"/>
      <c r="B736" s="7"/>
      <c r="C736" s="8"/>
      <c r="D736" s="8"/>
      <c r="E736" s="9"/>
      <c r="F736" s="9"/>
      <c r="G736" s="17"/>
      <c r="H736" s="17"/>
      <c r="I736" s="9"/>
      <c r="J736" s="9"/>
      <c r="K736" s="10">
        <f t="shared" si="29"/>
        <v>0</v>
      </c>
      <c r="L736" s="10"/>
      <c r="M736" s="11"/>
      <c r="N736" s="12"/>
      <c r="O736" s="13"/>
      <c r="P736" s="14"/>
    </row>
    <row r="737" spans="1:16" x14ac:dyDescent="0.25">
      <c r="A737" s="6"/>
      <c r="B737" s="7"/>
      <c r="C737" s="8"/>
      <c r="D737" s="8"/>
      <c r="E737" s="9"/>
      <c r="F737" s="9"/>
      <c r="G737" s="17"/>
      <c r="H737" s="17"/>
      <c r="I737" s="9"/>
      <c r="J737" s="9"/>
      <c r="K737" s="10">
        <f t="shared" si="29"/>
        <v>0</v>
      </c>
      <c r="L737" s="10"/>
      <c r="M737" s="11"/>
      <c r="N737" s="12"/>
      <c r="O737" s="13"/>
      <c r="P737" s="14"/>
    </row>
    <row r="738" spans="1:16" x14ac:dyDescent="0.25">
      <c r="A738" s="6"/>
      <c r="B738" s="7"/>
      <c r="C738" s="8"/>
      <c r="D738" s="8"/>
      <c r="E738" s="9"/>
      <c r="F738" s="9"/>
      <c r="G738" s="17"/>
      <c r="H738" s="17"/>
      <c r="I738" s="9"/>
      <c r="J738" s="9"/>
      <c r="K738" s="10">
        <f t="shared" si="29"/>
        <v>0</v>
      </c>
      <c r="L738" s="10"/>
      <c r="M738" s="11"/>
      <c r="N738" s="12"/>
      <c r="O738" s="13"/>
      <c r="P738" s="14"/>
    </row>
    <row r="739" spans="1:16" x14ac:dyDescent="0.25">
      <c r="A739" s="6"/>
      <c r="B739" s="7"/>
      <c r="C739" s="8"/>
      <c r="D739" s="8"/>
      <c r="E739" s="9"/>
      <c r="F739" s="9"/>
      <c r="G739" s="17"/>
      <c r="H739" s="17"/>
      <c r="I739" s="9"/>
      <c r="J739" s="9"/>
      <c r="K739" s="10">
        <f t="shared" si="29"/>
        <v>0</v>
      </c>
      <c r="L739" s="10"/>
      <c r="M739" s="11"/>
      <c r="N739" s="12"/>
      <c r="O739" s="13"/>
      <c r="P739" s="14"/>
    </row>
    <row r="740" spans="1:16" x14ac:dyDescent="0.25">
      <c r="A740" s="6"/>
      <c r="B740" s="7"/>
      <c r="C740" s="8"/>
      <c r="D740" s="8"/>
      <c r="E740" s="9"/>
      <c r="F740" s="9"/>
      <c r="G740" s="17"/>
      <c r="H740" s="17"/>
      <c r="I740" s="9"/>
      <c r="J740" s="9"/>
      <c r="K740" s="10">
        <f t="shared" si="29"/>
        <v>0</v>
      </c>
      <c r="L740" s="10"/>
      <c r="M740" s="11"/>
      <c r="N740" s="12"/>
      <c r="O740" s="13"/>
      <c r="P740" s="14"/>
    </row>
    <row r="741" spans="1:16" x14ac:dyDescent="0.25">
      <c r="A741" s="6"/>
      <c r="B741" s="7"/>
      <c r="C741" s="8"/>
      <c r="D741" s="8"/>
      <c r="E741" s="9"/>
      <c r="F741" s="9"/>
      <c r="G741" s="17"/>
      <c r="H741" s="17"/>
      <c r="I741" s="9"/>
      <c r="J741" s="9"/>
      <c r="K741" s="10">
        <f t="shared" si="29"/>
        <v>0</v>
      </c>
      <c r="L741" s="10"/>
      <c r="M741" s="11"/>
      <c r="N741" s="12"/>
      <c r="O741" s="13"/>
      <c r="P741" s="14"/>
    </row>
    <row r="742" spans="1:16" x14ac:dyDescent="0.25">
      <c r="A742" s="6"/>
      <c r="B742" s="7"/>
      <c r="C742" s="8"/>
      <c r="D742" s="8"/>
      <c r="E742" s="9"/>
      <c r="F742" s="9"/>
      <c r="G742" s="17"/>
      <c r="H742" s="17"/>
      <c r="I742" s="9"/>
      <c r="J742" s="9"/>
      <c r="K742" s="10">
        <f t="shared" si="29"/>
        <v>0</v>
      </c>
      <c r="L742" s="10"/>
      <c r="M742" s="11"/>
      <c r="N742" s="12"/>
      <c r="O742" s="13"/>
      <c r="P742" s="14"/>
    </row>
    <row r="743" spans="1:16" x14ac:dyDescent="0.25">
      <c r="A743" s="6"/>
      <c r="B743" s="7"/>
      <c r="C743" s="8"/>
      <c r="D743" s="8"/>
      <c r="E743" s="9"/>
      <c r="F743" s="9"/>
      <c r="G743" s="17"/>
      <c r="H743" s="17"/>
      <c r="I743" s="9"/>
      <c r="J743" s="9"/>
      <c r="K743" s="10">
        <f t="shared" si="29"/>
        <v>0</v>
      </c>
      <c r="L743" s="10"/>
      <c r="M743" s="11"/>
      <c r="N743" s="12"/>
      <c r="O743" s="13"/>
      <c r="P743" s="14"/>
    </row>
    <row r="744" spans="1:16" x14ac:dyDescent="0.25">
      <c r="A744" s="6"/>
      <c r="B744" s="7"/>
      <c r="C744" s="8"/>
      <c r="D744" s="8"/>
      <c r="E744" s="9"/>
      <c r="F744" s="9"/>
      <c r="G744" s="17"/>
      <c r="H744" s="17"/>
      <c r="I744" s="9"/>
      <c r="J744" s="9"/>
      <c r="K744" s="10">
        <f t="shared" si="29"/>
        <v>0</v>
      </c>
      <c r="L744" s="10"/>
      <c r="M744" s="11"/>
      <c r="N744" s="12"/>
      <c r="O744" s="13"/>
      <c r="P744" s="14"/>
    </row>
    <row r="745" spans="1:16" x14ac:dyDescent="0.25">
      <c r="A745" s="6"/>
      <c r="B745" s="7"/>
      <c r="C745" s="8"/>
      <c r="D745" s="8"/>
      <c r="E745" s="9"/>
      <c r="F745" s="9"/>
      <c r="G745" s="17"/>
      <c r="H745" s="17"/>
      <c r="I745" s="9"/>
      <c r="J745" s="9"/>
      <c r="K745" s="10">
        <f t="shared" si="29"/>
        <v>0</v>
      </c>
      <c r="L745" s="10"/>
      <c r="M745" s="11"/>
      <c r="N745" s="12"/>
      <c r="O745" s="13"/>
      <c r="P745" s="14"/>
    </row>
    <row r="746" spans="1:16" x14ac:dyDescent="0.25">
      <c r="A746" s="6"/>
      <c r="B746" s="7"/>
      <c r="C746" s="8"/>
      <c r="D746" s="8"/>
      <c r="E746" s="9"/>
      <c r="F746" s="9"/>
      <c r="G746" s="17"/>
      <c r="H746" s="17"/>
      <c r="I746" s="9"/>
      <c r="J746" s="9"/>
      <c r="K746" s="10">
        <f t="shared" si="29"/>
        <v>0</v>
      </c>
      <c r="L746" s="10"/>
      <c r="M746" s="11"/>
      <c r="N746" s="12"/>
      <c r="O746" s="13"/>
      <c r="P746" s="14"/>
    </row>
    <row r="747" spans="1:16" x14ac:dyDescent="0.25">
      <c r="A747" s="6"/>
      <c r="B747" s="7"/>
      <c r="C747" s="8"/>
      <c r="D747" s="8"/>
      <c r="E747" s="9"/>
      <c r="F747" s="9"/>
      <c r="G747" s="17"/>
      <c r="H747" s="17"/>
      <c r="I747" s="9"/>
      <c r="J747" s="9"/>
      <c r="K747" s="10">
        <f t="shared" si="29"/>
        <v>0</v>
      </c>
      <c r="L747" s="10"/>
      <c r="M747" s="11"/>
      <c r="N747" s="12"/>
      <c r="O747" s="13"/>
      <c r="P747" s="14"/>
    </row>
    <row r="748" spans="1:16" x14ac:dyDescent="0.25">
      <c r="A748" s="6"/>
      <c r="B748" s="7"/>
      <c r="C748" s="8"/>
      <c r="D748" s="8"/>
      <c r="E748" s="9"/>
      <c r="F748" s="9"/>
      <c r="G748" s="17"/>
      <c r="H748" s="17"/>
      <c r="I748" s="9"/>
      <c r="J748" s="9"/>
      <c r="K748" s="10">
        <f t="shared" si="29"/>
        <v>0</v>
      </c>
      <c r="L748" s="10"/>
      <c r="M748" s="11"/>
      <c r="N748" s="12"/>
      <c r="O748" s="13"/>
      <c r="P748" s="14"/>
    </row>
    <row r="749" spans="1:16" x14ac:dyDescent="0.25">
      <c r="A749" s="6"/>
      <c r="B749" s="7"/>
      <c r="C749" s="8"/>
      <c r="D749" s="8"/>
      <c r="E749" s="9"/>
      <c r="F749" s="9"/>
      <c r="G749" s="17"/>
      <c r="H749" s="17"/>
      <c r="I749" s="9"/>
      <c r="J749" s="9"/>
      <c r="K749" s="10">
        <f t="shared" si="29"/>
        <v>0</v>
      </c>
      <c r="L749" s="10"/>
      <c r="M749" s="11"/>
      <c r="N749" s="12"/>
      <c r="O749" s="13"/>
      <c r="P749" s="14"/>
    </row>
    <row r="750" spans="1:16" x14ac:dyDescent="0.25">
      <c r="A750" s="6"/>
      <c r="B750" s="7"/>
      <c r="C750" s="8"/>
      <c r="D750" s="8"/>
      <c r="E750" s="9"/>
      <c r="F750" s="9"/>
      <c r="G750" s="17"/>
      <c r="H750" s="17"/>
      <c r="I750" s="9"/>
      <c r="J750" s="9"/>
      <c r="K750" s="10">
        <f t="shared" si="29"/>
        <v>0</v>
      </c>
      <c r="L750" s="10"/>
      <c r="M750" s="11"/>
      <c r="N750" s="12"/>
      <c r="O750" s="13"/>
      <c r="P750" s="14"/>
    </row>
    <row r="751" spans="1:16" x14ac:dyDescent="0.25">
      <c r="A751" s="6"/>
      <c r="B751" s="7"/>
      <c r="C751" s="8"/>
      <c r="D751" s="8"/>
      <c r="E751" s="9"/>
      <c r="F751" s="9"/>
      <c r="G751" s="17"/>
      <c r="H751" s="17"/>
      <c r="I751" s="9"/>
      <c r="J751" s="9"/>
      <c r="K751" s="10">
        <f t="shared" si="29"/>
        <v>0</v>
      </c>
      <c r="L751" s="10"/>
      <c r="M751" s="11"/>
      <c r="N751" s="12"/>
      <c r="O751" s="13"/>
      <c r="P751" s="14"/>
    </row>
    <row r="752" spans="1:16" x14ac:dyDescent="0.25">
      <c r="A752" s="6"/>
      <c r="B752" s="7"/>
      <c r="C752" s="8"/>
      <c r="D752" s="8"/>
      <c r="E752" s="9"/>
      <c r="F752" s="9"/>
      <c r="G752" s="17"/>
      <c r="H752" s="17"/>
      <c r="I752" s="9"/>
      <c r="J752" s="9"/>
      <c r="K752" s="10">
        <f t="shared" si="29"/>
        <v>0</v>
      </c>
      <c r="L752" s="10"/>
      <c r="M752" s="11"/>
      <c r="N752" s="12"/>
      <c r="O752" s="13"/>
      <c r="P752" s="14"/>
    </row>
    <row r="753" spans="1:16" x14ac:dyDescent="0.25">
      <c r="A753" s="6"/>
      <c r="B753" s="7"/>
      <c r="C753" s="8"/>
      <c r="D753" s="8"/>
      <c r="E753" s="9"/>
      <c r="F753" s="9"/>
      <c r="G753" s="17"/>
      <c r="H753" s="17"/>
      <c r="I753" s="9"/>
      <c r="J753" s="9"/>
      <c r="K753" s="10">
        <f t="shared" si="29"/>
        <v>0</v>
      </c>
      <c r="L753" s="10"/>
      <c r="M753" s="11"/>
      <c r="N753" s="12"/>
      <c r="O753" s="13"/>
      <c r="P753" s="14"/>
    </row>
    <row r="754" spans="1:16" x14ac:dyDescent="0.25">
      <c r="A754" s="6"/>
      <c r="B754" s="7"/>
      <c r="C754" s="8"/>
      <c r="D754" s="8"/>
      <c r="E754" s="9"/>
      <c r="F754" s="9"/>
      <c r="G754" s="17"/>
      <c r="H754" s="17"/>
      <c r="I754" s="9"/>
      <c r="J754" s="9"/>
      <c r="K754" s="10">
        <f t="shared" si="29"/>
        <v>0</v>
      </c>
      <c r="L754" s="10"/>
      <c r="M754" s="11"/>
      <c r="N754" s="12"/>
      <c r="O754" s="13"/>
      <c r="P754" s="14"/>
    </row>
    <row r="755" spans="1:16" x14ac:dyDescent="0.25">
      <c r="A755" s="6"/>
      <c r="B755" s="7"/>
      <c r="C755" s="8"/>
      <c r="D755" s="8"/>
      <c r="E755" s="9"/>
      <c r="F755" s="9"/>
      <c r="G755" s="17"/>
      <c r="H755" s="17"/>
      <c r="I755" s="9"/>
      <c r="J755" s="9"/>
      <c r="K755" s="10">
        <f t="shared" si="29"/>
        <v>0</v>
      </c>
      <c r="L755" s="10"/>
      <c r="M755" s="11"/>
      <c r="N755" s="12"/>
      <c r="O755" s="13"/>
      <c r="P755" s="14"/>
    </row>
    <row r="756" spans="1:16" x14ac:dyDescent="0.25">
      <c r="A756" s="6"/>
      <c r="B756" s="15"/>
      <c r="C756" s="16"/>
      <c r="D756" s="8"/>
      <c r="E756" s="9"/>
      <c r="F756" s="9"/>
      <c r="G756" s="17"/>
      <c r="H756" s="17"/>
      <c r="I756" s="9"/>
      <c r="J756" s="9"/>
      <c r="K756" s="10">
        <f t="shared" si="29"/>
        <v>0</v>
      </c>
      <c r="L756" s="10"/>
      <c r="M756" s="11"/>
      <c r="N756" s="12"/>
      <c r="O756" s="13"/>
      <c r="P756" s="14"/>
    </row>
    <row r="757" spans="1:16" x14ac:dyDescent="0.25">
      <c r="A757" s="6"/>
      <c r="B757" s="7"/>
      <c r="C757" s="8"/>
      <c r="D757" s="8"/>
      <c r="E757" s="9"/>
      <c r="F757" s="9"/>
      <c r="G757" s="17"/>
      <c r="H757" s="17"/>
      <c r="I757" s="9"/>
      <c r="J757" s="9"/>
      <c r="K757" s="10">
        <f t="shared" si="29"/>
        <v>0</v>
      </c>
      <c r="L757" s="10"/>
      <c r="M757" s="11"/>
      <c r="N757" s="12"/>
      <c r="O757" s="13"/>
      <c r="P757" s="14"/>
    </row>
    <row r="758" spans="1:16" x14ac:dyDescent="0.25">
      <c r="A758" s="6"/>
      <c r="B758" s="7"/>
      <c r="C758" s="8"/>
      <c r="D758" s="8"/>
      <c r="E758" s="9"/>
      <c r="F758" s="9"/>
      <c r="G758" s="17"/>
      <c r="H758" s="17"/>
      <c r="I758" s="9"/>
      <c r="J758" s="9"/>
      <c r="K758" s="10">
        <f t="shared" si="29"/>
        <v>0</v>
      </c>
      <c r="L758" s="10"/>
      <c r="M758" s="11"/>
      <c r="N758" s="12"/>
      <c r="O758" s="13"/>
      <c r="P758" s="14"/>
    </row>
    <row r="759" spans="1:16" x14ac:dyDescent="0.25">
      <c r="A759" s="6"/>
      <c r="B759" s="7"/>
      <c r="C759" s="8"/>
      <c r="D759" s="8"/>
      <c r="E759" s="9"/>
      <c r="F759" s="9"/>
      <c r="G759" s="17"/>
      <c r="H759" s="17"/>
      <c r="I759" s="9"/>
      <c r="J759" s="9"/>
      <c r="K759" s="10">
        <f t="shared" si="29"/>
        <v>0</v>
      </c>
      <c r="L759" s="10"/>
      <c r="M759" s="11"/>
      <c r="N759" s="12"/>
      <c r="O759" s="13"/>
      <c r="P759" s="14"/>
    </row>
    <row r="760" spans="1:16" x14ac:dyDescent="0.25">
      <c r="A760" s="6"/>
      <c r="B760" s="7"/>
      <c r="C760" s="8"/>
      <c r="D760" s="8"/>
      <c r="E760" s="9"/>
      <c r="F760" s="9"/>
      <c r="G760" s="17"/>
      <c r="H760" s="17"/>
      <c r="I760" s="9"/>
      <c r="J760" s="9"/>
      <c r="K760" s="10">
        <f t="shared" si="29"/>
        <v>0</v>
      </c>
      <c r="L760" s="10"/>
      <c r="M760" s="11"/>
      <c r="N760" s="12"/>
      <c r="O760" s="13"/>
      <c r="P760" s="14"/>
    </row>
    <row r="761" spans="1:16" x14ac:dyDescent="0.25">
      <c r="A761" s="6"/>
      <c r="B761" s="7"/>
      <c r="C761" s="8"/>
      <c r="D761" s="8"/>
      <c r="E761" s="9"/>
      <c r="F761" s="9"/>
      <c r="G761" s="17"/>
      <c r="H761" s="17"/>
      <c r="I761" s="9"/>
      <c r="J761" s="9"/>
      <c r="K761" s="10">
        <f t="shared" si="29"/>
        <v>0</v>
      </c>
      <c r="L761" s="10"/>
      <c r="M761" s="11"/>
      <c r="N761" s="12"/>
      <c r="O761" s="13"/>
      <c r="P761" s="14"/>
    </row>
    <row r="762" spans="1:16" x14ac:dyDescent="0.25">
      <c r="A762" s="6"/>
      <c r="B762" s="7"/>
      <c r="C762" s="8"/>
      <c r="D762" s="8"/>
      <c r="E762" s="9"/>
      <c r="F762" s="9"/>
      <c r="G762" s="17"/>
      <c r="H762" s="17"/>
      <c r="I762" s="9"/>
      <c r="J762" s="9"/>
      <c r="K762" s="10">
        <f t="shared" si="29"/>
        <v>0</v>
      </c>
      <c r="L762" s="10"/>
      <c r="M762" s="11"/>
      <c r="N762" s="12"/>
      <c r="O762" s="13"/>
      <c r="P762" s="14"/>
    </row>
    <row r="763" spans="1:16" x14ac:dyDescent="0.25">
      <c r="A763" s="6"/>
      <c r="B763" s="7"/>
      <c r="C763" s="8"/>
      <c r="D763" s="8"/>
      <c r="E763" s="9"/>
      <c r="F763" s="9"/>
      <c r="G763" s="17"/>
      <c r="H763" s="17"/>
      <c r="I763" s="9"/>
      <c r="J763" s="9"/>
      <c r="K763" s="10">
        <f t="shared" si="29"/>
        <v>0</v>
      </c>
      <c r="L763" s="10"/>
      <c r="M763" s="11"/>
      <c r="N763" s="12"/>
      <c r="O763" s="13"/>
      <c r="P763" s="14"/>
    </row>
    <row r="764" spans="1:16" x14ac:dyDescent="0.25">
      <c r="A764" s="6"/>
      <c r="B764" s="7"/>
      <c r="C764" s="8"/>
      <c r="D764" s="8"/>
      <c r="E764" s="9"/>
      <c r="F764" s="9"/>
      <c r="G764" s="17"/>
      <c r="H764" s="17"/>
      <c r="I764" s="9"/>
      <c r="J764" s="9"/>
      <c r="K764" s="10">
        <f t="shared" si="29"/>
        <v>0</v>
      </c>
      <c r="L764" s="10"/>
      <c r="M764" s="11"/>
      <c r="N764" s="12"/>
      <c r="O764" s="13"/>
      <c r="P764" s="14"/>
    </row>
    <row r="765" spans="1:16" x14ac:dyDescent="0.25">
      <c r="A765" s="6"/>
      <c r="B765" s="7"/>
      <c r="C765" s="8"/>
      <c r="D765" s="8"/>
      <c r="E765" s="9"/>
      <c r="F765" s="9"/>
      <c r="G765" s="17"/>
      <c r="H765" s="17"/>
      <c r="I765" s="9"/>
      <c r="J765" s="9"/>
      <c r="K765" s="10">
        <f t="shared" si="29"/>
        <v>0</v>
      </c>
      <c r="L765" s="10"/>
      <c r="M765" s="11"/>
      <c r="N765" s="12"/>
      <c r="O765" s="13"/>
      <c r="P765" s="14"/>
    </row>
    <row r="766" spans="1:16" x14ac:dyDescent="0.25">
      <c r="A766" s="6"/>
      <c r="B766" s="7"/>
      <c r="C766" s="8"/>
      <c r="D766" s="8"/>
      <c r="E766" s="9"/>
      <c r="F766" s="9"/>
      <c r="G766" s="17"/>
      <c r="H766" s="17"/>
      <c r="I766" s="9"/>
      <c r="J766" s="9"/>
      <c r="K766" s="10">
        <f t="shared" si="29"/>
        <v>0</v>
      </c>
      <c r="L766" s="10"/>
      <c r="M766" s="11"/>
      <c r="N766" s="12"/>
      <c r="O766" s="13"/>
      <c r="P766" s="14"/>
    </row>
    <row r="767" spans="1:16" x14ac:dyDescent="0.25">
      <c r="A767" s="6"/>
      <c r="B767" s="7"/>
      <c r="C767" s="8"/>
      <c r="D767" s="8"/>
      <c r="E767" s="9"/>
      <c r="F767" s="9"/>
      <c r="G767" s="17"/>
      <c r="H767" s="17"/>
      <c r="I767" s="9"/>
      <c r="J767" s="9"/>
      <c r="K767" s="10">
        <f t="shared" si="29"/>
        <v>0</v>
      </c>
      <c r="L767" s="10"/>
      <c r="M767" s="11"/>
      <c r="N767" s="12"/>
      <c r="O767" s="13"/>
      <c r="P767" s="14"/>
    </row>
    <row r="768" spans="1:16" x14ac:dyDescent="0.25">
      <c r="A768" s="6"/>
      <c r="B768" s="7"/>
      <c r="C768" s="8"/>
      <c r="D768" s="8"/>
      <c r="E768" s="9"/>
      <c r="F768" s="9"/>
      <c r="G768" s="17"/>
      <c r="H768" s="17"/>
      <c r="I768" s="9"/>
      <c r="J768" s="9"/>
      <c r="K768" s="10">
        <f t="shared" si="29"/>
        <v>0</v>
      </c>
      <c r="L768" s="10"/>
      <c r="M768" s="11"/>
      <c r="N768" s="12"/>
      <c r="O768" s="13"/>
      <c r="P768" s="14"/>
    </row>
    <row r="769" spans="1:20" x14ac:dyDescent="0.25">
      <c r="A769" s="6"/>
      <c r="B769" s="7"/>
      <c r="C769" s="7"/>
      <c r="D769" s="8"/>
      <c r="E769" s="9"/>
      <c r="F769" s="9"/>
      <c r="G769" s="17"/>
      <c r="H769" s="17"/>
      <c r="I769" s="9"/>
      <c r="J769" s="9"/>
      <c r="K769" s="10">
        <f t="shared" si="29"/>
        <v>0</v>
      </c>
      <c r="L769" s="10"/>
      <c r="M769" s="11"/>
      <c r="N769" s="12"/>
      <c r="O769" s="13"/>
      <c r="P769" s="14"/>
    </row>
    <row r="770" spans="1:20" x14ac:dyDescent="0.25">
      <c r="A770" s="6"/>
      <c r="B770" s="7"/>
      <c r="C770" s="7"/>
      <c r="D770" s="8"/>
      <c r="E770" s="9"/>
      <c r="F770" s="9"/>
      <c r="G770" s="17"/>
      <c r="H770" s="17"/>
      <c r="I770" s="9"/>
      <c r="J770" s="9"/>
      <c r="K770" s="10">
        <f t="shared" si="29"/>
        <v>0</v>
      </c>
      <c r="L770" s="10"/>
      <c r="M770" s="11"/>
      <c r="N770" s="12"/>
      <c r="O770" s="13"/>
      <c r="P770" s="14"/>
    </row>
    <row r="771" spans="1:20" x14ac:dyDescent="0.25">
      <c r="A771" s="6"/>
      <c r="B771" s="7"/>
      <c r="C771" s="7"/>
      <c r="D771" s="8"/>
      <c r="E771" s="9"/>
      <c r="F771" s="9"/>
      <c r="G771" s="17"/>
      <c r="H771" s="17"/>
      <c r="I771" s="9"/>
      <c r="J771" s="9"/>
      <c r="K771" s="10">
        <f t="shared" si="29"/>
        <v>0</v>
      </c>
      <c r="L771" s="10"/>
      <c r="M771" s="11"/>
      <c r="N771" s="12"/>
      <c r="O771" s="13"/>
      <c r="P771" s="14"/>
    </row>
    <row r="772" spans="1:20" x14ac:dyDescent="0.25">
      <c r="A772" s="6"/>
      <c r="B772" s="7"/>
      <c r="C772" s="7"/>
      <c r="D772" s="8"/>
      <c r="E772" s="9"/>
      <c r="F772" s="9"/>
      <c r="G772" s="17"/>
      <c r="H772" s="17"/>
      <c r="I772" s="9"/>
      <c r="J772" s="9"/>
      <c r="K772" s="10">
        <f t="shared" si="29"/>
        <v>0</v>
      </c>
      <c r="L772" s="10"/>
      <c r="M772" s="11"/>
      <c r="N772" s="12"/>
      <c r="O772" s="13"/>
      <c r="P772" s="14"/>
    </row>
    <row r="773" spans="1:20" x14ac:dyDescent="0.25">
      <c r="A773" s="6"/>
      <c r="B773" s="7"/>
      <c r="C773" s="7"/>
      <c r="D773" s="8"/>
      <c r="E773" s="9"/>
      <c r="F773" s="9"/>
      <c r="G773" s="17"/>
      <c r="H773" s="17"/>
      <c r="I773" s="9"/>
      <c r="J773" s="9"/>
      <c r="K773" s="10">
        <f t="shared" si="29"/>
        <v>0</v>
      </c>
      <c r="L773" s="10"/>
      <c r="M773" s="11"/>
      <c r="N773" s="12"/>
      <c r="O773" s="13"/>
      <c r="P773" s="14"/>
      <c r="Q773" s="1"/>
      <c r="R773" s="1"/>
      <c r="S773" s="1"/>
      <c r="T773" s="1"/>
    </row>
    <row r="774" spans="1:20" x14ac:dyDescent="0.25">
      <c r="A774" s="6"/>
      <c r="B774" s="7"/>
      <c r="C774" s="7"/>
      <c r="D774" s="8"/>
      <c r="E774" s="9"/>
      <c r="F774" s="9"/>
      <c r="G774" s="17"/>
      <c r="H774" s="17"/>
      <c r="I774" s="9"/>
      <c r="J774" s="9"/>
      <c r="K774" s="10">
        <f t="shared" si="29"/>
        <v>0</v>
      </c>
      <c r="L774" s="10"/>
      <c r="M774" s="11"/>
      <c r="N774" s="12"/>
      <c r="O774" s="13"/>
      <c r="P774" s="14"/>
      <c r="Q774" s="1"/>
      <c r="R774" s="1"/>
      <c r="S774" s="1"/>
      <c r="T774" s="1"/>
    </row>
    <row r="775" spans="1:20" x14ac:dyDescent="0.25">
      <c r="A775" s="6"/>
      <c r="B775" s="7"/>
      <c r="C775" s="7"/>
      <c r="D775" s="8"/>
      <c r="E775" s="9"/>
      <c r="F775" s="9"/>
      <c r="G775" s="17"/>
      <c r="H775" s="17"/>
      <c r="I775" s="9"/>
      <c r="J775" s="9"/>
      <c r="K775" s="10">
        <f t="shared" si="29"/>
        <v>0</v>
      </c>
      <c r="L775" s="10"/>
      <c r="M775" s="11"/>
      <c r="N775" s="12"/>
      <c r="O775" s="13"/>
      <c r="P775" s="14"/>
      <c r="Q775" s="1"/>
      <c r="R775" s="1"/>
      <c r="S775" s="1"/>
      <c r="T775" s="1"/>
    </row>
    <row r="776" spans="1:20" x14ac:dyDescent="0.25">
      <c r="A776" s="6"/>
      <c r="B776" s="7"/>
      <c r="C776" s="7"/>
      <c r="D776" s="8"/>
      <c r="E776" s="9"/>
      <c r="F776" s="9"/>
      <c r="G776" s="17"/>
      <c r="H776" s="17"/>
      <c r="I776" s="9"/>
      <c r="J776" s="9"/>
      <c r="K776" s="10">
        <f t="shared" si="29"/>
        <v>0</v>
      </c>
      <c r="L776" s="10"/>
      <c r="M776" s="11"/>
      <c r="N776" s="12"/>
      <c r="O776" s="13"/>
      <c r="P776" s="14"/>
      <c r="Q776" s="1"/>
      <c r="R776" s="1"/>
      <c r="S776" s="1"/>
      <c r="T776" s="1"/>
    </row>
    <row r="777" spans="1:20" x14ac:dyDescent="0.25">
      <c r="A777" s="6"/>
      <c r="B777" s="7"/>
      <c r="C777" s="7"/>
      <c r="D777" s="8"/>
      <c r="E777" s="9"/>
      <c r="F777" s="9"/>
      <c r="G777" s="17"/>
      <c r="H777" s="17"/>
      <c r="I777" s="9"/>
      <c r="J777" s="9"/>
      <c r="K777" s="10">
        <f t="shared" si="29"/>
        <v>0</v>
      </c>
      <c r="L777" s="10"/>
      <c r="M777" s="11"/>
      <c r="N777" s="12"/>
      <c r="O777" s="13"/>
      <c r="P777" s="14"/>
      <c r="Q777" s="1"/>
      <c r="R777" s="1"/>
      <c r="S777" s="1"/>
      <c r="T777" s="1"/>
    </row>
    <row r="778" spans="1:20" x14ac:dyDescent="0.25">
      <c r="A778" s="6"/>
      <c r="B778" s="7"/>
      <c r="C778" s="8"/>
      <c r="D778" s="8"/>
      <c r="E778" s="9"/>
      <c r="F778" s="9"/>
      <c r="G778" s="17"/>
      <c r="H778" s="17"/>
      <c r="I778" s="9"/>
      <c r="J778" s="9"/>
      <c r="K778" s="10">
        <f t="shared" si="29"/>
        <v>0</v>
      </c>
      <c r="L778" s="10"/>
      <c r="M778" s="11"/>
      <c r="N778" s="12"/>
      <c r="O778" s="13"/>
      <c r="P778" s="14"/>
      <c r="Q778" s="1"/>
      <c r="R778" s="1"/>
      <c r="S778" s="1"/>
      <c r="T778" s="1"/>
    </row>
    <row r="779" spans="1:20" x14ac:dyDescent="0.25">
      <c r="A779" s="6"/>
      <c r="B779" s="7"/>
      <c r="C779" s="8"/>
      <c r="D779" s="8"/>
      <c r="E779" s="9"/>
      <c r="F779" s="9"/>
      <c r="G779" s="17"/>
      <c r="H779" s="17"/>
      <c r="I779" s="9"/>
      <c r="J779" s="9"/>
      <c r="K779" s="10">
        <f t="shared" ref="K779:K842" si="30">+I779-J779</f>
        <v>0</v>
      </c>
      <c r="L779" s="10"/>
      <c r="M779" s="11"/>
      <c r="N779" s="12"/>
      <c r="O779" s="13"/>
      <c r="P779" s="14"/>
      <c r="Q779" s="1"/>
      <c r="R779" s="1"/>
      <c r="S779" s="1"/>
      <c r="T779" s="1"/>
    </row>
    <row r="780" spans="1:20" x14ac:dyDescent="0.25">
      <c r="A780" s="6"/>
      <c r="B780" s="7"/>
      <c r="C780" s="8"/>
      <c r="D780" s="8"/>
      <c r="E780" s="9"/>
      <c r="F780" s="9"/>
      <c r="G780" s="17"/>
      <c r="H780" s="17"/>
      <c r="I780" s="9"/>
      <c r="J780" s="9"/>
      <c r="K780" s="10">
        <f t="shared" si="30"/>
        <v>0</v>
      </c>
      <c r="L780" s="10"/>
      <c r="M780" s="11"/>
      <c r="N780" s="12"/>
      <c r="O780" s="13"/>
      <c r="P780" s="14"/>
      <c r="Q780" s="1"/>
      <c r="R780" s="1"/>
      <c r="S780" s="1"/>
      <c r="T780" s="1"/>
    </row>
    <row r="781" spans="1:20" x14ac:dyDescent="0.25">
      <c r="A781" s="6"/>
      <c r="B781" s="7"/>
      <c r="C781" s="8"/>
      <c r="D781" s="8"/>
      <c r="E781" s="9"/>
      <c r="F781" s="9"/>
      <c r="G781" s="17"/>
      <c r="H781" s="17"/>
      <c r="I781" s="9"/>
      <c r="J781" s="9"/>
      <c r="K781" s="10">
        <f t="shared" si="30"/>
        <v>0</v>
      </c>
      <c r="L781" s="10"/>
      <c r="M781" s="11"/>
      <c r="N781" s="12"/>
      <c r="O781" s="13"/>
      <c r="P781" s="14"/>
      <c r="Q781" s="1"/>
      <c r="R781" s="1"/>
      <c r="S781" s="1"/>
      <c r="T781" s="1"/>
    </row>
    <row r="782" spans="1:20" x14ac:dyDescent="0.25">
      <c r="A782" s="6"/>
      <c r="B782" s="7"/>
      <c r="C782" s="8"/>
      <c r="D782" s="8"/>
      <c r="E782" s="9"/>
      <c r="F782" s="9"/>
      <c r="G782" s="17"/>
      <c r="H782" s="17"/>
      <c r="I782" s="9"/>
      <c r="J782" s="9"/>
      <c r="K782" s="10">
        <f t="shared" si="30"/>
        <v>0</v>
      </c>
      <c r="L782" s="10"/>
      <c r="M782" s="11"/>
      <c r="N782" s="12"/>
      <c r="O782" s="13"/>
      <c r="P782" s="14"/>
      <c r="Q782" s="1"/>
      <c r="R782" s="1"/>
      <c r="S782" s="1"/>
      <c r="T782" s="1"/>
    </row>
    <row r="783" spans="1:20" x14ac:dyDescent="0.25">
      <c r="A783" s="6"/>
      <c r="B783" s="7"/>
      <c r="C783" s="8"/>
      <c r="D783" s="8"/>
      <c r="E783" s="9"/>
      <c r="F783" s="9"/>
      <c r="G783" s="17"/>
      <c r="H783" s="17"/>
      <c r="I783" s="9"/>
      <c r="J783" s="9"/>
      <c r="K783" s="10">
        <f t="shared" si="30"/>
        <v>0</v>
      </c>
      <c r="L783" s="10"/>
      <c r="M783" s="11"/>
      <c r="N783" s="12"/>
      <c r="O783" s="13"/>
      <c r="P783" s="14"/>
      <c r="Q783" s="1"/>
      <c r="R783" s="1"/>
      <c r="S783" s="1"/>
      <c r="T783" s="1"/>
    </row>
    <row r="784" spans="1:20" x14ac:dyDescent="0.25">
      <c r="A784" s="6"/>
      <c r="B784" s="7"/>
      <c r="C784" s="8"/>
      <c r="D784" s="8"/>
      <c r="E784" s="9"/>
      <c r="F784" s="9"/>
      <c r="G784" s="17"/>
      <c r="H784" s="17"/>
      <c r="I784" s="9"/>
      <c r="J784" s="9"/>
      <c r="K784" s="10">
        <f t="shared" si="30"/>
        <v>0</v>
      </c>
      <c r="L784" s="10"/>
      <c r="M784" s="11"/>
      <c r="N784" s="12"/>
      <c r="O784" s="13"/>
      <c r="P784" s="14"/>
      <c r="Q784" s="1"/>
      <c r="R784" s="1"/>
      <c r="S784" s="1"/>
      <c r="T784" s="1"/>
    </row>
    <row r="785" spans="1:20" x14ac:dyDescent="0.25">
      <c r="A785" s="6"/>
      <c r="B785" s="7"/>
      <c r="C785" s="8"/>
      <c r="D785" s="8"/>
      <c r="E785" s="9"/>
      <c r="F785" s="9"/>
      <c r="G785" s="17"/>
      <c r="H785" s="17"/>
      <c r="I785" s="9"/>
      <c r="J785" s="9"/>
      <c r="K785" s="10">
        <f t="shared" si="30"/>
        <v>0</v>
      </c>
      <c r="L785" s="10"/>
      <c r="M785" s="11"/>
      <c r="N785" s="12"/>
      <c r="O785" s="13"/>
      <c r="P785" s="14"/>
      <c r="Q785" s="1"/>
      <c r="R785" s="1"/>
      <c r="S785" s="1"/>
      <c r="T785" s="1"/>
    </row>
    <row r="786" spans="1:20" x14ac:dyDescent="0.25">
      <c r="A786" s="6"/>
      <c r="B786" s="7"/>
      <c r="C786" s="8"/>
      <c r="D786" s="8"/>
      <c r="E786" s="9"/>
      <c r="F786" s="9"/>
      <c r="G786" s="17"/>
      <c r="H786" s="17"/>
      <c r="I786" s="9"/>
      <c r="J786" s="9"/>
      <c r="K786" s="10">
        <f t="shared" si="30"/>
        <v>0</v>
      </c>
      <c r="L786" s="10"/>
      <c r="M786" s="11"/>
      <c r="N786" s="12"/>
      <c r="O786" s="13"/>
      <c r="P786" s="14"/>
      <c r="Q786" s="1"/>
      <c r="R786" s="1"/>
      <c r="S786" s="1"/>
      <c r="T786" s="1"/>
    </row>
    <row r="787" spans="1:20" x14ac:dyDescent="0.25">
      <c r="A787" s="6"/>
      <c r="B787" s="7"/>
      <c r="C787" s="8"/>
      <c r="D787" s="8"/>
      <c r="E787" s="9"/>
      <c r="F787" s="9"/>
      <c r="G787" s="17"/>
      <c r="H787" s="17"/>
      <c r="I787" s="9"/>
      <c r="J787" s="9"/>
      <c r="K787" s="10">
        <f t="shared" si="30"/>
        <v>0</v>
      </c>
      <c r="L787" s="10"/>
      <c r="M787" s="11"/>
      <c r="N787" s="12"/>
      <c r="O787" s="13"/>
      <c r="P787" s="14"/>
      <c r="Q787" s="1"/>
      <c r="R787" s="1"/>
      <c r="S787" s="1"/>
      <c r="T787" s="1"/>
    </row>
    <row r="788" spans="1:20" x14ac:dyDescent="0.25">
      <c r="A788" s="6"/>
      <c r="B788" s="7"/>
      <c r="C788" s="8"/>
      <c r="D788" s="8"/>
      <c r="E788" s="9"/>
      <c r="F788" s="9"/>
      <c r="G788" s="17"/>
      <c r="H788" s="17"/>
      <c r="I788" s="9"/>
      <c r="J788" s="9"/>
      <c r="K788" s="10">
        <f t="shared" si="30"/>
        <v>0</v>
      </c>
      <c r="L788" s="10"/>
      <c r="M788" s="11"/>
      <c r="N788" s="12"/>
      <c r="O788" s="13"/>
      <c r="P788" s="14"/>
      <c r="Q788" s="1"/>
      <c r="R788" s="1"/>
      <c r="S788" s="1"/>
      <c r="T788" s="1">
        <v>-20359</v>
      </c>
    </row>
    <row r="789" spans="1:20" x14ac:dyDescent="0.25">
      <c r="A789" s="6"/>
      <c r="B789" s="7"/>
      <c r="C789" s="8"/>
      <c r="D789" s="8"/>
      <c r="E789" s="9"/>
      <c r="F789" s="9"/>
      <c r="G789" s="17"/>
      <c r="H789" s="17"/>
      <c r="I789" s="9"/>
      <c r="J789" s="9"/>
      <c r="K789" s="10">
        <f t="shared" si="30"/>
        <v>0</v>
      </c>
      <c r="L789" s="10"/>
      <c r="M789" s="11"/>
      <c r="N789" s="12"/>
      <c r="O789" s="13"/>
      <c r="P789" s="14"/>
      <c r="Q789" s="1"/>
      <c r="R789" s="1"/>
      <c r="S789" s="1"/>
    </row>
    <row r="790" spans="1:20" x14ac:dyDescent="0.25">
      <c r="A790" s="6"/>
      <c r="B790" s="7"/>
      <c r="C790" s="8"/>
      <c r="D790" s="8"/>
      <c r="E790" s="9"/>
      <c r="F790" s="9"/>
      <c r="G790" s="17"/>
      <c r="H790" s="17"/>
      <c r="I790" s="9"/>
      <c r="J790" s="9"/>
      <c r="K790" s="10">
        <f t="shared" si="30"/>
        <v>0</v>
      </c>
      <c r="L790" s="10"/>
      <c r="M790" s="11"/>
      <c r="N790" s="12"/>
      <c r="O790" s="13"/>
      <c r="P790" s="14"/>
      <c r="Q790" s="1"/>
      <c r="R790" s="1"/>
      <c r="S790" s="1"/>
    </row>
    <row r="791" spans="1:20" x14ac:dyDescent="0.25">
      <c r="A791" s="6"/>
      <c r="B791" s="7"/>
      <c r="C791" s="8"/>
      <c r="D791" s="8"/>
      <c r="E791" s="9"/>
      <c r="F791" s="9"/>
      <c r="G791" s="17"/>
      <c r="H791" s="17"/>
      <c r="I791" s="9"/>
      <c r="J791" s="9"/>
      <c r="K791" s="10">
        <f t="shared" si="30"/>
        <v>0</v>
      </c>
      <c r="L791" s="10"/>
      <c r="M791" s="11"/>
      <c r="N791" s="12"/>
      <c r="O791" s="13"/>
      <c r="P791" s="14"/>
      <c r="Q791" s="1"/>
      <c r="R791" s="1"/>
      <c r="S791" s="1"/>
    </row>
    <row r="792" spans="1:20" x14ac:dyDescent="0.25">
      <c r="A792" s="6"/>
      <c r="B792" s="7"/>
      <c r="C792" s="8"/>
      <c r="D792" s="8"/>
      <c r="E792" s="9"/>
      <c r="F792" s="9"/>
      <c r="G792" s="17"/>
      <c r="H792" s="17"/>
      <c r="I792" s="9"/>
      <c r="J792" s="9"/>
      <c r="K792" s="10">
        <f t="shared" si="30"/>
        <v>0</v>
      </c>
      <c r="L792" s="10"/>
      <c r="M792" s="11"/>
      <c r="N792" s="12"/>
      <c r="O792" s="13"/>
      <c r="P792" s="14"/>
      <c r="Q792" s="1"/>
      <c r="R792" s="1"/>
      <c r="S792" s="1"/>
    </row>
    <row r="793" spans="1:20" x14ac:dyDescent="0.25">
      <c r="A793" s="6"/>
      <c r="B793" s="7"/>
      <c r="C793" s="8"/>
      <c r="D793" s="8"/>
      <c r="E793" s="9"/>
      <c r="F793" s="9"/>
      <c r="G793" s="17"/>
      <c r="H793" s="17"/>
      <c r="I793" s="9"/>
      <c r="J793" s="9"/>
      <c r="K793" s="10">
        <f t="shared" si="30"/>
        <v>0</v>
      </c>
      <c r="L793" s="10"/>
      <c r="M793" s="11"/>
      <c r="N793" s="12"/>
      <c r="O793" s="13"/>
      <c r="P793" s="14"/>
      <c r="Q793" s="1"/>
      <c r="R793" s="1"/>
      <c r="S793" s="1"/>
    </row>
    <row r="794" spans="1:20" x14ac:dyDescent="0.25">
      <c r="A794" s="6"/>
      <c r="B794" s="7"/>
      <c r="C794" s="8"/>
      <c r="D794" s="8"/>
      <c r="E794" s="9"/>
      <c r="F794" s="9"/>
      <c r="G794" s="17"/>
      <c r="H794" s="17"/>
      <c r="I794" s="9"/>
      <c r="J794" s="9"/>
      <c r="K794" s="10">
        <f t="shared" si="30"/>
        <v>0</v>
      </c>
      <c r="L794" s="10"/>
      <c r="M794" s="11"/>
      <c r="N794" s="12"/>
      <c r="O794" s="13"/>
      <c r="P794" s="14"/>
      <c r="Q794" s="1"/>
      <c r="R794" s="1"/>
      <c r="S794" s="1"/>
    </row>
    <row r="795" spans="1:20" x14ac:dyDescent="0.25">
      <c r="A795" s="6"/>
      <c r="B795" s="7"/>
      <c r="C795" s="8"/>
      <c r="D795" s="8"/>
      <c r="E795" s="9"/>
      <c r="F795" s="9"/>
      <c r="G795" s="17"/>
      <c r="H795" s="17"/>
      <c r="I795" s="9"/>
      <c r="J795" s="9"/>
      <c r="K795" s="10">
        <f t="shared" si="30"/>
        <v>0</v>
      </c>
      <c r="L795" s="10"/>
      <c r="M795" s="11"/>
      <c r="N795" s="12"/>
      <c r="O795" s="13"/>
      <c r="P795" s="14"/>
      <c r="Q795" s="1"/>
      <c r="R795" s="1"/>
      <c r="S795" s="1"/>
    </row>
    <row r="796" spans="1:20" x14ac:dyDescent="0.25">
      <c r="A796" s="6"/>
      <c r="B796" s="7"/>
      <c r="C796" s="8"/>
      <c r="D796" s="8"/>
      <c r="E796" s="9"/>
      <c r="F796" s="9"/>
      <c r="G796" s="17"/>
      <c r="H796" s="17"/>
      <c r="I796" s="9"/>
      <c r="J796" s="9"/>
      <c r="K796" s="10">
        <f t="shared" si="30"/>
        <v>0</v>
      </c>
      <c r="L796" s="10"/>
      <c r="M796" s="11"/>
      <c r="N796" s="12"/>
      <c r="O796" s="13"/>
      <c r="P796" s="14"/>
      <c r="Q796" s="1"/>
      <c r="R796" s="1"/>
      <c r="S796" s="1"/>
    </row>
    <row r="797" spans="1:20" x14ac:dyDescent="0.25">
      <c r="A797" s="6"/>
      <c r="B797" s="7"/>
      <c r="C797" s="8"/>
      <c r="D797" s="8"/>
      <c r="E797" s="9"/>
      <c r="F797" s="9"/>
      <c r="G797" s="17"/>
      <c r="H797" s="17"/>
      <c r="I797" s="9"/>
      <c r="J797" s="9"/>
      <c r="K797" s="10">
        <f t="shared" si="30"/>
        <v>0</v>
      </c>
      <c r="L797" s="10"/>
      <c r="M797" s="11"/>
      <c r="N797" s="12"/>
      <c r="O797" s="13"/>
      <c r="P797" s="14"/>
      <c r="Q797" s="1"/>
      <c r="R797" s="1"/>
      <c r="S797" s="1"/>
    </row>
    <row r="798" spans="1:20" x14ac:dyDescent="0.25">
      <c r="A798" s="6"/>
      <c r="B798" s="7"/>
      <c r="C798" s="8"/>
      <c r="D798" s="8"/>
      <c r="E798" s="9"/>
      <c r="F798" s="9"/>
      <c r="G798" s="17"/>
      <c r="H798" s="17"/>
      <c r="I798" s="9"/>
      <c r="J798" s="9"/>
      <c r="K798" s="10">
        <f t="shared" si="30"/>
        <v>0</v>
      </c>
      <c r="L798" s="10"/>
      <c r="M798" s="11"/>
      <c r="N798" s="12"/>
      <c r="O798" s="13"/>
      <c r="P798" s="14"/>
      <c r="Q798" s="1"/>
      <c r="R798" s="1"/>
      <c r="S798" s="1"/>
    </row>
    <row r="799" spans="1:20" x14ac:dyDescent="0.25">
      <c r="A799" s="6"/>
      <c r="B799" s="7"/>
      <c r="C799" s="8"/>
      <c r="D799" s="8"/>
      <c r="E799" s="9"/>
      <c r="F799" s="9"/>
      <c r="G799" s="17"/>
      <c r="H799" s="17"/>
      <c r="I799" s="9"/>
      <c r="J799" s="9"/>
      <c r="K799" s="10">
        <f t="shared" si="30"/>
        <v>0</v>
      </c>
      <c r="L799" s="10"/>
      <c r="M799" s="11"/>
      <c r="N799" s="12"/>
      <c r="O799" s="13"/>
      <c r="P799" s="14"/>
      <c r="Q799" s="1"/>
      <c r="R799" s="1"/>
      <c r="S799" s="1"/>
    </row>
    <row r="800" spans="1:20" x14ac:dyDescent="0.25">
      <c r="A800" s="6"/>
      <c r="B800" s="7"/>
      <c r="C800" s="8"/>
      <c r="D800" s="8"/>
      <c r="E800" s="9"/>
      <c r="F800" s="9"/>
      <c r="G800" s="17"/>
      <c r="H800" s="17"/>
      <c r="I800" s="9"/>
      <c r="J800" s="9"/>
      <c r="K800" s="10">
        <f t="shared" si="30"/>
        <v>0</v>
      </c>
      <c r="L800" s="10"/>
      <c r="M800" s="11"/>
      <c r="N800" s="12"/>
      <c r="O800" s="13"/>
      <c r="P800" s="14"/>
      <c r="Q800" s="1"/>
      <c r="R800" s="1"/>
      <c r="S800" s="1"/>
    </row>
    <row r="801" spans="1:19" x14ac:dyDescent="0.25">
      <c r="A801" s="6"/>
      <c r="B801" s="7"/>
      <c r="C801" s="8"/>
      <c r="D801" s="8"/>
      <c r="E801" s="9"/>
      <c r="F801" s="9"/>
      <c r="G801" s="17"/>
      <c r="H801" s="17"/>
      <c r="I801" s="9"/>
      <c r="J801" s="9"/>
      <c r="K801" s="10">
        <f t="shared" si="30"/>
        <v>0</v>
      </c>
      <c r="L801" s="10"/>
      <c r="M801" s="11"/>
      <c r="N801" s="12"/>
      <c r="O801" s="13"/>
      <c r="P801" s="14"/>
      <c r="Q801" s="1"/>
      <c r="R801" s="1"/>
      <c r="S801" s="1"/>
    </row>
    <row r="802" spans="1:19" x14ac:dyDescent="0.25">
      <c r="A802" s="6"/>
      <c r="B802" s="7"/>
      <c r="C802" s="8"/>
      <c r="D802" s="8"/>
      <c r="E802" s="9"/>
      <c r="F802" s="9"/>
      <c r="G802" s="17"/>
      <c r="H802" s="17"/>
      <c r="I802" s="9"/>
      <c r="J802" s="9"/>
      <c r="K802" s="10">
        <f t="shared" si="30"/>
        <v>0</v>
      </c>
      <c r="L802" s="10"/>
      <c r="M802" s="11"/>
      <c r="N802" s="12"/>
      <c r="O802" s="13"/>
      <c r="P802" s="14"/>
      <c r="Q802" s="1"/>
      <c r="R802" s="1"/>
      <c r="S802" s="1"/>
    </row>
    <row r="803" spans="1:19" x14ac:dyDescent="0.25">
      <c r="A803" s="6"/>
      <c r="B803" s="7"/>
      <c r="C803" s="8"/>
      <c r="D803" s="8"/>
      <c r="E803" s="9"/>
      <c r="F803" s="9"/>
      <c r="G803" s="17"/>
      <c r="H803" s="17"/>
      <c r="I803" s="9"/>
      <c r="J803" s="9"/>
      <c r="K803" s="10">
        <f t="shared" si="30"/>
        <v>0</v>
      </c>
      <c r="L803" s="10"/>
      <c r="M803" s="11"/>
      <c r="N803" s="12"/>
      <c r="O803" s="13"/>
      <c r="P803" s="14"/>
      <c r="Q803" s="1"/>
      <c r="R803" s="1"/>
      <c r="S803" s="1"/>
    </row>
    <row r="804" spans="1:19" x14ac:dyDescent="0.25">
      <c r="A804" s="6"/>
      <c r="B804" s="7"/>
      <c r="C804" s="8"/>
      <c r="D804" s="8"/>
      <c r="E804" s="9"/>
      <c r="F804" s="9"/>
      <c r="G804" s="17"/>
      <c r="H804" s="17"/>
      <c r="I804" s="9"/>
      <c r="J804" s="9"/>
      <c r="K804" s="10">
        <f t="shared" si="30"/>
        <v>0</v>
      </c>
      <c r="L804" s="10"/>
      <c r="M804" s="11"/>
      <c r="N804" s="12"/>
      <c r="O804" s="13"/>
      <c r="P804" s="14"/>
      <c r="Q804" s="1"/>
      <c r="R804" s="1"/>
      <c r="S804" s="1"/>
    </row>
    <row r="805" spans="1:19" x14ac:dyDescent="0.25">
      <c r="A805" s="6"/>
      <c r="B805" s="7"/>
      <c r="C805" s="8"/>
      <c r="D805" s="8"/>
      <c r="E805" s="9"/>
      <c r="F805" s="9"/>
      <c r="G805" s="17"/>
      <c r="H805" s="17"/>
      <c r="I805" s="9"/>
      <c r="J805" s="9"/>
      <c r="K805" s="10">
        <f t="shared" si="30"/>
        <v>0</v>
      </c>
      <c r="L805" s="10"/>
      <c r="M805" s="11"/>
      <c r="N805" s="12"/>
      <c r="O805" s="13"/>
      <c r="P805" s="14"/>
    </row>
    <row r="806" spans="1:19" x14ac:dyDescent="0.25">
      <c r="A806" s="6"/>
      <c r="B806" s="7"/>
      <c r="C806" s="8"/>
      <c r="D806" s="8"/>
      <c r="E806" s="9"/>
      <c r="F806" s="9"/>
      <c r="G806" s="17"/>
      <c r="H806" s="17"/>
      <c r="I806" s="9"/>
      <c r="J806" s="9"/>
      <c r="K806" s="10">
        <f t="shared" si="30"/>
        <v>0</v>
      </c>
      <c r="L806" s="10"/>
      <c r="M806" s="11"/>
      <c r="N806" s="12"/>
      <c r="O806" s="13"/>
      <c r="P806" s="14"/>
    </row>
    <row r="807" spans="1:19" x14ac:dyDescent="0.25">
      <c r="A807" s="6"/>
      <c r="B807" s="7"/>
      <c r="C807" s="8"/>
      <c r="D807" s="8"/>
      <c r="E807" s="9"/>
      <c r="F807" s="9"/>
      <c r="G807" s="17"/>
      <c r="H807" s="17"/>
      <c r="I807" s="9"/>
      <c r="J807" s="9"/>
      <c r="K807" s="10">
        <f t="shared" si="30"/>
        <v>0</v>
      </c>
      <c r="L807" s="10"/>
      <c r="M807" s="11"/>
      <c r="N807" s="12"/>
      <c r="O807" s="13"/>
      <c r="P807" s="14"/>
    </row>
    <row r="808" spans="1:19" x14ac:dyDescent="0.25">
      <c r="A808" s="6"/>
      <c r="B808" s="7"/>
      <c r="C808" s="8"/>
      <c r="D808" s="8"/>
      <c r="E808" s="9"/>
      <c r="F808" s="9"/>
      <c r="G808" s="17"/>
      <c r="H808" s="17"/>
      <c r="I808" s="9"/>
      <c r="J808" s="9"/>
      <c r="K808" s="10">
        <f t="shared" si="30"/>
        <v>0</v>
      </c>
      <c r="L808" s="10"/>
      <c r="M808" s="11"/>
      <c r="N808" s="12"/>
      <c r="O808" s="13"/>
      <c r="P808" s="14"/>
    </row>
    <row r="809" spans="1:19" x14ac:dyDescent="0.25">
      <c r="A809" s="6"/>
      <c r="B809" s="7"/>
      <c r="C809" s="8"/>
      <c r="D809" s="8"/>
      <c r="E809" s="9"/>
      <c r="F809" s="9"/>
      <c r="G809" s="17"/>
      <c r="H809" s="17"/>
      <c r="I809" s="9"/>
      <c r="J809" s="9"/>
      <c r="K809" s="10">
        <f t="shared" si="30"/>
        <v>0</v>
      </c>
      <c r="L809" s="10"/>
      <c r="M809" s="11"/>
      <c r="N809" s="12"/>
      <c r="O809" s="13"/>
      <c r="P809" s="14"/>
    </row>
    <row r="810" spans="1:19" x14ac:dyDescent="0.25">
      <c r="A810" s="6"/>
      <c r="B810" s="7"/>
      <c r="C810" s="8"/>
      <c r="D810" s="8"/>
      <c r="E810" s="9"/>
      <c r="F810" s="9"/>
      <c r="G810" s="17"/>
      <c r="H810" s="17"/>
      <c r="I810" s="9"/>
      <c r="J810" s="9"/>
      <c r="K810" s="10">
        <f t="shared" si="30"/>
        <v>0</v>
      </c>
      <c r="L810" s="10"/>
      <c r="M810" s="11"/>
      <c r="N810" s="12"/>
      <c r="O810" s="13"/>
      <c r="P810" s="14"/>
    </row>
    <row r="811" spans="1:19" x14ac:dyDescent="0.25">
      <c r="A811" s="1"/>
      <c r="B811" s="7"/>
      <c r="C811" s="8"/>
      <c r="D811" s="8"/>
      <c r="E811" s="9"/>
      <c r="F811" s="9"/>
      <c r="G811" s="17"/>
      <c r="H811" s="17"/>
      <c r="I811" s="9"/>
      <c r="J811" s="9"/>
      <c r="K811" s="10">
        <f t="shared" si="30"/>
        <v>0</v>
      </c>
      <c r="L811" s="10"/>
      <c r="M811" s="11"/>
      <c r="N811" s="12"/>
      <c r="O811" s="13"/>
      <c r="P811" s="14"/>
    </row>
    <row r="812" spans="1:19" x14ac:dyDescent="0.25">
      <c r="A812" s="1"/>
      <c r="B812" s="7"/>
      <c r="C812" s="8"/>
      <c r="D812" s="8"/>
      <c r="E812" s="9"/>
      <c r="F812" s="9"/>
      <c r="G812" s="17"/>
      <c r="H812" s="17"/>
      <c r="I812" s="9"/>
      <c r="J812" s="9"/>
      <c r="K812" s="10">
        <f t="shared" si="30"/>
        <v>0</v>
      </c>
      <c r="L812" s="10"/>
      <c r="M812" s="11"/>
      <c r="N812" s="12"/>
      <c r="O812" s="13"/>
      <c r="P812" s="14"/>
    </row>
    <row r="813" spans="1:19" x14ac:dyDescent="0.25">
      <c r="A813" s="1"/>
      <c r="B813" s="7"/>
      <c r="C813" s="8"/>
      <c r="D813" s="8"/>
      <c r="E813" s="9"/>
      <c r="F813" s="9"/>
      <c r="G813" s="17"/>
      <c r="H813" s="17"/>
      <c r="I813" s="9"/>
      <c r="J813" s="9"/>
      <c r="K813" s="10">
        <f t="shared" si="30"/>
        <v>0</v>
      </c>
      <c r="L813" s="10"/>
      <c r="M813" s="11"/>
      <c r="N813" s="12"/>
      <c r="O813" s="13"/>
      <c r="P813" s="14"/>
    </row>
    <row r="814" spans="1:19" x14ac:dyDescent="0.25">
      <c r="A814" s="1"/>
      <c r="B814" s="7"/>
      <c r="C814" s="8"/>
      <c r="D814" s="8"/>
      <c r="E814" s="9"/>
      <c r="F814" s="9"/>
      <c r="G814" s="17"/>
      <c r="H814" s="17"/>
      <c r="I814" s="9"/>
      <c r="J814" s="9"/>
      <c r="K814" s="10">
        <f t="shared" si="30"/>
        <v>0</v>
      </c>
      <c r="L814" s="10"/>
      <c r="M814" s="11"/>
      <c r="N814" s="12"/>
      <c r="O814" s="13"/>
      <c r="P814" s="14"/>
    </row>
    <row r="815" spans="1:19" x14ac:dyDescent="0.25">
      <c r="A815" s="1"/>
      <c r="B815" s="7"/>
      <c r="C815" s="8"/>
      <c r="D815" s="8"/>
      <c r="E815" s="9"/>
      <c r="F815" s="9"/>
      <c r="G815" s="17"/>
      <c r="H815" s="17"/>
      <c r="I815" s="9"/>
      <c r="J815" s="9"/>
      <c r="K815" s="10">
        <f t="shared" si="30"/>
        <v>0</v>
      </c>
      <c r="L815" s="10"/>
      <c r="M815" s="11"/>
      <c r="N815" s="12"/>
      <c r="O815" s="13"/>
      <c r="P815" s="14"/>
    </row>
    <row r="816" spans="1:19" x14ac:dyDescent="0.25">
      <c r="A816" s="1"/>
      <c r="B816" s="7"/>
      <c r="C816" s="8"/>
      <c r="D816" s="8"/>
      <c r="E816" s="9"/>
      <c r="F816" s="9"/>
      <c r="G816" s="17"/>
      <c r="H816" s="17"/>
      <c r="I816" s="9"/>
      <c r="J816" s="9"/>
      <c r="K816" s="10">
        <f t="shared" si="30"/>
        <v>0</v>
      </c>
      <c r="L816" s="10"/>
      <c r="M816" s="11"/>
      <c r="N816" s="12"/>
      <c r="O816" s="13"/>
      <c r="P816" s="14"/>
    </row>
    <row r="817" spans="1:16" x14ac:dyDescent="0.25">
      <c r="A817" s="1"/>
      <c r="B817" s="7"/>
      <c r="C817" s="8"/>
      <c r="D817" s="8"/>
      <c r="E817" s="9"/>
      <c r="F817" s="9"/>
      <c r="G817" s="17"/>
      <c r="H817" s="17"/>
      <c r="I817" s="9"/>
      <c r="J817" s="9"/>
      <c r="K817" s="10">
        <f t="shared" si="30"/>
        <v>0</v>
      </c>
      <c r="L817" s="10"/>
      <c r="M817" s="11"/>
      <c r="N817" s="12"/>
      <c r="O817" s="13"/>
      <c r="P817" s="14"/>
    </row>
    <row r="818" spans="1:16" x14ac:dyDescent="0.25">
      <c r="A818" s="1"/>
      <c r="B818" s="7"/>
      <c r="C818" s="8"/>
      <c r="D818" s="8"/>
      <c r="E818" s="9"/>
      <c r="F818" s="9"/>
      <c r="G818" s="17"/>
      <c r="H818" s="17"/>
      <c r="I818" s="9"/>
      <c r="J818" s="9"/>
      <c r="K818" s="10">
        <f t="shared" si="30"/>
        <v>0</v>
      </c>
      <c r="L818" s="10"/>
      <c r="M818" s="11"/>
      <c r="N818" s="12"/>
      <c r="O818" s="13"/>
      <c r="P818" s="14"/>
    </row>
    <row r="819" spans="1:16" x14ac:dyDescent="0.25">
      <c r="A819" s="1"/>
      <c r="B819" s="7"/>
      <c r="C819" s="8"/>
      <c r="D819" s="8"/>
      <c r="E819" s="9"/>
      <c r="F819" s="9"/>
      <c r="G819" s="17"/>
      <c r="H819" s="17"/>
      <c r="I819" s="9"/>
      <c r="J819" s="9"/>
      <c r="K819" s="10">
        <f t="shared" si="30"/>
        <v>0</v>
      </c>
      <c r="L819" s="10"/>
      <c r="M819" s="11"/>
      <c r="N819" s="12"/>
      <c r="O819" s="13"/>
      <c r="P819" s="14"/>
    </row>
    <row r="820" spans="1:16" x14ac:dyDescent="0.25">
      <c r="A820" s="1"/>
      <c r="B820" s="7"/>
      <c r="C820" s="8"/>
      <c r="D820" s="8"/>
      <c r="E820" s="9"/>
      <c r="F820" s="9"/>
      <c r="G820" s="17"/>
      <c r="H820" s="17"/>
      <c r="I820" s="9"/>
      <c r="J820" s="9"/>
      <c r="K820" s="10">
        <f t="shared" si="30"/>
        <v>0</v>
      </c>
      <c r="L820" s="10"/>
      <c r="M820" s="11"/>
      <c r="N820" s="12"/>
      <c r="O820" s="13"/>
      <c r="P820" s="14"/>
    </row>
    <row r="821" spans="1:16" x14ac:dyDescent="0.25">
      <c r="A821" s="1"/>
      <c r="B821" s="7"/>
      <c r="C821" s="8"/>
      <c r="D821" s="8"/>
      <c r="E821" s="9"/>
      <c r="F821" s="9"/>
      <c r="G821" s="17"/>
      <c r="H821" s="17"/>
      <c r="I821" s="9"/>
      <c r="J821" s="9"/>
      <c r="K821" s="10">
        <f t="shared" si="30"/>
        <v>0</v>
      </c>
      <c r="L821" s="10"/>
      <c r="M821" s="11"/>
      <c r="N821" s="12"/>
      <c r="O821" s="13"/>
      <c r="P821" s="14"/>
    </row>
    <row r="822" spans="1:16" x14ac:dyDescent="0.25">
      <c r="A822" s="7"/>
      <c r="B822" s="7"/>
      <c r="C822" s="8"/>
      <c r="D822" s="8"/>
      <c r="E822" s="9"/>
      <c r="F822" s="9"/>
      <c r="G822" s="17"/>
      <c r="H822" s="17"/>
      <c r="I822" s="9"/>
      <c r="J822" s="9"/>
      <c r="K822" s="10">
        <f t="shared" si="30"/>
        <v>0</v>
      </c>
      <c r="L822" s="10"/>
      <c r="M822" s="11"/>
      <c r="N822" s="12"/>
      <c r="O822" s="13"/>
      <c r="P822" s="14"/>
    </row>
    <row r="823" spans="1:16" x14ac:dyDescent="0.25">
      <c r="A823" s="7"/>
      <c r="B823" s="7"/>
      <c r="C823" s="8"/>
      <c r="D823" s="8"/>
      <c r="E823" s="9"/>
      <c r="F823" s="9"/>
      <c r="G823" s="17"/>
      <c r="H823" s="17"/>
      <c r="I823" s="9"/>
      <c r="J823" s="9"/>
      <c r="K823" s="10">
        <f t="shared" si="30"/>
        <v>0</v>
      </c>
      <c r="L823" s="10"/>
      <c r="M823" s="11"/>
      <c r="N823" s="12"/>
      <c r="O823" s="13"/>
      <c r="P823" s="14"/>
    </row>
    <row r="824" spans="1:16" x14ac:dyDescent="0.25">
      <c r="A824" s="7"/>
      <c r="B824" s="7"/>
      <c r="C824" s="8"/>
      <c r="D824" s="8"/>
      <c r="E824" s="9"/>
      <c r="F824" s="9"/>
      <c r="G824" s="17"/>
      <c r="H824" s="17"/>
      <c r="I824" s="9"/>
      <c r="J824" s="9"/>
      <c r="K824" s="10">
        <f t="shared" si="30"/>
        <v>0</v>
      </c>
      <c r="L824" s="10"/>
      <c r="M824" s="11"/>
      <c r="N824" s="12"/>
      <c r="O824" s="13"/>
      <c r="P824" s="14"/>
    </row>
    <row r="825" spans="1:16" x14ac:dyDescent="0.25">
      <c r="A825" s="7"/>
      <c r="B825" s="7"/>
      <c r="C825" s="8"/>
      <c r="D825" s="8"/>
      <c r="E825" s="9"/>
      <c r="F825" s="9"/>
      <c r="G825" s="17"/>
      <c r="H825" s="17"/>
      <c r="I825" s="9"/>
      <c r="J825" s="9"/>
      <c r="K825" s="10">
        <f t="shared" si="30"/>
        <v>0</v>
      </c>
      <c r="L825" s="10"/>
      <c r="M825" s="11"/>
      <c r="N825" s="12"/>
      <c r="O825" s="13"/>
      <c r="P825" s="14"/>
    </row>
    <row r="826" spans="1:16" x14ac:dyDescent="0.25">
      <c r="A826" s="7"/>
      <c r="B826" s="7"/>
      <c r="C826" s="8"/>
      <c r="D826" s="8"/>
      <c r="E826" s="9"/>
      <c r="F826" s="9"/>
      <c r="G826" s="17"/>
      <c r="H826" s="17"/>
      <c r="I826" s="9"/>
      <c r="J826" s="9"/>
      <c r="K826" s="10">
        <f t="shared" si="30"/>
        <v>0</v>
      </c>
      <c r="L826" s="10"/>
      <c r="M826" s="11"/>
      <c r="N826" s="12"/>
      <c r="O826" s="13"/>
      <c r="P826" s="14"/>
    </row>
    <row r="827" spans="1:16" x14ac:dyDescent="0.25">
      <c r="A827" s="7"/>
      <c r="B827" s="7"/>
      <c r="C827" s="8"/>
      <c r="D827" s="8"/>
      <c r="E827" s="9"/>
      <c r="F827" s="9"/>
      <c r="G827" s="17"/>
      <c r="H827" s="17"/>
      <c r="I827" s="9"/>
      <c r="J827" s="9"/>
      <c r="K827" s="10">
        <f t="shared" si="30"/>
        <v>0</v>
      </c>
      <c r="L827" s="10"/>
      <c r="M827" s="11"/>
      <c r="N827" s="12"/>
      <c r="O827" s="13"/>
      <c r="P827" s="14"/>
    </row>
    <row r="828" spans="1:16" x14ac:dyDescent="0.25">
      <c r="A828" s="7"/>
      <c r="B828" s="7"/>
      <c r="C828" s="8"/>
      <c r="D828" s="8"/>
      <c r="E828" s="9"/>
      <c r="F828" s="9"/>
      <c r="G828" s="17"/>
      <c r="H828" s="17"/>
      <c r="I828" s="9"/>
      <c r="J828" s="9"/>
      <c r="K828" s="10">
        <f t="shared" si="30"/>
        <v>0</v>
      </c>
      <c r="L828" s="10"/>
      <c r="M828" s="11"/>
      <c r="N828" s="12"/>
      <c r="O828" s="13"/>
      <c r="P828" s="14"/>
    </row>
    <row r="829" spans="1:16" x14ac:dyDescent="0.25">
      <c r="A829" s="7"/>
      <c r="B829" s="7"/>
      <c r="C829" s="8"/>
      <c r="D829" s="8"/>
      <c r="E829" s="9"/>
      <c r="F829" s="9"/>
      <c r="G829" s="17"/>
      <c r="H829" s="17"/>
      <c r="I829" s="9"/>
      <c r="J829" s="9"/>
      <c r="K829" s="10">
        <f t="shared" si="30"/>
        <v>0</v>
      </c>
      <c r="L829" s="10"/>
      <c r="M829" s="11"/>
      <c r="N829" s="12"/>
      <c r="O829" s="13"/>
      <c r="P829" s="14"/>
    </row>
    <row r="830" spans="1:16" x14ac:dyDescent="0.25">
      <c r="A830" s="7"/>
      <c r="B830" s="7"/>
      <c r="C830" s="8"/>
      <c r="D830" s="8"/>
      <c r="E830" s="9"/>
      <c r="F830" s="9"/>
      <c r="G830" s="17"/>
      <c r="H830" s="17"/>
      <c r="I830" s="9"/>
      <c r="J830" s="9"/>
      <c r="K830" s="10">
        <f t="shared" si="30"/>
        <v>0</v>
      </c>
      <c r="L830" s="10"/>
      <c r="M830" s="11"/>
      <c r="N830" s="12"/>
      <c r="O830" s="13"/>
      <c r="P830" s="14"/>
    </row>
    <row r="831" spans="1:16" x14ac:dyDescent="0.25">
      <c r="A831" s="7"/>
      <c r="B831" s="7"/>
      <c r="C831" s="8"/>
      <c r="D831" s="8"/>
      <c r="E831" s="9"/>
      <c r="F831" s="9"/>
      <c r="G831" s="17"/>
      <c r="H831" s="17"/>
      <c r="I831" s="9"/>
      <c r="J831" s="9"/>
      <c r="K831" s="10">
        <f t="shared" si="30"/>
        <v>0</v>
      </c>
      <c r="L831" s="10"/>
      <c r="M831" s="11"/>
      <c r="N831" s="12"/>
      <c r="O831" s="13"/>
      <c r="P831" s="14"/>
    </row>
    <row r="832" spans="1:16" x14ac:dyDescent="0.25">
      <c r="A832" s="7"/>
      <c r="B832" s="7"/>
      <c r="C832" s="8"/>
      <c r="D832" s="8"/>
      <c r="E832" s="9"/>
      <c r="F832" s="9"/>
      <c r="G832" s="17"/>
      <c r="H832" s="17"/>
      <c r="I832" s="9"/>
      <c r="J832" s="9"/>
      <c r="K832" s="10">
        <f t="shared" si="30"/>
        <v>0</v>
      </c>
      <c r="L832" s="10"/>
      <c r="M832" s="11"/>
      <c r="N832" s="12"/>
      <c r="O832" s="13"/>
      <c r="P832" s="14"/>
    </row>
    <row r="833" spans="1:16" x14ac:dyDescent="0.25">
      <c r="A833" s="7"/>
      <c r="B833" s="7"/>
      <c r="C833" s="8"/>
      <c r="D833" s="8"/>
      <c r="E833" s="9"/>
      <c r="F833" s="9"/>
      <c r="G833" s="17"/>
      <c r="H833" s="17"/>
      <c r="I833" s="9"/>
      <c r="J833" s="9"/>
      <c r="K833" s="10">
        <f t="shared" si="30"/>
        <v>0</v>
      </c>
      <c r="L833" s="10"/>
      <c r="M833" s="11"/>
      <c r="N833" s="12"/>
      <c r="O833" s="13"/>
      <c r="P833" s="14"/>
    </row>
    <row r="834" spans="1:16" x14ac:dyDescent="0.25">
      <c r="A834" s="7"/>
      <c r="B834" s="7"/>
      <c r="C834" s="8"/>
      <c r="D834" s="8"/>
      <c r="E834" s="9"/>
      <c r="F834" s="9"/>
      <c r="G834" s="17"/>
      <c r="H834" s="17"/>
      <c r="I834" s="9"/>
      <c r="J834" s="9"/>
      <c r="K834" s="10">
        <f t="shared" si="30"/>
        <v>0</v>
      </c>
      <c r="L834" s="10"/>
      <c r="M834" s="11"/>
      <c r="N834" s="12"/>
      <c r="O834" s="13"/>
      <c r="P834" s="14"/>
    </row>
    <row r="835" spans="1:16" x14ac:dyDescent="0.25">
      <c r="A835" s="7"/>
      <c r="B835" s="7"/>
      <c r="C835" s="8"/>
      <c r="D835" s="8"/>
      <c r="E835" s="9"/>
      <c r="F835" s="9"/>
      <c r="G835" s="17"/>
      <c r="H835" s="17"/>
      <c r="I835" s="9"/>
      <c r="J835" s="9"/>
      <c r="K835" s="10">
        <f t="shared" si="30"/>
        <v>0</v>
      </c>
      <c r="L835" s="10"/>
      <c r="M835" s="11"/>
      <c r="N835" s="12"/>
      <c r="O835" s="13"/>
      <c r="P835" s="14"/>
    </row>
    <row r="836" spans="1:16" x14ac:dyDescent="0.25">
      <c r="A836" s="7"/>
      <c r="B836" s="7"/>
      <c r="C836" s="8"/>
      <c r="D836" s="8"/>
      <c r="E836" s="9"/>
      <c r="F836" s="9"/>
      <c r="G836" s="17"/>
      <c r="H836" s="17"/>
      <c r="I836" s="9"/>
      <c r="J836" s="9"/>
      <c r="K836" s="10">
        <f t="shared" si="30"/>
        <v>0</v>
      </c>
      <c r="L836" s="10"/>
      <c r="M836" s="11"/>
      <c r="N836" s="12"/>
      <c r="O836" s="13"/>
      <c r="P836" s="14"/>
    </row>
    <row r="837" spans="1:16" x14ac:dyDescent="0.25">
      <c r="B837" s="7"/>
      <c r="C837" s="8"/>
      <c r="D837" s="8"/>
      <c r="E837" s="9"/>
      <c r="F837" s="9"/>
      <c r="G837" s="17"/>
      <c r="H837" s="17"/>
      <c r="I837" s="9"/>
      <c r="J837" s="9"/>
      <c r="K837" s="10">
        <f t="shared" si="30"/>
        <v>0</v>
      </c>
      <c r="L837" s="10"/>
      <c r="M837" s="11"/>
      <c r="N837" s="12"/>
      <c r="O837" s="13"/>
      <c r="P837" s="14"/>
    </row>
    <row r="838" spans="1:16" x14ac:dyDescent="0.25">
      <c r="B838" s="7"/>
      <c r="C838" s="8"/>
      <c r="D838" s="8"/>
      <c r="E838" s="9"/>
      <c r="F838" s="9"/>
      <c r="G838" s="17"/>
      <c r="H838" s="17"/>
      <c r="I838" s="9"/>
      <c r="J838" s="9"/>
      <c r="K838" s="10">
        <f t="shared" si="30"/>
        <v>0</v>
      </c>
      <c r="L838" s="10"/>
      <c r="M838" s="11"/>
      <c r="N838" s="12"/>
      <c r="O838" s="13"/>
      <c r="P838" s="14"/>
    </row>
    <row r="839" spans="1:16" x14ac:dyDescent="0.25">
      <c r="B839" s="7"/>
      <c r="C839" s="8"/>
      <c r="D839" s="8"/>
      <c r="E839" s="9"/>
      <c r="F839" s="9"/>
      <c r="G839" s="17"/>
      <c r="H839" s="17"/>
      <c r="I839" s="9"/>
      <c r="J839" s="9"/>
      <c r="K839" s="10">
        <f t="shared" si="30"/>
        <v>0</v>
      </c>
      <c r="L839" s="10"/>
      <c r="M839" s="11"/>
      <c r="N839" s="12"/>
      <c r="O839" s="13"/>
      <c r="P839" s="14"/>
    </row>
    <row r="840" spans="1:16" x14ac:dyDescent="0.25">
      <c r="B840" s="7"/>
      <c r="C840" s="8"/>
      <c r="D840" s="8"/>
      <c r="E840" s="9"/>
      <c r="F840" s="9"/>
      <c r="G840" s="17"/>
      <c r="H840" s="17"/>
      <c r="I840" s="9"/>
      <c r="J840" s="9"/>
      <c r="K840" s="10">
        <f t="shared" si="30"/>
        <v>0</v>
      </c>
      <c r="L840" s="10"/>
      <c r="M840" s="11"/>
      <c r="N840" s="12"/>
      <c r="O840" s="13"/>
      <c r="P840" s="14"/>
    </row>
    <row r="841" spans="1:16" x14ac:dyDescent="0.25">
      <c r="B841" s="7"/>
      <c r="C841" s="8"/>
      <c r="D841" s="8"/>
      <c r="E841" s="9"/>
      <c r="F841" s="9"/>
      <c r="G841" s="17"/>
      <c r="H841" s="17"/>
      <c r="I841" s="9"/>
      <c r="J841" s="9"/>
      <c r="K841" s="10">
        <f t="shared" si="30"/>
        <v>0</v>
      </c>
      <c r="L841" s="10"/>
      <c r="M841" s="11"/>
      <c r="N841" s="12"/>
      <c r="O841" s="13"/>
      <c r="P841" s="14"/>
    </row>
    <row r="842" spans="1:16" x14ac:dyDescent="0.25">
      <c r="B842" s="7"/>
      <c r="C842" s="8"/>
      <c r="D842" s="8"/>
      <c r="E842" s="9"/>
      <c r="F842" s="9"/>
      <c r="G842" s="17"/>
      <c r="H842" s="17"/>
      <c r="I842" s="9"/>
      <c r="J842" s="9"/>
      <c r="K842" s="10">
        <f t="shared" si="30"/>
        <v>0</v>
      </c>
      <c r="L842" s="10"/>
      <c r="M842" s="11"/>
      <c r="N842" s="12"/>
      <c r="O842" s="13"/>
      <c r="P842" s="14"/>
    </row>
    <row r="843" spans="1:16" x14ac:dyDescent="0.25">
      <c r="B843" s="7"/>
      <c r="C843" s="8"/>
      <c r="D843" s="8"/>
      <c r="E843" s="9"/>
      <c r="F843" s="9"/>
      <c r="G843" s="17"/>
      <c r="H843" s="17"/>
      <c r="I843" s="9"/>
      <c r="J843" s="9"/>
      <c r="K843" s="10">
        <f t="shared" ref="K843:K906" si="31">+I843-J843</f>
        <v>0</v>
      </c>
      <c r="L843" s="10"/>
      <c r="M843" s="11"/>
      <c r="N843" s="12"/>
      <c r="O843" s="13"/>
      <c r="P843" s="14"/>
    </row>
    <row r="844" spans="1:16" x14ac:dyDescent="0.25">
      <c r="B844" s="7"/>
      <c r="C844" s="8"/>
      <c r="D844" s="8"/>
      <c r="E844" s="9"/>
      <c r="F844" s="9"/>
      <c r="G844" s="17"/>
      <c r="H844" s="17"/>
      <c r="I844" s="9"/>
      <c r="J844" s="9"/>
      <c r="K844" s="10">
        <f t="shared" si="31"/>
        <v>0</v>
      </c>
      <c r="L844" s="10"/>
      <c r="M844" s="11"/>
      <c r="N844" s="12"/>
      <c r="O844" s="13"/>
      <c r="P844" s="14"/>
    </row>
    <row r="845" spans="1:16" x14ac:dyDescent="0.25">
      <c r="B845" s="7"/>
      <c r="C845" s="8"/>
      <c r="D845" s="8"/>
      <c r="E845" s="9"/>
      <c r="F845" s="9"/>
      <c r="G845" s="17"/>
      <c r="H845" s="17"/>
      <c r="I845" s="9"/>
      <c r="J845" s="9"/>
      <c r="K845" s="10">
        <f t="shared" si="31"/>
        <v>0</v>
      </c>
      <c r="L845" s="10"/>
      <c r="M845" s="11"/>
      <c r="N845" s="12"/>
      <c r="O845" s="13"/>
      <c r="P845" s="14"/>
    </row>
    <row r="846" spans="1:16" x14ac:dyDescent="0.25">
      <c r="B846" s="7"/>
      <c r="C846" s="8"/>
      <c r="D846" s="8"/>
      <c r="E846" s="9"/>
      <c r="F846" s="9"/>
      <c r="G846" s="17"/>
      <c r="H846" s="17"/>
      <c r="I846" s="9"/>
      <c r="J846" s="9"/>
      <c r="K846" s="10">
        <f t="shared" si="31"/>
        <v>0</v>
      </c>
      <c r="L846" s="10"/>
      <c r="M846" s="11"/>
      <c r="N846" s="12"/>
      <c r="O846" s="13"/>
      <c r="P846" s="14"/>
    </row>
    <row r="847" spans="1:16" x14ac:dyDescent="0.25">
      <c r="B847" s="7"/>
      <c r="C847" s="8"/>
      <c r="D847" s="8"/>
      <c r="E847" s="9"/>
      <c r="F847" s="9"/>
      <c r="G847" s="17"/>
      <c r="H847" s="17"/>
      <c r="I847" s="9"/>
      <c r="J847" s="9"/>
      <c r="K847" s="10">
        <f t="shared" si="31"/>
        <v>0</v>
      </c>
      <c r="L847" s="10"/>
      <c r="M847" s="11"/>
      <c r="N847" s="12"/>
      <c r="O847" s="13"/>
      <c r="P847" s="14"/>
    </row>
    <row r="848" spans="1:16" x14ac:dyDescent="0.25">
      <c r="B848" s="7"/>
      <c r="C848" s="8"/>
      <c r="D848" s="8"/>
      <c r="E848" s="9"/>
      <c r="F848" s="9"/>
      <c r="G848" s="17"/>
      <c r="H848" s="17"/>
      <c r="I848" s="9"/>
      <c r="J848" s="9"/>
      <c r="K848" s="10">
        <f t="shared" si="31"/>
        <v>0</v>
      </c>
      <c r="L848" s="10"/>
      <c r="M848" s="11"/>
      <c r="N848" s="12"/>
      <c r="O848" s="13"/>
      <c r="P848" s="14"/>
    </row>
    <row r="849" spans="2:17" x14ac:dyDescent="0.25">
      <c r="B849" s="7"/>
      <c r="C849" s="8"/>
      <c r="D849" s="8"/>
      <c r="E849" s="9"/>
      <c r="F849" s="9"/>
      <c r="G849" s="17"/>
      <c r="H849" s="17"/>
      <c r="I849" s="9"/>
      <c r="J849" s="9"/>
      <c r="K849" s="10">
        <f t="shared" si="31"/>
        <v>0</v>
      </c>
      <c r="L849" s="10"/>
      <c r="M849" s="11"/>
      <c r="N849" s="12"/>
      <c r="O849" s="13"/>
      <c r="P849" s="14"/>
    </row>
    <row r="850" spans="2:17" x14ac:dyDescent="0.25">
      <c r="B850" s="7"/>
      <c r="C850" s="8"/>
      <c r="D850" s="8"/>
      <c r="E850" s="9"/>
      <c r="F850" s="9"/>
      <c r="G850" s="17"/>
      <c r="H850" s="17"/>
      <c r="I850" s="9"/>
      <c r="J850" s="9"/>
      <c r="K850" s="10">
        <f t="shared" si="31"/>
        <v>0</v>
      </c>
      <c r="L850" s="10"/>
      <c r="M850" s="11"/>
      <c r="N850" s="12"/>
      <c r="O850" s="13"/>
      <c r="P850" s="14"/>
    </row>
    <row r="851" spans="2:17" x14ac:dyDescent="0.25">
      <c r="B851" s="7"/>
      <c r="C851" s="8"/>
      <c r="D851" s="8"/>
      <c r="E851" s="9"/>
      <c r="F851" s="9"/>
      <c r="G851" s="17"/>
      <c r="H851" s="17"/>
      <c r="I851" s="9"/>
      <c r="J851" s="9"/>
      <c r="K851" s="10">
        <f t="shared" si="31"/>
        <v>0</v>
      </c>
      <c r="L851" s="10"/>
      <c r="M851" s="11"/>
      <c r="N851" s="12"/>
      <c r="O851" s="13"/>
      <c r="P851" s="14"/>
    </row>
    <row r="852" spans="2:17" x14ac:dyDescent="0.25">
      <c r="B852" s="7"/>
      <c r="C852" s="8"/>
      <c r="D852" s="8"/>
      <c r="E852" s="9"/>
      <c r="F852" s="9"/>
      <c r="G852" s="17"/>
      <c r="H852" s="17"/>
      <c r="I852" s="9"/>
      <c r="J852" s="9"/>
      <c r="K852" s="10">
        <f t="shared" si="31"/>
        <v>0</v>
      </c>
      <c r="L852" s="10"/>
      <c r="M852" s="11"/>
      <c r="N852" s="12"/>
      <c r="O852" s="13"/>
      <c r="P852" s="14"/>
    </row>
    <row r="853" spans="2:17" x14ac:dyDescent="0.25">
      <c r="B853" s="7"/>
      <c r="C853" s="8"/>
      <c r="D853" s="8"/>
      <c r="E853" s="9"/>
      <c r="F853" s="9"/>
      <c r="G853" s="17"/>
      <c r="H853" s="17"/>
      <c r="I853" s="9"/>
      <c r="J853" s="9"/>
      <c r="K853" s="10">
        <f t="shared" si="31"/>
        <v>0</v>
      </c>
      <c r="L853" s="10"/>
      <c r="M853" s="11"/>
      <c r="N853" s="12"/>
      <c r="O853" s="13"/>
      <c r="P853" s="14"/>
      <c r="Q853" s="1"/>
    </row>
    <row r="854" spans="2:17" x14ac:dyDescent="0.25">
      <c r="B854" s="7"/>
      <c r="C854" s="8"/>
      <c r="D854" s="8"/>
      <c r="E854" s="9"/>
      <c r="F854" s="9"/>
      <c r="G854" s="17"/>
      <c r="H854" s="17"/>
      <c r="I854" s="9"/>
      <c r="J854" s="9"/>
      <c r="K854" s="10">
        <f t="shared" si="31"/>
        <v>0</v>
      </c>
      <c r="L854" s="10"/>
      <c r="M854" s="11"/>
      <c r="N854" s="12"/>
      <c r="O854" s="13"/>
      <c r="P854" s="14"/>
      <c r="Q854" s="1"/>
    </row>
    <row r="855" spans="2:17" x14ac:dyDescent="0.25">
      <c r="B855" s="7"/>
      <c r="C855" s="8"/>
      <c r="D855" s="8"/>
      <c r="E855" s="9"/>
      <c r="F855" s="9"/>
      <c r="G855" s="17"/>
      <c r="H855" s="17"/>
      <c r="I855" s="9"/>
      <c r="J855" s="9"/>
      <c r="K855" s="10">
        <f t="shared" si="31"/>
        <v>0</v>
      </c>
      <c r="L855" s="10"/>
      <c r="M855" s="11"/>
      <c r="N855" s="12"/>
      <c r="O855" s="13"/>
      <c r="P855" s="14"/>
      <c r="Q855" s="1"/>
    </row>
    <row r="856" spans="2:17" x14ac:dyDescent="0.25">
      <c r="B856" s="7"/>
      <c r="C856" s="8"/>
      <c r="D856" s="8"/>
      <c r="E856" s="9"/>
      <c r="F856" s="9"/>
      <c r="G856" s="17"/>
      <c r="H856" s="17"/>
      <c r="I856" s="9"/>
      <c r="J856" s="9"/>
      <c r="K856" s="10">
        <f t="shared" si="31"/>
        <v>0</v>
      </c>
      <c r="L856" s="10"/>
      <c r="M856" s="11"/>
      <c r="N856" s="12"/>
      <c r="O856" s="13"/>
      <c r="P856" s="14"/>
      <c r="Q856" s="2">
        <v>528</v>
      </c>
    </row>
    <row r="857" spans="2:17" x14ac:dyDescent="0.25">
      <c r="B857" s="7"/>
      <c r="C857" s="8"/>
      <c r="D857" s="8"/>
      <c r="E857" s="9"/>
      <c r="F857" s="9"/>
      <c r="G857" s="17"/>
      <c r="H857" s="17"/>
      <c r="I857" s="9"/>
      <c r="J857" s="9"/>
      <c r="K857" s="10">
        <f t="shared" si="31"/>
        <v>0</v>
      </c>
      <c r="L857" s="10"/>
      <c r="M857" s="11"/>
      <c r="N857" s="12"/>
      <c r="O857" s="13"/>
      <c r="P857" s="14"/>
      <c r="Q857" s="1"/>
    </row>
    <row r="858" spans="2:17" x14ac:dyDescent="0.25">
      <c r="B858" s="7"/>
      <c r="C858" s="8"/>
      <c r="D858" s="8"/>
      <c r="E858" s="9"/>
      <c r="F858" s="9"/>
      <c r="G858" s="17"/>
      <c r="H858" s="17"/>
      <c r="I858" s="9"/>
      <c r="J858" s="9"/>
      <c r="K858" s="10">
        <f t="shared" si="31"/>
        <v>0</v>
      </c>
      <c r="L858" s="10"/>
      <c r="M858" s="11"/>
      <c r="N858" s="12"/>
      <c r="O858" s="13"/>
      <c r="P858" s="14"/>
      <c r="Q858" s="1"/>
    </row>
    <row r="859" spans="2:17" x14ac:dyDescent="0.25">
      <c r="B859" s="7"/>
      <c r="C859" s="8"/>
      <c r="D859" s="8"/>
      <c r="E859" s="9"/>
      <c r="F859" s="9"/>
      <c r="G859" s="17"/>
      <c r="H859" s="17"/>
      <c r="I859" s="9"/>
      <c r="J859" s="9"/>
      <c r="K859" s="10">
        <f t="shared" si="31"/>
        <v>0</v>
      </c>
      <c r="L859" s="10"/>
      <c r="M859" s="11"/>
      <c r="N859" s="12"/>
      <c r="O859" s="13"/>
      <c r="P859" s="14"/>
      <c r="Q859" s="1"/>
    </row>
    <row r="860" spans="2:17" x14ac:dyDescent="0.25">
      <c r="B860" s="7"/>
      <c r="C860" s="8"/>
      <c r="D860" s="8"/>
      <c r="E860" s="9"/>
      <c r="F860" s="9"/>
      <c r="G860" s="17"/>
      <c r="H860" s="17"/>
      <c r="I860" s="9"/>
      <c r="J860" s="9"/>
      <c r="K860" s="10">
        <f t="shared" si="31"/>
        <v>0</v>
      </c>
      <c r="L860" s="10"/>
      <c r="M860" s="11"/>
      <c r="N860" s="12"/>
      <c r="O860" s="13"/>
      <c r="P860" s="14"/>
      <c r="Q860" s="1"/>
    </row>
    <row r="861" spans="2:17" x14ac:dyDescent="0.25">
      <c r="B861" s="7"/>
      <c r="C861" s="8"/>
      <c r="D861" s="8"/>
      <c r="E861" s="9"/>
      <c r="F861" s="9"/>
      <c r="G861" s="17"/>
      <c r="H861" s="17"/>
      <c r="I861" s="9"/>
      <c r="J861" s="9"/>
      <c r="K861" s="10">
        <f t="shared" si="31"/>
        <v>0</v>
      </c>
      <c r="L861" s="10"/>
      <c r="M861" s="11"/>
      <c r="N861" s="12"/>
      <c r="O861" s="13"/>
      <c r="P861" s="14"/>
      <c r="Q861" s="1"/>
    </row>
    <row r="862" spans="2:17" x14ac:dyDescent="0.25">
      <c r="B862" s="7"/>
      <c r="C862" s="8"/>
      <c r="D862" s="8"/>
      <c r="E862" s="9"/>
      <c r="F862" s="9"/>
      <c r="G862" s="17"/>
      <c r="H862" s="17"/>
      <c r="I862" s="9"/>
      <c r="J862" s="9"/>
      <c r="K862" s="10">
        <f t="shared" si="31"/>
        <v>0</v>
      </c>
      <c r="L862" s="10"/>
      <c r="M862" s="11"/>
      <c r="N862" s="12"/>
      <c r="O862" s="13"/>
      <c r="P862" s="14"/>
      <c r="Q862" s="1"/>
    </row>
    <row r="863" spans="2:17" x14ac:dyDescent="0.25">
      <c r="B863" s="7"/>
      <c r="C863" s="8"/>
      <c r="D863" s="8"/>
      <c r="E863" s="9"/>
      <c r="F863" s="9"/>
      <c r="G863" s="17"/>
      <c r="H863" s="17"/>
      <c r="I863" s="9"/>
      <c r="J863" s="9"/>
      <c r="K863" s="10">
        <f t="shared" si="31"/>
        <v>0</v>
      </c>
      <c r="L863" s="10"/>
      <c r="M863" s="11"/>
      <c r="N863" s="12"/>
      <c r="O863" s="13"/>
      <c r="P863" s="14"/>
      <c r="Q863" s="1"/>
    </row>
    <row r="864" spans="2:17" x14ac:dyDescent="0.25">
      <c r="B864" s="7"/>
      <c r="C864" s="8"/>
      <c r="D864" s="8"/>
      <c r="E864" s="9"/>
      <c r="F864" s="9"/>
      <c r="G864" s="17"/>
      <c r="H864" s="17"/>
      <c r="I864" s="9"/>
      <c r="J864" s="9"/>
      <c r="K864" s="10">
        <f t="shared" si="31"/>
        <v>0</v>
      </c>
      <c r="L864" s="10"/>
      <c r="M864" s="11"/>
      <c r="N864" s="12"/>
      <c r="O864" s="13"/>
      <c r="P864" s="14"/>
      <c r="Q864" s="1"/>
    </row>
    <row r="865" spans="1:17" x14ac:dyDescent="0.25">
      <c r="B865" s="7"/>
      <c r="C865" s="8"/>
      <c r="D865" s="8"/>
      <c r="E865" s="9"/>
      <c r="F865" s="9"/>
      <c r="G865" s="17"/>
      <c r="H865" s="17"/>
      <c r="I865" s="9"/>
      <c r="J865" s="9"/>
      <c r="K865" s="10">
        <f t="shared" si="31"/>
        <v>0</v>
      </c>
      <c r="L865" s="10"/>
      <c r="M865" s="11"/>
      <c r="N865" s="12"/>
      <c r="O865" s="13"/>
      <c r="P865" s="14"/>
      <c r="Q865" s="1"/>
    </row>
    <row r="866" spans="1:17" x14ac:dyDescent="0.25">
      <c r="B866" s="7"/>
      <c r="C866" s="8"/>
      <c r="D866" s="8"/>
      <c r="E866" s="9"/>
      <c r="F866" s="9"/>
      <c r="G866" s="17"/>
      <c r="H866" s="17"/>
      <c r="I866" s="9"/>
      <c r="J866" s="9"/>
      <c r="K866" s="10">
        <f t="shared" si="31"/>
        <v>0</v>
      </c>
      <c r="L866" s="10"/>
      <c r="M866" s="11"/>
      <c r="N866" s="12"/>
      <c r="O866" s="13"/>
      <c r="P866" s="14"/>
      <c r="Q866" s="1"/>
    </row>
    <row r="867" spans="1:17" x14ac:dyDescent="0.25">
      <c r="B867" s="7"/>
      <c r="C867" s="8"/>
      <c r="D867" s="8"/>
      <c r="E867" s="9"/>
      <c r="F867" s="9"/>
      <c r="G867" s="17"/>
      <c r="H867" s="17"/>
      <c r="I867" s="9"/>
      <c r="J867" s="9"/>
      <c r="K867" s="10">
        <f t="shared" si="31"/>
        <v>0</v>
      </c>
      <c r="L867" s="10"/>
      <c r="M867" s="11"/>
      <c r="N867" s="12"/>
      <c r="O867" s="13"/>
      <c r="P867" s="14"/>
      <c r="Q867" s="1"/>
    </row>
    <row r="868" spans="1:17" x14ac:dyDescent="0.25">
      <c r="B868" s="7"/>
      <c r="C868" s="8"/>
      <c r="D868" s="8"/>
      <c r="E868" s="9"/>
      <c r="F868" s="9"/>
      <c r="G868" s="17"/>
      <c r="H868" s="17"/>
      <c r="I868" s="9"/>
      <c r="J868" s="9"/>
      <c r="K868" s="10">
        <f t="shared" si="31"/>
        <v>0</v>
      </c>
      <c r="L868" s="10"/>
      <c r="M868" s="11"/>
      <c r="N868" s="12"/>
      <c r="O868" s="13"/>
      <c r="P868" s="14"/>
      <c r="Q868" s="1"/>
    </row>
    <row r="869" spans="1:17" x14ac:dyDescent="0.25">
      <c r="A869" s="1"/>
      <c r="B869" s="7"/>
      <c r="C869" s="8"/>
      <c r="D869" s="8"/>
      <c r="E869" s="9"/>
      <c r="F869" s="9"/>
      <c r="G869" s="17"/>
      <c r="H869" s="17"/>
      <c r="I869" s="9"/>
      <c r="J869" s="9"/>
      <c r="K869" s="10">
        <f t="shared" si="31"/>
        <v>0</v>
      </c>
      <c r="L869" s="10"/>
      <c r="M869" s="11"/>
      <c r="N869" s="12"/>
      <c r="O869" s="13"/>
      <c r="P869" s="14"/>
      <c r="Q869" s="1"/>
    </row>
    <row r="870" spans="1:17" x14ac:dyDescent="0.25">
      <c r="A870" s="1"/>
      <c r="B870" s="7"/>
      <c r="C870" s="8"/>
      <c r="D870" s="8"/>
      <c r="E870" s="9"/>
      <c r="F870" s="9"/>
      <c r="G870" s="17"/>
      <c r="H870" s="17"/>
      <c r="I870" s="9"/>
      <c r="J870" s="9"/>
      <c r="K870" s="10">
        <f t="shared" si="31"/>
        <v>0</v>
      </c>
      <c r="L870" s="10"/>
      <c r="M870" s="11"/>
      <c r="N870" s="12"/>
      <c r="O870" s="13"/>
      <c r="P870" s="14"/>
      <c r="Q870" s="1"/>
    </row>
    <row r="871" spans="1:17" x14ac:dyDescent="0.25">
      <c r="A871" s="1"/>
      <c r="B871" s="7"/>
      <c r="C871" s="8"/>
      <c r="D871" s="8"/>
      <c r="E871" s="9"/>
      <c r="F871" s="9"/>
      <c r="G871" s="17"/>
      <c r="H871" s="17"/>
      <c r="I871" s="9"/>
      <c r="J871" s="9"/>
      <c r="K871" s="10">
        <f t="shared" si="31"/>
        <v>0</v>
      </c>
      <c r="L871" s="10"/>
      <c r="M871" s="11"/>
      <c r="N871" s="12"/>
      <c r="O871" s="13"/>
      <c r="P871" s="14"/>
      <c r="Q871" s="1"/>
    </row>
    <row r="872" spans="1:17" x14ac:dyDescent="0.25">
      <c r="A872" s="1"/>
      <c r="B872" s="7"/>
      <c r="C872" s="8"/>
      <c r="D872" s="8"/>
      <c r="E872" s="9"/>
      <c r="F872" s="9"/>
      <c r="G872" s="17"/>
      <c r="H872" s="17"/>
      <c r="I872" s="9"/>
      <c r="J872" s="9"/>
      <c r="K872" s="10">
        <f t="shared" si="31"/>
        <v>0</v>
      </c>
      <c r="L872" s="10"/>
      <c r="M872" s="11"/>
      <c r="N872" s="12"/>
      <c r="O872" s="13"/>
      <c r="P872" s="14"/>
      <c r="Q872" s="1"/>
    </row>
    <row r="873" spans="1:17" x14ac:dyDescent="0.25">
      <c r="A873" s="1"/>
      <c r="B873" s="7"/>
      <c r="C873" s="8"/>
      <c r="D873" s="8"/>
      <c r="E873" s="9"/>
      <c r="F873" s="9"/>
      <c r="G873" s="17"/>
      <c r="H873" s="17"/>
      <c r="I873" s="9"/>
      <c r="J873" s="9"/>
      <c r="K873" s="10">
        <f t="shared" si="31"/>
        <v>0</v>
      </c>
      <c r="L873" s="10"/>
      <c r="M873" s="11"/>
      <c r="N873" s="12"/>
      <c r="O873" s="13"/>
      <c r="P873" s="14"/>
      <c r="Q873" s="1"/>
    </row>
    <row r="874" spans="1:17" x14ac:dyDescent="0.25">
      <c r="A874" s="1"/>
      <c r="B874" s="7"/>
      <c r="C874" s="8"/>
      <c r="D874" s="8"/>
      <c r="E874" s="9"/>
      <c r="F874" s="9"/>
      <c r="G874" s="17"/>
      <c r="H874" s="17"/>
      <c r="I874" s="9"/>
      <c r="J874" s="9"/>
      <c r="K874" s="10">
        <f t="shared" si="31"/>
        <v>0</v>
      </c>
      <c r="L874" s="10"/>
      <c r="M874" s="11"/>
      <c r="N874" s="12"/>
      <c r="O874" s="13"/>
      <c r="P874" s="14"/>
      <c r="Q874" s="1"/>
    </row>
    <row r="875" spans="1:17" x14ac:dyDescent="0.25">
      <c r="A875" s="1"/>
      <c r="B875" s="7"/>
      <c r="C875" s="8"/>
      <c r="D875" s="8"/>
      <c r="E875" s="9"/>
      <c r="F875" s="9"/>
      <c r="G875" s="17"/>
      <c r="H875" s="17"/>
      <c r="I875" s="9"/>
      <c r="J875" s="9"/>
      <c r="K875" s="10">
        <f t="shared" si="31"/>
        <v>0</v>
      </c>
      <c r="L875" s="10"/>
      <c r="M875" s="11"/>
      <c r="N875" s="12"/>
      <c r="O875" s="13"/>
      <c r="P875" s="14"/>
      <c r="Q875" s="1"/>
    </row>
    <row r="876" spans="1:17" x14ac:dyDescent="0.25">
      <c r="A876" s="1"/>
      <c r="B876" s="7"/>
      <c r="C876" s="8"/>
      <c r="D876" s="8"/>
      <c r="E876" s="9"/>
      <c r="F876" s="9"/>
      <c r="G876" s="17"/>
      <c r="H876" s="17"/>
      <c r="I876" s="9"/>
      <c r="J876" s="9"/>
      <c r="K876" s="10">
        <f t="shared" si="31"/>
        <v>0</v>
      </c>
      <c r="L876" s="10"/>
      <c r="M876" s="11"/>
      <c r="N876" s="12"/>
      <c r="O876" s="13"/>
      <c r="P876" s="14"/>
      <c r="Q876" s="1"/>
    </row>
    <row r="877" spans="1:17" x14ac:dyDescent="0.25">
      <c r="A877" s="1"/>
      <c r="B877" s="7"/>
      <c r="C877" s="8"/>
      <c r="D877" s="8"/>
      <c r="E877" s="9"/>
      <c r="F877" s="9"/>
      <c r="G877" s="17"/>
      <c r="H877" s="17"/>
      <c r="I877" s="9"/>
      <c r="J877" s="9"/>
      <c r="K877" s="10">
        <f t="shared" si="31"/>
        <v>0</v>
      </c>
      <c r="L877" s="10"/>
      <c r="M877" s="11"/>
      <c r="N877" s="12"/>
      <c r="O877" s="13"/>
      <c r="P877" s="14"/>
      <c r="Q877" s="1"/>
    </row>
    <row r="878" spans="1:17" x14ac:dyDescent="0.25">
      <c r="A878" s="1"/>
      <c r="B878" s="7"/>
      <c r="C878" s="8"/>
      <c r="D878" s="8"/>
      <c r="E878" s="9"/>
      <c r="F878" s="9"/>
      <c r="G878" s="17"/>
      <c r="H878" s="17"/>
      <c r="I878" s="9"/>
      <c r="J878" s="9"/>
      <c r="K878" s="10">
        <f t="shared" si="31"/>
        <v>0</v>
      </c>
      <c r="L878" s="10"/>
      <c r="M878" s="11"/>
      <c r="N878" s="12"/>
      <c r="O878" s="13"/>
      <c r="P878" s="14"/>
      <c r="Q878" s="1"/>
    </row>
    <row r="879" spans="1:17" x14ac:dyDescent="0.25">
      <c r="A879" s="1"/>
      <c r="B879" s="7"/>
      <c r="C879" s="8"/>
      <c r="D879" s="8"/>
      <c r="E879" s="9"/>
      <c r="F879" s="9"/>
      <c r="G879" s="17"/>
      <c r="H879" s="17"/>
      <c r="I879" s="9"/>
      <c r="J879" s="9"/>
      <c r="K879" s="10">
        <f t="shared" si="31"/>
        <v>0</v>
      </c>
      <c r="L879" s="10"/>
      <c r="M879" s="11"/>
      <c r="N879" s="12"/>
      <c r="O879" s="13"/>
      <c r="P879" s="14"/>
      <c r="Q879" s="1"/>
    </row>
    <row r="880" spans="1:17" x14ac:dyDescent="0.25">
      <c r="A880" s="1"/>
      <c r="B880" s="7"/>
      <c r="C880" s="8"/>
      <c r="D880" s="8"/>
      <c r="E880" s="9"/>
      <c r="F880" s="9"/>
      <c r="G880" s="17"/>
      <c r="H880" s="17"/>
      <c r="I880" s="9"/>
      <c r="J880" s="9"/>
      <c r="K880" s="10">
        <f t="shared" si="31"/>
        <v>0</v>
      </c>
      <c r="L880" s="10"/>
      <c r="M880" s="11"/>
      <c r="N880" s="12"/>
      <c r="O880" s="13"/>
      <c r="P880" s="14"/>
      <c r="Q880" s="1"/>
    </row>
    <row r="881" spans="1:21" x14ac:dyDescent="0.25">
      <c r="A881" s="26"/>
      <c r="B881" s="7"/>
      <c r="C881" s="8"/>
      <c r="D881" s="8"/>
      <c r="E881" s="9"/>
      <c r="F881" s="9"/>
      <c r="G881" s="17"/>
      <c r="H881" s="17"/>
      <c r="I881" s="9"/>
      <c r="J881" s="9"/>
      <c r="K881" s="10">
        <f t="shared" si="31"/>
        <v>0</v>
      </c>
      <c r="L881" s="10"/>
      <c r="M881" s="11"/>
      <c r="N881" s="12"/>
      <c r="O881" s="13"/>
      <c r="P881" s="14"/>
      <c r="Q881" s="26"/>
    </row>
    <row r="882" spans="1:21" x14ac:dyDescent="0.25">
      <c r="A882" s="1"/>
      <c r="B882" s="7"/>
      <c r="C882" s="8"/>
      <c r="D882" s="8"/>
      <c r="E882" s="9"/>
      <c r="F882" s="9"/>
      <c r="G882" s="17"/>
      <c r="H882" s="17"/>
      <c r="I882" s="9"/>
      <c r="J882" s="9"/>
      <c r="K882" s="10">
        <f t="shared" si="31"/>
        <v>0</v>
      </c>
      <c r="L882" s="10"/>
      <c r="M882" s="11"/>
      <c r="N882" s="12"/>
      <c r="O882" s="13"/>
      <c r="P882" s="14"/>
      <c r="Q882" s="1"/>
    </row>
    <row r="883" spans="1:21" x14ac:dyDescent="0.25">
      <c r="A883" s="1"/>
      <c r="B883" s="7"/>
      <c r="C883" s="8"/>
      <c r="D883" s="8"/>
      <c r="E883" s="9"/>
      <c r="F883" s="9"/>
      <c r="G883" s="17"/>
      <c r="H883" s="17"/>
      <c r="I883" s="9"/>
      <c r="J883" s="9"/>
      <c r="K883" s="10">
        <f t="shared" si="31"/>
        <v>0</v>
      </c>
      <c r="L883" s="10"/>
      <c r="M883" s="11"/>
      <c r="N883" s="12"/>
      <c r="O883" s="13"/>
      <c r="P883" s="14"/>
      <c r="Q883" s="1"/>
    </row>
    <row r="884" spans="1:21" x14ac:dyDescent="0.25">
      <c r="A884" s="1"/>
      <c r="B884" s="7"/>
      <c r="C884" s="8"/>
      <c r="D884" s="8"/>
      <c r="E884" s="9"/>
      <c r="F884" s="9"/>
      <c r="G884" s="17"/>
      <c r="H884" s="17"/>
      <c r="I884" s="9"/>
      <c r="J884" s="9"/>
      <c r="K884" s="10">
        <f t="shared" si="31"/>
        <v>0</v>
      </c>
      <c r="L884" s="10"/>
      <c r="M884" s="11"/>
      <c r="N884" s="12"/>
      <c r="O884" s="13"/>
      <c r="P884" s="14"/>
      <c r="Q884" s="1"/>
    </row>
    <row r="885" spans="1:21" x14ac:dyDescent="0.25">
      <c r="B885" s="7"/>
      <c r="C885" s="8"/>
      <c r="D885" s="8"/>
      <c r="E885" s="9"/>
      <c r="F885" s="9"/>
      <c r="G885" s="17"/>
      <c r="H885" s="17"/>
      <c r="I885" s="9"/>
      <c r="J885" s="9"/>
      <c r="K885" s="10">
        <f t="shared" si="31"/>
        <v>0</v>
      </c>
      <c r="L885" s="10"/>
      <c r="M885" s="11"/>
      <c r="N885" s="12"/>
      <c r="O885" s="13"/>
      <c r="P885" s="14"/>
      <c r="Q885" s="1"/>
      <c r="R885" s="1"/>
      <c r="S885" s="1"/>
      <c r="T885" s="1"/>
      <c r="U885" s="1"/>
    </row>
    <row r="886" spans="1:21" x14ac:dyDescent="0.25">
      <c r="B886" s="7"/>
      <c r="C886" s="8"/>
      <c r="D886" s="8"/>
      <c r="E886" s="9"/>
      <c r="F886" s="9"/>
      <c r="G886" s="17"/>
      <c r="H886" s="17"/>
      <c r="I886" s="9"/>
      <c r="J886" s="9"/>
      <c r="K886" s="10">
        <f t="shared" si="31"/>
        <v>0</v>
      </c>
      <c r="L886" s="10"/>
      <c r="M886" s="11"/>
      <c r="N886" s="12"/>
      <c r="O886" s="13"/>
      <c r="P886" s="14"/>
      <c r="Q886" s="1"/>
      <c r="R886" s="1"/>
      <c r="S886" s="1"/>
      <c r="T886" s="1"/>
      <c r="U886" s="1"/>
    </row>
    <row r="887" spans="1:21" x14ac:dyDescent="0.25">
      <c r="B887" s="7"/>
      <c r="C887" s="8"/>
      <c r="D887" s="8"/>
      <c r="E887" s="9"/>
      <c r="F887" s="9"/>
      <c r="G887" s="17"/>
      <c r="H887" s="17"/>
      <c r="I887" s="9"/>
      <c r="J887" s="9"/>
      <c r="K887" s="10">
        <f t="shared" si="31"/>
        <v>0</v>
      </c>
      <c r="L887" s="10"/>
      <c r="M887" s="11"/>
      <c r="N887" s="12"/>
      <c r="O887" s="13"/>
      <c r="P887" s="14"/>
      <c r="Q887" s="1"/>
      <c r="R887" s="1"/>
      <c r="S887" s="1"/>
      <c r="T887" s="1"/>
      <c r="U887" s="1"/>
    </row>
    <row r="888" spans="1:21" x14ac:dyDescent="0.25">
      <c r="B888" s="7"/>
      <c r="C888" s="8"/>
      <c r="D888" s="8"/>
      <c r="E888" s="9"/>
      <c r="F888" s="9"/>
      <c r="G888" s="17"/>
      <c r="H888" s="17"/>
      <c r="I888" s="9"/>
      <c r="J888" s="9"/>
      <c r="K888" s="10">
        <f t="shared" si="31"/>
        <v>0</v>
      </c>
      <c r="L888" s="10"/>
      <c r="M888" s="11"/>
      <c r="N888" s="12"/>
      <c r="O888" s="13"/>
      <c r="P888" s="14"/>
      <c r="Q888" s="1"/>
      <c r="R888" s="1"/>
      <c r="S888" s="1"/>
      <c r="T888" s="1"/>
      <c r="U888" s="1"/>
    </row>
    <row r="889" spans="1:21" x14ac:dyDescent="0.25">
      <c r="B889" s="7"/>
      <c r="C889" s="8"/>
      <c r="D889" s="8"/>
      <c r="E889" s="9"/>
      <c r="F889" s="9"/>
      <c r="G889" s="17"/>
      <c r="H889" s="17"/>
      <c r="I889" s="9"/>
      <c r="J889" s="9"/>
      <c r="K889" s="10">
        <f t="shared" si="31"/>
        <v>0</v>
      </c>
      <c r="L889" s="10"/>
      <c r="M889" s="11"/>
      <c r="N889" s="12"/>
      <c r="O889" s="13"/>
      <c r="P889" s="14"/>
      <c r="Q889" s="1"/>
      <c r="R889" s="1"/>
      <c r="S889" s="1"/>
      <c r="T889" s="1"/>
      <c r="U889" s="1"/>
    </row>
    <row r="890" spans="1:21" x14ac:dyDescent="0.25">
      <c r="B890" s="7"/>
      <c r="C890" s="8"/>
      <c r="D890" s="8"/>
      <c r="E890" s="9"/>
      <c r="F890" s="9"/>
      <c r="G890" s="17"/>
      <c r="H890" s="17"/>
      <c r="I890" s="9"/>
      <c r="J890" s="9"/>
      <c r="K890" s="10">
        <f t="shared" si="31"/>
        <v>0</v>
      </c>
      <c r="L890" s="10"/>
      <c r="M890" s="11"/>
      <c r="N890" s="12"/>
      <c r="O890" s="13"/>
      <c r="P890" s="14"/>
      <c r="Q890" s="1"/>
      <c r="R890" s="1"/>
      <c r="S890" s="1"/>
      <c r="T890" s="1"/>
      <c r="U890" s="1"/>
    </row>
    <row r="891" spans="1:21" x14ac:dyDescent="0.25">
      <c r="B891" s="7"/>
      <c r="C891" s="8"/>
      <c r="D891" s="8"/>
      <c r="E891" s="9"/>
      <c r="F891" s="9"/>
      <c r="G891" s="17"/>
      <c r="H891" s="17"/>
      <c r="I891" s="9"/>
      <c r="J891" s="9"/>
      <c r="K891" s="10">
        <f t="shared" si="31"/>
        <v>0</v>
      </c>
      <c r="L891" s="10"/>
      <c r="M891" s="11"/>
      <c r="N891" s="12"/>
      <c r="O891" s="13"/>
      <c r="P891" s="14"/>
      <c r="Q891" s="1"/>
      <c r="R891" s="1"/>
      <c r="S891" s="1"/>
      <c r="T891" s="1"/>
      <c r="U891" s="1"/>
    </row>
    <row r="892" spans="1:21" x14ac:dyDescent="0.25">
      <c r="B892" s="7"/>
      <c r="C892" s="8"/>
      <c r="D892" s="8"/>
      <c r="E892" s="9"/>
      <c r="F892" s="9"/>
      <c r="G892" s="17"/>
      <c r="H892" s="17"/>
      <c r="I892" s="9"/>
      <c r="J892" s="9"/>
      <c r="K892" s="10">
        <f t="shared" si="31"/>
        <v>0</v>
      </c>
      <c r="L892" s="10"/>
      <c r="M892" s="11"/>
      <c r="N892" s="12"/>
      <c r="O892" s="13"/>
      <c r="P892" s="14"/>
      <c r="Q892" s="2">
        <v>45</v>
      </c>
      <c r="R892" s="1">
        <v>3</v>
      </c>
      <c r="S892" s="1"/>
      <c r="T892" s="1"/>
      <c r="U892" s="1"/>
    </row>
    <row r="893" spans="1:21" x14ac:dyDescent="0.25">
      <c r="B893" s="7"/>
      <c r="C893" s="8"/>
      <c r="D893" s="8"/>
      <c r="E893" s="9"/>
      <c r="F893" s="9"/>
      <c r="G893" s="17"/>
      <c r="H893" s="17"/>
      <c r="I893" s="9"/>
      <c r="J893" s="9"/>
      <c r="K893" s="10">
        <f t="shared" si="31"/>
        <v>0</v>
      </c>
      <c r="L893" s="10"/>
      <c r="M893" s="11"/>
      <c r="N893" s="12"/>
      <c r="O893" s="13"/>
      <c r="P893" s="14"/>
      <c r="Q893" s="2">
        <v>15</v>
      </c>
      <c r="R893" s="1">
        <v>5</v>
      </c>
      <c r="S893" s="1"/>
      <c r="T893" s="1"/>
      <c r="U893" s="1"/>
    </row>
    <row r="894" spans="1:21" x14ac:dyDescent="0.25">
      <c r="B894" s="7"/>
      <c r="C894" s="8"/>
      <c r="D894" s="8"/>
      <c r="E894" s="9"/>
      <c r="F894" s="9"/>
      <c r="G894" s="17"/>
      <c r="H894" s="17"/>
      <c r="I894" s="9"/>
      <c r="J894" s="9"/>
      <c r="K894" s="10">
        <f t="shared" si="31"/>
        <v>0</v>
      </c>
      <c r="L894" s="10"/>
      <c r="M894" s="11"/>
      <c r="N894" s="12"/>
      <c r="O894" s="13"/>
      <c r="P894" s="14"/>
      <c r="Q894" s="2">
        <v>0</v>
      </c>
      <c r="R894" s="1"/>
      <c r="S894" s="1"/>
      <c r="T894" s="1"/>
      <c r="U894" s="1"/>
    </row>
    <row r="895" spans="1:21" x14ac:dyDescent="0.25">
      <c r="B895" s="7"/>
      <c r="C895" s="8"/>
      <c r="D895" s="8"/>
      <c r="E895" s="9"/>
      <c r="F895" s="9"/>
      <c r="G895" s="17"/>
      <c r="H895" s="17"/>
      <c r="I895" s="9"/>
      <c r="J895" s="9"/>
      <c r="K895" s="10">
        <f t="shared" si="31"/>
        <v>0</v>
      </c>
      <c r="L895" s="10"/>
      <c r="M895" s="11"/>
      <c r="N895" s="12"/>
      <c r="O895" s="13"/>
      <c r="P895" s="14"/>
      <c r="Q895" s="1"/>
      <c r="R895" s="1"/>
      <c r="S895" s="1"/>
      <c r="T895" s="1"/>
      <c r="U895" s="1"/>
    </row>
    <row r="896" spans="1:21" x14ac:dyDescent="0.25">
      <c r="B896" s="7"/>
      <c r="C896" s="8"/>
      <c r="D896" s="8"/>
      <c r="E896" s="9"/>
      <c r="F896" s="9"/>
      <c r="G896" s="17"/>
      <c r="H896" s="17"/>
      <c r="I896" s="9"/>
      <c r="J896" s="9"/>
      <c r="K896" s="10">
        <f t="shared" si="31"/>
        <v>0</v>
      </c>
      <c r="L896" s="10"/>
      <c r="M896" s="11"/>
      <c r="N896" s="12"/>
      <c r="O896" s="13"/>
      <c r="P896" s="14"/>
      <c r="Q896" s="1"/>
      <c r="R896" s="1"/>
      <c r="S896" s="1"/>
      <c r="T896" s="1"/>
      <c r="U896" s="1"/>
    </row>
    <row r="897" spans="2:23" x14ac:dyDescent="0.25">
      <c r="B897" s="7"/>
      <c r="C897" s="8"/>
      <c r="D897" s="8"/>
      <c r="E897" s="9"/>
      <c r="F897" s="9"/>
      <c r="G897" s="17"/>
      <c r="H897" s="17"/>
      <c r="I897" s="9"/>
      <c r="J897" s="9"/>
      <c r="K897" s="10">
        <f t="shared" si="31"/>
        <v>0</v>
      </c>
      <c r="L897" s="10"/>
      <c r="M897" s="11"/>
      <c r="N897" s="12"/>
      <c r="O897" s="13"/>
      <c r="P897" s="14"/>
      <c r="Q897" s="1"/>
      <c r="R897" s="1">
        <v>8890</v>
      </c>
      <c r="S897" s="1">
        <v>19558</v>
      </c>
      <c r="T897" s="1">
        <v>18358</v>
      </c>
      <c r="U897" s="1" t="s">
        <v>26</v>
      </c>
    </row>
    <row r="898" spans="2:23" x14ac:dyDescent="0.25">
      <c r="B898" s="7"/>
      <c r="C898" s="8"/>
      <c r="D898" s="8"/>
      <c r="E898" s="9"/>
      <c r="F898" s="9"/>
      <c r="G898" s="17"/>
      <c r="H898" s="17"/>
      <c r="I898" s="9"/>
      <c r="J898" s="9"/>
      <c r="K898" s="10">
        <f t="shared" si="31"/>
        <v>0</v>
      </c>
      <c r="L898" s="10"/>
      <c r="M898" s="11"/>
      <c r="N898" s="12"/>
      <c r="O898" s="13"/>
      <c r="P898" s="14"/>
      <c r="Q898" s="1"/>
      <c r="R898" s="1"/>
      <c r="S898" s="1"/>
      <c r="T898" s="1">
        <v>1200</v>
      </c>
      <c r="U898" s="1" t="s">
        <v>27</v>
      </c>
    </row>
    <row r="899" spans="2:23" x14ac:dyDescent="0.25">
      <c r="B899" s="7"/>
      <c r="C899" s="8"/>
      <c r="D899" s="8"/>
      <c r="E899" s="9"/>
      <c r="F899" s="9"/>
      <c r="G899" s="17"/>
      <c r="H899" s="17"/>
      <c r="I899" s="9"/>
      <c r="J899" s="9"/>
      <c r="K899" s="10">
        <f t="shared" si="31"/>
        <v>0</v>
      </c>
      <c r="L899" s="10"/>
      <c r="M899" s="11"/>
      <c r="N899" s="12"/>
      <c r="O899" s="13"/>
      <c r="P899" s="14"/>
      <c r="Q899" s="1"/>
      <c r="R899" s="1"/>
      <c r="S899" s="1">
        <v>4390</v>
      </c>
      <c r="T899" s="1">
        <v>9658</v>
      </c>
      <c r="U899" s="1"/>
    </row>
    <row r="900" spans="2:23" x14ac:dyDescent="0.25">
      <c r="B900" s="7"/>
      <c r="C900" s="8"/>
      <c r="D900" s="8"/>
      <c r="E900" s="9"/>
      <c r="F900" s="9"/>
      <c r="G900" s="17"/>
      <c r="H900" s="17"/>
      <c r="I900" s="9"/>
      <c r="J900" s="9"/>
      <c r="K900" s="10">
        <f t="shared" si="31"/>
        <v>0</v>
      </c>
      <c r="L900" s="10"/>
      <c r="M900" s="11"/>
      <c r="N900" s="12"/>
      <c r="O900" s="13"/>
      <c r="P900" s="14"/>
      <c r="Q900" s="1"/>
      <c r="R900" s="1"/>
      <c r="S900" s="1"/>
      <c r="T900" s="1">
        <v>200</v>
      </c>
      <c r="U900" s="1"/>
    </row>
    <row r="901" spans="2:23" x14ac:dyDescent="0.25">
      <c r="B901" s="7"/>
      <c r="C901" s="8"/>
      <c r="D901" s="8"/>
      <c r="E901" s="9"/>
      <c r="F901" s="9"/>
      <c r="G901" s="17"/>
      <c r="H901" s="17"/>
      <c r="I901" s="9"/>
      <c r="J901" s="9"/>
      <c r="K901" s="10">
        <f t="shared" si="31"/>
        <v>0</v>
      </c>
      <c r="L901" s="10"/>
      <c r="M901" s="11"/>
      <c r="N901" s="12"/>
      <c r="O901" s="13"/>
      <c r="P901" s="14"/>
      <c r="Q901" s="1"/>
      <c r="R901" s="1"/>
      <c r="S901" s="1"/>
      <c r="T901" s="1">
        <v>-9458</v>
      </c>
      <c r="U901" s="1">
        <v>9658</v>
      </c>
      <c r="V901" s="1"/>
      <c r="W901" s="1"/>
    </row>
    <row r="902" spans="2:23" x14ac:dyDescent="0.25">
      <c r="B902" s="7"/>
      <c r="C902" s="8"/>
      <c r="D902" s="8"/>
      <c r="E902" s="9"/>
      <c r="F902" s="9"/>
      <c r="G902" s="17"/>
      <c r="H902" s="17"/>
      <c r="I902" s="9"/>
      <c r="J902" s="9"/>
      <c r="K902" s="10">
        <f t="shared" si="31"/>
        <v>0</v>
      </c>
      <c r="L902" s="10"/>
      <c r="M902" s="11"/>
      <c r="N902" s="12"/>
      <c r="O902" s="13"/>
      <c r="P902" s="14"/>
      <c r="Q902" s="1"/>
      <c r="R902" s="1"/>
      <c r="S902" s="1"/>
      <c r="T902" s="1"/>
      <c r="U902" s="1"/>
      <c r="V902" s="1"/>
      <c r="W902" s="1"/>
    </row>
    <row r="903" spans="2:23" x14ac:dyDescent="0.25">
      <c r="B903" s="7"/>
      <c r="C903" s="8"/>
      <c r="D903" s="8"/>
      <c r="E903" s="9"/>
      <c r="F903" s="9"/>
      <c r="G903" s="17"/>
      <c r="H903" s="17"/>
      <c r="I903" s="9"/>
      <c r="J903" s="9"/>
      <c r="K903" s="10">
        <f t="shared" si="31"/>
        <v>0</v>
      </c>
      <c r="L903" s="10"/>
      <c r="M903" s="11"/>
      <c r="N903" s="12"/>
      <c r="O903" s="13"/>
      <c r="P903" s="14"/>
      <c r="Q903" s="1"/>
      <c r="R903" s="1">
        <v>6080</v>
      </c>
      <c r="S903" s="1">
        <v>13376.000000000002</v>
      </c>
      <c r="T903" s="1"/>
      <c r="U903" s="1"/>
      <c r="V903" s="1"/>
      <c r="W903" s="1"/>
    </row>
    <row r="904" spans="2:23" x14ac:dyDescent="0.25">
      <c r="B904" s="7"/>
      <c r="C904" s="8"/>
      <c r="D904" s="8"/>
      <c r="E904" s="9"/>
      <c r="F904" s="9"/>
      <c r="G904" s="17"/>
      <c r="H904" s="17"/>
      <c r="I904" s="9"/>
      <c r="J904" s="9"/>
      <c r="K904" s="10">
        <f t="shared" si="31"/>
        <v>0</v>
      </c>
      <c r="L904" s="10"/>
      <c r="M904" s="11"/>
      <c r="N904" s="12"/>
      <c r="O904" s="13"/>
      <c r="P904" s="14"/>
      <c r="Q904" s="1"/>
      <c r="R904" s="1"/>
      <c r="S904" s="1">
        <v>11076.000000000002</v>
      </c>
      <c r="T904" s="1"/>
      <c r="U904" s="1"/>
      <c r="V904" s="1"/>
      <c r="W904" s="1"/>
    </row>
    <row r="905" spans="2:23" x14ac:dyDescent="0.25">
      <c r="B905" s="7"/>
      <c r="C905" s="8"/>
      <c r="D905" s="8"/>
      <c r="E905" s="9"/>
      <c r="F905" s="9"/>
      <c r="G905" s="17"/>
      <c r="H905" s="17"/>
      <c r="I905" s="9"/>
      <c r="J905" s="9"/>
      <c r="K905" s="10">
        <f t="shared" si="31"/>
        <v>0</v>
      </c>
      <c r="L905" s="10"/>
      <c r="M905" s="11"/>
      <c r="N905" s="12"/>
      <c r="O905" s="13"/>
      <c r="P905" s="14"/>
      <c r="Q905" s="1"/>
      <c r="R905" s="1"/>
      <c r="S905" s="1">
        <v>2300</v>
      </c>
      <c r="T905" s="1"/>
      <c r="U905" s="1"/>
      <c r="V905" s="1"/>
      <c r="W905" s="1"/>
    </row>
    <row r="906" spans="2:23" x14ac:dyDescent="0.25">
      <c r="B906" s="7"/>
      <c r="C906" s="8"/>
      <c r="D906" s="8"/>
      <c r="E906" s="9"/>
      <c r="F906" s="9"/>
      <c r="G906" s="17"/>
      <c r="H906" s="17"/>
      <c r="I906" s="9"/>
      <c r="J906" s="9"/>
      <c r="K906" s="10">
        <f t="shared" si="31"/>
        <v>0</v>
      </c>
      <c r="L906" s="10"/>
      <c r="M906" s="11"/>
      <c r="N906" s="12"/>
      <c r="O906" s="13"/>
      <c r="P906" s="14"/>
      <c r="Q906" s="1"/>
      <c r="R906" s="1"/>
      <c r="S906" s="1"/>
      <c r="T906" s="1"/>
      <c r="U906" s="1"/>
      <c r="V906" s="1"/>
      <c r="W906" s="1"/>
    </row>
    <row r="907" spans="2:23" x14ac:dyDescent="0.25">
      <c r="B907" s="7"/>
      <c r="C907" s="8"/>
      <c r="D907" s="8"/>
      <c r="E907" s="9"/>
      <c r="F907" s="9"/>
      <c r="G907" s="17"/>
      <c r="H907" s="17"/>
      <c r="I907" s="9"/>
      <c r="J907" s="9"/>
      <c r="K907" s="10">
        <f t="shared" ref="K907:K933" si="32">+I907-J907</f>
        <v>0</v>
      </c>
      <c r="L907" s="10"/>
      <c r="M907" s="11"/>
      <c r="N907" s="12"/>
      <c r="O907" s="13"/>
      <c r="P907" s="14"/>
      <c r="Q907" s="1"/>
      <c r="R907" s="1"/>
      <c r="S907" s="1"/>
      <c r="T907" s="1"/>
      <c r="U907" s="1"/>
      <c r="V907" s="1"/>
      <c r="W907" s="1"/>
    </row>
    <row r="908" spans="2:23" x14ac:dyDescent="0.25">
      <c r="B908" s="7"/>
      <c r="C908" s="8"/>
      <c r="D908" s="8"/>
      <c r="E908" s="9"/>
      <c r="F908" s="9"/>
      <c r="G908" s="17"/>
      <c r="H908" s="17"/>
      <c r="I908" s="9"/>
      <c r="J908" s="9"/>
      <c r="K908" s="10">
        <f t="shared" si="32"/>
        <v>0</v>
      </c>
      <c r="L908" s="10"/>
      <c r="M908" s="11"/>
      <c r="N908" s="12"/>
      <c r="O908" s="13"/>
      <c r="P908" s="14"/>
      <c r="Q908" s="1"/>
      <c r="R908" s="1">
        <v>800</v>
      </c>
      <c r="S908" s="1"/>
      <c r="T908" s="1"/>
      <c r="U908" s="1"/>
      <c r="V908" s="1"/>
      <c r="W908" s="1"/>
    </row>
    <row r="909" spans="2:23" x14ac:dyDescent="0.25">
      <c r="B909" s="7"/>
      <c r="C909" s="8"/>
      <c r="D909" s="8"/>
      <c r="E909" s="9"/>
      <c r="F909" s="9"/>
      <c r="G909" s="17"/>
      <c r="H909" s="17"/>
      <c r="I909" s="9"/>
      <c r="J909" s="9"/>
      <c r="K909" s="10">
        <f t="shared" si="32"/>
        <v>0</v>
      </c>
      <c r="L909" s="10"/>
      <c r="M909" s="11"/>
      <c r="N909" s="12"/>
      <c r="O909" s="13"/>
      <c r="P909" s="14"/>
      <c r="Q909" s="1"/>
      <c r="R909" s="1"/>
      <c r="S909" s="1"/>
      <c r="T909" s="1"/>
      <c r="U909" s="1"/>
      <c r="V909" s="1"/>
      <c r="W909" s="1"/>
    </row>
    <row r="910" spans="2:23" x14ac:dyDescent="0.25">
      <c r="B910" s="7"/>
      <c r="C910" s="8"/>
      <c r="D910" s="8"/>
      <c r="E910" s="9"/>
      <c r="F910" s="9"/>
      <c r="G910" s="17"/>
      <c r="H910" s="17"/>
      <c r="I910" s="9"/>
      <c r="J910" s="9"/>
      <c r="K910" s="10">
        <f t="shared" si="32"/>
        <v>0</v>
      </c>
      <c r="L910" s="10"/>
      <c r="M910" s="11"/>
      <c r="N910" s="12"/>
      <c r="O910" s="13"/>
      <c r="P910" s="14"/>
      <c r="Q910" s="1"/>
      <c r="R910" s="1">
        <v>2370</v>
      </c>
      <c r="S910" s="1">
        <v>5214</v>
      </c>
      <c r="T910" s="1">
        <v>4414</v>
      </c>
      <c r="U910" s="1"/>
      <c r="V910" s="1"/>
      <c r="W910" s="1"/>
    </row>
    <row r="911" spans="2:23" x14ac:dyDescent="0.25">
      <c r="B911" s="7"/>
      <c r="C911" s="8"/>
      <c r="D911" s="8"/>
      <c r="E911" s="9"/>
      <c r="F911" s="9"/>
      <c r="G911" s="17"/>
      <c r="H911" s="17"/>
      <c r="I911" s="9"/>
      <c r="J911" s="9"/>
      <c r="K911" s="10">
        <f t="shared" si="32"/>
        <v>0</v>
      </c>
      <c r="L911" s="10"/>
      <c r="M911" s="11"/>
      <c r="N911" s="12"/>
      <c r="O911" s="13"/>
      <c r="P911" s="14"/>
      <c r="Q911" s="1"/>
      <c r="R911" s="1"/>
      <c r="S911" s="1"/>
      <c r="T911" s="1"/>
      <c r="U911" s="1"/>
      <c r="V911" s="1"/>
      <c r="W911" s="1"/>
    </row>
    <row r="912" spans="2:23" x14ac:dyDescent="0.25">
      <c r="B912" s="7"/>
      <c r="C912" s="8"/>
      <c r="D912" s="8"/>
      <c r="E912" s="9"/>
      <c r="F912" s="9"/>
      <c r="G912" s="17"/>
      <c r="H912" s="17"/>
      <c r="I912" s="9"/>
      <c r="J912" s="9"/>
      <c r="K912" s="10">
        <f t="shared" si="32"/>
        <v>0</v>
      </c>
      <c r="L912" s="10"/>
      <c r="M912" s="11"/>
      <c r="N912" s="12"/>
      <c r="O912" s="13"/>
      <c r="P912" s="14"/>
      <c r="Q912" s="1"/>
      <c r="R912" s="1"/>
      <c r="S912" s="1"/>
      <c r="T912" s="1"/>
      <c r="U912" s="1"/>
      <c r="V912" s="1"/>
      <c r="W912" s="1"/>
    </row>
    <row r="913" spans="2:23" x14ac:dyDescent="0.25">
      <c r="B913" s="7"/>
      <c r="C913" s="8"/>
      <c r="D913" s="8"/>
      <c r="E913" s="9"/>
      <c r="F913" s="9"/>
      <c r="G913" s="17"/>
      <c r="H913" s="17"/>
      <c r="I913" s="9"/>
      <c r="J913" s="9"/>
      <c r="K913" s="10">
        <f t="shared" si="32"/>
        <v>0</v>
      </c>
      <c r="L913" s="10"/>
      <c r="M913" s="11"/>
      <c r="N913" s="12"/>
      <c r="O913" s="13"/>
      <c r="P913" s="14"/>
      <c r="Q913" s="1"/>
      <c r="R913" s="1">
        <v>5</v>
      </c>
      <c r="S913" s="1"/>
      <c r="T913" s="1"/>
      <c r="U913" s="1"/>
      <c r="V913" s="1"/>
      <c r="W913" s="1"/>
    </row>
    <row r="914" spans="2:23" x14ac:dyDescent="0.25">
      <c r="B914" s="7"/>
      <c r="C914" s="8"/>
      <c r="D914" s="8"/>
      <c r="E914" s="9"/>
      <c r="F914" s="9"/>
      <c r="G914" s="17"/>
      <c r="H914" s="17"/>
      <c r="I914" s="9"/>
      <c r="J914" s="9"/>
      <c r="K914" s="10">
        <f t="shared" si="32"/>
        <v>0</v>
      </c>
      <c r="L914" s="10"/>
      <c r="M914" s="11"/>
      <c r="N914" s="12"/>
      <c r="O914" s="13"/>
      <c r="P914" s="14"/>
      <c r="Q914" s="1"/>
      <c r="R914" s="1"/>
      <c r="S914" s="1"/>
      <c r="T914" s="1"/>
      <c r="U914" s="1"/>
      <c r="V914" s="1"/>
      <c r="W914" s="1"/>
    </row>
    <row r="915" spans="2:23" x14ac:dyDescent="0.25">
      <c r="B915" s="7"/>
      <c r="C915" s="8"/>
      <c r="D915" s="8"/>
      <c r="E915" s="9"/>
      <c r="F915" s="9"/>
      <c r="G915" s="17"/>
      <c r="H915" s="17"/>
      <c r="I915" s="9"/>
      <c r="J915" s="9"/>
      <c r="K915" s="10">
        <f t="shared" si="32"/>
        <v>0</v>
      </c>
      <c r="L915" s="10"/>
      <c r="M915" s="11"/>
      <c r="N915" s="12"/>
      <c r="O915" s="13"/>
      <c r="P915" s="14"/>
      <c r="Q915" s="1"/>
      <c r="R915" s="1">
        <v>12056.000000000002</v>
      </c>
      <c r="S915" s="1">
        <v>1700</v>
      </c>
      <c r="T915" s="1">
        <v>150</v>
      </c>
      <c r="U915" s="1">
        <v>706</v>
      </c>
      <c r="V915" s="1">
        <v>2556</v>
      </c>
      <c r="W915" s="1">
        <v>-9500.0000000000018</v>
      </c>
    </row>
    <row r="916" spans="2:23" x14ac:dyDescent="0.25">
      <c r="B916" s="7"/>
      <c r="C916" s="8"/>
      <c r="D916" s="8"/>
      <c r="E916" s="9"/>
      <c r="F916" s="9"/>
      <c r="G916" s="17"/>
      <c r="H916" s="17"/>
      <c r="I916" s="9"/>
      <c r="J916" s="9"/>
      <c r="K916" s="10">
        <f t="shared" si="32"/>
        <v>0</v>
      </c>
      <c r="L916" s="10"/>
      <c r="M916" s="11"/>
      <c r="N916" s="12"/>
      <c r="O916" s="13"/>
      <c r="P916" s="14"/>
      <c r="Q916" s="1"/>
      <c r="R916" s="1">
        <v>500</v>
      </c>
      <c r="S916" s="1"/>
      <c r="T916" s="1"/>
      <c r="U916" s="1"/>
      <c r="V916" s="1"/>
      <c r="W916" s="1"/>
    </row>
    <row r="917" spans="2:23" x14ac:dyDescent="0.25">
      <c r="B917" s="7"/>
      <c r="C917" s="8"/>
      <c r="D917" s="8"/>
      <c r="E917" s="9"/>
      <c r="F917" s="9"/>
      <c r="G917" s="17"/>
      <c r="H917" s="17"/>
      <c r="I917" s="9"/>
      <c r="J917" s="9"/>
      <c r="K917" s="10">
        <f t="shared" si="32"/>
        <v>0</v>
      </c>
      <c r="L917" s="10"/>
      <c r="M917" s="11"/>
      <c r="N917" s="12"/>
      <c r="O917" s="13"/>
      <c r="P917" s="14"/>
      <c r="Q917" s="1"/>
      <c r="R917" s="1"/>
      <c r="S917" s="1"/>
      <c r="T917" s="1">
        <v>3056</v>
      </c>
    </row>
    <row r="918" spans="2:23" x14ac:dyDescent="0.25">
      <c r="B918" s="7"/>
      <c r="C918" s="8"/>
      <c r="D918" s="8"/>
      <c r="E918" s="9"/>
      <c r="F918" s="9"/>
      <c r="G918" s="17"/>
      <c r="H918" s="17"/>
      <c r="I918" s="9"/>
      <c r="J918" s="9"/>
      <c r="K918" s="10">
        <f t="shared" si="32"/>
        <v>0</v>
      </c>
      <c r="L918" s="10"/>
      <c r="M918" s="11"/>
      <c r="N918" s="12"/>
      <c r="O918" s="13"/>
      <c r="P918" s="14"/>
      <c r="Q918" s="1"/>
      <c r="R918" s="1"/>
      <c r="S918" s="1"/>
      <c r="T918" s="1"/>
    </row>
    <row r="919" spans="2:23" x14ac:dyDescent="0.25">
      <c r="B919" s="7"/>
      <c r="C919" s="8"/>
      <c r="D919" s="8"/>
      <c r="E919" s="9"/>
      <c r="F919" s="9"/>
      <c r="G919" s="17"/>
      <c r="H919" s="17"/>
      <c r="I919" s="9"/>
      <c r="J919" s="9"/>
      <c r="K919" s="10">
        <f t="shared" si="32"/>
        <v>0</v>
      </c>
      <c r="L919" s="10"/>
      <c r="M919" s="11"/>
      <c r="N919" s="12"/>
      <c r="O919" s="13"/>
      <c r="P919" s="14"/>
      <c r="Q919" s="2">
        <v>9677</v>
      </c>
      <c r="R919" s="1"/>
      <c r="S919" s="1"/>
      <c r="T919" s="1"/>
    </row>
    <row r="920" spans="2:23" x14ac:dyDescent="0.25">
      <c r="B920" s="7"/>
      <c r="C920" s="8"/>
      <c r="D920" s="8"/>
      <c r="E920" s="9"/>
      <c r="F920" s="9"/>
      <c r="G920" s="17"/>
      <c r="H920" s="17"/>
      <c r="I920" s="9"/>
      <c r="J920" s="9"/>
      <c r="K920" s="10">
        <f t="shared" si="32"/>
        <v>0</v>
      </c>
      <c r="L920" s="10"/>
      <c r="M920" s="11"/>
      <c r="N920" s="12"/>
      <c r="O920" s="13"/>
      <c r="P920" s="14"/>
      <c r="Q920" s="2">
        <v>459</v>
      </c>
      <c r="R920" s="1"/>
      <c r="S920" s="1"/>
      <c r="T920" s="1"/>
    </row>
    <row r="921" spans="2:23" x14ac:dyDescent="0.25">
      <c r="B921" s="7"/>
      <c r="C921" s="8"/>
      <c r="D921" s="8"/>
      <c r="E921" s="9"/>
      <c r="F921" s="9"/>
      <c r="G921" s="17"/>
      <c r="H921" s="17"/>
      <c r="I921" s="9"/>
      <c r="J921" s="9"/>
      <c r="K921" s="10">
        <f t="shared" si="32"/>
        <v>0</v>
      </c>
      <c r="L921" s="10"/>
      <c r="M921" s="11"/>
      <c r="N921" s="12"/>
      <c r="O921" s="13"/>
      <c r="P921" s="14"/>
      <c r="Q921" s="1"/>
      <c r="R921" s="1"/>
      <c r="S921" s="1"/>
      <c r="T921" s="1"/>
    </row>
    <row r="922" spans="2:23" x14ac:dyDescent="0.25">
      <c r="B922" s="7"/>
      <c r="C922" s="8"/>
      <c r="D922" s="8"/>
      <c r="E922" s="9"/>
      <c r="F922" s="9"/>
      <c r="G922" s="17"/>
      <c r="H922" s="17"/>
      <c r="I922" s="9"/>
      <c r="J922" s="9"/>
      <c r="K922" s="10">
        <f t="shared" si="32"/>
        <v>0</v>
      </c>
      <c r="L922" s="10"/>
      <c r="M922" s="11"/>
      <c r="N922" s="12"/>
      <c r="O922" s="13"/>
      <c r="P922" s="14"/>
      <c r="Q922" s="1"/>
      <c r="R922" s="1"/>
      <c r="S922" s="1"/>
      <c r="T922" s="1"/>
    </row>
    <row r="923" spans="2:23" x14ac:dyDescent="0.25">
      <c r="B923" s="7"/>
      <c r="C923" s="8"/>
      <c r="D923" s="8"/>
      <c r="E923" s="9"/>
      <c r="F923" s="9"/>
      <c r="G923" s="17"/>
      <c r="H923" s="17"/>
      <c r="I923" s="9"/>
      <c r="J923" s="9"/>
      <c r="K923" s="10">
        <f t="shared" si="32"/>
        <v>0</v>
      </c>
      <c r="L923" s="10"/>
      <c r="M923" s="11"/>
      <c r="N923" s="12"/>
      <c r="O923" s="13"/>
      <c r="P923" s="14"/>
      <c r="Q923" s="1"/>
      <c r="R923" s="1"/>
      <c r="S923" s="1"/>
      <c r="T923" s="1"/>
    </row>
    <row r="924" spans="2:23" x14ac:dyDescent="0.25">
      <c r="B924" s="7"/>
      <c r="C924" s="8"/>
      <c r="D924" s="8"/>
      <c r="E924" s="9"/>
      <c r="F924" s="9"/>
      <c r="G924" s="17"/>
      <c r="H924" s="17"/>
      <c r="I924" s="9"/>
      <c r="J924" s="9"/>
      <c r="K924" s="10">
        <f t="shared" si="32"/>
        <v>0</v>
      </c>
      <c r="L924" s="10"/>
      <c r="M924" s="11"/>
      <c r="N924" s="12"/>
      <c r="O924" s="13"/>
      <c r="P924" s="14"/>
      <c r="Q924" s="1"/>
      <c r="R924" s="1"/>
      <c r="S924" s="1"/>
      <c r="T924" s="1"/>
    </row>
    <row r="925" spans="2:23" x14ac:dyDescent="0.25">
      <c r="B925" s="7"/>
      <c r="C925" s="8"/>
      <c r="D925" s="8"/>
      <c r="E925" s="9"/>
      <c r="F925" s="9"/>
      <c r="G925" s="17"/>
      <c r="H925" s="17"/>
      <c r="I925" s="9"/>
      <c r="J925" s="9"/>
      <c r="K925" s="10">
        <f t="shared" si="32"/>
        <v>0</v>
      </c>
      <c r="L925" s="10"/>
      <c r="M925" s="11"/>
      <c r="N925" s="12"/>
      <c r="O925" s="13"/>
      <c r="P925" s="14"/>
      <c r="Q925" s="1"/>
      <c r="R925" s="1"/>
      <c r="S925" s="1"/>
      <c r="T925" s="1"/>
    </row>
    <row r="926" spans="2:23" x14ac:dyDescent="0.25">
      <c r="B926" s="7"/>
      <c r="C926" s="8"/>
      <c r="D926" s="8"/>
      <c r="E926" s="9"/>
      <c r="F926" s="9"/>
      <c r="G926" s="17"/>
      <c r="H926" s="17"/>
      <c r="I926" s="9"/>
      <c r="J926" s="9"/>
      <c r="K926" s="10">
        <f t="shared" si="32"/>
        <v>0</v>
      </c>
      <c r="L926" s="10"/>
      <c r="M926" s="11"/>
      <c r="N926" s="12"/>
      <c r="O926" s="13"/>
      <c r="P926" s="14"/>
      <c r="Q926" s="1"/>
      <c r="R926" s="1"/>
      <c r="S926" s="1"/>
      <c r="T926" s="1"/>
    </row>
    <row r="927" spans="2:23" x14ac:dyDescent="0.25">
      <c r="B927" s="7"/>
      <c r="C927" s="8"/>
      <c r="D927" s="8"/>
      <c r="E927" s="9"/>
      <c r="F927" s="9"/>
      <c r="G927" s="17"/>
      <c r="H927" s="17"/>
      <c r="I927" s="9"/>
      <c r="J927" s="9"/>
      <c r="K927" s="10">
        <f t="shared" si="32"/>
        <v>0</v>
      </c>
      <c r="L927" s="10"/>
      <c r="M927" s="11"/>
      <c r="N927" s="12"/>
      <c r="O927" s="13"/>
      <c r="P927" s="14"/>
      <c r="Q927" s="1"/>
      <c r="R927" s="1"/>
      <c r="S927" s="1"/>
      <c r="T927" s="1"/>
    </row>
    <row r="928" spans="2:23" x14ac:dyDescent="0.25">
      <c r="B928" s="7"/>
      <c r="C928" s="8"/>
      <c r="D928" s="8"/>
      <c r="E928" s="9"/>
      <c r="F928" s="9"/>
      <c r="G928" s="17"/>
      <c r="H928" s="17"/>
      <c r="I928" s="9"/>
      <c r="J928" s="9"/>
      <c r="K928" s="10">
        <f t="shared" si="32"/>
        <v>0</v>
      </c>
      <c r="L928" s="10"/>
      <c r="M928" s="11"/>
      <c r="N928" s="12"/>
      <c r="O928" s="13"/>
      <c r="P928" s="14"/>
      <c r="Q928" s="1"/>
      <c r="R928" s="1"/>
      <c r="S928" s="1"/>
      <c r="T928" s="1"/>
    </row>
    <row r="929" spans="2:20" x14ac:dyDescent="0.25">
      <c r="B929" s="7"/>
      <c r="C929" s="8"/>
      <c r="D929" s="8"/>
      <c r="E929" s="9"/>
      <c r="F929" s="9"/>
      <c r="G929" s="17"/>
      <c r="H929" s="17"/>
      <c r="I929" s="9"/>
      <c r="J929" s="9"/>
      <c r="K929" s="10">
        <f t="shared" si="32"/>
        <v>0</v>
      </c>
      <c r="L929" s="10"/>
      <c r="M929" s="11"/>
      <c r="N929" s="12"/>
      <c r="O929" s="13"/>
      <c r="P929" s="14"/>
      <c r="Q929" s="1"/>
      <c r="R929" s="1"/>
      <c r="S929" s="1"/>
      <c r="T929" s="1"/>
    </row>
    <row r="930" spans="2:20" x14ac:dyDescent="0.25">
      <c r="B930" s="7"/>
      <c r="C930" s="8"/>
      <c r="D930" s="8"/>
      <c r="E930" s="9"/>
      <c r="F930" s="9"/>
      <c r="G930" s="17"/>
      <c r="H930" s="17"/>
      <c r="I930" s="9"/>
      <c r="J930" s="9"/>
      <c r="K930" s="10">
        <f t="shared" si="32"/>
        <v>0</v>
      </c>
      <c r="L930" s="10"/>
      <c r="M930" s="11"/>
      <c r="N930" s="12"/>
      <c r="O930" s="13"/>
      <c r="P930" s="14"/>
      <c r="Q930" s="1"/>
      <c r="R930" s="1"/>
      <c r="S930" s="1"/>
      <c r="T930" s="1"/>
    </row>
    <row r="931" spans="2:20" x14ac:dyDescent="0.25">
      <c r="B931" s="7"/>
      <c r="C931" s="8"/>
      <c r="D931" s="8"/>
      <c r="E931" s="9"/>
      <c r="F931" s="9"/>
      <c r="G931" s="17"/>
      <c r="H931" s="17"/>
      <c r="I931" s="9"/>
      <c r="J931" s="9"/>
      <c r="K931" s="10">
        <f t="shared" si="32"/>
        <v>0</v>
      </c>
      <c r="L931" s="10"/>
      <c r="M931" s="11"/>
      <c r="N931" s="12"/>
      <c r="O931" s="13"/>
      <c r="P931" s="14"/>
      <c r="Q931" s="1"/>
      <c r="R931" s="1"/>
      <c r="S931" s="1"/>
      <c r="T931" s="1"/>
    </row>
    <row r="932" spans="2:20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0">
        <f t="shared" si="32"/>
        <v>0</v>
      </c>
      <c r="L932" s="1"/>
      <c r="M932" s="1"/>
      <c r="N932" s="1"/>
      <c r="O932" s="1"/>
      <c r="P932" s="14"/>
      <c r="Q932" s="1"/>
      <c r="R932" s="1"/>
      <c r="S932" s="1"/>
      <c r="T932" s="1"/>
    </row>
    <row r="933" spans="2:20" x14ac:dyDescent="0.25">
      <c r="K933" s="10">
        <f t="shared" si="32"/>
        <v>0</v>
      </c>
    </row>
  </sheetData>
  <autoFilter ref="C1:C933"/>
  <mergeCells count="15">
    <mergeCell ref="A1:P1"/>
    <mergeCell ref="A2:P2"/>
    <mergeCell ref="A3:P3"/>
    <mergeCell ref="A4:A5"/>
    <mergeCell ref="B4:B5"/>
    <mergeCell ref="C4:C5"/>
    <mergeCell ref="D4:D5"/>
    <mergeCell ref="E4:E5"/>
    <mergeCell ref="F4:H4"/>
    <mergeCell ref="I4:J4"/>
    <mergeCell ref="K4:K5"/>
    <mergeCell ref="L4:L5"/>
    <mergeCell ref="M4:M5"/>
    <mergeCell ref="N4:N5"/>
    <mergeCell ref="P4:P5"/>
  </mergeCells>
  <pageMargins left="0.7" right="0.7" top="0.75" bottom="0.75" header="0.3" footer="0.3"/>
  <pageSetup paperSize="9"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A950"/>
  <sheetViews>
    <sheetView topLeftCell="B241" zoomScale="77" zoomScaleNormal="77" workbookViewId="0">
      <selection activeCell="C244" sqref="C244:F244"/>
    </sheetView>
  </sheetViews>
  <sheetFormatPr baseColWidth="10" defaultRowHeight="15" x14ac:dyDescent="0.25"/>
  <cols>
    <col min="1" max="1" width="11.42578125" style="1" hidden="1" customWidth="1"/>
    <col min="2" max="2" width="9.28515625" style="1" customWidth="1"/>
    <col min="3" max="3" width="25.5703125" style="1" customWidth="1"/>
    <col min="4" max="4" width="23.5703125" style="1" customWidth="1"/>
    <col min="5" max="5" width="11.42578125" style="1"/>
    <col min="6" max="6" width="15.28515625" style="1" customWidth="1"/>
    <col min="7" max="12" width="11.42578125" style="1"/>
    <col min="13" max="13" width="30.85546875" style="1" customWidth="1"/>
    <col min="14" max="15" width="11.42578125" style="1"/>
    <col min="16" max="16" width="28.42578125" style="1" customWidth="1"/>
    <col min="17" max="16384" width="11.42578125" style="1"/>
  </cols>
  <sheetData>
    <row r="1" spans="1:22" x14ac:dyDescent="0.25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2"/>
    </row>
    <row r="2" spans="1:22" x14ac:dyDescent="0.25">
      <c r="A2" s="103" t="s">
        <v>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5"/>
    </row>
    <row r="3" spans="1:22" x14ac:dyDescent="0.25">
      <c r="A3" s="106" t="s">
        <v>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8"/>
    </row>
    <row r="4" spans="1:22" x14ac:dyDescent="0.25">
      <c r="A4" s="109" t="s">
        <v>3</v>
      </c>
      <c r="B4" s="109" t="s">
        <v>4</v>
      </c>
      <c r="C4" s="109" t="s">
        <v>5</v>
      </c>
      <c r="D4" s="109" t="s">
        <v>6</v>
      </c>
      <c r="E4" s="109" t="s">
        <v>7</v>
      </c>
      <c r="F4" s="111" t="s">
        <v>8</v>
      </c>
      <c r="G4" s="112"/>
      <c r="H4" s="113"/>
      <c r="I4" s="111" t="s">
        <v>9</v>
      </c>
      <c r="J4" s="113"/>
      <c r="K4" s="109" t="s">
        <v>10</v>
      </c>
      <c r="L4" s="109" t="s">
        <v>11</v>
      </c>
      <c r="M4" s="109" t="s">
        <v>12</v>
      </c>
      <c r="N4" s="109" t="s">
        <v>13</v>
      </c>
      <c r="O4" s="3" t="s">
        <v>14</v>
      </c>
      <c r="P4" s="114"/>
    </row>
    <row r="5" spans="1:22" x14ac:dyDescent="0.25">
      <c r="A5" s="110"/>
      <c r="B5" s="110"/>
      <c r="C5" s="110"/>
      <c r="D5" s="110"/>
      <c r="E5" s="110"/>
      <c r="F5" s="4" t="s">
        <v>15</v>
      </c>
      <c r="G5" s="4" t="s">
        <v>16</v>
      </c>
      <c r="H5" s="4" t="s">
        <v>17</v>
      </c>
      <c r="I5" s="4" t="s">
        <v>16</v>
      </c>
      <c r="J5" s="4" t="s">
        <v>17</v>
      </c>
      <c r="K5" s="110"/>
      <c r="L5" s="110"/>
      <c r="M5" s="110"/>
      <c r="N5" s="110"/>
      <c r="O5" s="5" t="s">
        <v>18</v>
      </c>
      <c r="P5" s="115"/>
    </row>
    <row r="6" spans="1:22" x14ac:dyDescent="0.25">
      <c r="A6" s="6"/>
      <c r="B6" s="7">
        <v>44228</v>
      </c>
      <c r="C6" s="8" t="s">
        <v>98</v>
      </c>
      <c r="D6" s="8" t="s">
        <v>844</v>
      </c>
      <c r="E6" s="9" t="s">
        <v>845</v>
      </c>
      <c r="F6" s="9" t="s">
        <v>154</v>
      </c>
      <c r="G6" s="17">
        <v>0.36944444444444446</v>
      </c>
      <c r="H6" s="17">
        <v>0.52708333333333335</v>
      </c>
      <c r="I6" s="9">
        <v>15520</v>
      </c>
      <c r="J6" s="9">
        <v>47050</v>
      </c>
      <c r="K6" s="10">
        <f>+I6-J6</f>
        <v>-31530</v>
      </c>
      <c r="L6" s="10">
        <v>5732</v>
      </c>
      <c r="M6" s="11" t="s">
        <v>53</v>
      </c>
      <c r="N6" s="12">
        <v>600</v>
      </c>
      <c r="O6" s="13" t="s">
        <v>54</v>
      </c>
      <c r="P6" s="14" t="s">
        <v>851</v>
      </c>
    </row>
    <row r="7" spans="1:22" x14ac:dyDescent="0.25">
      <c r="A7" s="6"/>
      <c r="B7" s="7">
        <v>44228</v>
      </c>
      <c r="C7" s="8" t="s">
        <v>98</v>
      </c>
      <c r="D7" s="8" t="s">
        <v>846</v>
      </c>
      <c r="E7" s="9" t="s">
        <v>847</v>
      </c>
      <c r="F7" s="9" t="s">
        <v>154</v>
      </c>
      <c r="G7" s="17">
        <v>0.37152777777777773</v>
      </c>
      <c r="H7" s="17">
        <v>0.53055555555555556</v>
      </c>
      <c r="I7" s="9">
        <v>15990</v>
      </c>
      <c r="J7" s="9">
        <v>47140</v>
      </c>
      <c r="K7" s="10">
        <f>+I7-J7</f>
        <v>-31150</v>
      </c>
      <c r="L7" s="10">
        <v>5733</v>
      </c>
      <c r="M7" s="11" t="s">
        <v>53</v>
      </c>
      <c r="N7" s="12">
        <v>600</v>
      </c>
      <c r="O7" s="13" t="s">
        <v>54</v>
      </c>
      <c r="P7" s="14" t="s">
        <v>851</v>
      </c>
    </row>
    <row r="8" spans="1:22" x14ac:dyDescent="0.25">
      <c r="A8" s="6"/>
      <c r="B8" s="7">
        <v>44228</v>
      </c>
      <c r="C8" s="8" t="s">
        <v>848</v>
      </c>
      <c r="D8" s="8" t="s">
        <v>849</v>
      </c>
      <c r="E8" s="9" t="s">
        <v>250</v>
      </c>
      <c r="F8" s="9" t="s">
        <v>59</v>
      </c>
      <c r="G8" s="17">
        <v>0.40833333333333338</v>
      </c>
      <c r="H8" s="17">
        <v>0.45416666666666666</v>
      </c>
      <c r="I8" s="9">
        <v>8300</v>
      </c>
      <c r="J8" s="9">
        <v>3800</v>
      </c>
      <c r="K8" s="10">
        <f t="shared" ref="K8:K71" si="0">+I8-J8</f>
        <v>4500</v>
      </c>
      <c r="L8" s="10" t="s">
        <v>850</v>
      </c>
      <c r="M8" s="11" t="s">
        <v>31</v>
      </c>
      <c r="N8" s="12">
        <f>4000+8598</f>
        <v>12598</v>
      </c>
      <c r="O8" s="13" t="s">
        <v>49</v>
      </c>
      <c r="P8" s="14"/>
    </row>
    <row r="9" spans="1:22" x14ac:dyDescent="0.25">
      <c r="A9" s="6"/>
      <c r="B9" s="7">
        <v>44228</v>
      </c>
      <c r="C9" s="8" t="s">
        <v>603</v>
      </c>
      <c r="D9" s="8" t="s">
        <v>255</v>
      </c>
      <c r="E9" s="9" t="s">
        <v>181</v>
      </c>
      <c r="F9" s="9" t="s">
        <v>154</v>
      </c>
      <c r="G9" s="17">
        <v>0.40902777777777777</v>
      </c>
      <c r="H9" s="17">
        <v>0.4597222222222222</v>
      </c>
      <c r="I9" s="9">
        <v>9550</v>
      </c>
      <c r="J9" s="9">
        <v>4090</v>
      </c>
      <c r="K9" s="10">
        <f t="shared" si="0"/>
        <v>5460</v>
      </c>
      <c r="L9" s="10">
        <v>26412</v>
      </c>
      <c r="M9" s="11" t="s">
        <v>31</v>
      </c>
      <c r="N9" s="12">
        <v>5460</v>
      </c>
      <c r="O9" s="13" t="s">
        <v>32</v>
      </c>
      <c r="P9" s="14"/>
      <c r="Q9" s="1">
        <f>4500*2.2</f>
        <v>9900</v>
      </c>
      <c r="R9" s="1">
        <f>8598+4000</f>
        <v>12598</v>
      </c>
      <c r="S9" s="1">
        <f>+R9-Q9</f>
        <v>2698</v>
      </c>
    </row>
    <row r="10" spans="1:22" x14ac:dyDescent="0.25">
      <c r="A10" s="6"/>
      <c r="B10" s="7">
        <v>44228</v>
      </c>
      <c r="C10" s="8" t="s">
        <v>852</v>
      </c>
      <c r="D10" s="8" t="s">
        <v>853</v>
      </c>
      <c r="E10" s="9" t="s">
        <v>466</v>
      </c>
      <c r="F10" s="9" t="s">
        <v>52</v>
      </c>
      <c r="G10" s="17">
        <v>0.58750000000000002</v>
      </c>
      <c r="H10" s="17">
        <v>0.59791666666666665</v>
      </c>
      <c r="I10" s="9">
        <v>35190</v>
      </c>
      <c r="J10" s="9">
        <v>16870</v>
      </c>
      <c r="K10" s="10">
        <f t="shared" si="0"/>
        <v>18320</v>
      </c>
      <c r="L10" s="10">
        <v>34999</v>
      </c>
      <c r="M10" s="11" t="s">
        <v>854</v>
      </c>
      <c r="N10" s="12">
        <v>20</v>
      </c>
      <c r="O10" s="13" t="s">
        <v>855</v>
      </c>
      <c r="P10" s="14"/>
      <c r="Q10" s="1">
        <f>+Q9-4000</f>
        <v>5900</v>
      </c>
    </row>
    <row r="11" spans="1:22" x14ac:dyDescent="0.25">
      <c r="A11" s="6"/>
      <c r="B11" s="7">
        <v>44228</v>
      </c>
      <c r="C11" s="8" t="s">
        <v>856</v>
      </c>
      <c r="D11" s="8" t="s">
        <v>857</v>
      </c>
      <c r="E11" s="9" t="s">
        <v>858</v>
      </c>
      <c r="F11" s="9" t="s">
        <v>859</v>
      </c>
      <c r="G11" s="17">
        <v>0.67222222222222217</v>
      </c>
      <c r="H11" s="17">
        <v>0.67847222222222225</v>
      </c>
      <c r="I11" s="9">
        <v>18060</v>
      </c>
      <c r="J11" s="9">
        <v>9700</v>
      </c>
      <c r="K11" s="10">
        <f t="shared" si="0"/>
        <v>8360</v>
      </c>
      <c r="L11" s="10">
        <v>21954</v>
      </c>
      <c r="M11" s="11" t="s">
        <v>860</v>
      </c>
      <c r="N11" s="12">
        <v>8360</v>
      </c>
      <c r="O11" s="13" t="s">
        <v>32</v>
      </c>
      <c r="P11" s="14"/>
    </row>
    <row r="12" spans="1:22" x14ac:dyDescent="0.25">
      <c r="A12" s="6"/>
      <c r="B12" s="7">
        <v>44228</v>
      </c>
      <c r="C12" s="8" t="s">
        <v>469</v>
      </c>
      <c r="D12" s="8" t="s">
        <v>284</v>
      </c>
      <c r="E12" s="9" t="s">
        <v>285</v>
      </c>
      <c r="F12" s="9" t="s">
        <v>286</v>
      </c>
      <c r="G12" s="17">
        <v>0.70138888888888884</v>
      </c>
      <c r="H12" s="17">
        <v>0.85902777777777783</v>
      </c>
      <c r="I12" s="9">
        <v>15340</v>
      </c>
      <c r="J12" s="9">
        <v>38730</v>
      </c>
      <c r="K12" s="10">
        <f t="shared" si="0"/>
        <v>-23390</v>
      </c>
      <c r="L12" s="10">
        <v>5741</v>
      </c>
      <c r="M12" s="11" t="s">
        <v>861</v>
      </c>
      <c r="N12" s="12">
        <v>22230</v>
      </c>
      <c r="O12" s="13" t="s">
        <v>32</v>
      </c>
      <c r="P12" s="14" t="s">
        <v>863</v>
      </c>
    </row>
    <row r="13" spans="1:22" x14ac:dyDescent="0.25">
      <c r="A13" s="6"/>
      <c r="B13" s="7">
        <v>44228</v>
      </c>
      <c r="C13" s="8" t="s">
        <v>208</v>
      </c>
      <c r="D13" s="9" t="s">
        <v>857</v>
      </c>
      <c r="E13" s="9" t="s">
        <v>813</v>
      </c>
      <c r="F13" s="9" t="s">
        <v>814</v>
      </c>
      <c r="G13" s="17">
        <v>0.84583333333333333</v>
      </c>
      <c r="H13" s="17">
        <v>0.43263888888888885</v>
      </c>
      <c r="I13" s="9">
        <v>32280</v>
      </c>
      <c r="J13" s="9">
        <v>16470</v>
      </c>
      <c r="K13" s="10">
        <f t="shared" si="0"/>
        <v>15810</v>
      </c>
      <c r="L13" s="10">
        <v>40176</v>
      </c>
      <c r="M13" s="11" t="s">
        <v>862</v>
      </c>
      <c r="N13" s="12">
        <v>15830</v>
      </c>
      <c r="O13" s="13" t="s">
        <v>32</v>
      </c>
      <c r="P13" s="14"/>
    </row>
    <row r="14" spans="1:22" x14ac:dyDescent="0.25">
      <c r="A14" s="6"/>
      <c r="B14" s="7">
        <v>44228</v>
      </c>
      <c r="C14" s="8" t="s">
        <v>37</v>
      </c>
      <c r="D14" s="8" t="s">
        <v>122</v>
      </c>
      <c r="E14" s="9" t="s">
        <v>719</v>
      </c>
      <c r="F14" s="9" t="s">
        <v>36</v>
      </c>
      <c r="G14" s="17">
        <v>0.90763888888888899</v>
      </c>
      <c r="H14" s="17">
        <v>0.95416666666666661</v>
      </c>
      <c r="I14" s="9">
        <v>17755</v>
      </c>
      <c r="J14" s="9">
        <v>6420</v>
      </c>
      <c r="K14" s="10">
        <f t="shared" si="0"/>
        <v>11335</v>
      </c>
      <c r="L14" s="10">
        <v>26413</v>
      </c>
      <c r="M14" s="11" t="s">
        <v>864</v>
      </c>
      <c r="N14" s="12">
        <v>11335</v>
      </c>
      <c r="O14" s="13" t="s">
        <v>32</v>
      </c>
      <c r="P14" s="14"/>
    </row>
    <row r="15" spans="1:22" x14ac:dyDescent="0.25">
      <c r="A15" s="6"/>
      <c r="B15" s="7">
        <v>44228</v>
      </c>
      <c r="C15" s="8" t="s">
        <v>289</v>
      </c>
      <c r="D15" s="8" t="s">
        <v>530</v>
      </c>
      <c r="E15" s="9" t="s">
        <v>699</v>
      </c>
      <c r="F15" s="9" t="s">
        <v>140</v>
      </c>
      <c r="G15" s="17">
        <v>0.93055555555555547</v>
      </c>
      <c r="H15" s="17">
        <v>0.98263888888888884</v>
      </c>
      <c r="I15" s="9">
        <v>21260</v>
      </c>
      <c r="J15" s="9">
        <v>8250</v>
      </c>
      <c r="K15" s="10">
        <f t="shared" si="0"/>
        <v>13010</v>
      </c>
      <c r="L15" s="10">
        <v>9050</v>
      </c>
      <c r="M15" s="11" t="s">
        <v>48</v>
      </c>
      <c r="N15" s="12">
        <v>13010</v>
      </c>
      <c r="O15" s="13" t="s">
        <v>32</v>
      </c>
      <c r="P15" s="14"/>
    </row>
    <row r="16" spans="1:22" x14ac:dyDescent="0.25">
      <c r="A16" s="6"/>
      <c r="B16" s="7">
        <v>44229</v>
      </c>
      <c r="C16" s="8" t="s">
        <v>443</v>
      </c>
      <c r="D16" s="8" t="s">
        <v>336</v>
      </c>
      <c r="E16" s="9" t="s">
        <v>337</v>
      </c>
      <c r="F16" s="9" t="s">
        <v>36</v>
      </c>
      <c r="G16" s="17">
        <v>3.8194444444444441E-2</v>
      </c>
      <c r="H16" s="17">
        <v>0.13958333333333334</v>
      </c>
      <c r="I16" s="9">
        <v>19020</v>
      </c>
      <c r="J16" s="9">
        <v>7830</v>
      </c>
      <c r="K16" s="10">
        <f t="shared" si="0"/>
        <v>11190</v>
      </c>
      <c r="L16" s="10">
        <v>13767</v>
      </c>
      <c r="M16" s="11" t="s">
        <v>865</v>
      </c>
      <c r="N16" s="12">
        <v>13767</v>
      </c>
      <c r="O16" s="13" t="s">
        <v>32</v>
      </c>
      <c r="P16" s="14"/>
      <c r="Q16" s="2"/>
      <c r="S16" s="18"/>
      <c r="T16" s="18"/>
      <c r="V16" s="23"/>
    </row>
    <row r="17" spans="1:26" x14ac:dyDescent="0.25">
      <c r="A17" s="6"/>
      <c r="B17" s="7">
        <v>44229</v>
      </c>
      <c r="C17" s="8" t="s">
        <v>866</v>
      </c>
      <c r="D17" s="8" t="s">
        <v>392</v>
      </c>
      <c r="E17" s="9" t="s">
        <v>867</v>
      </c>
      <c r="F17" s="9" t="s">
        <v>297</v>
      </c>
      <c r="G17" s="17">
        <v>0.13819444444444443</v>
      </c>
      <c r="H17" s="17">
        <v>0.30694444444444441</v>
      </c>
      <c r="I17" s="9">
        <v>13540</v>
      </c>
      <c r="J17" s="9">
        <v>6470</v>
      </c>
      <c r="K17" s="10">
        <f t="shared" si="0"/>
        <v>7070</v>
      </c>
      <c r="L17" s="10" t="s">
        <v>868</v>
      </c>
      <c r="M17" s="11" t="s">
        <v>869</v>
      </c>
      <c r="N17" s="12">
        <v>15279</v>
      </c>
      <c r="O17" s="13" t="s">
        <v>49</v>
      </c>
      <c r="P17" s="14"/>
      <c r="R17" s="1">
        <f>5460*2.2</f>
        <v>12012.000000000002</v>
      </c>
      <c r="T17" s="18"/>
      <c r="V17" s="23"/>
    </row>
    <row r="18" spans="1:26" x14ac:dyDescent="0.25">
      <c r="A18" s="6"/>
      <c r="B18" s="7">
        <v>44229</v>
      </c>
      <c r="C18" s="8" t="s">
        <v>130</v>
      </c>
      <c r="D18" s="8" t="s">
        <v>143</v>
      </c>
      <c r="E18" s="9" t="s">
        <v>144</v>
      </c>
      <c r="F18" s="9" t="s">
        <v>626</v>
      </c>
      <c r="G18" s="17">
        <v>0.15208333333333332</v>
      </c>
      <c r="H18" s="17">
        <v>0.41180555555555554</v>
      </c>
      <c r="I18" s="9">
        <v>17140</v>
      </c>
      <c r="J18" s="9">
        <v>29450</v>
      </c>
      <c r="K18" s="10">
        <f t="shared" si="0"/>
        <v>-12310</v>
      </c>
      <c r="L18" s="10">
        <v>15434</v>
      </c>
      <c r="M18" s="11" t="s">
        <v>870</v>
      </c>
      <c r="N18" s="12">
        <v>12310</v>
      </c>
      <c r="O18" s="13" t="s">
        <v>32</v>
      </c>
      <c r="P18" s="14"/>
      <c r="R18" s="1">
        <f>+R17-100</f>
        <v>11912.000000000002</v>
      </c>
      <c r="T18" s="18"/>
      <c r="V18" s="23"/>
    </row>
    <row r="19" spans="1:26" x14ac:dyDescent="0.25">
      <c r="A19" s="6"/>
      <c r="B19" s="7">
        <v>44229</v>
      </c>
      <c r="C19" s="8" t="s">
        <v>871</v>
      </c>
      <c r="D19" s="8" t="s">
        <v>86</v>
      </c>
      <c r="E19" s="9" t="s">
        <v>87</v>
      </c>
      <c r="F19" s="9" t="s">
        <v>88</v>
      </c>
      <c r="G19" s="17">
        <v>0.20416666666666669</v>
      </c>
      <c r="H19" s="17">
        <v>0.21041666666666667</v>
      </c>
      <c r="I19" s="9">
        <v>32510</v>
      </c>
      <c r="J19" s="9">
        <v>17210</v>
      </c>
      <c r="K19" s="10">
        <f t="shared" si="0"/>
        <v>15300</v>
      </c>
      <c r="L19" s="10">
        <v>736</v>
      </c>
      <c r="M19" s="11" t="s">
        <v>442</v>
      </c>
      <c r="N19" s="12">
        <v>15608</v>
      </c>
      <c r="O19" s="13" t="s">
        <v>32</v>
      </c>
      <c r="P19" s="14"/>
    </row>
    <row r="20" spans="1:26" x14ac:dyDescent="0.25">
      <c r="A20" s="6"/>
      <c r="B20" s="15">
        <v>44229</v>
      </c>
      <c r="C20" s="16" t="s">
        <v>147</v>
      </c>
      <c r="D20" s="8" t="s">
        <v>872</v>
      </c>
      <c r="E20" s="9" t="s">
        <v>873</v>
      </c>
      <c r="F20" s="9" t="s">
        <v>338</v>
      </c>
      <c r="G20" s="17">
        <v>0.28263888888888888</v>
      </c>
      <c r="H20" s="17">
        <v>0.31875000000000003</v>
      </c>
      <c r="I20" s="9">
        <v>41850</v>
      </c>
      <c r="J20" s="9">
        <v>19020</v>
      </c>
      <c r="K20" s="10">
        <f t="shared" si="0"/>
        <v>22830</v>
      </c>
      <c r="L20" s="10">
        <v>5284</v>
      </c>
      <c r="M20" s="11" t="s">
        <v>31</v>
      </c>
      <c r="N20" s="12">
        <v>22830</v>
      </c>
      <c r="O20" s="13" t="s">
        <v>32</v>
      </c>
      <c r="P20" s="14"/>
      <c r="Q20" s="2"/>
      <c r="R20" s="1">
        <v>31530</v>
      </c>
      <c r="S20" s="1">
        <f>+R20-1104</f>
        <v>30426</v>
      </c>
      <c r="T20" s="18"/>
      <c r="V20" s="23"/>
    </row>
    <row r="21" spans="1:26" x14ac:dyDescent="0.25">
      <c r="A21" s="6"/>
      <c r="B21" s="7">
        <v>44229</v>
      </c>
      <c r="C21" s="8" t="s">
        <v>603</v>
      </c>
      <c r="D21" s="8" t="s">
        <v>617</v>
      </c>
      <c r="E21" s="9" t="s">
        <v>35</v>
      </c>
      <c r="F21" s="9" t="s">
        <v>338</v>
      </c>
      <c r="G21" s="17">
        <v>0.32569444444444445</v>
      </c>
      <c r="H21" s="17">
        <v>0.3743055555555555</v>
      </c>
      <c r="I21" s="9">
        <v>11770</v>
      </c>
      <c r="J21" s="9">
        <v>5290</v>
      </c>
      <c r="K21" s="10">
        <f t="shared" si="0"/>
        <v>6480</v>
      </c>
      <c r="L21" s="10">
        <v>26414</v>
      </c>
      <c r="M21" s="11" t="s">
        <v>31</v>
      </c>
      <c r="N21" s="12">
        <v>6480</v>
      </c>
      <c r="O21" s="13" t="s">
        <v>32</v>
      </c>
      <c r="P21" s="14"/>
      <c r="Q21" s="2"/>
      <c r="T21" s="18"/>
      <c r="V21" s="23"/>
    </row>
    <row r="22" spans="1:26" x14ac:dyDescent="0.25">
      <c r="A22" s="6"/>
      <c r="B22" s="7">
        <v>44229</v>
      </c>
      <c r="C22" s="8" t="s">
        <v>147</v>
      </c>
      <c r="D22" s="8" t="s">
        <v>874</v>
      </c>
      <c r="E22" s="9" t="s">
        <v>632</v>
      </c>
      <c r="F22" s="9" t="s">
        <v>338</v>
      </c>
      <c r="G22" s="17">
        <v>0.34375</v>
      </c>
      <c r="H22" s="17">
        <v>0.36805555555555558</v>
      </c>
      <c r="I22" s="9">
        <v>48380</v>
      </c>
      <c r="J22" s="9">
        <v>17940</v>
      </c>
      <c r="K22" s="10">
        <f t="shared" si="0"/>
        <v>30440</v>
      </c>
      <c r="L22" s="10">
        <v>5283</v>
      </c>
      <c r="M22" s="11" t="s">
        <v>31</v>
      </c>
      <c r="N22" s="12">
        <v>67034</v>
      </c>
      <c r="O22" s="13" t="s">
        <v>49</v>
      </c>
      <c r="P22" s="14"/>
      <c r="Q22" s="1">
        <f>6480*2.2</f>
        <v>14256.000000000002</v>
      </c>
      <c r="R22" s="1">
        <f>+Q22-100</f>
        <v>14156.000000000002</v>
      </c>
      <c r="T22" s="18"/>
      <c r="V22" s="23"/>
    </row>
    <row r="23" spans="1:26" x14ac:dyDescent="0.25">
      <c r="A23" s="6"/>
      <c r="B23" s="7">
        <v>44229</v>
      </c>
      <c r="C23" s="8" t="s">
        <v>603</v>
      </c>
      <c r="D23" s="8" t="s">
        <v>175</v>
      </c>
      <c r="E23" s="9" t="s">
        <v>176</v>
      </c>
      <c r="F23" s="9" t="s">
        <v>338</v>
      </c>
      <c r="G23" s="17">
        <v>0.45277777777777778</v>
      </c>
      <c r="H23" s="17">
        <v>0.49861111111111112</v>
      </c>
      <c r="I23" s="9">
        <v>9060</v>
      </c>
      <c r="J23" s="9">
        <v>4280</v>
      </c>
      <c r="K23" s="10">
        <f t="shared" si="0"/>
        <v>4780</v>
      </c>
      <c r="L23" s="10">
        <v>26415</v>
      </c>
      <c r="M23" s="11" t="s">
        <v>31</v>
      </c>
      <c r="N23" s="12">
        <v>4780</v>
      </c>
      <c r="O23" s="13" t="s">
        <v>32</v>
      </c>
      <c r="P23" s="14">
        <f>25*30</f>
        <v>750</v>
      </c>
    </row>
    <row r="24" spans="1:26" x14ac:dyDescent="0.25">
      <c r="A24" s="6"/>
      <c r="B24" s="7">
        <v>44229</v>
      </c>
      <c r="C24" s="8" t="s">
        <v>852</v>
      </c>
      <c r="D24" s="8" t="s">
        <v>853</v>
      </c>
      <c r="E24" s="9" t="s">
        <v>466</v>
      </c>
      <c r="F24" s="9" t="s">
        <v>52</v>
      </c>
      <c r="G24" s="17">
        <v>0.46111111111111108</v>
      </c>
      <c r="H24" s="17">
        <v>0.46597222222222223</v>
      </c>
      <c r="I24" s="9">
        <v>35770</v>
      </c>
      <c r="J24" s="9">
        <v>14840</v>
      </c>
      <c r="K24" s="10">
        <f t="shared" si="0"/>
        <v>20930</v>
      </c>
      <c r="L24" s="10">
        <v>35023</v>
      </c>
      <c r="M24" s="11" t="s">
        <v>875</v>
      </c>
      <c r="N24" s="12">
        <v>20</v>
      </c>
      <c r="O24" s="13" t="s">
        <v>855</v>
      </c>
      <c r="P24" s="14"/>
      <c r="R24" s="1">
        <f>+P23+100</f>
        <v>850</v>
      </c>
      <c r="S24" s="18"/>
      <c r="T24" s="18"/>
    </row>
    <row r="25" spans="1:26" x14ac:dyDescent="0.25">
      <c r="A25" s="6"/>
      <c r="B25" s="7">
        <v>44229</v>
      </c>
      <c r="C25" s="8" t="s">
        <v>603</v>
      </c>
      <c r="D25" s="8" t="s">
        <v>34</v>
      </c>
      <c r="E25" s="9" t="s">
        <v>197</v>
      </c>
      <c r="F25" s="9" t="s">
        <v>338</v>
      </c>
      <c r="G25" s="17">
        <v>0.49305555555555558</v>
      </c>
      <c r="H25" s="17">
        <v>0.53888888888888886</v>
      </c>
      <c r="I25" s="9">
        <v>10560</v>
      </c>
      <c r="J25" s="9">
        <v>4630</v>
      </c>
      <c r="K25" s="10">
        <f t="shared" si="0"/>
        <v>5930</v>
      </c>
      <c r="L25" s="10">
        <v>26416</v>
      </c>
      <c r="M25" s="11" t="s">
        <v>31</v>
      </c>
      <c r="N25" s="12">
        <v>5930</v>
      </c>
      <c r="O25" s="13" t="s">
        <v>32</v>
      </c>
      <c r="P25" s="14"/>
      <c r="Q25" s="1">
        <f>3960*2.2</f>
        <v>8712</v>
      </c>
      <c r="R25" s="1">
        <f>4780*2.2</f>
        <v>10516</v>
      </c>
    </row>
    <row r="26" spans="1:26" x14ac:dyDescent="0.25">
      <c r="A26" s="6"/>
      <c r="B26" s="7">
        <v>44229</v>
      </c>
      <c r="C26" s="8" t="s">
        <v>876</v>
      </c>
      <c r="D26" s="8" t="s">
        <v>202</v>
      </c>
      <c r="E26" s="9" t="s">
        <v>604</v>
      </c>
      <c r="F26" s="9" t="s">
        <v>338</v>
      </c>
      <c r="G26" s="17">
        <v>0.49444444444444446</v>
      </c>
      <c r="H26" s="17">
        <v>0.54305555555555551</v>
      </c>
      <c r="I26" s="9">
        <v>9370</v>
      </c>
      <c r="J26" s="9">
        <v>4190</v>
      </c>
      <c r="K26" s="10">
        <f t="shared" si="0"/>
        <v>5180</v>
      </c>
      <c r="L26" s="10">
        <v>81353</v>
      </c>
      <c r="M26" s="11" t="s">
        <v>31</v>
      </c>
      <c r="N26" s="12">
        <v>10800</v>
      </c>
      <c r="O26" s="13" t="s">
        <v>49</v>
      </c>
      <c r="P26" s="14"/>
      <c r="Q26" s="1">
        <f>+Q25-1300</f>
        <v>7412</v>
      </c>
      <c r="R26" s="1">
        <f>+R25-R24</f>
        <v>9666</v>
      </c>
    </row>
    <row r="27" spans="1:26" x14ac:dyDescent="0.25">
      <c r="A27" s="6"/>
      <c r="B27" s="7">
        <v>44229</v>
      </c>
      <c r="C27" s="8" t="s">
        <v>603</v>
      </c>
      <c r="D27" s="8" t="s">
        <v>255</v>
      </c>
      <c r="E27" s="9" t="s">
        <v>181</v>
      </c>
      <c r="F27" s="9" t="s">
        <v>338</v>
      </c>
      <c r="G27" s="17">
        <v>0.53819444444444442</v>
      </c>
      <c r="H27" s="17">
        <v>0.57708333333333328</v>
      </c>
      <c r="I27" s="9">
        <v>9970</v>
      </c>
      <c r="J27" s="9">
        <v>4090</v>
      </c>
      <c r="K27" s="10">
        <f t="shared" si="0"/>
        <v>5880</v>
      </c>
      <c r="L27" s="10">
        <v>26417</v>
      </c>
      <c r="M27" s="11" t="s">
        <v>31</v>
      </c>
      <c r="N27" s="12">
        <v>5880</v>
      </c>
      <c r="O27" s="13" t="s">
        <v>32</v>
      </c>
      <c r="P27" s="14">
        <f>10*30</f>
        <v>300</v>
      </c>
      <c r="R27" s="1">
        <f>5930*2.2</f>
        <v>13046.000000000002</v>
      </c>
      <c r="S27" s="1">
        <f>+R27-100</f>
        <v>12946.000000000002</v>
      </c>
    </row>
    <row r="28" spans="1:26" x14ac:dyDescent="0.25">
      <c r="A28" s="6"/>
      <c r="B28" s="7">
        <v>44229</v>
      </c>
      <c r="C28" s="8" t="s">
        <v>750</v>
      </c>
      <c r="D28" s="8" t="s">
        <v>233</v>
      </c>
      <c r="E28" s="9" t="s">
        <v>528</v>
      </c>
      <c r="F28" s="9" t="s">
        <v>338</v>
      </c>
      <c r="G28" s="17">
        <v>0.54097222222222219</v>
      </c>
      <c r="H28" s="17">
        <v>0.59930555555555554</v>
      </c>
      <c r="I28" s="9">
        <v>8760</v>
      </c>
      <c r="J28" s="9">
        <v>4010</v>
      </c>
      <c r="K28" s="10">
        <f t="shared" si="0"/>
        <v>4750</v>
      </c>
      <c r="L28" s="10">
        <v>3673</v>
      </c>
      <c r="M28" s="11" t="s">
        <v>31</v>
      </c>
      <c r="N28" s="12">
        <f>11024+281</f>
        <v>11305</v>
      </c>
      <c r="O28" s="13" t="s">
        <v>49</v>
      </c>
      <c r="P28" s="14"/>
    </row>
    <row r="29" spans="1:26" x14ac:dyDescent="0.25">
      <c r="A29" s="6"/>
      <c r="B29" s="7">
        <v>44229</v>
      </c>
      <c r="C29" s="8" t="s">
        <v>603</v>
      </c>
      <c r="D29" s="8" t="s">
        <v>29</v>
      </c>
      <c r="E29" s="9" t="s">
        <v>30</v>
      </c>
      <c r="F29" s="9" t="s">
        <v>338</v>
      </c>
      <c r="G29" s="17">
        <v>0.56944444444444442</v>
      </c>
      <c r="H29" s="17">
        <v>0.61875000000000002</v>
      </c>
      <c r="I29" s="9">
        <v>7360</v>
      </c>
      <c r="J29" s="9">
        <v>3400</v>
      </c>
      <c r="K29" s="10">
        <f t="shared" si="0"/>
        <v>3960</v>
      </c>
      <c r="L29" s="10">
        <v>26418</v>
      </c>
      <c r="M29" s="11" t="s">
        <v>31</v>
      </c>
      <c r="N29" s="12">
        <v>3960</v>
      </c>
      <c r="O29" s="13" t="s">
        <v>32</v>
      </c>
      <c r="P29" s="14">
        <f>40*30</f>
        <v>1200</v>
      </c>
    </row>
    <row r="30" spans="1:26" x14ac:dyDescent="0.25">
      <c r="A30" s="6"/>
      <c r="B30" s="7">
        <v>44229</v>
      </c>
      <c r="C30" s="8" t="s">
        <v>877</v>
      </c>
      <c r="D30" s="8" t="s">
        <v>191</v>
      </c>
      <c r="E30" s="9" t="s">
        <v>192</v>
      </c>
      <c r="F30" s="9" t="s">
        <v>59</v>
      </c>
      <c r="G30" s="17">
        <v>0.59722222222222221</v>
      </c>
      <c r="H30" s="17">
        <v>0.66388888888888886</v>
      </c>
      <c r="I30" s="9">
        <v>10670</v>
      </c>
      <c r="J30" s="9">
        <v>4880</v>
      </c>
      <c r="K30" s="10">
        <f t="shared" si="0"/>
        <v>5790</v>
      </c>
      <c r="L30" s="10">
        <v>81357</v>
      </c>
      <c r="M30" s="11" t="s">
        <v>31</v>
      </c>
      <c r="N30" s="12">
        <f>4634+12750</f>
        <v>17384</v>
      </c>
      <c r="O30" s="13" t="s">
        <v>49</v>
      </c>
      <c r="P30" s="14"/>
    </row>
    <row r="31" spans="1:26" x14ac:dyDescent="0.25">
      <c r="A31" s="6"/>
      <c r="B31" s="7">
        <v>44229</v>
      </c>
      <c r="C31" s="8" t="s">
        <v>606</v>
      </c>
      <c r="D31" s="8" t="s">
        <v>325</v>
      </c>
      <c r="E31" s="9" t="s">
        <v>326</v>
      </c>
      <c r="F31" s="9" t="s">
        <v>338</v>
      </c>
      <c r="G31" s="17">
        <v>0.62083333333333335</v>
      </c>
      <c r="H31" s="17">
        <v>0.68472222222222223</v>
      </c>
      <c r="I31" s="9">
        <v>54360</v>
      </c>
      <c r="J31" s="9">
        <v>18970</v>
      </c>
      <c r="K31" s="10">
        <f t="shared" si="0"/>
        <v>35390</v>
      </c>
      <c r="L31" s="10">
        <v>895</v>
      </c>
      <c r="M31" s="11" t="s">
        <v>306</v>
      </c>
      <c r="N31" s="12">
        <v>10000</v>
      </c>
      <c r="O31" s="13" t="s">
        <v>84</v>
      </c>
      <c r="P31" s="14"/>
      <c r="Y31" s="1">
        <v>4770</v>
      </c>
      <c r="Z31" s="1">
        <v>0.68240343347639487</v>
      </c>
    </row>
    <row r="32" spans="1:26" x14ac:dyDescent="0.25">
      <c r="A32" s="6"/>
      <c r="B32" s="7">
        <v>44229</v>
      </c>
      <c r="C32" s="8" t="s">
        <v>98</v>
      </c>
      <c r="D32" s="8" t="s">
        <v>878</v>
      </c>
      <c r="E32" s="9" t="s">
        <v>879</v>
      </c>
      <c r="F32" s="9" t="s">
        <v>338</v>
      </c>
      <c r="G32" s="17">
        <v>0.63124999999999998</v>
      </c>
      <c r="H32" s="17">
        <v>0.67361111111111116</v>
      </c>
      <c r="I32" s="9">
        <v>18670</v>
      </c>
      <c r="J32" s="9">
        <v>49000</v>
      </c>
      <c r="K32" s="10">
        <f t="shared" si="0"/>
        <v>-30330</v>
      </c>
      <c r="L32" s="10">
        <v>5742</v>
      </c>
      <c r="M32" s="11" t="s">
        <v>53</v>
      </c>
      <c r="N32" s="12">
        <v>600</v>
      </c>
      <c r="O32" s="13" t="s">
        <v>54</v>
      </c>
      <c r="P32" s="14"/>
      <c r="Y32" s="1">
        <v>2220</v>
      </c>
      <c r="Z32" s="1">
        <v>0.31759656652360513</v>
      </c>
    </row>
    <row r="33" spans="1:26" x14ac:dyDescent="0.25">
      <c r="A33" s="6"/>
      <c r="B33" s="7">
        <v>44229</v>
      </c>
      <c r="C33" s="8" t="s">
        <v>288</v>
      </c>
      <c r="D33" s="8" t="s">
        <v>849</v>
      </c>
      <c r="E33" s="9" t="s">
        <v>250</v>
      </c>
      <c r="F33" s="9" t="s">
        <v>59</v>
      </c>
      <c r="G33" s="17">
        <v>0.64722222222222225</v>
      </c>
      <c r="H33" s="17">
        <v>0.70208333333333339</v>
      </c>
      <c r="I33" s="9">
        <v>7720</v>
      </c>
      <c r="J33" s="9">
        <v>3810</v>
      </c>
      <c r="K33" s="10">
        <f t="shared" si="0"/>
        <v>3910</v>
      </c>
      <c r="L33" s="10">
        <v>43767</v>
      </c>
      <c r="M33" s="11" t="s">
        <v>31</v>
      </c>
      <c r="N33" s="12">
        <v>8973</v>
      </c>
      <c r="O33" s="13" t="s">
        <v>49</v>
      </c>
      <c r="P33" s="14"/>
      <c r="Y33" s="1">
        <v>6990</v>
      </c>
      <c r="Z33" s="1">
        <v>-565</v>
      </c>
    </row>
    <row r="34" spans="1:26" x14ac:dyDescent="0.25">
      <c r="A34" s="6"/>
      <c r="B34" s="7">
        <v>44229</v>
      </c>
      <c r="C34" s="8" t="s">
        <v>603</v>
      </c>
      <c r="D34" s="8" t="s">
        <v>617</v>
      </c>
      <c r="E34" s="9" t="s">
        <v>35</v>
      </c>
      <c r="F34" s="9" t="s">
        <v>338</v>
      </c>
      <c r="G34" s="17">
        <v>0.65625</v>
      </c>
      <c r="H34" s="17">
        <v>0.69305555555555554</v>
      </c>
      <c r="I34" s="9">
        <v>12410</v>
      </c>
      <c r="J34" s="9">
        <v>5270</v>
      </c>
      <c r="K34" s="10">
        <f t="shared" si="0"/>
        <v>7140</v>
      </c>
      <c r="L34" s="10">
        <v>26419</v>
      </c>
      <c r="M34" s="11" t="s">
        <v>31</v>
      </c>
      <c r="N34" s="12">
        <v>7140</v>
      </c>
      <c r="O34" s="13" t="s">
        <v>32</v>
      </c>
      <c r="P34" s="14"/>
      <c r="Y34" s="1">
        <v>7555</v>
      </c>
    </row>
    <row r="35" spans="1:26" x14ac:dyDescent="0.25">
      <c r="A35" s="6"/>
      <c r="B35" s="7">
        <v>44229</v>
      </c>
      <c r="C35" s="8" t="s">
        <v>281</v>
      </c>
      <c r="D35" s="8" t="s">
        <v>170</v>
      </c>
      <c r="E35" s="9" t="s">
        <v>171</v>
      </c>
      <c r="F35" s="9" t="s">
        <v>338</v>
      </c>
      <c r="G35" s="17">
        <v>0.66666666666666663</v>
      </c>
      <c r="H35" s="17">
        <v>0.69930555555555562</v>
      </c>
      <c r="I35" s="9">
        <v>10330</v>
      </c>
      <c r="J35" s="9">
        <v>4590</v>
      </c>
      <c r="K35" s="10">
        <f t="shared" si="0"/>
        <v>5740</v>
      </c>
      <c r="L35" s="10" t="s">
        <v>886</v>
      </c>
      <c r="M35" s="11" t="s">
        <v>31</v>
      </c>
      <c r="N35" s="12">
        <v>5740</v>
      </c>
      <c r="O35" s="13" t="s">
        <v>32</v>
      </c>
      <c r="P35" s="14"/>
    </row>
    <row r="36" spans="1:26" x14ac:dyDescent="0.25">
      <c r="A36" s="6"/>
      <c r="B36" s="7">
        <v>44229</v>
      </c>
      <c r="C36" s="8" t="s">
        <v>147</v>
      </c>
      <c r="D36" s="8" t="s">
        <v>880</v>
      </c>
      <c r="E36" s="9" t="s">
        <v>881</v>
      </c>
      <c r="F36" s="9" t="s">
        <v>749</v>
      </c>
      <c r="G36" s="17">
        <v>0.67152777777777783</v>
      </c>
      <c r="H36" s="17">
        <v>0.68125000000000002</v>
      </c>
      <c r="I36" s="9">
        <v>18280</v>
      </c>
      <c r="J36" s="9">
        <v>16990</v>
      </c>
      <c r="K36" s="10">
        <f t="shared" si="0"/>
        <v>1290</v>
      </c>
      <c r="L36" s="10">
        <v>4592</v>
      </c>
      <c r="M36" s="11" t="s">
        <v>882</v>
      </c>
      <c r="N36" s="12">
        <v>1233</v>
      </c>
      <c r="O36" s="13" t="s">
        <v>32</v>
      </c>
      <c r="P36" s="14" t="s">
        <v>1639</v>
      </c>
      <c r="Q36" s="18"/>
    </row>
    <row r="37" spans="1:26" s="51" customFormat="1" x14ac:dyDescent="0.25">
      <c r="A37" s="41"/>
      <c r="B37" s="42">
        <v>44229</v>
      </c>
      <c r="C37" s="43" t="s">
        <v>37</v>
      </c>
      <c r="D37" s="43" t="s">
        <v>711</v>
      </c>
      <c r="E37" s="44" t="s">
        <v>277</v>
      </c>
      <c r="F37" s="44" t="s">
        <v>266</v>
      </c>
      <c r="G37" s="45">
        <v>0.67847222222222225</v>
      </c>
      <c r="H37" s="45">
        <v>0.69513888888888886</v>
      </c>
      <c r="I37" s="44">
        <v>1130</v>
      </c>
      <c r="J37" s="44">
        <v>170</v>
      </c>
      <c r="K37" s="46">
        <f t="shared" si="0"/>
        <v>960</v>
      </c>
      <c r="L37" s="46" t="s">
        <v>196</v>
      </c>
      <c r="M37" s="47" t="s">
        <v>884</v>
      </c>
      <c r="N37" s="48">
        <v>960</v>
      </c>
      <c r="O37" s="49" t="s">
        <v>32</v>
      </c>
      <c r="P37" s="50"/>
    </row>
    <row r="38" spans="1:26" x14ac:dyDescent="0.25">
      <c r="A38" s="6"/>
      <c r="B38" s="7">
        <v>44229</v>
      </c>
      <c r="C38" s="8" t="s">
        <v>885</v>
      </c>
      <c r="D38" s="8" t="s">
        <v>191</v>
      </c>
      <c r="E38" s="9" t="s">
        <v>192</v>
      </c>
      <c r="F38" s="9" t="s">
        <v>59</v>
      </c>
      <c r="G38" s="17">
        <v>0.70416666666666661</v>
      </c>
      <c r="H38" s="17">
        <v>0.73958333333333337</v>
      </c>
      <c r="I38" s="9">
        <v>6030</v>
      </c>
      <c r="J38" s="9">
        <v>4880</v>
      </c>
      <c r="K38" s="10">
        <f t="shared" si="0"/>
        <v>1150</v>
      </c>
      <c r="L38" s="10">
        <v>81365</v>
      </c>
      <c r="M38" s="11" t="s">
        <v>31</v>
      </c>
      <c r="N38" s="12">
        <v>2451</v>
      </c>
      <c r="O38" s="13" t="s">
        <v>49</v>
      </c>
      <c r="P38" s="14"/>
    </row>
    <row r="39" spans="1:26" x14ac:dyDescent="0.25">
      <c r="A39" s="6"/>
      <c r="B39" s="7">
        <v>44229</v>
      </c>
      <c r="C39" s="8" t="s">
        <v>887</v>
      </c>
      <c r="D39" s="8" t="s">
        <v>853</v>
      </c>
      <c r="E39" s="9" t="s">
        <v>144</v>
      </c>
      <c r="F39" s="9" t="s">
        <v>626</v>
      </c>
      <c r="G39" s="17">
        <v>0.7104166666666667</v>
      </c>
      <c r="H39" s="17">
        <v>0.17916666666666667</v>
      </c>
      <c r="I39" s="9">
        <v>15070</v>
      </c>
      <c r="J39" s="9">
        <v>50170</v>
      </c>
      <c r="K39" s="10">
        <f t="shared" si="0"/>
        <v>-35100</v>
      </c>
      <c r="L39" s="10">
        <v>5743</v>
      </c>
      <c r="M39" s="11" t="s">
        <v>53</v>
      </c>
      <c r="N39" s="12">
        <v>700</v>
      </c>
      <c r="O39" s="13" t="s">
        <v>54</v>
      </c>
      <c r="P39" s="14" t="s">
        <v>894</v>
      </c>
    </row>
    <row r="40" spans="1:26" x14ac:dyDescent="0.25">
      <c r="A40" s="6"/>
      <c r="B40" s="7">
        <v>44229</v>
      </c>
      <c r="C40" s="8" t="s">
        <v>603</v>
      </c>
      <c r="D40" s="8" t="s">
        <v>175</v>
      </c>
      <c r="E40" s="9" t="s">
        <v>176</v>
      </c>
      <c r="F40" s="9" t="s">
        <v>338</v>
      </c>
      <c r="G40" s="17">
        <v>0.73819444444444438</v>
      </c>
      <c r="H40" s="17">
        <v>0.76944444444444438</v>
      </c>
      <c r="I40" s="9">
        <v>9410</v>
      </c>
      <c r="J40" s="9">
        <v>4280</v>
      </c>
      <c r="K40" s="10">
        <f t="shared" si="0"/>
        <v>5130</v>
      </c>
      <c r="L40" s="10">
        <v>26421</v>
      </c>
      <c r="M40" s="11" t="s">
        <v>31</v>
      </c>
      <c r="N40" s="12">
        <v>5130</v>
      </c>
      <c r="O40" s="13" t="s">
        <v>32</v>
      </c>
      <c r="P40" s="14"/>
      <c r="Q40" s="1">
        <f>15*30</f>
        <v>450</v>
      </c>
    </row>
    <row r="41" spans="1:26" x14ac:dyDescent="0.25">
      <c r="A41" s="6"/>
      <c r="B41" s="7">
        <v>44229</v>
      </c>
      <c r="C41" s="8" t="s">
        <v>64</v>
      </c>
      <c r="D41" s="8" t="s">
        <v>888</v>
      </c>
      <c r="E41" s="9" t="s">
        <v>62</v>
      </c>
      <c r="F41" s="9" t="s">
        <v>338</v>
      </c>
      <c r="G41" s="17">
        <v>0.79166666666666663</v>
      </c>
      <c r="H41" s="17">
        <v>0.84236111111111101</v>
      </c>
      <c r="I41" s="9">
        <v>7700</v>
      </c>
      <c r="J41" s="9">
        <v>3370</v>
      </c>
      <c r="K41" s="10">
        <f t="shared" si="0"/>
        <v>4330</v>
      </c>
      <c r="L41" s="10">
        <v>4303</v>
      </c>
      <c r="M41" s="11" t="s">
        <v>31</v>
      </c>
      <c r="N41" s="12">
        <v>4330</v>
      </c>
      <c r="O41" s="13" t="s">
        <v>32</v>
      </c>
      <c r="P41" s="14"/>
    </row>
    <row r="42" spans="1:26" x14ac:dyDescent="0.25">
      <c r="A42" s="6"/>
      <c r="B42" s="7">
        <v>44229</v>
      </c>
      <c r="C42" s="8" t="s">
        <v>603</v>
      </c>
      <c r="D42" s="8" t="s">
        <v>889</v>
      </c>
      <c r="E42" s="9" t="s">
        <v>890</v>
      </c>
      <c r="F42" s="9" t="s">
        <v>338</v>
      </c>
      <c r="G42" s="17">
        <v>0.79166666666666663</v>
      </c>
      <c r="H42" s="17">
        <v>0.82152777777777775</v>
      </c>
      <c r="I42" s="9">
        <v>9740</v>
      </c>
      <c r="J42" s="9">
        <v>4070</v>
      </c>
      <c r="K42" s="10">
        <f t="shared" si="0"/>
        <v>5670</v>
      </c>
      <c r="L42" s="10">
        <v>26422</v>
      </c>
      <c r="M42" s="11" t="s">
        <v>31</v>
      </c>
      <c r="N42" s="12">
        <v>5670</v>
      </c>
      <c r="O42" s="13" t="s">
        <v>32</v>
      </c>
      <c r="P42" s="14"/>
    </row>
    <row r="43" spans="1:26" x14ac:dyDescent="0.25">
      <c r="A43" s="6"/>
      <c r="B43" s="7">
        <v>44229</v>
      </c>
      <c r="C43" s="8" t="s">
        <v>469</v>
      </c>
      <c r="D43" s="8" t="s">
        <v>284</v>
      </c>
      <c r="E43" s="9" t="s">
        <v>285</v>
      </c>
      <c r="F43" s="9" t="s">
        <v>286</v>
      </c>
      <c r="G43" s="17">
        <v>0.80347222222222225</v>
      </c>
      <c r="H43" s="17">
        <v>0.70624999999999993</v>
      </c>
      <c r="I43" s="9">
        <v>17940</v>
      </c>
      <c r="J43" s="9">
        <v>15250</v>
      </c>
      <c r="K43" s="10">
        <f t="shared" si="0"/>
        <v>2690</v>
      </c>
      <c r="L43" s="10">
        <v>3025</v>
      </c>
      <c r="M43" s="11" t="s">
        <v>900</v>
      </c>
      <c r="N43" s="12">
        <v>40</v>
      </c>
      <c r="O43" s="13" t="s">
        <v>80</v>
      </c>
      <c r="P43" s="14"/>
    </row>
    <row r="44" spans="1:26" x14ac:dyDescent="0.25">
      <c r="A44" s="6"/>
      <c r="B44" s="7">
        <v>44229</v>
      </c>
      <c r="C44" s="8" t="s">
        <v>208</v>
      </c>
      <c r="D44" s="8" t="s">
        <v>465</v>
      </c>
      <c r="E44" s="9" t="s">
        <v>490</v>
      </c>
      <c r="F44" s="9" t="s">
        <v>491</v>
      </c>
      <c r="G44" s="17">
        <v>0.80833333333333324</v>
      </c>
      <c r="H44" s="17">
        <v>0.64652777777777781</v>
      </c>
      <c r="I44" s="9">
        <v>37940</v>
      </c>
      <c r="J44" s="9">
        <v>18580</v>
      </c>
      <c r="K44" s="10">
        <f t="shared" si="0"/>
        <v>19360</v>
      </c>
      <c r="L44" s="10">
        <v>40214</v>
      </c>
      <c r="M44" s="11" t="s">
        <v>862</v>
      </c>
      <c r="N44" s="12">
        <v>19430</v>
      </c>
      <c r="O44" s="13" t="s">
        <v>32</v>
      </c>
      <c r="P44" s="14"/>
    </row>
    <row r="45" spans="1:26" x14ac:dyDescent="0.25">
      <c r="A45" s="6"/>
      <c r="B45" s="7">
        <v>44229</v>
      </c>
      <c r="C45" s="8" t="s">
        <v>130</v>
      </c>
      <c r="D45" s="8" t="s">
        <v>131</v>
      </c>
      <c r="E45" s="9" t="s">
        <v>132</v>
      </c>
      <c r="F45" s="9" t="s">
        <v>154</v>
      </c>
      <c r="G45" s="17">
        <v>0.86319444444444438</v>
      </c>
      <c r="H45" s="17">
        <v>0.88124999999999998</v>
      </c>
      <c r="I45" s="9">
        <v>46330</v>
      </c>
      <c r="J45" s="9">
        <v>18600</v>
      </c>
      <c r="K45" s="10">
        <f t="shared" si="0"/>
        <v>27730</v>
      </c>
      <c r="L45" s="10">
        <v>5285</v>
      </c>
      <c r="M45" s="11" t="s">
        <v>31</v>
      </c>
      <c r="N45" s="12">
        <v>27730</v>
      </c>
      <c r="O45" s="13" t="s">
        <v>32</v>
      </c>
      <c r="P45" s="14"/>
    </row>
    <row r="46" spans="1:26" x14ac:dyDescent="0.25">
      <c r="A46" s="6"/>
      <c r="B46" s="7">
        <v>44229</v>
      </c>
      <c r="C46" s="8" t="s">
        <v>328</v>
      </c>
      <c r="D46" s="8" t="s">
        <v>530</v>
      </c>
      <c r="E46" s="9" t="s">
        <v>699</v>
      </c>
      <c r="F46" s="9" t="s">
        <v>140</v>
      </c>
      <c r="G46" s="17">
        <v>0.92152777777777783</v>
      </c>
      <c r="H46" s="17">
        <v>0.96458333333333324</v>
      </c>
      <c r="I46" s="9">
        <v>22450</v>
      </c>
      <c r="J46" s="9">
        <v>8250</v>
      </c>
      <c r="K46" s="10">
        <f t="shared" si="0"/>
        <v>14200</v>
      </c>
      <c r="L46" s="10">
        <v>1511</v>
      </c>
      <c r="M46" s="11" t="s">
        <v>48</v>
      </c>
      <c r="N46" s="12">
        <v>28789.599999999999</v>
      </c>
      <c r="O46" s="13" t="s">
        <v>49</v>
      </c>
      <c r="P46" s="14"/>
    </row>
    <row r="47" spans="1:26" x14ac:dyDescent="0.25">
      <c r="A47" s="6"/>
      <c r="B47" s="7">
        <v>44229</v>
      </c>
      <c r="C47" s="8" t="s">
        <v>37</v>
      </c>
      <c r="D47" s="8" t="s">
        <v>122</v>
      </c>
      <c r="E47" s="9" t="s">
        <v>719</v>
      </c>
      <c r="F47" s="9" t="s">
        <v>36</v>
      </c>
      <c r="G47" s="17">
        <v>0.96111111111111114</v>
      </c>
      <c r="H47" s="17">
        <v>2.2222222222222223E-2</v>
      </c>
      <c r="I47" s="9">
        <v>17100</v>
      </c>
      <c r="J47" s="9">
        <v>6460</v>
      </c>
      <c r="K47" s="10">
        <f t="shared" si="0"/>
        <v>10640</v>
      </c>
      <c r="L47" s="10">
        <v>26423</v>
      </c>
      <c r="M47" s="11" t="s">
        <v>864</v>
      </c>
      <c r="N47" s="12">
        <v>10640</v>
      </c>
      <c r="O47" s="13" t="s">
        <v>32</v>
      </c>
      <c r="P47" s="14"/>
    </row>
    <row r="48" spans="1:26" x14ac:dyDescent="0.25">
      <c r="A48" s="6"/>
      <c r="B48" s="7">
        <v>44230</v>
      </c>
      <c r="C48" s="8" t="s">
        <v>891</v>
      </c>
      <c r="D48" s="8" t="s">
        <v>392</v>
      </c>
      <c r="E48" s="9" t="s">
        <v>867</v>
      </c>
      <c r="F48" s="9" t="s">
        <v>297</v>
      </c>
      <c r="G48" s="17">
        <v>0.10486111111111111</v>
      </c>
      <c r="H48" s="17">
        <v>0.39305555555555555</v>
      </c>
      <c r="I48" s="9">
        <v>11780</v>
      </c>
      <c r="J48" s="9">
        <v>6450</v>
      </c>
      <c r="K48" s="10">
        <f t="shared" si="0"/>
        <v>5330</v>
      </c>
      <c r="L48" s="10" t="s">
        <v>892</v>
      </c>
      <c r="M48" s="11" t="s">
        <v>893</v>
      </c>
      <c r="N48" s="12">
        <v>10637</v>
      </c>
      <c r="O48" s="13" t="s">
        <v>49</v>
      </c>
      <c r="P48" s="14"/>
    </row>
    <row r="49" spans="1:17" x14ac:dyDescent="0.25">
      <c r="A49" s="6"/>
      <c r="B49" s="7">
        <v>44230</v>
      </c>
      <c r="C49" s="8" t="s">
        <v>871</v>
      </c>
      <c r="D49" s="8" t="s">
        <v>86</v>
      </c>
      <c r="E49" s="9" t="s">
        <v>87</v>
      </c>
      <c r="F49" s="9" t="s">
        <v>88</v>
      </c>
      <c r="G49" s="17">
        <v>0.18819444444444444</v>
      </c>
      <c r="H49" s="17">
        <v>0.19652777777777777</v>
      </c>
      <c r="I49" s="9">
        <v>32370</v>
      </c>
      <c r="J49" s="9">
        <v>16990</v>
      </c>
      <c r="K49" s="10">
        <f t="shared" si="0"/>
        <v>15380</v>
      </c>
      <c r="L49" s="10">
        <v>737</v>
      </c>
      <c r="M49" s="11" t="s">
        <v>442</v>
      </c>
      <c r="N49" s="12">
        <v>15764</v>
      </c>
      <c r="O49" s="13" t="s">
        <v>32</v>
      </c>
      <c r="P49" s="14"/>
    </row>
    <row r="50" spans="1:17" x14ac:dyDescent="0.25">
      <c r="A50" s="6"/>
      <c r="B50" s="64">
        <v>44230</v>
      </c>
      <c r="C50" s="65" t="s">
        <v>606</v>
      </c>
      <c r="D50" s="8" t="s">
        <v>895</v>
      </c>
      <c r="E50" s="9" t="s">
        <v>896</v>
      </c>
      <c r="F50" s="9" t="s">
        <v>36</v>
      </c>
      <c r="G50" s="17">
        <v>0.60416666666666663</v>
      </c>
      <c r="H50" s="17">
        <v>0.6743055555555556</v>
      </c>
      <c r="I50" s="9">
        <v>54750</v>
      </c>
      <c r="J50" s="9">
        <v>19530</v>
      </c>
      <c r="K50" s="10">
        <f t="shared" si="0"/>
        <v>35220</v>
      </c>
      <c r="L50" s="10">
        <v>899</v>
      </c>
      <c r="M50" s="11" t="s">
        <v>306</v>
      </c>
      <c r="N50" s="12">
        <v>10000</v>
      </c>
      <c r="O50" s="13" t="s">
        <v>84</v>
      </c>
      <c r="P50" s="14"/>
    </row>
    <row r="51" spans="1:17" x14ac:dyDescent="0.25">
      <c r="A51" s="6"/>
      <c r="B51" s="7">
        <v>44230</v>
      </c>
      <c r="C51" s="8" t="s">
        <v>98</v>
      </c>
      <c r="D51" s="8" t="s">
        <v>897</v>
      </c>
      <c r="E51" s="9" t="s">
        <v>102</v>
      </c>
      <c r="F51" s="9" t="s">
        <v>36</v>
      </c>
      <c r="G51" s="17">
        <v>0.61111111111111105</v>
      </c>
      <c r="H51" s="17">
        <v>0.64166666666666672</v>
      </c>
      <c r="I51" s="9">
        <v>14900</v>
      </c>
      <c r="J51" s="9">
        <v>46010</v>
      </c>
      <c r="K51" s="10">
        <f t="shared" si="0"/>
        <v>-31110</v>
      </c>
      <c r="L51" s="10">
        <v>5745</v>
      </c>
      <c r="M51" s="11" t="s">
        <v>53</v>
      </c>
      <c r="N51" s="12">
        <v>600</v>
      </c>
      <c r="O51" s="13" t="s">
        <v>54</v>
      </c>
      <c r="P51" s="14" t="s">
        <v>851</v>
      </c>
    </row>
    <row r="52" spans="1:17" x14ac:dyDescent="0.25">
      <c r="A52" s="6"/>
      <c r="B52" s="7">
        <v>44230</v>
      </c>
      <c r="C52" s="8" t="s">
        <v>98</v>
      </c>
      <c r="D52" s="8" t="s">
        <v>878</v>
      </c>
      <c r="E52" s="9" t="s">
        <v>879</v>
      </c>
      <c r="F52" s="9" t="s">
        <v>36</v>
      </c>
      <c r="G52" s="17">
        <v>0.61944444444444446</v>
      </c>
      <c r="H52" s="17">
        <v>0.6777777777777777</v>
      </c>
      <c r="I52" s="9">
        <v>17530</v>
      </c>
      <c r="J52" s="9">
        <v>48890</v>
      </c>
      <c r="K52" s="10">
        <f t="shared" si="0"/>
        <v>-31360</v>
      </c>
      <c r="L52" s="10">
        <v>5746</v>
      </c>
      <c r="M52" s="11" t="s">
        <v>53</v>
      </c>
      <c r="N52" s="12">
        <v>600</v>
      </c>
      <c r="O52" s="13" t="s">
        <v>54</v>
      </c>
      <c r="P52" s="14" t="s">
        <v>851</v>
      </c>
    </row>
    <row r="53" spans="1:17" x14ac:dyDescent="0.25">
      <c r="A53" s="6"/>
      <c r="B53" s="7">
        <v>44230</v>
      </c>
      <c r="C53" s="8" t="s">
        <v>130</v>
      </c>
      <c r="D53" s="8" t="s">
        <v>880</v>
      </c>
      <c r="E53" s="9" t="s">
        <v>285</v>
      </c>
      <c r="F53" s="9" t="s">
        <v>286</v>
      </c>
      <c r="G53" s="17">
        <v>0.62777777777777777</v>
      </c>
      <c r="H53" s="17">
        <v>0.70624999999999993</v>
      </c>
      <c r="I53" s="9">
        <v>36490</v>
      </c>
      <c r="J53" s="9">
        <v>15250</v>
      </c>
      <c r="K53" s="10">
        <f t="shared" si="0"/>
        <v>21240</v>
      </c>
      <c r="L53" s="10">
        <v>4921</v>
      </c>
      <c r="M53" s="11" t="s">
        <v>898</v>
      </c>
      <c r="N53" s="12">
        <v>420</v>
      </c>
      <c r="O53" s="13" t="s">
        <v>54</v>
      </c>
      <c r="P53" s="14"/>
    </row>
    <row r="54" spans="1:17" x14ac:dyDescent="0.25">
      <c r="A54" s="6"/>
      <c r="B54" s="7">
        <v>44230</v>
      </c>
      <c r="C54" s="8" t="s">
        <v>130</v>
      </c>
      <c r="D54" s="8" t="s">
        <v>465</v>
      </c>
      <c r="E54" s="9" t="s">
        <v>881</v>
      </c>
      <c r="F54" s="9" t="s">
        <v>749</v>
      </c>
      <c r="G54" s="17">
        <v>0.63680555555555551</v>
      </c>
      <c r="H54" s="17">
        <v>0.74375000000000002</v>
      </c>
      <c r="I54" s="9">
        <v>38850</v>
      </c>
      <c r="J54" s="9">
        <v>16880</v>
      </c>
      <c r="K54" s="10">
        <f t="shared" si="0"/>
        <v>21970</v>
      </c>
      <c r="L54" s="10">
        <v>4920</v>
      </c>
      <c r="M54" s="11" t="s">
        <v>898</v>
      </c>
      <c r="N54" s="12">
        <v>420</v>
      </c>
      <c r="O54" s="13" t="s">
        <v>54</v>
      </c>
      <c r="P54" s="14"/>
    </row>
    <row r="55" spans="1:17" x14ac:dyDescent="0.25">
      <c r="A55" s="6"/>
      <c r="B55" s="7">
        <v>44230</v>
      </c>
      <c r="C55" s="8" t="s">
        <v>241</v>
      </c>
      <c r="D55" s="8" t="s">
        <v>899</v>
      </c>
      <c r="E55" s="9" t="s">
        <v>220</v>
      </c>
      <c r="F55" s="9" t="s">
        <v>140</v>
      </c>
      <c r="G55" s="17">
        <v>0.63958333333333328</v>
      </c>
      <c r="H55" s="17">
        <v>0.65555555555555556</v>
      </c>
      <c r="I55" s="9">
        <v>9290</v>
      </c>
      <c r="J55" s="9">
        <v>7710</v>
      </c>
      <c r="K55" s="10">
        <f t="shared" si="0"/>
        <v>1580</v>
      </c>
      <c r="L55" s="10">
        <v>1189</v>
      </c>
      <c r="M55" s="11" t="s">
        <v>242</v>
      </c>
      <c r="N55" s="12">
        <v>28</v>
      </c>
      <c r="O55" s="13" t="s">
        <v>80</v>
      </c>
      <c r="P55" s="14"/>
    </row>
    <row r="56" spans="1:17" x14ac:dyDescent="0.25">
      <c r="A56" s="6"/>
      <c r="B56" s="7">
        <v>44230</v>
      </c>
      <c r="C56" s="8" t="s">
        <v>289</v>
      </c>
      <c r="D56" s="8" t="s">
        <v>901</v>
      </c>
      <c r="E56" s="9" t="s">
        <v>902</v>
      </c>
      <c r="F56" s="9" t="s">
        <v>36</v>
      </c>
      <c r="G56" s="17">
        <v>0.74513888888888891</v>
      </c>
      <c r="H56" s="17">
        <v>0.86944444444444446</v>
      </c>
      <c r="I56" s="9">
        <v>10110</v>
      </c>
      <c r="J56" s="9">
        <v>4230</v>
      </c>
      <c r="K56" s="10">
        <f t="shared" si="0"/>
        <v>5880</v>
      </c>
      <c r="L56" s="10">
        <v>8866</v>
      </c>
      <c r="M56" s="11" t="s">
        <v>48</v>
      </c>
      <c r="N56" s="12">
        <v>5880</v>
      </c>
      <c r="O56" s="13" t="s">
        <v>32</v>
      </c>
      <c r="P56" s="14"/>
    </row>
    <row r="57" spans="1:17" x14ac:dyDescent="0.25">
      <c r="A57" s="6"/>
      <c r="B57" s="7">
        <v>44230</v>
      </c>
      <c r="C57" s="8" t="s">
        <v>469</v>
      </c>
      <c r="D57" s="8" t="s">
        <v>284</v>
      </c>
      <c r="E57" s="9" t="s">
        <v>285</v>
      </c>
      <c r="F57" s="9" t="s">
        <v>286</v>
      </c>
      <c r="G57" s="17">
        <v>0.74791666666666667</v>
      </c>
      <c r="H57" s="17">
        <v>0.18819444444444444</v>
      </c>
      <c r="I57" s="9">
        <v>15650</v>
      </c>
      <c r="J57" s="9">
        <v>50750</v>
      </c>
      <c r="K57" s="10">
        <f t="shared" si="0"/>
        <v>-35100</v>
      </c>
      <c r="L57" s="10">
        <v>5747</v>
      </c>
      <c r="M57" s="11" t="s">
        <v>53</v>
      </c>
      <c r="N57" s="12">
        <v>700</v>
      </c>
      <c r="O57" s="13" t="s">
        <v>54</v>
      </c>
      <c r="P57" s="14"/>
    </row>
    <row r="58" spans="1:17" x14ac:dyDescent="0.25">
      <c r="A58" s="6"/>
      <c r="B58" s="7">
        <v>44230</v>
      </c>
      <c r="C58" s="8" t="s">
        <v>130</v>
      </c>
      <c r="D58" s="8" t="s">
        <v>465</v>
      </c>
      <c r="E58" s="9" t="s">
        <v>881</v>
      </c>
      <c r="F58" s="9" t="s">
        <v>749</v>
      </c>
      <c r="G58" s="17">
        <v>0.75138888888888899</v>
      </c>
      <c r="H58" s="17">
        <v>0.42777777777777781</v>
      </c>
      <c r="I58" s="9">
        <v>18030</v>
      </c>
      <c r="J58" s="9">
        <v>30180</v>
      </c>
      <c r="K58" s="10">
        <f t="shared" si="0"/>
        <v>-12150</v>
      </c>
      <c r="L58" s="10">
        <v>15437</v>
      </c>
      <c r="M58" s="11" t="s">
        <v>240</v>
      </c>
      <c r="N58" s="12">
        <v>12150</v>
      </c>
      <c r="O58" s="13" t="s">
        <v>32</v>
      </c>
      <c r="P58" s="14" t="s">
        <v>920</v>
      </c>
    </row>
    <row r="59" spans="1:17" x14ac:dyDescent="0.25">
      <c r="A59" s="6"/>
      <c r="B59" s="7">
        <v>44230</v>
      </c>
      <c r="C59" s="8" t="s">
        <v>208</v>
      </c>
      <c r="D59" s="9" t="s">
        <v>143</v>
      </c>
      <c r="E59" s="9" t="s">
        <v>813</v>
      </c>
      <c r="F59" s="9" t="s">
        <v>814</v>
      </c>
      <c r="G59" s="17">
        <v>0.7909722222222223</v>
      </c>
      <c r="H59" s="17">
        <v>0.56944444444444442</v>
      </c>
      <c r="I59" s="9">
        <v>36950</v>
      </c>
      <c r="J59" s="9">
        <v>16460</v>
      </c>
      <c r="K59" s="10">
        <f t="shared" si="0"/>
        <v>20490</v>
      </c>
      <c r="L59" s="10">
        <v>40241</v>
      </c>
      <c r="M59" s="11" t="s">
        <v>862</v>
      </c>
      <c r="N59" s="12">
        <v>20420</v>
      </c>
      <c r="O59" s="13" t="s">
        <v>32</v>
      </c>
      <c r="P59" s="14"/>
    </row>
    <row r="60" spans="1:17" x14ac:dyDescent="0.25">
      <c r="A60" s="6"/>
      <c r="B60" s="7">
        <v>44230</v>
      </c>
      <c r="C60" s="8" t="s">
        <v>130</v>
      </c>
      <c r="D60" s="8" t="s">
        <v>903</v>
      </c>
      <c r="E60" s="9" t="s">
        <v>904</v>
      </c>
      <c r="F60" s="9" t="s">
        <v>36</v>
      </c>
      <c r="G60" s="17">
        <v>0.8305555555555556</v>
      </c>
      <c r="H60" s="17">
        <v>0.85902777777777783</v>
      </c>
      <c r="I60" s="9">
        <v>48250</v>
      </c>
      <c r="J60" s="9">
        <v>18440</v>
      </c>
      <c r="K60" s="10">
        <f t="shared" si="0"/>
        <v>29810</v>
      </c>
      <c r="L60" s="10">
        <v>5290</v>
      </c>
      <c r="M60" s="11" t="s">
        <v>31</v>
      </c>
      <c r="N60" s="12">
        <v>29810</v>
      </c>
      <c r="O60" s="13" t="s">
        <v>32</v>
      </c>
      <c r="P60" s="14"/>
    </row>
    <row r="61" spans="1:17" x14ac:dyDescent="0.25">
      <c r="A61" s="6"/>
      <c r="B61" s="7">
        <v>44230</v>
      </c>
      <c r="C61" s="8" t="s">
        <v>288</v>
      </c>
      <c r="D61" s="8" t="s">
        <v>905</v>
      </c>
      <c r="E61" s="9" t="s">
        <v>906</v>
      </c>
      <c r="F61" s="9" t="s">
        <v>36</v>
      </c>
      <c r="G61" s="17">
        <v>0.8652777777777777</v>
      </c>
      <c r="H61" s="17">
        <v>0.9194444444444444</v>
      </c>
      <c r="I61" s="9">
        <v>7680</v>
      </c>
      <c r="J61" s="9">
        <v>3400</v>
      </c>
      <c r="K61" s="10">
        <f t="shared" si="0"/>
        <v>4280</v>
      </c>
      <c r="L61" s="10">
        <v>43790</v>
      </c>
      <c r="M61" s="11" t="s">
        <v>31</v>
      </c>
      <c r="N61" s="12">
        <v>4280</v>
      </c>
      <c r="O61" s="13" t="s">
        <v>32</v>
      </c>
      <c r="P61" s="14"/>
    </row>
    <row r="62" spans="1:17" x14ac:dyDescent="0.25">
      <c r="A62" s="6"/>
      <c r="B62" s="7">
        <v>44230</v>
      </c>
      <c r="C62" s="8" t="s">
        <v>603</v>
      </c>
      <c r="D62" s="8" t="s">
        <v>34</v>
      </c>
      <c r="E62" s="9" t="s">
        <v>197</v>
      </c>
      <c r="F62" s="9" t="s">
        <v>338</v>
      </c>
      <c r="G62" s="17">
        <v>0.87569444444444444</v>
      </c>
      <c r="H62" s="17">
        <v>0.90763888888888899</v>
      </c>
      <c r="I62" s="9">
        <v>10120</v>
      </c>
      <c r="J62" s="9">
        <v>4620</v>
      </c>
      <c r="K62" s="10">
        <f t="shared" si="0"/>
        <v>5500</v>
      </c>
      <c r="L62" s="10">
        <v>26424</v>
      </c>
      <c r="M62" s="11" t="s">
        <v>31</v>
      </c>
      <c r="N62" s="12">
        <v>5500</v>
      </c>
      <c r="O62" s="13" t="s">
        <v>32</v>
      </c>
      <c r="P62" s="14"/>
    </row>
    <row r="63" spans="1:17" x14ac:dyDescent="0.25">
      <c r="A63" s="6"/>
      <c r="B63" s="7">
        <v>44230</v>
      </c>
      <c r="C63" s="8" t="s">
        <v>443</v>
      </c>
      <c r="D63" s="8" t="s">
        <v>336</v>
      </c>
      <c r="E63" s="9" t="s">
        <v>337</v>
      </c>
      <c r="F63" s="9" t="s">
        <v>36</v>
      </c>
      <c r="G63" s="17">
        <v>0.88124999999999998</v>
      </c>
      <c r="H63" s="17">
        <v>5.5555555555555558E-3</v>
      </c>
      <c r="I63" s="9">
        <v>19080</v>
      </c>
      <c r="J63" s="9">
        <v>7820</v>
      </c>
      <c r="K63" s="10">
        <f t="shared" si="0"/>
        <v>11260</v>
      </c>
      <c r="L63" s="10" t="s">
        <v>907</v>
      </c>
      <c r="M63" s="11" t="s">
        <v>816</v>
      </c>
      <c r="N63" s="12">
        <v>11182</v>
      </c>
      <c r="O63" s="13" t="s">
        <v>32</v>
      </c>
      <c r="P63" s="14"/>
      <c r="Q63" s="2"/>
    </row>
    <row r="64" spans="1:17" x14ac:dyDescent="0.25">
      <c r="A64" s="6"/>
      <c r="B64" s="7">
        <v>44230</v>
      </c>
      <c r="C64" s="8" t="s">
        <v>603</v>
      </c>
      <c r="D64" s="8" t="s">
        <v>255</v>
      </c>
      <c r="E64" s="9" t="s">
        <v>181</v>
      </c>
      <c r="F64" s="9" t="s">
        <v>338</v>
      </c>
      <c r="G64" s="17">
        <v>0.88680555555555562</v>
      </c>
      <c r="H64" s="17">
        <v>0.92569444444444438</v>
      </c>
      <c r="I64" s="9">
        <v>9870</v>
      </c>
      <c r="J64" s="9">
        <v>4090</v>
      </c>
      <c r="K64" s="10">
        <f t="shared" si="0"/>
        <v>5780</v>
      </c>
      <c r="L64" s="10">
        <v>26425</v>
      </c>
      <c r="M64" s="11" t="s">
        <v>31</v>
      </c>
      <c r="N64" s="12">
        <v>5780</v>
      </c>
      <c r="O64" s="13" t="s">
        <v>32</v>
      </c>
      <c r="P64" s="14"/>
    </row>
    <row r="65" spans="1:18" x14ac:dyDescent="0.25">
      <c r="A65" s="6"/>
      <c r="B65" s="7">
        <v>44230</v>
      </c>
      <c r="C65" s="8" t="s">
        <v>60</v>
      </c>
      <c r="D65" s="8" t="s">
        <v>908</v>
      </c>
      <c r="E65" s="9" t="s">
        <v>119</v>
      </c>
      <c r="F65" s="9" t="s">
        <v>338</v>
      </c>
      <c r="G65" s="17">
        <v>0.89583333333333337</v>
      </c>
      <c r="H65" s="17">
        <v>0.92986111111111114</v>
      </c>
      <c r="I65" s="9">
        <v>8200</v>
      </c>
      <c r="J65" s="9">
        <v>3890</v>
      </c>
      <c r="K65" s="10">
        <f t="shared" si="0"/>
        <v>4310</v>
      </c>
      <c r="L65" s="10" t="s">
        <v>909</v>
      </c>
      <c r="M65" s="11" t="s">
        <v>31</v>
      </c>
      <c r="N65" s="12">
        <v>4310</v>
      </c>
      <c r="O65" s="13" t="s">
        <v>32</v>
      </c>
      <c r="P65" s="14"/>
    </row>
    <row r="66" spans="1:18" x14ac:dyDescent="0.25">
      <c r="A66" s="6"/>
      <c r="B66" s="7">
        <v>44230</v>
      </c>
      <c r="C66" s="8" t="s">
        <v>37</v>
      </c>
      <c r="D66" s="8" t="s">
        <v>122</v>
      </c>
      <c r="E66" s="9" t="s">
        <v>719</v>
      </c>
      <c r="F66" s="9" t="s">
        <v>36</v>
      </c>
      <c r="G66" s="17">
        <v>0.91041666666666676</v>
      </c>
      <c r="H66" s="17">
        <v>0.18263888888888891</v>
      </c>
      <c r="I66" s="9">
        <v>15675</v>
      </c>
      <c r="J66" s="9">
        <v>6410</v>
      </c>
      <c r="K66" s="10">
        <f t="shared" si="0"/>
        <v>9265</v>
      </c>
      <c r="L66" s="10">
        <v>26428</v>
      </c>
      <c r="M66" s="11" t="s">
        <v>864</v>
      </c>
      <c r="N66" s="12">
        <v>9265</v>
      </c>
      <c r="O66" s="13" t="s">
        <v>32</v>
      </c>
      <c r="P66" s="14"/>
    </row>
    <row r="67" spans="1:18" x14ac:dyDescent="0.25">
      <c r="A67" s="6"/>
      <c r="B67" s="7">
        <v>44230</v>
      </c>
      <c r="C67" s="8" t="s">
        <v>603</v>
      </c>
      <c r="D67" s="8" t="s">
        <v>888</v>
      </c>
      <c r="E67" s="9" t="s">
        <v>62</v>
      </c>
      <c r="F67" s="9" t="s">
        <v>338</v>
      </c>
      <c r="G67" s="17">
        <v>0.93611111111111101</v>
      </c>
      <c r="H67" s="17">
        <v>0.96527777777777779</v>
      </c>
      <c r="I67" s="9">
        <v>7430</v>
      </c>
      <c r="J67" s="9">
        <v>3390</v>
      </c>
      <c r="K67" s="10">
        <f t="shared" si="0"/>
        <v>4040</v>
      </c>
      <c r="L67" s="10">
        <v>984</v>
      </c>
      <c r="M67" s="11" t="s">
        <v>31</v>
      </c>
      <c r="N67" s="12">
        <v>4040</v>
      </c>
      <c r="O67" s="13" t="s">
        <v>32</v>
      </c>
      <c r="P67" s="14"/>
      <c r="Q67" s="2"/>
    </row>
    <row r="68" spans="1:18" x14ac:dyDescent="0.25">
      <c r="A68" s="6"/>
      <c r="B68" s="7">
        <v>44230</v>
      </c>
      <c r="C68" s="8" t="s">
        <v>328</v>
      </c>
      <c r="D68" s="8" t="s">
        <v>530</v>
      </c>
      <c r="E68" s="9" t="s">
        <v>699</v>
      </c>
      <c r="F68" s="9" t="s">
        <v>140</v>
      </c>
      <c r="G68" s="17">
        <v>0.98541666666666661</v>
      </c>
      <c r="H68" s="17">
        <v>0.13541666666666666</v>
      </c>
      <c r="I68" s="9">
        <v>20090</v>
      </c>
      <c r="J68" s="9">
        <v>8300</v>
      </c>
      <c r="K68" s="10">
        <f t="shared" si="0"/>
        <v>11790</v>
      </c>
      <c r="L68" s="10">
        <v>1513</v>
      </c>
      <c r="M68" s="11" t="s">
        <v>48</v>
      </c>
      <c r="N68" s="12">
        <v>26487</v>
      </c>
      <c r="O68" s="13" t="s">
        <v>49</v>
      </c>
      <c r="P68" s="14"/>
    </row>
    <row r="69" spans="1:18" x14ac:dyDescent="0.25">
      <c r="A69" s="6"/>
      <c r="B69" s="7">
        <v>44230</v>
      </c>
      <c r="C69" s="8" t="s">
        <v>835</v>
      </c>
      <c r="D69" s="8" t="s">
        <v>392</v>
      </c>
      <c r="E69" s="9" t="s">
        <v>867</v>
      </c>
      <c r="F69" s="9" t="s">
        <v>297</v>
      </c>
      <c r="G69" s="17">
        <v>0.98888888888888893</v>
      </c>
      <c r="H69" s="17">
        <v>0.27499999999999997</v>
      </c>
      <c r="I69" s="9">
        <v>9530</v>
      </c>
      <c r="J69" s="9">
        <v>6510</v>
      </c>
      <c r="K69" s="10">
        <f t="shared" si="0"/>
        <v>3020</v>
      </c>
      <c r="L69" s="10">
        <v>3781</v>
      </c>
      <c r="M69" s="11" t="s">
        <v>48</v>
      </c>
      <c r="N69" s="12">
        <v>7001</v>
      </c>
      <c r="O69" s="13" t="s">
        <v>49</v>
      </c>
      <c r="P69" s="14"/>
    </row>
    <row r="70" spans="1:18" x14ac:dyDescent="0.25">
      <c r="A70" s="6"/>
      <c r="B70" s="7">
        <v>44230</v>
      </c>
      <c r="C70" s="8" t="s">
        <v>603</v>
      </c>
      <c r="D70" s="8" t="s">
        <v>175</v>
      </c>
      <c r="E70" s="9" t="s">
        <v>176</v>
      </c>
      <c r="F70" s="9" t="s">
        <v>338</v>
      </c>
      <c r="G70" s="17">
        <v>0.9916666666666667</v>
      </c>
      <c r="H70" s="17">
        <v>1.9444444444444445E-2</v>
      </c>
      <c r="I70" s="9">
        <v>6520</v>
      </c>
      <c r="J70" s="9">
        <v>4280</v>
      </c>
      <c r="K70" s="10">
        <f t="shared" si="0"/>
        <v>2240</v>
      </c>
      <c r="L70" s="10">
        <v>26427</v>
      </c>
      <c r="M70" s="11" t="s">
        <v>31</v>
      </c>
      <c r="N70" s="12">
        <v>2240</v>
      </c>
      <c r="O70" s="13" t="s">
        <v>32</v>
      </c>
      <c r="P70" s="14"/>
    </row>
    <row r="71" spans="1:18" x14ac:dyDescent="0.25">
      <c r="A71" s="6"/>
      <c r="B71" s="7">
        <v>44231</v>
      </c>
      <c r="C71" s="8" t="s">
        <v>147</v>
      </c>
      <c r="D71" s="8" t="s">
        <v>874</v>
      </c>
      <c r="E71" s="9" t="s">
        <v>632</v>
      </c>
      <c r="F71" s="9" t="s">
        <v>338</v>
      </c>
      <c r="G71" s="17">
        <v>4.3055555555555562E-2</v>
      </c>
      <c r="H71" s="17">
        <v>7.4999999999999997E-2</v>
      </c>
      <c r="I71" s="9">
        <v>47770</v>
      </c>
      <c r="J71" s="9">
        <v>17940</v>
      </c>
      <c r="K71" s="10">
        <f t="shared" si="0"/>
        <v>29830</v>
      </c>
      <c r="L71" s="10">
        <v>5291</v>
      </c>
      <c r="M71" s="11" t="s">
        <v>31</v>
      </c>
      <c r="N71" s="12">
        <v>29830</v>
      </c>
      <c r="O71" s="13" t="s">
        <v>32</v>
      </c>
      <c r="P71" s="14"/>
    </row>
    <row r="72" spans="1:18" x14ac:dyDescent="0.25">
      <c r="A72" s="6"/>
      <c r="B72" s="7">
        <v>44231</v>
      </c>
      <c r="C72" s="8" t="s">
        <v>147</v>
      </c>
      <c r="D72" s="8" t="s">
        <v>910</v>
      </c>
      <c r="E72" s="9" t="s">
        <v>911</v>
      </c>
      <c r="F72" s="9" t="s">
        <v>338</v>
      </c>
      <c r="G72" s="17">
        <v>8.1944444444444445E-2</v>
      </c>
      <c r="H72" s="17">
        <v>0.11527777777777777</v>
      </c>
      <c r="I72" s="9">
        <v>50090</v>
      </c>
      <c r="J72" s="9">
        <v>19040</v>
      </c>
      <c r="K72" s="10">
        <f t="shared" ref="K72:K137" si="1">+I72-J72</f>
        <v>31050</v>
      </c>
      <c r="L72" s="10">
        <v>5292</v>
      </c>
      <c r="M72" s="11" t="s">
        <v>31</v>
      </c>
      <c r="N72" s="12">
        <v>68530</v>
      </c>
      <c r="O72" s="13" t="s">
        <v>32</v>
      </c>
      <c r="P72" s="14"/>
    </row>
    <row r="73" spans="1:18" x14ac:dyDescent="0.25">
      <c r="A73" s="6"/>
      <c r="B73" s="7">
        <v>44231</v>
      </c>
      <c r="C73" s="8" t="s">
        <v>871</v>
      </c>
      <c r="D73" s="8" t="s">
        <v>86</v>
      </c>
      <c r="E73" s="9" t="s">
        <v>87</v>
      </c>
      <c r="F73" s="9" t="s">
        <v>88</v>
      </c>
      <c r="G73" s="17">
        <v>0.12291666666666667</v>
      </c>
      <c r="H73" s="17">
        <v>0.24583333333333335</v>
      </c>
      <c r="I73" s="9">
        <v>34530</v>
      </c>
      <c r="J73" s="9">
        <v>17230</v>
      </c>
      <c r="K73" s="10">
        <f t="shared" si="1"/>
        <v>17300</v>
      </c>
      <c r="L73" s="10">
        <v>738</v>
      </c>
      <c r="M73" s="11" t="s">
        <v>442</v>
      </c>
      <c r="N73" s="12">
        <v>16753</v>
      </c>
      <c r="O73" s="13" t="s">
        <v>32</v>
      </c>
      <c r="P73" s="14"/>
    </row>
    <row r="74" spans="1:18" s="76" customFormat="1" x14ac:dyDescent="0.25">
      <c r="A74" s="66"/>
      <c r="B74" s="67">
        <v>44231</v>
      </c>
      <c r="C74" s="68" t="s">
        <v>912</v>
      </c>
      <c r="D74" s="68" t="s">
        <v>913</v>
      </c>
      <c r="E74" s="69" t="s">
        <v>914</v>
      </c>
      <c r="F74" s="69" t="s">
        <v>128</v>
      </c>
      <c r="G74" s="70">
        <v>0.31041666666666667</v>
      </c>
      <c r="H74" s="70">
        <v>0.31875000000000003</v>
      </c>
      <c r="I74" s="69">
        <v>6180</v>
      </c>
      <c r="J74" s="69">
        <v>5640</v>
      </c>
      <c r="K74" s="71">
        <f t="shared" si="1"/>
        <v>540</v>
      </c>
      <c r="L74" s="71">
        <v>22017</v>
      </c>
      <c r="M74" s="72" t="s">
        <v>915</v>
      </c>
      <c r="N74" s="73">
        <v>540</v>
      </c>
      <c r="O74" s="74" t="s">
        <v>32</v>
      </c>
      <c r="P74" s="75"/>
    </row>
    <row r="75" spans="1:18" x14ac:dyDescent="0.25">
      <c r="A75" s="6"/>
      <c r="B75" s="7">
        <v>44231</v>
      </c>
      <c r="C75" s="8" t="s">
        <v>916</v>
      </c>
      <c r="D75" s="8" t="s">
        <v>917</v>
      </c>
      <c r="E75" s="9" t="s">
        <v>918</v>
      </c>
      <c r="F75" s="9" t="s">
        <v>338</v>
      </c>
      <c r="G75" s="17">
        <v>0.38194444444444442</v>
      </c>
      <c r="H75" s="17">
        <v>0.45208333333333334</v>
      </c>
      <c r="I75" s="9">
        <v>25240</v>
      </c>
      <c r="J75" s="9">
        <v>16630</v>
      </c>
      <c r="K75" s="10">
        <f t="shared" si="1"/>
        <v>8610</v>
      </c>
      <c r="L75" s="10">
        <v>2167</v>
      </c>
      <c r="M75" s="11" t="s">
        <v>919</v>
      </c>
      <c r="N75" s="12">
        <v>300</v>
      </c>
      <c r="O75" s="13" t="s">
        <v>32</v>
      </c>
      <c r="P75" s="14"/>
      <c r="Q75" s="1">
        <f>8610/300</f>
        <v>28.7</v>
      </c>
    </row>
    <row r="76" spans="1:18" x14ac:dyDescent="0.25">
      <c r="A76" s="6"/>
      <c r="B76" s="7">
        <v>44231</v>
      </c>
      <c r="C76" s="8" t="s">
        <v>921</v>
      </c>
      <c r="D76" s="8" t="s">
        <v>917</v>
      </c>
      <c r="E76" s="9" t="s">
        <v>918</v>
      </c>
      <c r="F76" s="9" t="s">
        <v>338</v>
      </c>
      <c r="G76" s="17">
        <v>0.45347222222222222</v>
      </c>
      <c r="H76" s="17">
        <v>0.46527777777777773</v>
      </c>
      <c r="I76" s="9">
        <v>16630</v>
      </c>
      <c r="J76" s="9">
        <v>17450</v>
      </c>
      <c r="K76" s="10">
        <f t="shared" si="1"/>
        <v>-820</v>
      </c>
      <c r="L76" s="10" t="s">
        <v>196</v>
      </c>
      <c r="M76" s="11" t="s">
        <v>922</v>
      </c>
      <c r="N76" s="12">
        <v>28</v>
      </c>
      <c r="O76" s="13" t="s">
        <v>32</v>
      </c>
      <c r="P76" s="14"/>
      <c r="R76" s="1">
        <f>+Q75*2</f>
        <v>57.4</v>
      </c>
    </row>
    <row r="77" spans="1:18" x14ac:dyDescent="0.25">
      <c r="A77" s="6"/>
      <c r="B77" s="7">
        <v>44231</v>
      </c>
      <c r="C77" s="8" t="s">
        <v>921</v>
      </c>
      <c r="D77" s="8" t="s">
        <v>917</v>
      </c>
      <c r="E77" s="9" t="s">
        <v>918</v>
      </c>
      <c r="F77" s="9" t="s">
        <v>338</v>
      </c>
      <c r="G77" s="17">
        <v>0.46527777777777773</v>
      </c>
      <c r="H77" s="17">
        <v>0.71458333333333324</v>
      </c>
      <c r="I77" s="9">
        <v>17450</v>
      </c>
      <c r="J77" s="9">
        <v>47900</v>
      </c>
      <c r="K77" s="10">
        <f t="shared" si="1"/>
        <v>-30450</v>
      </c>
      <c r="L77" s="10">
        <v>5748</v>
      </c>
      <c r="M77" s="11" t="s">
        <v>53</v>
      </c>
      <c r="N77" s="12">
        <v>600</v>
      </c>
      <c r="O77" s="13" t="s">
        <v>54</v>
      </c>
      <c r="P77" s="14"/>
      <c r="R77" s="18"/>
    </row>
    <row r="78" spans="1:18" x14ac:dyDescent="0.25">
      <c r="A78" s="6"/>
      <c r="B78" s="7">
        <v>44231</v>
      </c>
      <c r="C78" s="8" t="s">
        <v>923</v>
      </c>
      <c r="D78" s="8" t="s">
        <v>899</v>
      </c>
      <c r="E78" s="9" t="s">
        <v>220</v>
      </c>
      <c r="F78" s="9" t="s">
        <v>924</v>
      </c>
      <c r="G78" s="17">
        <v>0.67291666666666661</v>
      </c>
      <c r="H78" s="17">
        <v>0.72499999999999998</v>
      </c>
      <c r="I78" s="9">
        <v>16630</v>
      </c>
      <c r="J78" s="9">
        <v>7640</v>
      </c>
      <c r="K78" s="10">
        <f t="shared" si="1"/>
        <v>8990</v>
      </c>
      <c r="L78" s="10" t="s">
        <v>196</v>
      </c>
      <c r="M78" s="11" t="s">
        <v>925</v>
      </c>
      <c r="N78" s="12">
        <v>5200</v>
      </c>
      <c r="O78" s="13" t="s">
        <v>32</v>
      </c>
      <c r="P78" s="14"/>
    </row>
    <row r="79" spans="1:18" x14ac:dyDescent="0.25">
      <c r="A79" s="6"/>
      <c r="B79" s="7">
        <v>44231</v>
      </c>
      <c r="C79" s="8" t="s">
        <v>926</v>
      </c>
      <c r="D79" s="8" t="s">
        <v>899</v>
      </c>
      <c r="E79" s="9" t="s">
        <v>220</v>
      </c>
      <c r="F79" s="9" t="s">
        <v>924</v>
      </c>
      <c r="G79" s="17">
        <v>0.72569444444444453</v>
      </c>
      <c r="H79" s="17">
        <v>0.79305555555555562</v>
      </c>
      <c r="I79" s="9">
        <v>7640</v>
      </c>
      <c r="J79" s="9">
        <v>19400</v>
      </c>
      <c r="K79" s="10">
        <f t="shared" si="1"/>
        <v>-11760</v>
      </c>
      <c r="L79" s="10">
        <v>5749</v>
      </c>
      <c r="M79" s="11" t="s">
        <v>89</v>
      </c>
      <c r="N79" s="12">
        <v>11180</v>
      </c>
      <c r="O79" s="13" t="s">
        <v>32</v>
      </c>
      <c r="P79" s="14" t="s">
        <v>414</v>
      </c>
    </row>
    <row r="80" spans="1:18" x14ac:dyDescent="0.25">
      <c r="A80" s="6"/>
      <c r="B80" s="7">
        <v>44231</v>
      </c>
      <c r="C80" s="8" t="s">
        <v>927</v>
      </c>
      <c r="D80" s="8" t="s">
        <v>928</v>
      </c>
      <c r="E80" s="9" t="s">
        <v>858</v>
      </c>
      <c r="F80" s="9" t="s">
        <v>859</v>
      </c>
      <c r="G80" s="17">
        <v>0.73819444444444438</v>
      </c>
      <c r="H80" s="17">
        <v>0.74652777777777779</v>
      </c>
      <c r="I80" s="9">
        <v>11500</v>
      </c>
      <c r="J80" s="9">
        <v>9660</v>
      </c>
      <c r="K80" s="10">
        <f t="shared" si="1"/>
        <v>1840</v>
      </c>
      <c r="L80" s="10">
        <v>23301</v>
      </c>
      <c r="M80" s="11" t="s">
        <v>929</v>
      </c>
      <c r="N80" s="12">
        <v>1.8</v>
      </c>
      <c r="O80" s="13" t="s">
        <v>855</v>
      </c>
      <c r="P80" s="14"/>
    </row>
    <row r="81" spans="1:24" x14ac:dyDescent="0.25">
      <c r="A81" s="6"/>
      <c r="B81" s="7">
        <v>44231</v>
      </c>
      <c r="C81" s="8" t="s">
        <v>930</v>
      </c>
      <c r="D81" s="8" t="s">
        <v>931</v>
      </c>
      <c r="E81" s="9" t="s">
        <v>405</v>
      </c>
      <c r="F81" s="9" t="s">
        <v>932</v>
      </c>
      <c r="G81" s="17">
        <v>0.84166666666666667</v>
      </c>
      <c r="H81" s="17">
        <v>0.875</v>
      </c>
      <c r="I81" s="9">
        <v>44910</v>
      </c>
      <c r="J81" s="9">
        <v>18010</v>
      </c>
      <c r="K81" s="10">
        <f t="shared" si="1"/>
        <v>26900</v>
      </c>
      <c r="L81" s="10">
        <v>40274</v>
      </c>
      <c r="M81" s="11" t="s">
        <v>862</v>
      </c>
      <c r="N81" s="12">
        <v>26260</v>
      </c>
      <c r="O81" s="13" t="s">
        <v>32</v>
      </c>
      <c r="P81" s="14"/>
    </row>
    <row r="82" spans="1:24" s="76" customFormat="1" x14ac:dyDescent="0.25">
      <c r="A82" s="66"/>
      <c r="B82" s="67">
        <v>44231</v>
      </c>
      <c r="C82" s="68" t="s">
        <v>969</v>
      </c>
      <c r="D82" s="68" t="s">
        <v>933</v>
      </c>
      <c r="E82" s="69" t="s">
        <v>914</v>
      </c>
      <c r="F82" s="69" t="s">
        <v>128</v>
      </c>
      <c r="G82" s="70">
        <v>0.85555555555555562</v>
      </c>
      <c r="H82" s="70">
        <v>0.86388888888888893</v>
      </c>
      <c r="I82" s="69">
        <v>1050</v>
      </c>
      <c r="J82" s="69">
        <v>170</v>
      </c>
      <c r="K82" s="71">
        <f t="shared" ref="K82" si="2">+I82-J82</f>
        <v>880</v>
      </c>
      <c r="L82" s="71">
        <v>22025</v>
      </c>
      <c r="M82" s="72" t="s">
        <v>934</v>
      </c>
      <c r="N82" s="73">
        <v>880</v>
      </c>
      <c r="O82" s="74" t="s">
        <v>32</v>
      </c>
      <c r="P82" s="75"/>
    </row>
    <row r="83" spans="1:24" x14ac:dyDescent="0.25">
      <c r="A83" s="6"/>
      <c r="B83" s="7">
        <v>44231</v>
      </c>
      <c r="C83" s="8" t="s">
        <v>328</v>
      </c>
      <c r="D83" s="8" t="s">
        <v>530</v>
      </c>
      <c r="E83" s="9" t="s">
        <v>699</v>
      </c>
      <c r="F83" s="9" t="s">
        <v>140</v>
      </c>
      <c r="G83" s="17">
        <v>0.92361111111111116</v>
      </c>
      <c r="H83" s="17">
        <v>0.96458333333333324</v>
      </c>
      <c r="I83" s="9">
        <v>22660</v>
      </c>
      <c r="J83" s="9">
        <v>8260</v>
      </c>
      <c r="K83" s="10">
        <f t="shared" si="1"/>
        <v>14400</v>
      </c>
      <c r="L83" s="10">
        <v>1517</v>
      </c>
      <c r="M83" s="11" t="s">
        <v>48</v>
      </c>
      <c r="N83" s="12">
        <v>28337.1</v>
      </c>
      <c r="O83" s="13" t="s">
        <v>49</v>
      </c>
      <c r="P83" s="14"/>
    </row>
    <row r="84" spans="1:24" x14ac:dyDescent="0.25">
      <c r="A84" s="6"/>
      <c r="B84" s="7">
        <v>44231</v>
      </c>
      <c r="C84" s="8" t="s">
        <v>37</v>
      </c>
      <c r="D84" s="8" t="s">
        <v>122</v>
      </c>
      <c r="E84" s="9" t="s">
        <v>719</v>
      </c>
      <c r="F84" s="9" t="s">
        <v>36</v>
      </c>
      <c r="G84" s="17">
        <v>0.92986111111111114</v>
      </c>
      <c r="H84" s="17">
        <v>0.9555555555555556</v>
      </c>
      <c r="I84" s="9">
        <v>17470</v>
      </c>
      <c r="J84" s="9">
        <v>6460</v>
      </c>
      <c r="K84" s="10">
        <f t="shared" si="1"/>
        <v>11010</v>
      </c>
      <c r="L84" s="10">
        <v>26429</v>
      </c>
      <c r="M84" s="11" t="s">
        <v>864</v>
      </c>
      <c r="N84" s="12">
        <v>11010</v>
      </c>
      <c r="O84" s="13" t="s">
        <v>32</v>
      </c>
      <c r="P84" s="14"/>
      <c r="S84" s="1" t="s">
        <v>91</v>
      </c>
      <c r="T84" s="1">
        <v>57</v>
      </c>
      <c r="U84" s="1">
        <f>6+3</f>
        <v>9</v>
      </c>
      <c r="V84" s="1">
        <f>+U84*T84</f>
        <v>513</v>
      </c>
    </row>
    <row r="85" spans="1:24" x14ac:dyDescent="0.25">
      <c r="A85" s="6"/>
      <c r="B85" s="7">
        <v>44232</v>
      </c>
      <c r="C85" s="8" t="s">
        <v>871</v>
      </c>
      <c r="D85" s="8" t="s">
        <v>299</v>
      </c>
      <c r="E85" s="9" t="s">
        <v>813</v>
      </c>
      <c r="F85" s="9" t="s">
        <v>814</v>
      </c>
      <c r="G85" s="17">
        <v>0.19930555555555554</v>
      </c>
      <c r="H85" s="17">
        <v>0.21666666666666667</v>
      </c>
      <c r="I85" s="9">
        <v>32550</v>
      </c>
      <c r="J85" s="9">
        <v>15370</v>
      </c>
      <c r="K85" s="10">
        <f t="shared" si="1"/>
        <v>17180</v>
      </c>
      <c r="L85" s="10">
        <v>739</v>
      </c>
      <c r="M85" s="11" t="s">
        <v>684</v>
      </c>
      <c r="N85" s="12">
        <v>17498</v>
      </c>
      <c r="O85" s="13" t="s">
        <v>32</v>
      </c>
      <c r="P85" s="14"/>
      <c r="S85" s="1" t="s">
        <v>90</v>
      </c>
      <c r="T85" s="1">
        <v>58</v>
      </c>
      <c r="U85" s="1">
        <f>4+7</f>
        <v>11</v>
      </c>
      <c r="V85" s="1">
        <f>+U85*T85</f>
        <v>638</v>
      </c>
    </row>
    <row r="86" spans="1:24" x14ac:dyDescent="0.25">
      <c r="A86" s="6"/>
      <c r="B86" s="7">
        <v>44232</v>
      </c>
      <c r="C86" s="8" t="s">
        <v>835</v>
      </c>
      <c r="D86" s="8" t="s">
        <v>392</v>
      </c>
      <c r="E86" s="9" t="s">
        <v>867</v>
      </c>
      <c r="F86" s="9" t="s">
        <v>297</v>
      </c>
      <c r="G86" s="17">
        <v>0.20208333333333331</v>
      </c>
      <c r="H86" s="17">
        <v>0.3888888888888889</v>
      </c>
      <c r="I86" s="9">
        <v>8050</v>
      </c>
      <c r="J86" s="9">
        <v>6480</v>
      </c>
      <c r="K86" s="10">
        <f t="shared" si="1"/>
        <v>1570</v>
      </c>
      <c r="L86" s="10">
        <v>3783</v>
      </c>
      <c r="M86" s="11" t="s">
        <v>718</v>
      </c>
      <c r="N86" s="12">
        <v>3248</v>
      </c>
      <c r="O86" s="13" t="s">
        <v>49</v>
      </c>
      <c r="P86" s="14"/>
      <c r="U86" s="1">
        <f>+U85+U84</f>
        <v>20</v>
      </c>
      <c r="V86" s="1">
        <f>+V85+V84</f>
        <v>1151</v>
      </c>
      <c r="W86" s="1">
        <v>23250</v>
      </c>
      <c r="X86" s="1">
        <f>+W86-V86</f>
        <v>22099</v>
      </c>
    </row>
    <row r="87" spans="1:24" x14ac:dyDescent="0.25">
      <c r="A87" s="6"/>
      <c r="B87" s="7">
        <v>44232</v>
      </c>
      <c r="C87" s="8" t="s">
        <v>85</v>
      </c>
      <c r="D87" s="8" t="s">
        <v>935</v>
      </c>
      <c r="E87" s="9" t="s">
        <v>473</v>
      </c>
      <c r="F87" s="9" t="s">
        <v>36</v>
      </c>
      <c r="G87" s="17">
        <v>0.23750000000000002</v>
      </c>
      <c r="H87" s="17">
        <v>0.36249999999999999</v>
      </c>
      <c r="I87" s="9">
        <v>16160</v>
      </c>
      <c r="J87" s="9">
        <v>39410</v>
      </c>
      <c r="K87" s="10">
        <f t="shared" si="1"/>
        <v>-23250</v>
      </c>
      <c r="L87" s="10">
        <v>5751</v>
      </c>
      <c r="M87" s="11" t="s">
        <v>89</v>
      </c>
      <c r="N87" s="12">
        <v>22099</v>
      </c>
      <c r="O87" s="13" t="s">
        <v>32</v>
      </c>
      <c r="P87" s="14" t="s">
        <v>753</v>
      </c>
    </row>
    <row r="88" spans="1:24" s="76" customFormat="1" x14ac:dyDescent="0.25">
      <c r="A88" s="66"/>
      <c r="B88" s="67">
        <v>44232</v>
      </c>
      <c r="C88" s="68" t="s">
        <v>912</v>
      </c>
      <c r="D88" s="68" t="s">
        <v>933</v>
      </c>
      <c r="E88" s="69" t="s">
        <v>914</v>
      </c>
      <c r="F88" s="69" t="s">
        <v>128</v>
      </c>
      <c r="G88" s="70">
        <v>0.4069444444444445</v>
      </c>
      <c r="H88" s="70">
        <v>0.41041666666666665</v>
      </c>
      <c r="I88" s="69">
        <v>560</v>
      </c>
      <c r="J88" s="69">
        <v>170</v>
      </c>
      <c r="K88" s="71">
        <f t="shared" si="1"/>
        <v>390</v>
      </c>
      <c r="L88" s="71" t="s">
        <v>196</v>
      </c>
      <c r="M88" s="72" t="s">
        <v>936</v>
      </c>
      <c r="N88" s="73">
        <v>390</v>
      </c>
      <c r="O88" s="74" t="s">
        <v>32</v>
      </c>
      <c r="P88" s="75"/>
    </row>
    <row r="89" spans="1:24" x14ac:dyDescent="0.25">
      <c r="A89" s="6"/>
      <c r="B89" s="7">
        <v>44232</v>
      </c>
      <c r="C89" s="8" t="s">
        <v>185</v>
      </c>
      <c r="D89" s="8" t="s">
        <v>938</v>
      </c>
      <c r="E89" s="9" t="s">
        <v>939</v>
      </c>
      <c r="F89" s="9" t="s">
        <v>36</v>
      </c>
      <c r="G89" s="17">
        <v>0.56180555555555556</v>
      </c>
      <c r="H89" s="17">
        <v>0.58750000000000002</v>
      </c>
      <c r="I89" s="9">
        <v>8320</v>
      </c>
      <c r="J89" s="9">
        <v>4550</v>
      </c>
      <c r="K89" s="10">
        <f t="shared" si="1"/>
        <v>3770</v>
      </c>
      <c r="L89" s="10" t="s">
        <v>937</v>
      </c>
      <c r="M89" s="11" t="s">
        <v>940</v>
      </c>
      <c r="N89" s="12">
        <f>4742+13000+13000</f>
        <v>30742</v>
      </c>
      <c r="O89" s="13" t="s">
        <v>54</v>
      </c>
      <c r="P89" s="14"/>
    </row>
    <row r="90" spans="1:24" x14ac:dyDescent="0.25">
      <c r="A90" s="6"/>
      <c r="B90" s="7">
        <v>44232</v>
      </c>
      <c r="C90" s="8" t="s">
        <v>941</v>
      </c>
      <c r="D90" s="8" t="s">
        <v>143</v>
      </c>
      <c r="E90" s="9" t="s">
        <v>144</v>
      </c>
      <c r="F90" s="9" t="s">
        <v>626</v>
      </c>
      <c r="G90" s="17">
        <v>0.56458333333333333</v>
      </c>
      <c r="H90" s="17">
        <v>0.65625</v>
      </c>
      <c r="I90" s="9">
        <v>29185</v>
      </c>
      <c r="J90" s="9">
        <v>15690</v>
      </c>
      <c r="K90" s="10">
        <f t="shared" si="1"/>
        <v>13495</v>
      </c>
      <c r="L90" s="10">
        <v>23302</v>
      </c>
      <c r="M90" s="11" t="s">
        <v>942</v>
      </c>
      <c r="N90" s="12">
        <v>13495</v>
      </c>
      <c r="O90" s="13" t="s">
        <v>32</v>
      </c>
      <c r="P90" s="14" t="s">
        <v>943</v>
      </c>
    </row>
    <row r="91" spans="1:24" x14ac:dyDescent="0.25">
      <c r="A91" s="6"/>
      <c r="B91" s="7">
        <v>44232</v>
      </c>
      <c r="C91" s="8" t="s">
        <v>98</v>
      </c>
      <c r="D91" s="8" t="s">
        <v>878</v>
      </c>
      <c r="E91" s="9" t="s">
        <v>879</v>
      </c>
      <c r="F91" s="9" t="s">
        <v>36</v>
      </c>
      <c r="G91" s="17">
        <v>0.56805555555555554</v>
      </c>
      <c r="H91" s="17">
        <v>0.63750000000000007</v>
      </c>
      <c r="I91" s="9">
        <v>48950</v>
      </c>
      <c r="J91" s="9">
        <v>17560</v>
      </c>
      <c r="K91" s="10">
        <f t="shared" si="1"/>
        <v>31390</v>
      </c>
      <c r="L91" s="10">
        <v>5746</v>
      </c>
      <c r="M91" s="11" t="s">
        <v>944</v>
      </c>
      <c r="N91" s="12">
        <v>600</v>
      </c>
      <c r="O91" s="13" t="s">
        <v>54</v>
      </c>
      <c r="P91" s="14" t="s">
        <v>945</v>
      </c>
    </row>
    <row r="92" spans="1:24" x14ac:dyDescent="0.25">
      <c r="A92" s="6"/>
      <c r="B92" s="7">
        <v>44232</v>
      </c>
      <c r="C92" s="8" t="s">
        <v>946</v>
      </c>
      <c r="D92" s="8" t="s">
        <v>928</v>
      </c>
      <c r="E92" s="9" t="s">
        <v>947</v>
      </c>
      <c r="F92" s="9" t="s">
        <v>948</v>
      </c>
      <c r="G92" s="17">
        <v>0.60763888888888895</v>
      </c>
      <c r="H92" s="17">
        <v>0.64027777777777783</v>
      </c>
      <c r="I92" s="9">
        <v>11380</v>
      </c>
      <c r="J92" s="9">
        <v>7430</v>
      </c>
      <c r="K92" s="10">
        <f t="shared" si="1"/>
        <v>3950</v>
      </c>
      <c r="L92" s="10">
        <v>23303</v>
      </c>
      <c r="M92" s="11" t="s">
        <v>949</v>
      </c>
      <c r="N92" s="12">
        <v>4.2</v>
      </c>
      <c r="O92" s="13" t="s">
        <v>855</v>
      </c>
      <c r="P92" s="14"/>
    </row>
    <row r="93" spans="1:24" x14ac:dyDescent="0.25">
      <c r="A93" s="6"/>
      <c r="B93" s="7">
        <v>44232</v>
      </c>
      <c r="C93" s="8" t="s">
        <v>130</v>
      </c>
      <c r="D93" s="8" t="s">
        <v>86</v>
      </c>
      <c r="E93" s="9" t="s">
        <v>87</v>
      </c>
      <c r="F93" s="9" t="s">
        <v>88</v>
      </c>
      <c r="G93" s="17">
        <v>0.68472222222222223</v>
      </c>
      <c r="H93" s="17">
        <v>0.32847222222222222</v>
      </c>
      <c r="I93" s="9">
        <v>17350</v>
      </c>
      <c r="J93" s="9">
        <v>27440</v>
      </c>
      <c r="K93" s="10">
        <f t="shared" si="1"/>
        <v>-10090</v>
      </c>
      <c r="L93" s="10">
        <v>15511</v>
      </c>
      <c r="M93" s="11" t="s">
        <v>287</v>
      </c>
      <c r="N93" s="12">
        <v>10090</v>
      </c>
      <c r="O93" s="13" t="s">
        <v>32</v>
      </c>
      <c r="P93" s="14"/>
    </row>
    <row r="94" spans="1:24" x14ac:dyDescent="0.25">
      <c r="A94" s="6"/>
      <c r="B94" s="7">
        <v>44232</v>
      </c>
      <c r="C94" s="8" t="s">
        <v>328</v>
      </c>
      <c r="D94" s="8" t="s">
        <v>617</v>
      </c>
      <c r="E94" s="9" t="s">
        <v>35</v>
      </c>
      <c r="F94" s="9" t="s">
        <v>338</v>
      </c>
      <c r="G94" s="17">
        <v>0.68680555555555556</v>
      </c>
      <c r="H94" s="17">
        <v>0.7104166666666667</v>
      </c>
      <c r="I94" s="9">
        <v>12220</v>
      </c>
      <c r="J94" s="9">
        <v>5290</v>
      </c>
      <c r="K94" s="10">
        <f t="shared" si="1"/>
        <v>6930</v>
      </c>
      <c r="L94" s="10">
        <v>1518</v>
      </c>
      <c r="M94" s="11" t="s">
        <v>718</v>
      </c>
      <c r="N94" s="12">
        <v>15700.5</v>
      </c>
      <c r="O94" s="13" t="s">
        <v>49</v>
      </c>
      <c r="P94" s="14"/>
    </row>
    <row r="95" spans="1:24" x14ac:dyDescent="0.25">
      <c r="A95" s="6"/>
      <c r="B95" s="7">
        <v>44232</v>
      </c>
      <c r="C95" s="8" t="s">
        <v>950</v>
      </c>
      <c r="D95" s="8" t="s">
        <v>928</v>
      </c>
      <c r="E95" s="9" t="s">
        <v>947</v>
      </c>
      <c r="F95" s="9" t="s">
        <v>948</v>
      </c>
      <c r="G95" s="17">
        <v>0.6875</v>
      </c>
      <c r="H95" s="17">
        <v>0.69513888888888886</v>
      </c>
      <c r="I95" s="9">
        <v>9320</v>
      </c>
      <c r="J95" s="9">
        <v>7420</v>
      </c>
      <c r="K95" s="10">
        <f t="shared" si="1"/>
        <v>1900</v>
      </c>
      <c r="L95" s="10">
        <v>23304</v>
      </c>
      <c r="M95" s="11" t="s">
        <v>951</v>
      </c>
      <c r="N95" s="12">
        <v>2.2000000000000002</v>
      </c>
      <c r="O95" s="13" t="s">
        <v>855</v>
      </c>
      <c r="P95" s="14"/>
    </row>
    <row r="96" spans="1:24" x14ac:dyDescent="0.25">
      <c r="A96" s="6"/>
      <c r="B96" s="7">
        <v>44232</v>
      </c>
      <c r="C96" s="8" t="s">
        <v>952</v>
      </c>
      <c r="D96" s="8" t="s">
        <v>928</v>
      </c>
      <c r="E96" s="9" t="s">
        <v>947</v>
      </c>
      <c r="F96" s="9" t="s">
        <v>948</v>
      </c>
      <c r="G96" s="17">
        <v>0.76944444444444438</v>
      </c>
      <c r="H96" s="17">
        <v>0.78263888888888899</v>
      </c>
      <c r="I96" s="9">
        <v>7990</v>
      </c>
      <c r="J96" s="9">
        <v>7420</v>
      </c>
      <c r="K96" s="10">
        <f t="shared" si="1"/>
        <v>570</v>
      </c>
      <c r="L96" s="10">
        <v>23305</v>
      </c>
      <c r="M96" s="11" t="s">
        <v>953</v>
      </c>
      <c r="N96" s="12">
        <v>570</v>
      </c>
      <c r="O96" s="13" t="s">
        <v>32</v>
      </c>
      <c r="P96" s="14" t="s">
        <v>883</v>
      </c>
    </row>
    <row r="97" spans="1:495" x14ac:dyDescent="0.25">
      <c r="A97" s="6"/>
      <c r="B97" s="7">
        <v>44232</v>
      </c>
      <c r="C97" s="8" t="s">
        <v>957</v>
      </c>
      <c r="D97" s="8" t="s">
        <v>954</v>
      </c>
      <c r="E97" s="9" t="s">
        <v>955</v>
      </c>
      <c r="F97" s="9" t="s">
        <v>956</v>
      </c>
      <c r="G97" s="17">
        <v>0.7729166666666667</v>
      </c>
      <c r="H97" s="17">
        <v>7.0833333333333331E-2</v>
      </c>
      <c r="I97" s="9">
        <v>9270</v>
      </c>
      <c r="J97" s="9">
        <v>7570</v>
      </c>
      <c r="K97" s="10">
        <f t="shared" si="1"/>
        <v>1700</v>
      </c>
      <c r="L97" s="10">
        <v>3034</v>
      </c>
      <c r="M97" s="11" t="s">
        <v>958</v>
      </c>
      <c r="N97" s="12">
        <v>20</v>
      </c>
      <c r="O97" s="13" t="s">
        <v>80</v>
      </c>
      <c r="P97" s="14"/>
      <c r="Q97" s="20"/>
    </row>
    <row r="98" spans="1:495" x14ac:dyDescent="0.25">
      <c r="A98" s="6"/>
      <c r="B98" s="7">
        <v>44232</v>
      </c>
      <c r="C98" s="8" t="s">
        <v>443</v>
      </c>
      <c r="D98" s="8" t="s">
        <v>961</v>
      </c>
      <c r="E98" s="9" t="s">
        <v>337</v>
      </c>
      <c r="F98" s="9" t="s">
        <v>36</v>
      </c>
      <c r="G98" s="17">
        <v>0.78125</v>
      </c>
      <c r="H98" s="17">
        <v>0.89166666666666661</v>
      </c>
      <c r="I98" s="9">
        <v>19120</v>
      </c>
      <c r="J98" s="9">
        <v>8010</v>
      </c>
      <c r="K98" s="10">
        <f t="shared" si="1"/>
        <v>11110</v>
      </c>
      <c r="L98" s="10" t="s">
        <v>959</v>
      </c>
      <c r="M98" s="11" t="s">
        <v>960</v>
      </c>
      <c r="N98" s="12">
        <v>11206</v>
      </c>
      <c r="O98" s="13" t="s">
        <v>32</v>
      </c>
      <c r="P98" s="14"/>
      <c r="U98" s="1" t="e">
        <v>#VALUE!</v>
      </c>
    </row>
    <row r="99" spans="1:495" x14ac:dyDescent="0.25">
      <c r="A99" s="6"/>
      <c r="B99" s="7">
        <v>44232</v>
      </c>
      <c r="C99" s="8" t="s">
        <v>962</v>
      </c>
      <c r="D99" s="8" t="s">
        <v>963</v>
      </c>
      <c r="E99" s="9" t="s">
        <v>964</v>
      </c>
      <c r="F99" s="9" t="s">
        <v>36</v>
      </c>
      <c r="G99" s="17">
        <v>0.81527777777777777</v>
      </c>
      <c r="H99" s="17">
        <v>0.83680555555555547</v>
      </c>
      <c r="I99" s="9">
        <v>4340</v>
      </c>
      <c r="J99" s="9">
        <v>1780</v>
      </c>
      <c r="K99" s="10">
        <f t="shared" si="1"/>
        <v>2560</v>
      </c>
      <c r="L99" s="10">
        <v>26430</v>
      </c>
      <c r="M99" s="11" t="s">
        <v>965</v>
      </c>
      <c r="N99" s="12">
        <v>2560</v>
      </c>
      <c r="O99" s="13" t="s">
        <v>32</v>
      </c>
      <c r="P99" s="14"/>
    </row>
    <row r="100" spans="1:495" x14ac:dyDescent="0.25">
      <c r="A100" s="6"/>
      <c r="B100" s="7">
        <v>44232</v>
      </c>
      <c r="C100" s="8" t="s">
        <v>930</v>
      </c>
      <c r="D100" s="8" t="s">
        <v>931</v>
      </c>
      <c r="E100" s="9" t="s">
        <v>405</v>
      </c>
      <c r="F100" s="9" t="s">
        <v>932</v>
      </c>
      <c r="G100" s="17">
        <v>0.84305555555555556</v>
      </c>
      <c r="H100" s="17">
        <v>0.38611111111111113</v>
      </c>
      <c r="I100" s="9">
        <v>43430</v>
      </c>
      <c r="J100" s="9">
        <v>18180</v>
      </c>
      <c r="K100" s="10">
        <f t="shared" si="1"/>
        <v>25250</v>
      </c>
      <c r="L100" s="10">
        <v>40296</v>
      </c>
      <c r="M100" s="11" t="s">
        <v>862</v>
      </c>
      <c r="N100" s="12">
        <v>25440</v>
      </c>
      <c r="O100" s="13" t="s">
        <v>32</v>
      </c>
      <c r="P100" s="14"/>
    </row>
    <row r="101" spans="1:495" x14ac:dyDescent="0.25">
      <c r="A101" s="6"/>
      <c r="B101" s="7">
        <v>44232</v>
      </c>
      <c r="C101" s="8" t="s">
        <v>962</v>
      </c>
      <c r="D101" s="8" t="s">
        <v>928</v>
      </c>
      <c r="E101" s="9" t="s">
        <v>947</v>
      </c>
      <c r="F101" s="9" t="s">
        <v>948</v>
      </c>
      <c r="G101" s="17">
        <v>0.89583333333333337</v>
      </c>
      <c r="H101" s="17">
        <v>0.90555555555555556</v>
      </c>
      <c r="I101" s="9">
        <v>11250</v>
      </c>
      <c r="J101" s="9">
        <v>7410</v>
      </c>
      <c r="K101" s="10">
        <f t="shared" si="1"/>
        <v>3840</v>
      </c>
      <c r="L101" s="10">
        <v>26431</v>
      </c>
      <c r="M101" s="11" t="s">
        <v>966</v>
      </c>
      <c r="N101" s="12">
        <v>3840</v>
      </c>
      <c r="O101" s="13" t="s">
        <v>32</v>
      </c>
      <c r="P101" s="14"/>
    </row>
    <row r="102" spans="1:495" x14ac:dyDescent="0.25">
      <c r="A102" s="6"/>
      <c r="B102" s="7">
        <v>44232</v>
      </c>
      <c r="C102" s="8" t="s">
        <v>37</v>
      </c>
      <c r="D102" s="8" t="s">
        <v>122</v>
      </c>
      <c r="E102" s="9" t="s">
        <v>967</v>
      </c>
      <c r="F102" s="9" t="s">
        <v>36</v>
      </c>
      <c r="G102" s="17">
        <v>0.94652777777777775</v>
      </c>
      <c r="H102" s="17">
        <v>8.6805555555555566E-2</v>
      </c>
      <c r="I102" s="9">
        <v>19550</v>
      </c>
      <c r="J102" s="9">
        <v>6380</v>
      </c>
      <c r="K102" s="10">
        <f t="shared" si="1"/>
        <v>13170</v>
      </c>
      <c r="L102" s="60">
        <v>26432</v>
      </c>
      <c r="M102" s="11" t="s">
        <v>864</v>
      </c>
      <c r="N102" s="12">
        <v>13170</v>
      </c>
      <c r="O102" s="13" t="s">
        <v>32</v>
      </c>
      <c r="P102" s="14">
        <v>44</v>
      </c>
    </row>
    <row r="103" spans="1:495" x14ac:dyDescent="0.25">
      <c r="A103" s="6"/>
      <c r="B103" s="7">
        <v>44232</v>
      </c>
      <c r="C103" s="8" t="s">
        <v>328</v>
      </c>
      <c r="D103" s="8" t="s">
        <v>180</v>
      </c>
      <c r="E103" s="9" t="s">
        <v>181</v>
      </c>
      <c r="F103" s="9" t="s">
        <v>36</v>
      </c>
      <c r="G103" s="17">
        <v>0.99652777777777779</v>
      </c>
      <c r="H103" s="17">
        <v>5.9722222222222225E-2</v>
      </c>
      <c r="I103" s="9">
        <v>9450</v>
      </c>
      <c r="J103" s="9">
        <v>4090</v>
      </c>
      <c r="K103" s="10">
        <f t="shared" si="1"/>
        <v>5360</v>
      </c>
      <c r="L103" s="10">
        <v>1519</v>
      </c>
      <c r="M103" s="11" t="s">
        <v>718</v>
      </c>
      <c r="N103" s="12">
        <v>5360</v>
      </c>
      <c r="O103" s="13" t="s">
        <v>32</v>
      </c>
      <c r="P103" s="14"/>
    </row>
    <row r="104" spans="1:495" x14ac:dyDescent="0.25">
      <c r="A104" s="6"/>
      <c r="B104" s="7">
        <v>44233</v>
      </c>
      <c r="C104" s="68" t="s">
        <v>969</v>
      </c>
      <c r="D104" s="68" t="s">
        <v>602</v>
      </c>
      <c r="E104" s="69" t="s">
        <v>277</v>
      </c>
      <c r="F104" s="69" t="s">
        <v>128</v>
      </c>
      <c r="G104" s="77">
        <v>2.6388888888888889E-2</v>
      </c>
      <c r="H104" s="70">
        <v>2.8472222222222222E-2</v>
      </c>
      <c r="I104" s="69">
        <v>6540</v>
      </c>
      <c r="J104" s="69">
        <v>5580</v>
      </c>
      <c r="K104" s="10">
        <f t="shared" si="1"/>
        <v>960</v>
      </c>
      <c r="L104" s="71">
        <v>26429</v>
      </c>
      <c r="M104" s="72" t="s">
        <v>968</v>
      </c>
      <c r="N104" s="73">
        <v>960</v>
      </c>
      <c r="O104" s="74" t="s">
        <v>32</v>
      </c>
      <c r="P104" s="75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  <c r="GE104" s="76"/>
      <c r="GF104" s="76"/>
      <c r="GG104" s="76"/>
      <c r="GH104" s="76"/>
      <c r="GI104" s="76"/>
      <c r="GJ104" s="76"/>
      <c r="GK104" s="76"/>
      <c r="GL104" s="76"/>
      <c r="GM104" s="76"/>
      <c r="GN104" s="76"/>
      <c r="GO104" s="76"/>
      <c r="GP104" s="76"/>
      <c r="GQ104" s="76"/>
      <c r="GR104" s="76"/>
      <c r="GS104" s="76"/>
      <c r="GT104" s="76"/>
      <c r="GU104" s="76"/>
      <c r="GV104" s="76"/>
      <c r="GW104" s="76"/>
      <c r="GX104" s="76"/>
      <c r="GY104" s="76"/>
      <c r="GZ104" s="76"/>
      <c r="HA104" s="76"/>
      <c r="HB104" s="76"/>
      <c r="HC104" s="76"/>
      <c r="HD104" s="76"/>
      <c r="HE104" s="76"/>
      <c r="HF104" s="76"/>
      <c r="HG104" s="76"/>
      <c r="HH104" s="76"/>
      <c r="HI104" s="76"/>
      <c r="HJ104" s="76"/>
      <c r="HK104" s="76"/>
      <c r="HL104" s="76"/>
      <c r="HM104" s="76"/>
      <c r="HN104" s="76"/>
      <c r="HO104" s="76"/>
      <c r="HP104" s="76"/>
      <c r="HQ104" s="76"/>
      <c r="HR104" s="76"/>
      <c r="HS104" s="76"/>
      <c r="HT104" s="76"/>
      <c r="HU104" s="76"/>
      <c r="HV104" s="76"/>
      <c r="HW104" s="76"/>
      <c r="HX104" s="76"/>
      <c r="HY104" s="76"/>
      <c r="HZ104" s="76"/>
      <c r="IA104" s="76"/>
      <c r="IB104" s="76"/>
      <c r="IC104" s="76"/>
      <c r="ID104" s="76"/>
      <c r="IE104" s="76"/>
      <c r="IF104" s="76"/>
      <c r="IG104" s="76"/>
      <c r="IH104" s="76"/>
      <c r="II104" s="76"/>
      <c r="IJ104" s="76"/>
      <c r="IK104" s="76"/>
      <c r="IL104" s="76"/>
      <c r="IM104" s="76"/>
      <c r="IN104" s="76"/>
      <c r="IO104" s="76"/>
      <c r="IP104" s="76"/>
      <c r="IQ104" s="76"/>
      <c r="IR104" s="76"/>
      <c r="IS104" s="76"/>
      <c r="IT104" s="76"/>
      <c r="IU104" s="76"/>
      <c r="IV104" s="76"/>
      <c r="IW104" s="76"/>
      <c r="IX104" s="76"/>
      <c r="IY104" s="76"/>
      <c r="IZ104" s="76"/>
      <c r="JA104" s="76"/>
      <c r="JB104" s="76"/>
      <c r="JC104" s="76"/>
      <c r="JD104" s="76"/>
      <c r="JE104" s="76"/>
      <c r="JF104" s="76"/>
      <c r="JG104" s="76"/>
      <c r="JH104" s="76"/>
      <c r="JI104" s="76"/>
      <c r="JJ104" s="76"/>
      <c r="JK104" s="76"/>
      <c r="JL104" s="76"/>
      <c r="JM104" s="76"/>
      <c r="JN104" s="76"/>
      <c r="JO104" s="76"/>
      <c r="JP104" s="76"/>
      <c r="JQ104" s="76"/>
      <c r="JR104" s="76"/>
      <c r="JS104" s="76"/>
      <c r="JT104" s="76"/>
      <c r="JU104" s="76"/>
      <c r="JV104" s="76"/>
      <c r="JW104" s="76"/>
      <c r="JX104" s="76"/>
      <c r="JY104" s="76"/>
      <c r="JZ104" s="76"/>
      <c r="KA104" s="76"/>
      <c r="KB104" s="76"/>
      <c r="KC104" s="76"/>
      <c r="KD104" s="76"/>
      <c r="KE104" s="76"/>
      <c r="KF104" s="76"/>
      <c r="KG104" s="76"/>
      <c r="KH104" s="76"/>
      <c r="KI104" s="76"/>
      <c r="KJ104" s="76"/>
      <c r="KK104" s="76"/>
      <c r="KL104" s="76"/>
      <c r="KM104" s="76"/>
      <c r="KN104" s="76"/>
      <c r="KO104" s="76"/>
      <c r="KP104" s="76"/>
      <c r="KQ104" s="76"/>
      <c r="KR104" s="76"/>
      <c r="KS104" s="76"/>
      <c r="KT104" s="76"/>
      <c r="KU104" s="76"/>
      <c r="KV104" s="76"/>
      <c r="KW104" s="76"/>
      <c r="KX104" s="76"/>
      <c r="KY104" s="76"/>
      <c r="KZ104" s="76"/>
      <c r="LA104" s="76"/>
      <c r="LB104" s="76"/>
      <c r="LC104" s="76"/>
      <c r="LD104" s="76"/>
      <c r="LE104" s="76"/>
      <c r="LF104" s="76"/>
      <c r="LG104" s="76"/>
      <c r="LH104" s="76"/>
      <c r="LI104" s="76"/>
      <c r="LJ104" s="76"/>
      <c r="LK104" s="76"/>
      <c r="LL104" s="76"/>
      <c r="LM104" s="76"/>
      <c r="LN104" s="76"/>
      <c r="LO104" s="76"/>
      <c r="LP104" s="76"/>
      <c r="LQ104" s="76"/>
      <c r="LR104" s="76"/>
      <c r="LS104" s="76"/>
      <c r="LT104" s="76"/>
      <c r="LU104" s="76"/>
      <c r="LV104" s="76"/>
      <c r="LW104" s="76"/>
      <c r="LX104" s="76"/>
      <c r="LY104" s="76"/>
      <c r="LZ104" s="76"/>
      <c r="MA104" s="76"/>
      <c r="MB104" s="76"/>
      <c r="MC104" s="76"/>
      <c r="MD104" s="76"/>
      <c r="ME104" s="76"/>
      <c r="MF104" s="76"/>
      <c r="MG104" s="76"/>
      <c r="MH104" s="76"/>
      <c r="MI104" s="76"/>
      <c r="MJ104" s="76"/>
      <c r="MK104" s="76"/>
      <c r="ML104" s="76"/>
      <c r="MM104" s="76"/>
      <c r="MN104" s="76"/>
      <c r="MO104" s="76"/>
      <c r="MP104" s="76"/>
      <c r="MQ104" s="76"/>
      <c r="MR104" s="76"/>
      <c r="MS104" s="76"/>
      <c r="MT104" s="76"/>
      <c r="MU104" s="76"/>
      <c r="MV104" s="76"/>
      <c r="MW104" s="76"/>
      <c r="MX104" s="76"/>
      <c r="MY104" s="76"/>
      <c r="MZ104" s="76"/>
      <c r="NA104" s="76"/>
      <c r="NB104" s="76"/>
      <c r="NC104" s="76"/>
      <c r="ND104" s="76"/>
      <c r="NE104" s="76"/>
      <c r="NF104" s="76"/>
      <c r="NG104" s="76"/>
      <c r="NH104" s="76"/>
      <c r="NI104" s="76"/>
      <c r="NJ104" s="76"/>
      <c r="NK104" s="76"/>
      <c r="NL104" s="76"/>
      <c r="NM104" s="76"/>
      <c r="NN104" s="76"/>
      <c r="NO104" s="76"/>
      <c r="NP104" s="76"/>
      <c r="NQ104" s="76"/>
      <c r="NR104" s="76"/>
      <c r="NS104" s="76"/>
      <c r="NT104" s="76"/>
      <c r="NU104" s="76"/>
      <c r="NV104" s="76"/>
      <c r="NW104" s="76"/>
      <c r="NX104" s="76"/>
      <c r="NY104" s="76"/>
      <c r="NZ104" s="76"/>
      <c r="OA104" s="76"/>
      <c r="OB104" s="76"/>
      <c r="OC104" s="76"/>
      <c r="OD104" s="76"/>
      <c r="OE104" s="76"/>
      <c r="OF104" s="76"/>
      <c r="OG104" s="76"/>
      <c r="OH104" s="76"/>
      <c r="OI104" s="76"/>
      <c r="OJ104" s="76"/>
      <c r="OK104" s="76"/>
      <c r="OL104" s="76"/>
      <c r="OM104" s="76"/>
      <c r="ON104" s="76"/>
      <c r="OO104" s="76"/>
      <c r="OP104" s="76"/>
      <c r="OQ104" s="76"/>
      <c r="OR104" s="76"/>
      <c r="OS104" s="76"/>
      <c r="OT104" s="76"/>
      <c r="OU104" s="76"/>
      <c r="OV104" s="76"/>
      <c r="OW104" s="76"/>
      <c r="OX104" s="76"/>
      <c r="OY104" s="76"/>
      <c r="OZ104" s="76"/>
      <c r="PA104" s="76"/>
      <c r="PB104" s="76"/>
      <c r="PC104" s="76"/>
      <c r="PD104" s="76"/>
      <c r="PE104" s="76"/>
      <c r="PF104" s="76"/>
      <c r="PG104" s="76"/>
      <c r="PH104" s="76"/>
      <c r="PI104" s="76"/>
      <c r="PJ104" s="76"/>
      <c r="PK104" s="76"/>
      <c r="PL104" s="76"/>
      <c r="PM104" s="76"/>
      <c r="PN104" s="76"/>
      <c r="PO104" s="76"/>
      <c r="PP104" s="76"/>
      <c r="PQ104" s="76"/>
      <c r="PR104" s="76"/>
      <c r="PS104" s="76"/>
      <c r="PT104" s="76"/>
      <c r="PU104" s="76"/>
      <c r="PV104" s="76"/>
      <c r="PW104" s="76"/>
      <c r="PX104" s="76"/>
      <c r="PY104" s="76"/>
      <c r="PZ104" s="76"/>
      <c r="QA104" s="76"/>
      <c r="QB104" s="76"/>
      <c r="QC104" s="76"/>
      <c r="QD104" s="76"/>
      <c r="QE104" s="76"/>
      <c r="QF104" s="76"/>
      <c r="QG104" s="76"/>
      <c r="QH104" s="76"/>
      <c r="QI104" s="76"/>
      <c r="QJ104" s="76"/>
      <c r="QK104" s="76"/>
      <c r="QL104" s="76"/>
      <c r="QM104" s="76"/>
      <c r="QN104" s="76"/>
      <c r="QO104" s="76"/>
      <c r="QP104" s="76"/>
      <c r="QQ104" s="76"/>
      <c r="QR104" s="76"/>
      <c r="QS104" s="76"/>
      <c r="QT104" s="76"/>
      <c r="QU104" s="76"/>
      <c r="QV104" s="76"/>
      <c r="QW104" s="76"/>
      <c r="QX104" s="76"/>
      <c r="QY104" s="76"/>
      <c r="QZ104" s="76"/>
      <c r="RA104" s="76"/>
      <c r="RB104" s="76"/>
      <c r="RC104" s="76"/>
      <c r="RD104" s="76"/>
      <c r="RE104" s="76"/>
      <c r="RF104" s="76"/>
      <c r="RG104" s="76"/>
      <c r="RH104" s="76"/>
      <c r="RI104" s="76"/>
      <c r="RJ104" s="76"/>
      <c r="RK104" s="76"/>
      <c r="RL104" s="76"/>
      <c r="RM104" s="76"/>
      <c r="RN104" s="76"/>
      <c r="RO104" s="76"/>
      <c r="RP104" s="76"/>
      <c r="RQ104" s="76"/>
      <c r="RR104" s="76"/>
      <c r="RS104" s="76"/>
      <c r="RT104" s="76"/>
      <c r="RU104" s="76"/>
      <c r="RV104" s="76"/>
      <c r="RW104" s="76"/>
      <c r="RX104" s="76"/>
      <c r="RY104" s="76"/>
      <c r="RZ104" s="76"/>
      <c r="SA104" s="76"/>
    </row>
    <row r="105" spans="1:495" x14ac:dyDescent="0.25">
      <c r="A105" s="6"/>
      <c r="B105" s="7">
        <v>44233</v>
      </c>
      <c r="C105" s="68" t="s">
        <v>969</v>
      </c>
      <c r="D105" s="68" t="s">
        <v>602</v>
      </c>
      <c r="E105" s="69" t="s">
        <v>277</v>
      </c>
      <c r="F105" s="69" t="s">
        <v>128</v>
      </c>
      <c r="G105" s="70">
        <v>0.24444444444444446</v>
      </c>
      <c r="H105" s="70">
        <v>0.24791666666666667</v>
      </c>
      <c r="I105" s="69">
        <v>6190</v>
      </c>
      <c r="J105" s="69">
        <v>5580</v>
      </c>
      <c r="K105" s="10">
        <f t="shared" si="1"/>
        <v>610</v>
      </c>
      <c r="L105" s="71">
        <v>26423</v>
      </c>
      <c r="M105" s="72" t="s">
        <v>970</v>
      </c>
      <c r="N105" s="73">
        <v>610</v>
      </c>
      <c r="O105" s="74" t="s">
        <v>32</v>
      </c>
      <c r="P105" s="75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G105" s="76"/>
      <c r="EH105" s="76"/>
      <c r="EI105" s="76"/>
      <c r="EJ105" s="76"/>
      <c r="EK105" s="76"/>
      <c r="EL105" s="76"/>
      <c r="EM105" s="76"/>
      <c r="EN105" s="76"/>
      <c r="EO105" s="76"/>
      <c r="EP105" s="76"/>
      <c r="EQ105" s="76"/>
      <c r="ER105" s="76"/>
      <c r="ES105" s="76"/>
      <c r="ET105" s="76"/>
      <c r="EU105" s="76"/>
      <c r="EV105" s="76"/>
      <c r="EW105" s="76"/>
      <c r="EX105" s="76"/>
      <c r="EY105" s="76"/>
      <c r="EZ105" s="76"/>
      <c r="FA105" s="76"/>
      <c r="FB105" s="76"/>
      <c r="FC105" s="76"/>
      <c r="FD105" s="76"/>
      <c r="FE105" s="76"/>
      <c r="FF105" s="76"/>
      <c r="FG105" s="76"/>
      <c r="FH105" s="76"/>
      <c r="FI105" s="76"/>
      <c r="FJ105" s="76"/>
      <c r="FK105" s="76"/>
      <c r="FL105" s="76"/>
      <c r="FM105" s="76"/>
      <c r="FN105" s="76"/>
      <c r="FO105" s="76"/>
      <c r="FP105" s="76"/>
      <c r="FQ105" s="76"/>
      <c r="FR105" s="76"/>
      <c r="FS105" s="76"/>
      <c r="FT105" s="76"/>
      <c r="FU105" s="76"/>
      <c r="FV105" s="76"/>
      <c r="FW105" s="76"/>
      <c r="FX105" s="76"/>
      <c r="FY105" s="76"/>
      <c r="FZ105" s="76"/>
      <c r="GA105" s="76"/>
      <c r="GB105" s="76"/>
      <c r="GC105" s="76"/>
      <c r="GD105" s="76"/>
      <c r="GE105" s="76"/>
      <c r="GF105" s="76"/>
      <c r="GG105" s="76"/>
      <c r="GH105" s="76"/>
      <c r="GI105" s="76"/>
      <c r="GJ105" s="76"/>
      <c r="GK105" s="76"/>
      <c r="GL105" s="76"/>
      <c r="GM105" s="76"/>
      <c r="GN105" s="76"/>
      <c r="GO105" s="76"/>
      <c r="GP105" s="76"/>
      <c r="GQ105" s="76"/>
      <c r="GR105" s="76"/>
      <c r="GS105" s="76"/>
      <c r="GT105" s="76"/>
      <c r="GU105" s="76"/>
      <c r="GV105" s="76"/>
      <c r="GW105" s="76"/>
      <c r="GX105" s="76"/>
      <c r="GY105" s="76"/>
      <c r="GZ105" s="76"/>
      <c r="HA105" s="76"/>
      <c r="HB105" s="76"/>
      <c r="HC105" s="76"/>
      <c r="HD105" s="76"/>
      <c r="HE105" s="76"/>
      <c r="HF105" s="76"/>
      <c r="HG105" s="76"/>
      <c r="HH105" s="76"/>
      <c r="HI105" s="76"/>
      <c r="HJ105" s="76"/>
      <c r="HK105" s="76"/>
      <c r="HL105" s="76"/>
      <c r="HM105" s="76"/>
      <c r="HN105" s="76"/>
      <c r="HO105" s="76"/>
      <c r="HP105" s="76"/>
      <c r="HQ105" s="76"/>
      <c r="HR105" s="76"/>
      <c r="HS105" s="76"/>
      <c r="HT105" s="76"/>
      <c r="HU105" s="76"/>
      <c r="HV105" s="76"/>
      <c r="HW105" s="76"/>
      <c r="HX105" s="76"/>
      <c r="HY105" s="76"/>
      <c r="HZ105" s="76"/>
      <c r="IA105" s="76"/>
      <c r="IB105" s="76"/>
      <c r="IC105" s="76"/>
      <c r="ID105" s="76"/>
      <c r="IE105" s="76"/>
      <c r="IF105" s="76"/>
      <c r="IG105" s="76"/>
      <c r="IH105" s="76"/>
      <c r="II105" s="76"/>
      <c r="IJ105" s="76"/>
      <c r="IK105" s="76"/>
      <c r="IL105" s="76"/>
      <c r="IM105" s="76"/>
      <c r="IN105" s="76"/>
      <c r="IO105" s="76"/>
      <c r="IP105" s="76"/>
      <c r="IQ105" s="76"/>
      <c r="IR105" s="76"/>
      <c r="IS105" s="76"/>
      <c r="IT105" s="76"/>
      <c r="IU105" s="76"/>
      <c r="IV105" s="76"/>
      <c r="IW105" s="76"/>
      <c r="IX105" s="76"/>
      <c r="IY105" s="76"/>
      <c r="IZ105" s="76"/>
      <c r="JA105" s="76"/>
      <c r="JB105" s="76"/>
      <c r="JC105" s="76"/>
      <c r="JD105" s="76"/>
      <c r="JE105" s="76"/>
      <c r="JF105" s="76"/>
      <c r="JG105" s="76"/>
      <c r="JH105" s="76"/>
      <c r="JI105" s="76"/>
      <c r="JJ105" s="76"/>
      <c r="JK105" s="76"/>
      <c r="JL105" s="76"/>
      <c r="JM105" s="76"/>
      <c r="JN105" s="76"/>
      <c r="JO105" s="76"/>
      <c r="JP105" s="76"/>
      <c r="JQ105" s="76"/>
      <c r="JR105" s="76"/>
      <c r="JS105" s="76"/>
      <c r="JT105" s="76"/>
      <c r="JU105" s="76"/>
      <c r="JV105" s="76"/>
      <c r="JW105" s="76"/>
      <c r="JX105" s="76"/>
      <c r="JY105" s="76"/>
      <c r="JZ105" s="76"/>
      <c r="KA105" s="76"/>
      <c r="KB105" s="76"/>
      <c r="KC105" s="76"/>
      <c r="KD105" s="76"/>
      <c r="KE105" s="76"/>
      <c r="KF105" s="76"/>
      <c r="KG105" s="76"/>
      <c r="KH105" s="76"/>
      <c r="KI105" s="76"/>
      <c r="KJ105" s="76"/>
      <c r="KK105" s="76"/>
      <c r="KL105" s="76"/>
      <c r="KM105" s="76"/>
      <c r="KN105" s="76"/>
      <c r="KO105" s="76"/>
      <c r="KP105" s="76"/>
      <c r="KQ105" s="76"/>
      <c r="KR105" s="76"/>
      <c r="KS105" s="76"/>
      <c r="KT105" s="76"/>
      <c r="KU105" s="76"/>
      <c r="KV105" s="76"/>
      <c r="KW105" s="76"/>
      <c r="KX105" s="76"/>
      <c r="KY105" s="76"/>
      <c r="KZ105" s="76"/>
      <c r="LA105" s="76"/>
      <c r="LB105" s="76"/>
      <c r="LC105" s="76"/>
      <c r="LD105" s="76"/>
      <c r="LE105" s="76"/>
      <c r="LF105" s="76"/>
      <c r="LG105" s="76"/>
      <c r="LH105" s="76"/>
      <c r="LI105" s="76"/>
      <c r="LJ105" s="76"/>
      <c r="LK105" s="76"/>
      <c r="LL105" s="76"/>
      <c r="LM105" s="76"/>
      <c r="LN105" s="76"/>
      <c r="LO105" s="76"/>
      <c r="LP105" s="76"/>
      <c r="LQ105" s="76"/>
      <c r="LR105" s="76"/>
      <c r="LS105" s="76"/>
      <c r="LT105" s="76"/>
      <c r="LU105" s="76"/>
      <c r="LV105" s="76"/>
      <c r="LW105" s="76"/>
      <c r="LX105" s="76"/>
      <c r="LY105" s="76"/>
      <c r="LZ105" s="76"/>
      <c r="MA105" s="76"/>
      <c r="MB105" s="76"/>
      <c r="MC105" s="76"/>
      <c r="MD105" s="76"/>
      <c r="ME105" s="76"/>
      <c r="MF105" s="76"/>
      <c r="MG105" s="76"/>
      <c r="MH105" s="76"/>
      <c r="MI105" s="76"/>
      <c r="MJ105" s="76"/>
      <c r="MK105" s="76"/>
      <c r="ML105" s="76"/>
      <c r="MM105" s="76"/>
      <c r="MN105" s="76"/>
      <c r="MO105" s="76"/>
      <c r="MP105" s="76"/>
      <c r="MQ105" s="76"/>
      <c r="MR105" s="76"/>
      <c r="MS105" s="76"/>
      <c r="MT105" s="76"/>
      <c r="MU105" s="76"/>
      <c r="MV105" s="76"/>
      <c r="MW105" s="76"/>
      <c r="MX105" s="76"/>
      <c r="MY105" s="76"/>
      <c r="MZ105" s="76"/>
      <c r="NA105" s="76"/>
      <c r="NB105" s="76"/>
      <c r="NC105" s="76"/>
      <c r="ND105" s="76"/>
      <c r="NE105" s="76"/>
      <c r="NF105" s="76"/>
      <c r="NG105" s="76"/>
      <c r="NH105" s="76"/>
      <c r="NI105" s="76"/>
      <c r="NJ105" s="76"/>
      <c r="NK105" s="76"/>
      <c r="NL105" s="76"/>
      <c r="NM105" s="76"/>
      <c r="NN105" s="76"/>
      <c r="NO105" s="76"/>
      <c r="NP105" s="76"/>
      <c r="NQ105" s="76"/>
      <c r="NR105" s="76"/>
      <c r="NS105" s="76"/>
      <c r="NT105" s="76"/>
      <c r="NU105" s="76"/>
      <c r="NV105" s="76"/>
      <c r="NW105" s="76"/>
      <c r="NX105" s="76"/>
      <c r="NY105" s="76"/>
      <c r="NZ105" s="76"/>
      <c r="OA105" s="76"/>
      <c r="OB105" s="76"/>
      <c r="OC105" s="76"/>
      <c r="OD105" s="76"/>
      <c r="OE105" s="76"/>
      <c r="OF105" s="76"/>
      <c r="OG105" s="76"/>
      <c r="OH105" s="76"/>
      <c r="OI105" s="76"/>
      <c r="OJ105" s="76"/>
      <c r="OK105" s="76"/>
      <c r="OL105" s="76"/>
      <c r="OM105" s="76"/>
      <c r="ON105" s="76"/>
      <c r="OO105" s="76"/>
      <c r="OP105" s="76"/>
      <c r="OQ105" s="76"/>
      <c r="OR105" s="76"/>
      <c r="OS105" s="76"/>
      <c r="OT105" s="76"/>
      <c r="OU105" s="76"/>
      <c r="OV105" s="76"/>
      <c r="OW105" s="76"/>
      <c r="OX105" s="76"/>
      <c r="OY105" s="76"/>
      <c r="OZ105" s="76"/>
      <c r="PA105" s="76"/>
      <c r="PB105" s="76"/>
      <c r="PC105" s="76"/>
      <c r="PD105" s="76"/>
      <c r="PE105" s="76"/>
      <c r="PF105" s="76"/>
      <c r="PG105" s="76"/>
      <c r="PH105" s="76"/>
      <c r="PI105" s="76"/>
      <c r="PJ105" s="76"/>
      <c r="PK105" s="76"/>
      <c r="PL105" s="76"/>
      <c r="PM105" s="76"/>
      <c r="PN105" s="76"/>
      <c r="PO105" s="76"/>
      <c r="PP105" s="76"/>
      <c r="PQ105" s="76"/>
      <c r="PR105" s="76"/>
      <c r="PS105" s="76"/>
      <c r="PT105" s="76"/>
      <c r="PU105" s="76"/>
      <c r="PV105" s="76"/>
      <c r="PW105" s="76"/>
      <c r="PX105" s="76"/>
      <c r="PY105" s="76"/>
      <c r="PZ105" s="76"/>
      <c r="QA105" s="76"/>
      <c r="QB105" s="76"/>
      <c r="QC105" s="76"/>
      <c r="QD105" s="76"/>
      <c r="QE105" s="76"/>
      <c r="QF105" s="76"/>
      <c r="QG105" s="76"/>
      <c r="QH105" s="76"/>
      <c r="QI105" s="76"/>
      <c r="QJ105" s="76"/>
      <c r="QK105" s="76"/>
      <c r="QL105" s="76"/>
      <c r="QM105" s="76"/>
      <c r="QN105" s="76"/>
      <c r="QO105" s="76"/>
      <c r="QP105" s="76"/>
      <c r="QQ105" s="76"/>
      <c r="QR105" s="76"/>
      <c r="QS105" s="76"/>
      <c r="QT105" s="76"/>
      <c r="QU105" s="76"/>
      <c r="QV105" s="76"/>
      <c r="QW105" s="76"/>
      <c r="QX105" s="76"/>
      <c r="QY105" s="76"/>
      <c r="QZ105" s="76"/>
      <c r="RA105" s="76"/>
      <c r="RB105" s="76"/>
      <c r="RC105" s="76"/>
      <c r="RD105" s="76"/>
      <c r="RE105" s="76"/>
      <c r="RF105" s="76"/>
      <c r="RG105" s="76"/>
      <c r="RH105" s="76"/>
      <c r="RI105" s="76"/>
      <c r="RJ105" s="76"/>
      <c r="RK105" s="76"/>
      <c r="RL105" s="76"/>
      <c r="RM105" s="76"/>
      <c r="RN105" s="76"/>
      <c r="RO105" s="76"/>
      <c r="RP105" s="76"/>
      <c r="RQ105" s="76"/>
      <c r="RR105" s="76"/>
      <c r="RS105" s="76"/>
      <c r="RT105" s="76"/>
      <c r="RU105" s="76"/>
      <c r="RV105" s="76"/>
      <c r="RW105" s="76"/>
      <c r="RX105" s="76"/>
      <c r="RY105" s="76"/>
      <c r="RZ105" s="76"/>
      <c r="SA105" s="76"/>
    </row>
    <row r="106" spans="1:495" x14ac:dyDescent="0.25">
      <c r="A106" s="6"/>
      <c r="B106" s="7">
        <v>44233</v>
      </c>
      <c r="C106" s="8" t="s">
        <v>971</v>
      </c>
      <c r="D106" s="8" t="s">
        <v>392</v>
      </c>
      <c r="E106" s="9" t="s">
        <v>867</v>
      </c>
      <c r="F106" s="9" t="s">
        <v>297</v>
      </c>
      <c r="G106" s="17">
        <v>0.25</v>
      </c>
      <c r="H106" s="17">
        <v>0.28194444444444444</v>
      </c>
      <c r="I106" s="9">
        <v>12200</v>
      </c>
      <c r="J106" s="9">
        <v>6480</v>
      </c>
      <c r="K106" s="10">
        <f t="shared" si="1"/>
        <v>5720</v>
      </c>
      <c r="L106" s="10">
        <v>91</v>
      </c>
      <c r="M106" s="11" t="s">
        <v>972</v>
      </c>
      <c r="N106" s="12">
        <v>5720</v>
      </c>
      <c r="O106" s="13" t="s">
        <v>32</v>
      </c>
      <c r="P106" s="14"/>
    </row>
    <row r="107" spans="1:495" x14ac:dyDescent="0.25">
      <c r="A107" s="6"/>
      <c r="B107" s="7">
        <v>44233</v>
      </c>
      <c r="C107" s="8" t="s">
        <v>871</v>
      </c>
      <c r="D107" s="8" t="s">
        <v>299</v>
      </c>
      <c r="E107" s="9" t="s">
        <v>813</v>
      </c>
      <c r="F107" s="9" t="s">
        <v>814</v>
      </c>
      <c r="G107" s="17">
        <v>0.28055555555555556</v>
      </c>
      <c r="H107" s="17">
        <v>0.29236111111111113</v>
      </c>
      <c r="I107" s="9">
        <v>31470</v>
      </c>
      <c r="J107" s="9">
        <v>15380</v>
      </c>
      <c r="K107" s="10">
        <f t="shared" si="1"/>
        <v>16090</v>
      </c>
      <c r="L107" s="10">
        <v>740</v>
      </c>
      <c r="M107" s="11" t="s">
        <v>684</v>
      </c>
      <c r="N107" s="12">
        <v>16295</v>
      </c>
      <c r="O107" s="13" t="s">
        <v>32</v>
      </c>
      <c r="P107" s="14"/>
    </row>
    <row r="108" spans="1:495" x14ac:dyDescent="0.25">
      <c r="A108" s="6"/>
      <c r="B108" s="7">
        <v>44233</v>
      </c>
      <c r="C108" s="8" t="s">
        <v>973</v>
      </c>
      <c r="D108" s="8" t="s">
        <v>928</v>
      </c>
      <c r="E108" s="9" t="s">
        <v>947</v>
      </c>
      <c r="F108" s="9" t="s">
        <v>948</v>
      </c>
      <c r="G108" s="17">
        <v>0.39930555555555558</v>
      </c>
      <c r="H108" s="17">
        <v>0.54999999999999993</v>
      </c>
      <c r="I108" s="9">
        <v>15480</v>
      </c>
      <c r="J108" s="9">
        <v>7510</v>
      </c>
      <c r="K108" s="10">
        <f t="shared" si="1"/>
        <v>7970</v>
      </c>
      <c r="L108" s="10">
        <v>23306</v>
      </c>
      <c r="M108" s="11" t="s">
        <v>974</v>
      </c>
      <c r="N108" s="12">
        <v>9</v>
      </c>
      <c r="O108" s="13" t="s">
        <v>855</v>
      </c>
      <c r="P108" s="14"/>
    </row>
    <row r="109" spans="1:495" x14ac:dyDescent="0.25">
      <c r="A109" s="6"/>
      <c r="B109" s="7">
        <v>44233</v>
      </c>
      <c r="C109" s="8" t="s">
        <v>975</v>
      </c>
      <c r="D109" s="8" t="s">
        <v>935</v>
      </c>
      <c r="E109" s="9" t="s">
        <v>473</v>
      </c>
      <c r="F109" s="9" t="s">
        <v>36</v>
      </c>
      <c r="G109" s="17">
        <v>0.41666666666666669</v>
      </c>
      <c r="H109" s="17"/>
      <c r="I109" s="9">
        <v>17250</v>
      </c>
      <c r="J109" s="9"/>
      <c r="K109" s="10">
        <f t="shared" si="1"/>
        <v>17250</v>
      </c>
      <c r="L109" s="10"/>
      <c r="M109" s="11" t="s">
        <v>976</v>
      </c>
      <c r="N109" s="12">
        <v>20</v>
      </c>
      <c r="O109" s="13" t="s">
        <v>80</v>
      </c>
      <c r="P109" s="14"/>
    </row>
    <row r="110" spans="1:495" x14ac:dyDescent="0.25">
      <c r="A110" s="6"/>
      <c r="B110" s="7">
        <v>44233</v>
      </c>
      <c r="C110" s="8" t="s">
        <v>164</v>
      </c>
      <c r="D110" s="8" t="s">
        <v>243</v>
      </c>
      <c r="E110" s="9" t="s">
        <v>490</v>
      </c>
      <c r="F110" s="9" t="s">
        <v>491</v>
      </c>
      <c r="G110" s="17">
        <v>0.4777777777777778</v>
      </c>
      <c r="H110" s="17">
        <v>0.5083333333333333</v>
      </c>
      <c r="I110" s="9">
        <v>16720</v>
      </c>
      <c r="J110" s="9">
        <v>20130</v>
      </c>
      <c r="K110" s="10">
        <f t="shared" si="1"/>
        <v>-3410</v>
      </c>
      <c r="L110" s="10">
        <v>15439</v>
      </c>
      <c r="M110" s="11" t="s">
        <v>97</v>
      </c>
      <c r="N110" s="12">
        <v>46</v>
      </c>
      <c r="O110" s="13" t="s">
        <v>96</v>
      </c>
      <c r="P110" s="14"/>
    </row>
    <row r="111" spans="1:495" x14ac:dyDescent="0.25">
      <c r="A111" s="6"/>
      <c r="B111" s="7">
        <v>44233</v>
      </c>
      <c r="C111" s="68" t="s">
        <v>969</v>
      </c>
      <c r="D111" s="68" t="s">
        <v>711</v>
      </c>
      <c r="E111" s="69" t="s">
        <v>277</v>
      </c>
      <c r="F111" s="69" t="s">
        <v>128</v>
      </c>
      <c r="G111" s="70">
        <v>0.5131944444444444</v>
      </c>
      <c r="H111" s="70">
        <v>0.51597222222222217</v>
      </c>
      <c r="I111" s="69">
        <v>470</v>
      </c>
      <c r="J111" s="69">
        <v>180</v>
      </c>
      <c r="K111" s="10">
        <f t="shared" ref="K111" si="3">+I111-J111</f>
        <v>290</v>
      </c>
      <c r="L111" s="71">
        <v>26423</v>
      </c>
      <c r="M111" s="72" t="s">
        <v>970</v>
      </c>
      <c r="N111" s="73">
        <v>290</v>
      </c>
      <c r="O111" s="74" t="s">
        <v>32</v>
      </c>
      <c r="P111" s="75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76"/>
      <c r="BC111" s="76"/>
      <c r="BD111" s="76"/>
      <c r="BE111" s="76"/>
      <c r="BF111" s="76"/>
      <c r="BG111" s="76"/>
      <c r="BH111" s="76"/>
      <c r="BI111" s="76"/>
      <c r="BJ111" s="76"/>
      <c r="BK111" s="76"/>
      <c r="BL111" s="76"/>
      <c r="BM111" s="76"/>
      <c r="BN111" s="76"/>
      <c r="BO111" s="76"/>
      <c r="BP111" s="76"/>
      <c r="BQ111" s="76"/>
      <c r="BR111" s="76"/>
      <c r="BS111" s="76"/>
      <c r="BT111" s="76"/>
      <c r="BU111" s="76"/>
      <c r="BV111" s="76"/>
      <c r="BW111" s="76"/>
      <c r="BX111" s="76"/>
      <c r="BY111" s="76"/>
      <c r="BZ111" s="76"/>
      <c r="CA111" s="76"/>
      <c r="CB111" s="76"/>
      <c r="CC111" s="76"/>
      <c r="CD111" s="76"/>
      <c r="CE111" s="76"/>
      <c r="CF111" s="76"/>
      <c r="CG111" s="76"/>
      <c r="CH111" s="76"/>
      <c r="CI111" s="76"/>
      <c r="CJ111" s="76"/>
      <c r="CK111" s="76"/>
      <c r="CL111" s="76"/>
      <c r="CM111" s="76"/>
      <c r="CN111" s="76"/>
      <c r="CO111" s="76"/>
      <c r="CP111" s="76"/>
      <c r="CQ111" s="76"/>
      <c r="CR111" s="76"/>
      <c r="CS111" s="76"/>
      <c r="CT111" s="76"/>
      <c r="CU111" s="76"/>
      <c r="CV111" s="76"/>
      <c r="CW111" s="76"/>
      <c r="CX111" s="76"/>
      <c r="CY111" s="76"/>
      <c r="CZ111" s="76"/>
      <c r="DA111" s="76"/>
      <c r="DB111" s="76"/>
      <c r="DC111" s="76"/>
      <c r="DD111" s="76"/>
      <c r="DE111" s="76"/>
      <c r="DF111" s="76"/>
      <c r="DG111" s="76"/>
      <c r="DH111" s="76"/>
      <c r="DI111" s="76"/>
      <c r="DJ111" s="76"/>
      <c r="DK111" s="76"/>
      <c r="DL111" s="76"/>
      <c r="DM111" s="76"/>
      <c r="DN111" s="76"/>
      <c r="DO111" s="76"/>
      <c r="DP111" s="76"/>
      <c r="DQ111" s="76"/>
      <c r="DR111" s="76"/>
      <c r="DS111" s="76"/>
      <c r="DT111" s="76"/>
      <c r="DU111" s="76"/>
      <c r="DV111" s="76"/>
      <c r="DW111" s="76"/>
      <c r="DX111" s="76"/>
      <c r="DY111" s="76"/>
      <c r="DZ111" s="76"/>
      <c r="EA111" s="76"/>
      <c r="EB111" s="76"/>
      <c r="EC111" s="76"/>
      <c r="ED111" s="76"/>
      <c r="EE111" s="76"/>
      <c r="EF111" s="76"/>
      <c r="EG111" s="76"/>
      <c r="EH111" s="76"/>
      <c r="EI111" s="76"/>
      <c r="EJ111" s="76"/>
      <c r="EK111" s="76"/>
      <c r="EL111" s="76"/>
      <c r="EM111" s="76"/>
      <c r="EN111" s="76"/>
      <c r="EO111" s="76"/>
      <c r="EP111" s="76"/>
      <c r="EQ111" s="76"/>
      <c r="ER111" s="76"/>
      <c r="ES111" s="76"/>
      <c r="ET111" s="76"/>
      <c r="EU111" s="76"/>
      <c r="EV111" s="76"/>
      <c r="EW111" s="76"/>
      <c r="EX111" s="76"/>
      <c r="EY111" s="76"/>
      <c r="EZ111" s="76"/>
      <c r="FA111" s="76"/>
      <c r="FB111" s="76"/>
      <c r="FC111" s="76"/>
      <c r="FD111" s="76"/>
      <c r="FE111" s="76"/>
      <c r="FF111" s="76"/>
      <c r="FG111" s="76"/>
      <c r="FH111" s="76"/>
      <c r="FI111" s="76"/>
      <c r="FJ111" s="76"/>
      <c r="FK111" s="76"/>
      <c r="FL111" s="76"/>
      <c r="FM111" s="76"/>
      <c r="FN111" s="76"/>
      <c r="FO111" s="76"/>
      <c r="FP111" s="76"/>
      <c r="FQ111" s="76"/>
      <c r="FR111" s="76"/>
      <c r="FS111" s="76"/>
      <c r="FT111" s="76"/>
      <c r="FU111" s="76"/>
      <c r="FV111" s="76"/>
      <c r="FW111" s="76"/>
      <c r="FX111" s="76"/>
      <c r="FY111" s="76"/>
      <c r="FZ111" s="76"/>
      <c r="GA111" s="76"/>
      <c r="GB111" s="76"/>
      <c r="GC111" s="76"/>
      <c r="GD111" s="76"/>
      <c r="GE111" s="76"/>
      <c r="GF111" s="76"/>
      <c r="GG111" s="76"/>
      <c r="GH111" s="76"/>
      <c r="GI111" s="76"/>
      <c r="GJ111" s="76"/>
      <c r="GK111" s="76"/>
      <c r="GL111" s="76"/>
      <c r="GM111" s="76"/>
      <c r="GN111" s="76"/>
      <c r="GO111" s="76"/>
      <c r="GP111" s="76"/>
      <c r="GQ111" s="76"/>
      <c r="GR111" s="76"/>
      <c r="GS111" s="76"/>
      <c r="GT111" s="76"/>
      <c r="GU111" s="76"/>
      <c r="GV111" s="76"/>
      <c r="GW111" s="76"/>
      <c r="GX111" s="76"/>
      <c r="GY111" s="76"/>
      <c r="GZ111" s="76"/>
      <c r="HA111" s="76"/>
      <c r="HB111" s="76"/>
      <c r="HC111" s="76"/>
      <c r="HD111" s="76"/>
      <c r="HE111" s="76"/>
      <c r="HF111" s="76"/>
      <c r="HG111" s="76"/>
      <c r="HH111" s="76"/>
      <c r="HI111" s="76"/>
      <c r="HJ111" s="76"/>
      <c r="HK111" s="76"/>
      <c r="HL111" s="76"/>
      <c r="HM111" s="76"/>
      <c r="HN111" s="76"/>
      <c r="HO111" s="76"/>
      <c r="HP111" s="76"/>
      <c r="HQ111" s="76"/>
      <c r="HR111" s="76"/>
      <c r="HS111" s="76"/>
      <c r="HT111" s="76"/>
      <c r="HU111" s="76"/>
      <c r="HV111" s="76"/>
      <c r="HW111" s="76"/>
      <c r="HX111" s="76"/>
      <c r="HY111" s="76"/>
      <c r="HZ111" s="76"/>
      <c r="IA111" s="76"/>
      <c r="IB111" s="76"/>
      <c r="IC111" s="76"/>
      <c r="ID111" s="76"/>
      <c r="IE111" s="76"/>
      <c r="IF111" s="76"/>
      <c r="IG111" s="76"/>
      <c r="IH111" s="76"/>
      <c r="II111" s="76"/>
      <c r="IJ111" s="76"/>
      <c r="IK111" s="76"/>
      <c r="IL111" s="76"/>
      <c r="IM111" s="76"/>
      <c r="IN111" s="76"/>
      <c r="IO111" s="76"/>
      <c r="IP111" s="76"/>
      <c r="IQ111" s="76"/>
      <c r="IR111" s="76"/>
      <c r="IS111" s="76"/>
      <c r="IT111" s="76"/>
      <c r="IU111" s="76"/>
      <c r="IV111" s="76"/>
      <c r="IW111" s="76"/>
      <c r="IX111" s="76"/>
      <c r="IY111" s="76"/>
      <c r="IZ111" s="76"/>
      <c r="JA111" s="76"/>
      <c r="JB111" s="76"/>
      <c r="JC111" s="76"/>
      <c r="JD111" s="76"/>
      <c r="JE111" s="76"/>
      <c r="JF111" s="76"/>
      <c r="JG111" s="76"/>
      <c r="JH111" s="76"/>
      <c r="JI111" s="76"/>
      <c r="JJ111" s="76"/>
      <c r="JK111" s="76"/>
      <c r="JL111" s="76"/>
      <c r="JM111" s="76"/>
      <c r="JN111" s="76"/>
      <c r="JO111" s="76"/>
      <c r="JP111" s="76"/>
      <c r="JQ111" s="76"/>
      <c r="JR111" s="76"/>
      <c r="JS111" s="76"/>
      <c r="JT111" s="76"/>
      <c r="JU111" s="76"/>
      <c r="JV111" s="76"/>
      <c r="JW111" s="76"/>
      <c r="JX111" s="76"/>
      <c r="JY111" s="76"/>
      <c r="JZ111" s="76"/>
      <c r="KA111" s="76"/>
      <c r="KB111" s="76"/>
      <c r="KC111" s="76"/>
      <c r="KD111" s="76"/>
      <c r="KE111" s="76"/>
      <c r="KF111" s="76"/>
      <c r="KG111" s="76"/>
      <c r="KH111" s="76"/>
      <c r="KI111" s="76"/>
      <c r="KJ111" s="76"/>
      <c r="KK111" s="76"/>
      <c r="KL111" s="76"/>
      <c r="KM111" s="76"/>
      <c r="KN111" s="76"/>
      <c r="KO111" s="76"/>
      <c r="KP111" s="76"/>
      <c r="KQ111" s="76"/>
      <c r="KR111" s="76"/>
      <c r="KS111" s="76"/>
      <c r="KT111" s="76"/>
      <c r="KU111" s="76"/>
      <c r="KV111" s="76"/>
      <c r="KW111" s="76"/>
      <c r="KX111" s="76"/>
      <c r="KY111" s="76"/>
      <c r="KZ111" s="76"/>
      <c r="LA111" s="76"/>
      <c r="LB111" s="76"/>
      <c r="LC111" s="76"/>
      <c r="LD111" s="76"/>
      <c r="LE111" s="76"/>
      <c r="LF111" s="76"/>
      <c r="LG111" s="76"/>
      <c r="LH111" s="76"/>
      <c r="LI111" s="76"/>
      <c r="LJ111" s="76"/>
      <c r="LK111" s="76"/>
      <c r="LL111" s="76"/>
      <c r="LM111" s="76"/>
      <c r="LN111" s="76"/>
      <c r="LO111" s="76"/>
      <c r="LP111" s="76"/>
      <c r="LQ111" s="76"/>
      <c r="LR111" s="76"/>
      <c r="LS111" s="76"/>
      <c r="LT111" s="76"/>
      <c r="LU111" s="76"/>
      <c r="LV111" s="76"/>
      <c r="LW111" s="76"/>
      <c r="LX111" s="76"/>
      <c r="LY111" s="76"/>
      <c r="LZ111" s="76"/>
      <c r="MA111" s="76"/>
      <c r="MB111" s="76"/>
      <c r="MC111" s="76"/>
      <c r="MD111" s="76"/>
      <c r="ME111" s="76"/>
      <c r="MF111" s="76"/>
      <c r="MG111" s="76"/>
      <c r="MH111" s="76"/>
      <c r="MI111" s="76"/>
      <c r="MJ111" s="76"/>
      <c r="MK111" s="76"/>
      <c r="ML111" s="76"/>
      <c r="MM111" s="76"/>
      <c r="MN111" s="76"/>
      <c r="MO111" s="76"/>
      <c r="MP111" s="76"/>
      <c r="MQ111" s="76"/>
      <c r="MR111" s="76"/>
      <c r="MS111" s="76"/>
      <c r="MT111" s="76"/>
      <c r="MU111" s="76"/>
      <c r="MV111" s="76"/>
      <c r="MW111" s="76"/>
      <c r="MX111" s="76"/>
      <c r="MY111" s="76"/>
      <c r="MZ111" s="76"/>
      <c r="NA111" s="76"/>
      <c r="NB111" s="76"/>
      <c r="NC111" s="76"/>
      <c r="ND111" s="76"/>
      <c r="NE111" s="76"/>
      <c r="NF111" s="76"/>
      <c r="NG111" s="76"/>
      <c r="NH111" s="76"/>
      <c r="NI111" s="76"/>
      <c r="NJ111" s="76"/>
      <c r="NK111" s="76"/>
      <c r="NL111" s="76"/>
      <c r="NM111" s="76"/>
      <c r="NN111" s="76"/>
      <c r="NO111" s="76"/>
      <c r="NP111" s="76"/>
      <c r="NQ111" s="76"/>
      <c r="NR111" s="76"/>
      <c r="NS111" s="76"/>
      <c r="NT111" s="76"/>
      <c r="NU111" s="76"/>
      <c r="NV111" s="76"/>
      <c r="NW111" s="76"/>
      <c r="NX111" s="76"/>
      <c r="NY111" s="76"/>
      <c r="NZ111" s="76"/>
      <c r="OA111" s="76"/>
      <c r="OB111" s="76"/>
      <c r="OC111" s="76"/>
      <c r="OD111" s="76"/>
      <c r="OE111" s="76"/>
      <c r="OF111" s="76"/>
      <c r="OG111" s="76"/>
      <c r="OH111" s="76"/>
      <c r="OI111" s="76"/>
      <c r="OJ111" s="76"/>
      <c r="OK111" s="76"/>
      <c r="OL111" s="76"/>
      <c r="OM111" s="76"/>
      <c r="ON111" s="76"/>
      <c r="OO111" s="76"/>
      <c r="OP111" s="76"/>
      <c r="OQ111" s="76"/>
      <c r="OR111" s="76"/>
      <c r="OS111" s="76"/>
      <c r="OT111" s="76"/>
      <c r="OU111" s="76"/>
      <c r="OV111" s="76"/>
      <c r="OW111" s="76"/>
      <c r="OX111" s="76"/>
      <c r="OY111" s="76"/>
      <c r="OZ111" s="76"/>
      <c r="PA111" s="76"/>
      <c r="PB111" s="76"/>
      <c r="PC111" s="76"/>
      <c r="PD111" s="76"/>
      <c r="PE111" s="76"/>
      <c r="PF111" s="76"/>
      <c r="PG111" s="76"/>
      <c r="PH111" s="76"/>
      <c r="PI111" s="76"/>
      <c r="PJ111" s="76"/>
      <c r="PK111" s="76"/>
      <c r="PL111" s="76"/>
      <c r="PM111" s="76"/>
      <c r="PN111" s="76"/>
      <c r="PO111" s="76"/>
      <c r="PP111" s="76"/>
      <c r="PQ111" s="76"/>
      <c r="PR111" s="76"/>
      <c r="PS111" s="76"/>
      <c r="PT111" s="76"/>
      <c r="PU111" s="76"/>
      <c r="PV111" s="76"/>
      <c r="PW111" s="76"/>
      <c r="PX111" s="76"/>
      <c r="PY111" s="76"/>
      <c r="PZ111" s="76"/>
      <c r="QA111" s="76"/>
      <c r="QB111" s="76"/>
      <c r="QC111" s="76"/>
      <c r="QD111" s="76"/>
      <c r="QE111" s="76"/>
      <c r="QF111" s="76"/>
      <c r="QG111" s="76"/>
      <c r="QH111" s="76"/>
      <c r="QI111" s="76"/>
      <c r="QJ111" s="76"/>
      <c r="QK111" s="76"/>
      <c r="QL111" s="76"/>
      <c r="QM111" s="76"/>
      <c r="QN111" s="76"/>
      <c r="QO111" s="76"/>
      <c r="QP111" s="76"/>
      <c r="QQ111" s="76"/>
      <c r="QR111" s="76"/>
      <c r="QS111" s="76"/>
      <c r="QT111" s="76"/>
      <c r="QU111" s="76"/>
      <c r="QV111" s="76"/>
      <c r="QW111" s="76"/>
      <c r="QX111" s="76"/>
      <c r="QY111" s="76"/>
      <c r="QZ111" s="76"/>
      <c r="RA111" s="76"/>
      <c r="RB111" s="76"/>
      <c r="RC111" s="76"/>
      <c r="RD111" s="76"/>
      <c r="RE111" s="76"/>
      <c r="RF111" s="76"/>
      <c r="RG111" s="76"/>
      <c r="RH111" s="76"/>
      <c r="RI111" s="76"/>
      <c r="RJ111" s="76"/>
      <c r="RK111" s="76"/>
      <c r="RL111" s="76"/>
      <c r="RM111" s="76"/>
      <c r="RN111" s="76"/>
      <c r="RO111" s="76"/>
      <c r="RP111" s="76"/>
      <c r="RQ111" s="76"/>
      <c r="RR111" s="76"/>
      <c r="RS111" s="76"/>
      <c r="RT111" s="76"/>
      <c r="RU111" s="76"/>
      <c r="RV111" s="76"/>
      <c r="RW111" s="76"/>
      <c r="RX111" s="76"/>
      <c r="RY111" s="76"/>
      <c r="RZ111" s="76"/>
      <c r="SA111" s="76"/>
    </row>
    <row r="112" spans="1:495" x14ac:dyDescent="0.25">
      <c r="A112" s="6"/>
      <c r="B112" s="15">
        <v>44233</v>
      </c>
      <c r="C112" s="8" t="s">
        <v>977</v>
      </c>
      <c r="D112" s="8" t="s">
        <v>928</v>
      </c>
      <c r="E112" s="9" t="s">
        <v>858</v>
      </c>
      <c r="F112" s="9" t="s">
        <v>859</v>
      </c>
      <c r="G112" s="17">
        <v>0.5395833333333333</v>
      </c>
      <c r="H112" s="17">
        <v>0.51944444444444449</v>
      </c>
      <c r="I112" s="9">
        <v>13660</v>
      </c>
      <c r="J112" s="9">
        <v>9680</v>
      </c>
      <c r="K112" s="10">
        <f t="shared" si="1"/>
        <v>3980</v>
      </c>
      <c r="L112" s="10">
        <v>23308</v>
      </c>
      <c r="M112" s="11" t="s">
        <v>978</v>
      </c>
      <c r="N112" s="12">
        <v>3980</v>
      </c>
      <c r="O112" s="13" t="s">
        <v>32</v>
      </c>
      <c r="P112" s="14" t="s">
        <v>979</v>
      </c>
    </row>
    <row r="113" spans="1:495" x14ac:dyDescent="0.25">
      <c r="A113" s="6"/>
      <c r="B113" s="7">
        <v>44233</v>
      </c>
      <c r="C113" s="8" t="s">
        <v>980</v>
      </c>
      <c r="D113" s="8" t="s">
        <v>899</v>
      </c>
      <c r="E113" s="9" t="s">
        <v>144</v>
      </c>
      <c r="F113" s="9" t="s">
        <v>626</v>
      </c>
      <c r="G113" s="17">
        <v>0.57013888888888886</v>
      </c>
      <c r="H113" s="17">
        <v>0.5854166666666667</v>
      </c>
      <c r="I113" s="9">
        <v>35630</v>
      </c>
      <c r="J113" s="9">
        <v>15690</v>
      </c>
      <c r="K113" s="10">
        <f t="shared" si="1"/>
        <v>19940</v>
      </c>
      <c r="L113" s="10" t="s">
        <v>981</v>
      </c>
      <c r="M113" s="11" t="s">
        <v>982</v>
      </c>
      <c r="N113" s="12">
        <f>16.2+1.2+3.6</f>
        <v>21</v>
      </c>
      <c r="O113" s="13" t="s">
        <v>855</v>
      </c>
      <c r="P113" s="14"/>
    </row>
    <row r="114" spans="1:495" x14ac:dyDescent="0.25">
      <c r="A114" s="6"/>
      <c r="B114" s="7">
        <v>44233</v>
      </c>
      <c r="C114" s="68" t="s">
        <v>912</v>
      </c>
      <c r="D114" s="68" t="s">
        <v>711</v>
      </c>
      <c r="E114" s="69" t="s">
        <v>277</v>
      </c>
      <c r="F114" s="69" t="s">
        <v>128</v>
      </c>
      <c r="G114" s="70">
        <v>0.62430555555555556</v>
      </c>
      <c r="H114" s="70">
        <v>0.62847222222222221</v>
      </c>
      <c r="I114" s="69">
        <v>810</v>
      </c>
      <c r="J114" s="69">
        <v>180</v>
      </c>
      <c r="K114" s="10">
        <f t="shared" si="1"/>
        <v>630</v>
      </c>
      <c r="L114" s="10" t="s">
        <v>959</v>
      </c>
      <c r="M114" s="72" t="s">
        <v>983</v>
      </c>
      <c r="N114" s="73">
        <v>630</v>
      </c>
      <c r="O114" s="74" t="s">
        <v>32</v>
      </c>
      <c r="P114" s="75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76"/>
      <c r="BR114" s="76"/>
      <c r="BS114" s="76"/>
      <c r="BT114" s="76"/>
      <c r="BU114" s="76"/>
      <c r="BV114" s="76"/>
      <c r="BW114" s="76"/>
      <c r="BX114" s="76"/>
      <c r="BY114" s="76"/>
      <c r="BZ114" s="76"/>
      <c r="CA114" s="76"/>
      <c r="CB114" s="76"/>
      <c r="CC114" s="76"/>
      <c r="CD114" s="76"/>
      <c r="CE114" s="76"/>
      <c r="CF114" s="76"/>
      <c r="CG114" s="76"/>
      <c r="CH114" s="76"/>
      <c r="CI114" s="76"/>
      <c r="CJ114" s="76"/>
      <c r="CK114" s="76"/>
      <c r="CL114" s="76"/>
      <c r="CM114" s="76"/>
      <c r="CN114" s="76"/>
      <c r="CO114" s="76"/>
      <c r="CP114" s="76"/>
      <c r="CQ114" s="76"/>
      <c r="CR114" s="76"/>
      <c r="CS114" s="76"/>
      <c r="CT114" s="76"/>
      <c r="CU114" s="76"/>
      <c r="CV114" s="76"/>
      <c r="CW114" s="76"/>
      <c r="CX114" s="76"/>
      <c r="CY114" s="76"/>
      <c r="CZ114" s="76"/>
      <c r="DA114" s="76"/>
      <c r="DB114" s="76"/>
      <c r="DC114" s="76"/>
      <c r="DD114" s="76"/>
      <c r="DE114" s="76"/>
      <c r="DF114" s="76"/>
      <c r="DG114" s="76"/>
      <c r="DH114" s="76"/>
      <c r="DI114" s="76"/>
      <c r="DJ114" s="76"/>
      <c r="DK114" s="76"/>
      <c r="DL114" s="76"/>
      <c r="DM114" s="76"/>
      <c r="DN114" s="76"/>
      <c r="DO114" s="76"/>
      <c r="DP114" s="76"/>
      <c r="DQ114" s="76"/>
      <c r="DR114" s="76"/>
      <c r="DS114" s="76"/>
      <c r="DT114" s="76"/>
      <c r="DU114" s="76"/>
      <c r="DV114" s="76"/>
      <c r="DW114" s="76"/>
      <c r="DX114" s="76"/>
      <c r="DY114" s="76"/>
      <c r="DZ114" s="76"/>
      <c r="EA114" s="76"/>
      <c r="EB114" s="76"/>
      <c r="EC114" s="76"/>
      <c r="ED114" s="76"/>
      <c r="EE114" s="76"/>
      <c r="EF114" s="76"/>
      <c r="EG114" s="76"/>
      <c r="EH114" s="76"/>
      <c r="EI114" s="76"/>
      <c r="EJ114" s="76"/>
      <c r="EK114" s="76"/>
      <c r="EL114" s="76"/>
      <c r="EM114" s="76"/>
      <c r="EN114" s="76"/>
      <c r="EO114" s="76"/>
      <c r="EP114" s="76"/>
      <c r="EQ114" s="76"/>
      <c r="ER114" s="76"/>
      <c r="ES114" s="76"/>
      <c r="ET114" s="76"/>
      <c r="EU114" s="76"/>
      <c r="EV114" s="76"/>
      <c r="EW114" s="76"/>
      <c r="EX114" s="76"/>
      <c r="EY114" s="76"/>
      <c r="EZ114" s="76"/>
      <c r="FA114" s="76"/>
      <c r="FB114" s="76"/>
      <c r="FC114" s="76"/>
      <c r="FD114" s="76"/>
      <c r="FE114" s="76"/>
      <c r="FF114" s="76"/>
      <c r="FG114" s="76"/>
      <c r="FH114" s="76"/>
      <c r="FI114" s="76"/>
      <c r="FJ114" s="76"/>
      <c r="FK114" s="76"/>
      <c r="FL114" s="76"/>
      <c r="FM114" s="76"/>
      <c r="FN114" s="76"/>
      <c r="FO114" s="76"/>
      <c r="FP114" s="76"/>
      <c r="FQ114" s="76"/>
      <c r="FR114" s="76"/>
      <c r="FS114" s="76"/>
      <c r="FT114" s="76"/>
      <c r="FU114" s="76"/>
      <c r="FV114" s="76"/>
      <c r="FW114" s="76"/>
      <c r="FX114" s="76"/>
      <c r="FY114" s="76"/>
      <c r="FZ114" s="76"/>
      <c r="GA114" s="76"/>
      <c r="GB114" s="76"/>
      <c r="GC114" s="76"/>
      <c r="GD114" s="76"/>
      <c r="GE114" s="76"/>
      <c r="GF114" s="76"/>
      <c r="GG114" s="76"/>
      <c r="GH114" s="76"/>
      <c r="GI114" s="76"/>
      <c r="GJ114" s="76"/>
      <c r="GK114" s="76"/>
      <c r="GL114" s="76"/>
      <c r="GM114" s="76"/>
      <c r="GN114" s="76"/>
      <c r="GO114" s="76"/>
      <c r="GP114" s="76"/>
      <c r="GQ114" s="76"/>
      <c r="GR114" s="76"/>
      <c r="GS114" s="76"/>
      <c r="GT114" s="76"/>
      <c r="GU114" s="76"/>
      <c r="GV114" s="76"/>
      <c r="GW114" s="76"/>
      <c r="GX114" s="76"/>
      <c r="GY114" s="76"/>
      <c r="GZ114" s="76"/>
      <c r="HA114" s="76"/>
      <c r="HB114" s="76"/>
      <c r="HC114" s="76"/>
      <c r="HD114" s="76"/>
      <c r="HE114" s="76"/>
      <c r="HF114" s="76"/>
      <c r="HG114" s="76"/>
      <c r="HH114" s="76"/>
      <c r="HI114" s="76"/>
      <c r="HJ114" s="76"/>
      <c r="HK114" s="76"/>
      <c r="HL114" s="76"/>
      <c r="HM114" s="76"/>
      <c r="HN114" s="76"/>
      <c r="HO114" s="76"/>
      <c r="HP114" s="76"/>
      <c r="HQ114" s="76"/>
      <c r="HR114" s="76"/>
      <c r="HS114" s="76"/>
      <c r="HT114" s="76"/>
      <c r="HU114" s="76"/>
      <c r="HV114" s="76"/>
      <c r="HW114" s="76"/>
      <c r="HX114" s="76"/>
      <c r="HY114" s="76"/>
      <c r="HZ114" s="76"/>
      <c r="IA114" s="76"/>
      <c r="IB114" s="76"/>
      <c r="IC114" s="76"/>
      <c r="ID114" s="76"/>
      <c r="IE114" s="76"/>
      <c r="IF114" s="76"/>
      <c r="IG114" s="76"/>
      <c r="IH114" s="76"/>
      <c r="II114" s="76"/>
      <c r="IJ114" s="76"/>
      <c r="IK114" s="76"/>
      <c r="IL114" s="76"/>
      <c r="IM114" s="76"/>
      <c r="IN114" s="76"/>
      <c r="IO114" s="76"/>
      <c r="IP114" s="76"/>
      <c r="IQ114" s="76"/>
      <c r="IR114" s="76"/>
      <c r="IS114" s="76"/>
      <c r="IT114" s="76"/>
      <c r="IU114" s="76"/>
      <c r="IV114" s="76"/>
      <c r="IW114" s="76"/>
      <c r="IX114" s="76"/>
      <c r="IY114" s="76"/>
      <c r="IZ114" s="76"/>
      <c r="JA114" s="76"/>
      <c r="JB114" s="76"/>
      <c r="JC114" s="76"/>
      <c r="JD114" s="76"/>
      <c r="JE114" s="76"/>
      <c r="JF114" s="76"/>
      <c r="JG114" s="76"/>
      <c r="JH114" s="76"/>
      <c r="JI114" s="76"/>
      <c r="JJ114" s="76"/>
      <c r="JK114" s="76"/>
      <c r="JL114" s="76"/>
      <c r="JM114" s="76"/>
      <c r="JN114" s="76"/>
      <c r="JO114" s="76"/>
      <c r="JP114" s="76"/>
      <c r="JQ114" s="76"/>
      <c r="JR114" s="76"/>
      <c r="JS114" s="76"/>
      <c r="JT114" s="76"/>
      <c r="JU114" s="76"/>
      <c r="JV114" s="76"/>
      <c r="JW114" s="76"/>
      <c r="JX114" s="76"/>
      <c r="JY114" s="76"/>
      <c r="JZ114" s="76"/>
      <c r="KA114" s="76"/>
      <c r="KB114" s="76"/>
      <c r="KC114" s="76"/>
      <c r="KD114" s="76"/>
      <c r="KE114" s="76"/>
      <c r="KF114" s="76"/>
      <c r="KG114" s="76"/>
      <c r="KH114" s="76"/>
      <c r="KI114" s="76"/>
      <c r="KJ114" s="76"/>
      <c r="KK114" s="76"/>
      <c r="KL114" s="76"/>
      <c r="KM114" s="76"/>
      <c r="KN114" s="76"/>
      <c r="KO114" s="76"/>
      <c r="KP114" s="76"/>
      <c r="KQ114" s="76"/>
      <c r="KR114" s="76"/>
      <c r="KS114" s="76"/>
      <c r="KT114" s="76"/>
      <c r="KU114" s="76"/>
      <c r="KV114" s="76"/>
      <c r="KW114" s="76"/>
      <c r="KX114" s="76"/>
      <c r="KY114" s="76"/>
      <c r="KZ114" s="76"/>
      <c r="LA114" s="76"/>
      <c r="LB114" s="76"/>
      <c r="LC114" s="76"/>
      <c r="LD114" s="76"/>
      <c r="LE114" s="76"/>
      <c r="LF114" s="76"/>
      <c r="LG114" s="76"/>
      <c r="LH114" s="76"/>
      <c r="LI114" s="76"/>
      <c r="LJ114" s="76"/>
      <c r="LK114" s="76"/>
      <c r="LL114" s="76"/>
      <c r="LM114" s="76"/>
      <c r="LN114" s="76"/>
      <c r="LO114" s="76"/>
      <c r="LP114" s="76"/>
      <c r="LQ114" s="76"/>
      <c r="LR114" s="76"/>
      <c r="LS114" s="76"/>
      <c r="LT114" s="76"/>
      <c r="LU114" s="76"/>
      <c r="LV114" s="76"/>
      <c r="LW114" s="76"/>
      <c r="LX114" s="76"/>
      <c r="LY114" s="76"/>
      <c r="LZ114" s="76"/>
      <c r="MA114" s="76"/>
      <c r="MB114" s="76"/>
      <c r="MC114" s="76"/>
      <c r="MD114" s="76"/>
      <c r="ME114" s="76"/>
      <c r="MF114" s="76"/>
      <c r="MG114" s="76"/>
      <c r="MH114" s="76"/>
      <c r="MI114" s="76"/>
      <c r="MJ114" s="76"/>
      <c r="MK114" s="76"/>
      <c r="ML114" s="76"/>
      <c r="MM114" s="76"/>
      <c r="MN114" s="76"/>
      <c r="MO114" s="76"/>
      <c r="MP114" s="76"/>
      <c r="MQ114" s="76"/>
      <c r="MR114" s="76"/>
      <c r="MS114" s="76"/>
      <c r="MT114" s="76"/>
      <c r="MU114" s="76"/>
      <c r="MV114" s="76"/>
      <c r="MW114" s="76"/>
      <c r="MX114" s="76"/>
      <c r="MY114" s="76"/>
      <c r="MZ114" s="76"/>
      <c r="NA114" s="76"/>
      <c r="NB114" s="76"/>
      <c r="NC114" s="76"/>
      <c r="ND114" s="76"/>
      <c r="NE114" s="76"/>
      <c r="NF114" s="76"/>
      <c r="NG114" s="76"/>
      <c r="NH114" s="76"/>
      <c r="NI114" s="76"/>
      <c r="NJ114" s="76"/>
      <c r="NK114" s="76"/>
      <c r="NL114" s="76"/>
      <c r="NM114" s="76"/>
      <c r="NN114" s="76"/>
      <c r="NO114" s="76"/>
      <c r="NP114" s="76"/>
      <c r="NQ114" s="76"/>
      <c r="NR114" s="76"/>
      <c r="NS114" s="76"/>
      <c r="NT114" s="76"/>
      <c r="NU114" s="76"/>
      <c r="NV114" s="76"/>
      <c r="NW114" s="76"/>
      <c r="NX114" s="76"/>
      <c r="NY114" s="76"/>
      <c r="NZ114" s="76"/>
      <c r="OA114" s="76"/>
      <c r="OB114" s="76"/>
      <c r="OC114" s="76"/>
      <c r="OD114" s="76"/>
      <c r="OE114" s="76"/>
      <c r="OF114" s="76"/>
      <c r="OG114" s="76"/>
      <c r="OH114" s="76"/>
      <c r="OI114" s="76"/>
      <c r="OJ114" s="76"/>
      <c r="OK114" s="76"/>
      <c r="OL114" s="76"/>
      <c r="OM114" s="76"/>
      <c r="ON114" s="76"/>
      <c r="OO114" s="76"/>
      <c r="OP114" s="76"/>
      <c r="OQ114" s="76"/>
      <c r="OR114" s="76"/>
      <c r="OS114" s="76"/>
      <c r="OT114" s="76"/>
      <c r="OU114" s="76"/>
      <c r="OV114" s="76"/>
      <c r="OW114" s="76"/>
      <c r="OX114" s="76"/>
      <c r="OY114" s="76"/>
      <c r="OZ114" s="76"/>
      <c r="PA114" s="76"/>
      <c r="PB114" s="76"/>
      <c r="PC114" s="76"/>
      <c r="PD114" s="76"/>
      <c r="PE114" s="76"/>
      <c r="PF114" s="76"/>
      <c r="PG114" s="76"/>
      <c r="PH114" s="76"/>
      <c r="PI114" s="76"/>
      <c r="PJ114" s="76"/>
      <c r="PK114" s="76"/>
      <c r="PL114" s="76"/>
      <c r="PM114" s="76"/>
      <c r="PN114" s="76"/>
      <c r="PO114" s="76"/>
      <c r="PP114" s="76"/>
      <c r="PQ114" s="76"/>
      <c r="PR114" s="76"/>
      <c r="PS114" s="76"/>
      <c r="PT114" s="76"/>
      <c r="PU114" s="76"/>
      <c r="PV114" s="76"/>
      <c r="PW114" s="76"/>
      <c r="PX114" s="76"/>
      <c r="PY114" s="76"/>
      <c r="PZ114" s="76"/>
      <c r="QA114" s="76"/>
      <c r="QB114" s="76"/>
      <c r="QC114" s="76"/>
      <c r="QD114" s="76"/>
      <c r="QE114" s="76"/>
      <c r="QF114" s="76"/>
      <c r="QG114" s="76"/>
      <c r="QH114" s="76"/>
      <c r="QI114" s="76"/>
      <c r="QJ114" s="76"/>
      <c r="QK114" s="76"/>
      <c r="QL114" s="76"/>
      <c r="QM114" s="76"/>
      <c r="QN114" s="76"/>
      <c r="QO114" s="76"/>
      <c r="QP114" s="76"/>
      <c r="QQ114" s="76"/>
      <c r="QR114" s="76"/>
      <c r="QS114" s="76"/>
      <c r="QT114" s="76"/>
      <c r="QU114" s="76"/>
      <c r="QV114" s="76"/>
      <c r="QW114" s="76"/>
      <c r="QX114" s="76"/>
      <c r="QY114" s="76"/>
      <c r="QZ114" s="76"/>
      <c r="RA114" s="76"/>
      <c r="RB114" s="76"/>
      <c r="RC114" s="76"/>
      <c r="RD114" s="76"/>
      <c r="RE114" s="76"/>
      <c r="RF114" s="76"/>
      <c r="RG114" s="76"/>
      <c r="RH114" s="76"/>
      <c r="RI114" s="76"/>
      <c r="RJ114" s="76"/>
      <c r="RK114" s="76"/>
      <c r="RL114" s="76"/>
      <c r="RM114" s="76"/>
      <c r="RN114" s="76"/>
      <c r="RO114" s="76"/>
      <c r="RP114" s="76"/>
      <c r="RQ114" s="76"/>
      <c r="RR114" s="76"/>
      <c r="RS114" s="76"/>
      <c r="RT114" s="76"/>
      <c r="RU114" s="76"/>
      <c r="RV114" s="76"/>
      <c r="RW114" s="76"/>
      <c r="RX114" s="76"/>
      <c r="RY114" s="76"/>
      <c r="RZ114" s="76"/>
      <c r="SA114" s="76"/>
    </row>
    <row r="115" spans="1:495" x14ac:dyDescent="0.25">
      <c r="A115" s="6"/>
      <c r="B115" s="7">
        <v>44233</v>
      </c>
      <c r="C115" s="8" t="s">
        <v>984</v>
      </c>
      <c r="D115" s="8" t="s">
        <v>928</v>
      </c>
      <c r="E115" s="9" t="s">
        <v>858</v>
      </c>
      <c r="F115" s="9" t="s">
        <v>859</v>
      </c>
      <c r="G115" s="17">
        <v>0.63472222222222219</v>
      </c>
      <c r="H115" s="17">
        <v>0.64652777777777781</v>
      </c>
      <c r="I115" s="9">
        <v>18380</v>
      </c>
      <c r="J115" s="9">
        <v>9750</v>
      </c>
      <c r="K115" s="10">
        <f t="shared" si="1"/>
        <v>8630</v>
      </c>
      <c r="L115" s="10">
        <v>23312</v>
      </c>
      <c r="M115" s="11" t="s">
        <v>942</v>
      </c>
      <c r="N115" s="12">
        <v>8630</v>
      </c>
      <c r="O115" s="13" t="s">
        <v>32</v>
      </c>
      <c r="P115" s="14" t="s">
        <v>263</v>
      </c>
    </row>
    <row r="116" spans="1:495" x14ac:dyDescent="0.25">
      <c r="A116" s="6"/>
      <c r="B116" s="7">
        <v>44233</v>
      </c>
      <c r="C116" s="8" t="s">
        <v>985</v>
      </c>
      <c r="D116" s="8" t="s">
        <v>552</v>
      </c>
      <c r="E116" s="9" t="s">
        <v>947</v>
      </c>
      <c r="F116" s="9" t="s">
        <v>948</v>
      </c>
      <c r="G116" s="17">
        <v>0.65555555555555556</v>
      </c>
      <c r="H116" s="17">
        <v>0.66805555555555562</v>
      </c>
      <c r="I116" s="9">
        <v>17390</v>
      </c>
      <c r="J116" s="9">
        <v>7510</v>
      </c>
      <c r="K116" s="10">
        <f t="shared" si="1"/>
        <v>9880</v>
      </c>
      <c r="L116" s="10">
        <v>23311</v>
      </c>
      <c r="M116" s="11" t="s">
        <v>986</v>
      </c>
      <c r="N116" s="12">
        <v>10.8</v>
      </c>
      <c r="O116" s="13" t="s">
        <v>855</v>
      </c>
      <c r="P116" s="14"/>
    </row>
    <row r="117" spans="1:495" x14ac:dyDescent="0.25">
      <c r="A117" s="6"/>
      <c r="B117" s="7">
        <v>44233</v>
      </c>
      <c r="C117" s="8" t="s">
        <v>987</v>
      </c>
      <c r="D117" s="8" t="s">
        <v>530</v>
      </c>
      <c r="E117" s="9" t="s">
        <v>867</v>
      </c>
      <c r="F117" s="9" t="s">
        <v>297</v>
      </c>
      <c r="G117" s="17">
        <v>0.67013888888888884</v>
      </c>
      <c r="H117" s="17">
        <v>0.69236111111111109</v>
      </c>
      <c r="I117" s="9">
        <v>12660</v>
      </c>
      <c r="J117" s="9">
        <v>6440</v>
      </c>
      <c r="K117" s="10">
        <f t="shared" si="1"/>
        <v>6220</v>
      </c>
      <c r="L117" s="10" t="s">
        <v>988</v>
      </c>
      <c r="M117" s="11" t="s">
        <v>48</v>
      </c>
      <c r="N117" s="12">
        <f>2790+10220</f>
        <v>13010</v>
      </c>
      <c r="O117" s="13" t="s">
        <v>49</v>
      </c>
      <c r="P117" s="14"/>
    </row>
    <row r="118" spans="1:495" x14ac:dyDescent="0.25">
      <c r="A118" s="6"/>
      <c r="B118" s="7">
        <v>44233</v>
      </c>
      <c r="C118" s="8" t="s">
        <v>984</v>
      </c>
      <c r="D118" s="8" t="s">
        <v>899</v>
      </c>
      <c r="E118" s="9" t="s">
        <v>144</v>
      </c>
      <c r="F118" s="9" t="s">
        <v>626</v>
      </c>
      <c r="G118" s="17">
        <v>0.68125000000000002</v>
      </c>
      <c r="H118" s="17">
        <v>0.70763888888888893</v>
      </c>
      <c r="I118" s="9">
        <v>37640</v>
      </c>
      <c r="J118" s="9">
        <v>15680</v>
      </c>
      <c r="K118" s="10">
        <f t="shared" si="1"/>
        <v>21960</v>
      </c>
      <c r="L118" s="10">
        <v>23312</v>
      </c>
      <c r="M118" s="11" t="s">
        <v>942</v>
      </c>
      <c r="N118" s="12">
        <v>21960</v>
      </c>
      <c r="O118" s="13" t="s">
        <v>32</v>
      </c>
      <c r="P118" s="14" t="s">
        <v>989</v>
      </c>
    </row>
    <row r="119" spans="1:495" x14ac:dyDescent="0.25">
      <c r="A119" s="6"/>
      <c r="B119" s="7">
        <v>44233</v>
      </c>
      <c r="C119" s="8" t="s">
        <v>985</v>
      </c>
      <c r="D119" s="8" t="s">
        <v>928</v>
      </c>
      <c r="E119" s="9" t="s">
        <v>858</v>
      </c>
      <c r="F119" s="9" t="s">
        <v>859</v>
      </c>
      <c r="G119" s="17">
        <v>0.69513888888888886</v>
      </c>
      <c r="H119" s="17">
        <v>0.7090277777777777</v>
      </c>
      <c r="I119" s="9">
        <v>12640</v>
      </c>
      <c r="J119" s="9">
        <v>9650</v>
      </c>
      <c r="K119" s="10">
        <f t="shared" si="1"/>
        <v>2990</v>
      </c>
      <c r="L119" s="10">
        <v>23311</v>
      </c>
      <c r="M119" s="11" t="s">
        <v>986</v>
      </c>
      <c r="N119" s="12">
        <v>3</v>
      </c>
      <c r="O119" s="13" t="s">
        <v>855</v>
      </c>
      <c r="P119" s="14"/>
      <c r="T119" s="24"/>
    </row>
    <row r="120" spans="1:495" x14ac:dyDescent="0.25">
      <c r="A120" s="6"/>
      <c r="B120" s="7">
        <v>44233</v>
      </c>
      <c r="C120" s="8" t="s">
        <v>973</v>
      </c>
      <c r="D120" s="8" t="s">
        <v>552</v>
      </c>
      <c r="E120" s="9" t="s">
        <v>947</v>
      </c>
      <c r="F120" s="9" t="s">
        <v>948</v>
      </c>
      <c r="G120" s="17">
        <v>0.72638888888888886</v>
      </c>
      <c r="H120" s="17">
        <v>0.73819444444444438</v>
      </c>
      <c r="I120" s="9">
        <v>8000</v>
      </c>
      <c r="J120" s="9">
        <v>7410</v>
      </c>
      <c r="K120" s="10">
        <f t="shared" si="1"/>
        <v>590</v>
      </c>
      <c r="L120" s="10">
        <v>23313</v>
      </c>
      <c r="M120" s="11" t="s">
        <v>990</v>
      </c>
      <c r="N120" s="12">
        <v>590</v>
      </c>
      <c r="O120" s="13" t="s">
        <v>32</v>
      </c>
      <c r="P120" s="14" t="s">
        <v>883</v>
      </c>
    </row>
    <row r="121" spans="1:495" x14ac:dyDescent="0.25">
      <c r="A121" s="6"/>
      <c r="B121" s="15">
        <v>44233</v>
      </c>
      <c r="C121" s="8" t="s">
        <v>328</v>
      </c>
      <c r="D121" s="8" t="s">
        <v>617</v>
      </c>
      <c r="E121" s="9" t="s">
        <v>35</v>
      </c>
      <c r="F121" s="9" t="s">
        <v>338</v>
      </c>
      <c r="G121" s="17">
        <v>0.74097222222222225</v>
      </c>
      <c r="H121" s="17">
        <v>0.77916666666666667</v>
      </c>
      <c r="I121" s="9">
        <v>11920</v>
      </c>
      <c r="J121" s="9">
        <v>5370</v>
      </c>
      <c r="K121" s="10">
        <f t="shared" si="1"/>
        <v>6550</v>
      </c>
      <c r="L121" s="10">
        <v>1521</v>
      </c>
      <c r="M121" s="11" t="s">
        <v>48</v>
      </c>
      <c r="N121" s="12">
        <v>14693.5</v>
      </c>
      <c r="O121" s="13" t="s">
        <v>49</v>
      </c>
      <c r="P121" s="14"/>
    </row>
    <row r="122" spans="1:495" x14ac:dyDescent="0.25">
      <c r="A122" s="6"/>
      <c r="B122" s="7">
        <v>44233</v>
      </c>
      <c r="C122" s="8" t="s">
        <v>991</v>
      </c>
      <c r="D122" s="8" t="s">
        <v>928</v>
      </c>
      <c r="E122" s="9" t="s">
        <v>858</v>
      </c>
      <c r="F122" s="9" t="s">
        <v>859</v>
      </c>
      <c r="G122" s="17">
        <v>0.75416666666666676</v>
      </c>
      <c r="H122" s="17">
        <v>0.76250000000000007</v>
      </c>
      <c r="I122" s="9">
        <v>11460</v>
      </c>
      <c r="J122" s="9">
        <v>9650</v>
      </c>
      <c r="K122" s="10">
        <f t="shared" si="1"/>
        <v>1810</v>
      </c>
      <c r="L122" s="10">
        <v>23314</v>
      </c>
      <c r="M122" s="11" t="s">
        <v>993</v>
      </c>
      <c r="N122" s="12">
        <v>1810</v>
      </c>
      <c r="O122" s="13" t="s">
        <v>32</v>
      </c>
      <c r="P122" s="14" t="s">
        <v>992</v>
      </c>
    </row>
    <row r="123" spans="1:495" x14ac:dyDescent="0.25">
      <c r="A123" s="6"/>
      <c r="B123" s="7">
        <v>44233</v>
      </c>
      <c r="C123" s="8" t="s">
        <v>962</v>
      </c>
      <c r="D123" s="8" t="s">
        <v>994</v>
      </c>
      <c r="E123" s="9" t="s">
        <v>995</v>
      </c>
      <c r="F123" s="9" t="s">
        <v>36</v>
      </c>
      <c r="G123" s="17">
        <v>0.80902777777777779</v>
      </c>
      <c r="H123" s="17">
        <v>0.84444444444444444</v>
      </c>
      <c r="I123" s="9">
        <v>5710</v>
      </c>
      <c r="J123" s="9">
        <v>3100</v>
      </c>
      <c r="K123" s="10">
        <f t="shared" si="1"/>
        <v>2610</v>
      </c>
      <c r="L123" s="10">
        <v>26433</v>
      </c>
      <c r="M123" s="11" t="s">
        <v>965</v>
      </c>
      <c r="N123" s="12">
        <v>2610</v>
      </c>
      <c r="O123" s="13" t="s">
        <v>32</v>
      </c>
      <c r="P123" s="14">
        <v>1</v>
      </c>
    </row>
    <row r="124" spans="1:495" x14ac:dyDescent="0.25">
      <c r="A124" s="6"/>
      <c r="B124" s="7">
        <v>44233</v>
      </c>
      <c r="C124" s="8" t="s">
        <v>996</v>
      </c>
      <c r="D124" s="8" t="s">
        <v>928</v>
      </c>
      <c r="E124" s="9" t="s">
        <v>858</v>
      </c>
      <c r="F124" s="9" t="s">
        <v>859</v>
      </c>
      <c r="G124" s="17">
        <v>0.8208333333333333</v>
      </c>
      <c r="H124" s="17">
        <v>0.82638888888888884</v>
      </c>
      <c r="I124" s="9">
        <v>10860</v>
      </c>
      <c r="J124" s="9">
        <v>9630</v>
      </c>
      <c r="K124" s="10">
        <f t="shared" si="1"/>
        <v>1230</v>
      </c>
      <c r="L124" s="10">
        <v>23315</v>
      </c>
      <c r="M124" s="11" t="s">
        <v>997</v>
      </c>
      <c r="N124" s="12">
        <v>1230</v>
      </c>
      <c r="O124" s="13" t="s">
        <v>32</v>
      </c>
      <c r="P124" s="78" t="s">
        <v>998</v>
      </c>
    </row>
    <row r="125" spans="1:495" x14ac:dyDescent="0.25">
      <c r="A125" s="6"/>
      <c r="B125" s="7">
        <v>44233</v>
      </c>
      <c r="C125" s="8" t="s">
        <v>962</v>
      </c>
      <c r="D125" s="8" t="s">
        <v>999</v>
      </c>
      <c r="E125" s="9" t="s">
        <v>1000</v>
      </c>
      <c r="F125" s="9" t="s">
        <v>36</v>
      </c>
      <c r="G125" s="17">
        <v>0.84027777777777779</v>
      </c>
      <c r="H125" s="17">
        <v>0.85</v>
      </c>
      <c r="I125" s="9">
        <v>2100</v>
      </c>
      <c r="J125" s="9">
        <v>1890</v>
      </c>
      <c r="K125" s="10">
        <f t="shared" si="1"/>
        <v>210</v>
      </c>
      <c r="L125" s="10">
        <v>26434</v>
      </c>
      <c r="M125" s="11" t="s">
        <v>965</v>
      </c>
      <c r="N125" s="12">
        <v>210</v>
      </c>
      <c r="O125" s="13" t="s">
        <v>32</v>
      </c>
      <c r="P125" s="14">
        <v>1</v>
      </c>
    </row>
    <row r="126" spans="1:495" x14ac:dyDescent="0.25">
      <c r="A126" s="6"/>
      <c r="B126" s="7">
        <v>44233</v>
      </c>
      <c r="C126" s="8" t="s">
        <v>37</v>
      </c>
      <c r="D126" s="8" t="s">
        <v>1001</v>
      </c>
      <c r="E126" s="9" t="s">
        <v>1002</v>
      </c>
      <c r="F126" s="9" t="s">
        <v>36</v>
      </c>
      <c r="G126" s="17">
        <v>0.86041666666666661</v>
      </c>
      <c r="H126" s="17">
        <v>0.9458333333333333</v>
      </c>
      <c r="I126" s="9">
        <v>10025</v>
      </c>
      <c r="J126" s="9">
        <v>4050</v>
      </c>
      <c r="K126" s="10">
        <f t="shared" si="1"/>
        <v>5975</v>
      </c>
      <c r="L126" s="10">
        <v>26435</v>
      </c>
      <c r="M126" s="11" t="s">
        <v>1003</v>
      </c>
      <c r="N126" s="12">
        <v>5975</v>
      </c>
      <c r="O126" s="13" t="s">
        <v>32</v>
      </c>
      <c r="P126" s="14">
        <v>4</v>
      </c>
    </row>
    <row r="127" spans="1:495" x14ac:dyDescent="0.25">
      <c r="A127" s="6"/>
      <c r="B127" s="7">
        <v>44233</v>
      </c>
      <c r="C127" s="8" t="s">
        <v>1004</v>
      </c>
      <c r="D127" s="8" t="s">
        <v>928</v>
      </c>
      <c r="E127" s="9" t="s">
        <v>858</v>
      </c>
      <c r="F127" s="9" t="s">
        <v>859</v>
      </c>
      <c r="G127" s="17">
        <v>0.91180555555555554</v>
      </c>
      <c r="H127" s="17">
        <v>0.92013888888888884</v>
      </c>
      <c r="I127" s="9">
        <v>19620</v>
      </c>
      <c r="J127" s="9">
        <v>9640</v>
      </c>
      <c r="K127" s="10">
        <f t="shared" si="1"/>
        <v>9980</v>
      </c>
      <c r="L127" s="10">
        <v>23316</v>
      </c>
      <c r="M127" s="11" t="s">
        <v>1005</v>
      </c>
      <c r="N127" s="12">
        <v>9.6</v>
      </c>
      <c r="O127" s="13" t="s">
        <v>855</v>
      </c>
      <c r="P127" s="14">
        <v>2</v>
      </c>
    </row>
    <row r="128" spans="1:495" x14ac:dyDescent="0.25">
      <c r="A128" s="6"/>
      <c r="B128" s="7">
        <v>44233</v>
      </c>
      <c r="C128" s="8" t="s">
        <v>328</v>
      </c>
      <c r="D128" s="8" t="s">
        <v>1006</v>
      </c>
      <c r="E128" s="9" t="s">
        <v>176</v>
      </c>
      <c r="F128" s="9" t="s">
        <v>36</v>
      </c>
      <c r="G128" s="17">
        <v>0.91875000000000007</v>
      </c>
      <c r="H128" s="17">
        <v>0.94791666666666663</v>
      </c>
      <c r="I128" s="9">
        <v>9220</v>
      </c>
      <c r="J128" s="9">
        <v>4280</v>
      </c>
      <c r="K128" s="10">
        <f t="shared" si="1"/>
        <v>4940</v>
      </c>
      <c r="L128" s="10">
        <v>1522</v>
      </c>
      <c r="M128" s="11" t="s">
        <v>718</v>
      </c>
      <c r="N128" s="12">
        <v>15432</v>
      </c>
      <c r="O128" s="13" t="s">
        <v>49</v>
      </c>
      <c r="P128" s="14">
        <v>4</v>
      </c>
    </row>
    <row r="129" spans="1:495" x14ac:dyDescent="0.25">
      <c r="A129" s="6"/>
      <c r="B129" s="7">
        <v>44233</v>
      </c>
      <c r="C129" s="8" t="s">
        <v>37</v>
      </c>
      <c r="D129" s="8" t="s">
        <v>122</v>
      </c>
      <c r="E129" s="9" t="s">
        <v>967</v>
      </c>
      <c r="F129" s="9" t="s">
        <v>36</v>
      </c>
      <c r="G129" s="17">
        <v>0.92499999999999993</v>
      </c>
      <c r="H129" s="17">
        <v>0.95624999999999993</v>
      </c>
      <c r="I129" s="9">
        <v>21700</v>
      </c>
      <c r="J129" s="9">
        <v>6430</v>
      </c>
      <c r="K129" s="10">
        <f t="shared" si="1"/>
        <v>15270</v>
      </c>
      <c r="L129" s="10">
        <v>26439</v>
      </c>
      <c r="M129" s="11" t="s">
        <v>1007</v>
      </c>
      <c r="N129" s="12">
        <v>15270</v>
      </c>
      <c r="O129" s="13" t="s">
        <v>32</v>
      </c>
      <c r="P129" s="14">
        <v>4</v>
      </c>
    </row>
    <row r="130" spans="1:495" x14ac:dyDescent="0.25">
      <c r="A130" s="6"/>
      <c r="B130" s="7">
        <v>44233</v>
      </c>
      <c r="C130" s="8" t="s">
        <v>950</v>
      </c>
      <c r="D130" s="8" t="s">
        <v>1008</v>
      </c>
      <c r="E130" s="9" t="s">
        <v>144</v>
      </c>
      <c r="F130" s="9" t="s">
        <v>626</v>
      </c>
      <c r="G130" s="17">
        <v>0.93541666666666667</v>
      </c>
      <c r="H130" s="17">
        <v>0.95000000000000007</v>
      </c>
      <c r="I130" s="9">
        <v>20800</v>
      </c>
      <c r="J130" s="9">
        <v>15640</v>
      </c>
      <c r="K130" s="10">
        <f t="shared" si="1"/>
        <v>5160</v>
      </c>
      <c r="L130" s="10">
        <v>23317</v>
      </c>
      <c r="M130" s="11" t="s">
        <v>1009</v>
      </c>
      <c r="N130" s="12">
        <v>4.8</v>
      </c>
      <c r="O130" s="13" t="s">
        <v>855</v>
      </c>
      <c r="P130" s="14">
        <v>2</v>
      </c>
    </row>
    <row r="131" spans="1:495" x14ac:dyDescent="0.25">
      <c r="A131" s="6"/>
      <c r="B131" s="7">
        <v>44234</v>
      </c>
      <c r="C131" s="8" t="s">
        <v>871</v>
      </c>
      <c r="D131" s="8" t="s">
        <v>465</v>
      </c>
      <c r="E131" s="9" t="s">
        <v>813</v>
      </c>
      <c r="F131" s="9" t="s">
        <v>814</v>
      </c>
      <c r="G131" s="17">
        <v>0.93888888888888899</v>
      </c>
      <c r="H131" s="17">
        <v>0.95416666666666661</v>
      </c>
      <c r="I131" s="9">
        <v>20970</v>
      </c>
      <c r="J131" s="9">
        <v>15390</v>
      </c>
      <c r="K131" s="10">
        <f t="shared" si="1"/>
        <v>5580</v>
      </c>
      <c r="L131" s="10">
        <v>741</v>
      </c>
      <c r="M131" s="11" t="s">
        <v>1010</v>
      </c>
      <c r="N131" s="12">
        <v>6.08</v>
      </c>
      <c r="O131" s="13" t="s">
        <v>855</v>
      </c>
      <c r="P131" s="14">
        <v>1</v>
      </c>
    </row>
    <row r="132" spans="1:495" x14ac:dyDescent="0.25">
      <c r="A132" s="6"/>
      <c r="B132" s="15">
        <v>44234</v>
      </c>
      <c r="C132" s="8" t="s">
        <v>1011</v>
      </c>
      <c r="D132" s="8" t="s">
        <v>928</v>
      </c>
      <c r="E132" s="9" t="s">
        <v>858</v>
      </c>
      <c r="F132" s="9" t="s">
        <v>859</v>
      </c>
      <c r="G132" s="17">
        <v>0.34027777777777773</v>
      </c>
      <c r="H132" s="17">
        <v>0.34791666666666665</v>
      </c>
      <c r="I132" s="9">
        <v>20130</v>
      </c>
      <c r="J132" s="9">
        <v>9610</v>
      </c>
      <c r="K132" s="10">
        <f t="shared" si="1"/>
        <v>10520</v>
      </c>
      <c r="L132" s="10">
        <v>23318</v>
      </c>
      <c r="M132" s="11" t="s">
        <v>1012</v>
      </c>
      <c r="N132" s="12">
        <v>9.6</v>
      </c>
      <c r="O132" s="13" t="s">
        <v>855</v>
      </c>
      <c r="P132" s="14"/>
    </row>
    <row r="133" spans="1:495" x14ac:dyDescent="0.25">
      <c r="A133" s="6"/>
      <c r="B133" s="7">
        <v>44234</v>
      </c>
      <c r="C133" s="8" t="s">
        <v>1011</v>
      </c>
      <c r="D133" s="8" t="s">
        <v>1008</v>
      </c>
      <c r="E133" s="9" t="s">
        <v>144</v>
      </c>
      <c r="F133" s="9" t="s">
        <v>626</v>
      </c>
      <c r="G133" s="17">
        <v>0.35000000000000003</v>
      </c>
      <c r="H133" s="17">
        <v>0.3576388888888889</v>
      </c>
      <c r="I133" s="9">
        <v>38860</v>
      </c>
      <c r="J133" s="9">
        <v>15770</v>
      </c>
      <c r="K133" s="10">
        <f t="shared" si="1"/>
        <v>23090</v>
      </c>
      <c r="L133" s="10">
        <v>23318</v>
      </c>
      <c r="M133" s="11" t="s">
        <v>1012</v>
      </c>
      <c r="N133" s="12">
        <v>21.6</v>
      </c>
      <c r="O133" s="13" t="s">
        <v>855</v>
      </c>
      <c r="P133" s="14"/>
    </row>
    <row r="134" spans="1:495" x14ac:dyDescent="0.25">
      <c r="A134" s="6"/>
      <c r="B134" s="7">
        <v>44234</v>
      </c>
      <c r="C134" s="68" t="s">
        <v>969</v>
      </c>
      <c r="D134" s="68" t="s">
        <v>1033</v>
      </c>
      <c r="E134" s="69" t="s">
        <v>277</v>
      </c>
      <c r="F134" s="69" t="s">
        <v>128</v>
      </c>
      <c r="G134" s="70">
        <v>0.36249999999999999</v>
      </c>
      <c r="H134" s="70">
        <v>0.37013888888888885</v>
      </c>
      <c r="I134" s="69">
        <v>7110</v>
      </c>
      <c r="J134" s="69">
        <v>5580</v>
      </c>
      <c r="K134" s="10">
        <f t="shared" si="1"/>
        <v>1530</v>
      </c>
      <c r="L134" s="10">
        <v>26432</v>
      </c>
      <c r="M134" s="72" t="s">
        <v>1032</v>
      </c>
      <c r="N134" s="73">
        <v>1530</v>
      </c>
      <c r="O134" s="74" t="s">
        <v>32</v>
      </c>
      <c r="P134" s="75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76"/>
      <c r="BC134" s="76"/>
      <c r="BD134" s="76"/>
      <c r="BE134" s="76"/>
      <c r="BF134" s="76"/>
      <c r="BG134" s="76"/>
      <c r="BH134" s="76"/>
      <c r="BI134" s="76"/>
      <c r="BJ134" s="76"/>
      <c r="BK134" s="76"/>
      <c r="BL134" s="76"/>
      <c r="BM134" s="76"/>
      <c r="BN134" s="76"/>
      <c r="BO134" s="76"/>
      <c r="BP134" s="76"/>
      <c r="BQ134" s="76"/>
      <c r="BR134" s="76"/>
      <c r="BS134" s="76"/>
      <c r="BT134" s="76"/>
      <c r="BU134" s="76"/>
      <c r="BV134" s="76"/>
      <c r="BW134" s="76"/>
      <c r="BX134" s="76"/>
      <c r="BY134" s="76"/>
      <c r="BZ134" s="76"/>
      <c r="CA134" s="76"/>
      <c r="CB134" s="76"/>
      <c r="CC134" s="76"/>
      <c r="CD134" s="76"/>
      <c r="CE134" s="76"/>
      <c r="CF134" s="76"/>
      <c r="CG134" s="76"/>
      <c r="CH134" s="76"/>
      <c r="CI134" s="76"/>
      <c r="CJ134" s="76"/>
      <c r="CK134" s="76"/>
      <c r="CL134" s="76"/>
      <c r="CM134" s="76"/>
      <c r="CN134" s="76"/>
      <c r="CO134" s="76"/>
      <c r="CP134" s="76"/>
      <c r="CQ134" s="76"/>
      <c r="CR134" s="76"/>
      <c r="CS134" s="76"/>
      <c r="CT134" s="76"/>
      <c r="CU134" s="76"/>
      <c r="CV134" s="76"/>
      <c r="CW134" s="76"/>
      <c r="CX134" s="76"/>
      <c r="CY134" s="76"/>
      <c r="CZ134" s="76"/>
      <c r="DA134" s="76"/>
      <c r="DB134" s="76"/>
      <c r="DC134" s="76"/>
      <c r="DD134" s="76"/>
      <c r="DE134" s="76"/>
      <c r="DF134" s="76"/>
      <c r="DG134" s="76"/>
      <c r="DH134" s="76"/>
      <c r="DI134" s="76"/>
      <c r="DJ134" s="76"/>
      <c r="DK134" s="76"/>
      <c r="DL134" s="76"/>
      <c r="DM134" s="76"/>
      <c r="DN134" s="76"/>
      <c r="DO134" s="76"/>
      <c r="DP134" s="76"/>
      <c r="DQ134" s="76"/>
      <c r="DR134" s="76"/>
      <c r="DS134" s="76"/>
      <c r="DT134" s="76"/>
      <c r="DU134" s="76"/>
      <c r="DV134" s="76"/>
      <c r="DW134" s="76"/>
      <c r="DX134" s="76"/>
      <c r="DY134" s="76"/>
      <c r="DZ134" s="76"/>
      <c r="EA134" s="76"/>
      <c r="EB134" s="76"/>
      <c r="EC134" s="76"/>
      <c r="ED134" s="76"/>
      <c r="EE134" s="76"/>
      <c r="EF134" s="76"/>
      <c r="EG134" s="76"/>
      <c r="EH134" s="76"/>
      <c r="EI134" s="76"/>
      <c r="EJ134" s="76"/>
      <c r="EK134" s="76"/>
      <c r="EL134" s="76"/>
      <c r="EM134" s="76"/>
      <c r="EN134" s="76"/>
      <c r="EO134" s="76"/>
      <c r="EP134" s="76"/>
      <c r="EQ134" s="76"/>
      <c r="ER134" s="76"/>
      <c r="ES134" s="76"/>
      <c r="ET134" s="76"/>
      <c r="EU134" s="76"/>
      <c r="EV134" s="76"/>
      <c r="EW134" s="76"/>
      <c r="EX134" s="76"/>
      <c r="EY134" s="76"/>
      <c r="EZ134" s="76"/>
      <c r="FA134" s="76"/>
      <c r="FB134" s="76"/>
      <c r="FC134" s="76"/>
      <c r="FD134" s="76"/>
      <c r="FE134" s="76"/>
      <c r="FF134" s="76"/>
      <c r="FG134" s="76"/>
      <c r="FH134" s="76"/>
      <c r="FI134" s="76"/>
      <c r="FJ134" s="76"/>
      <c r="FK134" s="76"/>
      <c r="FL134" s="76"/>
      <c r="FM134" s="76"/>
      <c r="FN134" s="76"/>
      <c r="FO134" s="76"/>
      <c r="FP134" s="76"/>
      <c r="FQ134" s="76"/>
      <c r="FR134" s="76"/>
      <c r="FS134" s="76"/>
      <c r="FT134" s="76"/>
      <c r="FU134" s="76"/>
      <c r="FV134" s="76"/>
      <c r="FW134" s="76"/>
      <c r="FX134" s="76"/>
      <c r="FY134" s="76"/>
      <c r="FZ134" s="76"/>
      <c r="GA134" s="76"/>
      <c r="GB134" s="76"/>
      <c r="GC134" s="76"/>
      <c r="GD134" s="76"/>
      <c r="GE134" s="76"/>
      <c r="GF134" s="76"/>
      <c r="GG134" s="76"/>
      <c r="GH134" s="76"/>
      <c r="GI134" s="76"/>
      <c r="GJ134" s="76"/>
      <c r="GK134" s="76"/>
      <c r="GL134" s="76"/>
      <c r="GM134" s="76"/>
      <c r="GN134" s="76"/>
      <c r="GO134" s="76"/>
      <c r="GP134" s="76"/>
      <c r="GQ134" s="76"/>
      <c r="GR134" s="76"/>
      <c r="GS134" s="76"/>
      <c r="GT134" s="76"/>
      <c r="GU134" s="76"/>
      <c r="GV134" s="76"/>
      <c r="GW134" s="76"/>
      <c r="GX134" s="76"/>
      <c r="GY134" s="76"/>
      <c r="GZ134" s="76"/>
      <c r="HA134" s="76"/>
      <c r="HB134" s="76"/>
      <c r="HC134" s="76"/>
      <c r="HD134" s="76"/>
      <c r="HE134" s="76"/>
      <c r="HF134" s="76"/>
      <c r="HG134" s="76"/>
      <c r="HH134" s="76"/>
      <c r="HI134" s="76"/>
      <c r="HJ134" s="76"/>
      <c r="HK134" s="76"/>
      <c r="HL134" s="76"/>
      <c r="HM134" s="76"/>
      <c r="HN134" s="76"/>
      <c r="HO134" s="76"/>
      <c r="HP134" s="76"/>
      <c r="HQ134" s="76"/>
      <c r="HR134" s="76"/>
      <c r="HS134" s="76"/>
      <c r="HT134" s="76"/>
      <c r="HU134" s="76"/>
      <c r="HV134" s="76"/>
      <c r="HW134" s="76"/>
      <c r="HX134" s="76"/>
      <c r="HY134" s="76"/>
      <c r="HZ134" s="76"/>
      <c r="IA134" s="76"/>
      <c r="IB134" s="76"/>
      <c r="IC134" s="76"/>
      <c r="ID134" s="76"/>
      <c r="IE134" s="76"/>
      <c r="IF134" s="76"/>
      <c r="IG134" s="76"/>
      <c r="IH134" s="76"/>
      <c r="II134" s="76"/>
      <c r="IJ134" s="76"/>
      <c r="IK134" s="76"/>
      <c r="IL134" s="76"/>
      <c r="IM134" s="76"/>
      <c r="IN134" s="76"/>
      <c r="IO134" s="76"/>
      <c r="IP134" s="76"/>
      <c r="IQ134" s="76"/>
      <c r="IR134" s="76"/>
      <c r="IS134" s="76"/>
      <c r="IT134" s="76"/>
      <c r="IU134" s="76"/>
      <c r="IV134" s="76"/>
      <c r="IW134" s="76"/>
      <c r="IX134" s="76"/>
      <c r="IY134" s="76"/>
      <c r="IZ134" s="76"/>
      <c r="JA134" s="76"/>
      <c r="JB134" s="76"/>
      <c r="JC134" s="76"/>
      <c r="JD134" s="76"/>
      <c r="JE134" s="76"/>
      <c r="JF134" s="76"/>
      <c r="JG134" s="76"/>
      <c r="JH134" s="76"/>
      <c r="JI134" s="76"/>
      <c r="JJ134" s="76"/>
      <c r="JK134" s="76"/>
      <c r="JL134" s="76"/>
      <c r="JM134" s="76"/>
      <c r="JN134" s="76"/>
      <c r="JO134" s="76"/>
      <c r="JP134" s="76"/>
      <c r="JQ134" s="76"/>
      <c r="JR134" s="76"/>
      <c r="JS134" s="76"/>
      <c r="JT134" s="76"/>
      <c r="JU134" s="76"/>
      <c r="JV134" s="76"/>
      <c r="JW134" s="76"/>
      <c r="JX134" s="76"/>
      <c r="JY134" s="76"/>
      <c r="JZ134" s="76"/>
      <c r="KA134" s="76"/>
      <c r="KB134" s="76"/>
      <c r="KC134" s="76"/>
      <c r="KD134" s="76"/>
      <c r="KE134" s="76"/>
      <c r="KF134" s="76"/>
      <c r="KG134" s="76"/>
      <c r="KH134" s="76"/>
      <c r="KI134" s="76"/>
      <c r="KJ134" s="76"/>
      <c r="KK134" s="76"/>
      <c r="KL134" s="76"/>
      <c r="KM134" s="76"/>
      <c r="KN134" s="76"/>
      <c r="KO134" s="76"/>
      <c r="KP134" s="76"/>
      <c r="KQ134" s="76"/>
      <c r="KR134" s="76"/>
      <c r="KS134" s="76"/>
      <c r="KT134" s="76"/>
      <c r="KU134" s="76"/>
      <c r="KV134" s="76"/>
      <c r="KW134" s="76"/>
      <c r="KX134" s="76"/>
      <c r="KY134" s="76"/>
      <c r="KZ134" s="76"/>
      <c r="LA134" s="76"/>
      <c r="LB134" s="76"/>
      <c r="LC134" s="76"/>
      <c r="LD134" s="76"/>
      <c r="LE134" s="76"/>
      <c r="LF134" s="76"/>
      <c r="LG134" s="76"/>
      <c r="LH134" s="76"/>
      <c r="LI134" s="76"/>
      <c r="LJ134" s="76"/>
      <c r="LK134" s="76"/>
      <c r="LL134" s="76"/>
      <c r="LM134" s="76"/>
      <c r="LN134" s="76"/>
      <c r="LO134" s="76"/>
      <c r="LP134" s="76"/>
      <c r="LQ134" s="76"/>
      <c r="LR134" s="76"/>
      <c r="LS134" s="76"/>
      <c r="LT134" s="76"/>
      <c r="LU134" s="76"/>
      <c r="LV134" s="76"/>
      <c r="LW134" s="76"/>
      <c r="LX134" s="76"/>
      <c r="LY134" s="76"/>
      <c r="LZ134" s="76"/>
      <c r="MA134" s="76"/>
      <c r="MB134" s="76"/>
      <c r="MC134" s="76"/>
      <c r="MD134" s="76"/>
      <c r="ME134" s="76"/>
      <c r="MF134" s="76"/>
      <c r="MG134" s="76"/>
      <c r="MH134" s="76"/>
      <c r="MI134" s="76"/>
      <c r="MJ134" s="76"/>
      <c r="MK134" s="76"/>
      <c r="ML134" s="76"/>
      <c r="MM134" s="76"/>
      <c r="MN134" s="76"/>
      <c r="MO134" s="76"/>
      <c r="MP134" s="76"/>
      <c r="MQ134" s="76"/>
      <c r="MR134" s="76"/>
      <c r="MS134" s="76"/>
      <c r="MT134" s="76"/>
      <c r="MU134" s="76"/>
      <c r="MV134" s="76"/>
      <c r="MW134" s="76"/>
      <c r="MX134" s="76"/>
      <c r="MY134" s="76"/>
      <c r="MZ134" s="76"/>
      <c r="NA134" s="76"/>
      <c r="NB134" s="76"/>
      <c r="NC134" s="76"/>
      <c r="ND134" s="76"/>
      <c r="NE134" s="76"/>
      <c r="NF134" s="76"/>
      <c r="NG134" s="76"/>
      <c r="NH134" s="76"/>
      <c r="NI134" s="76"/>
      <c r="NJ134" s="76"/>
      <c r="NK134" s="76"/>
      <c r="NL134" s="76"/>
      <c r="NM134" s="76"/>
      <c r="NN134" s="76"/>
      <c r="NO134" s="76"/>
      <c r="NP134" s="76"/>
      <c r="NQ134" s="76"/>
      <c r="NR134" s="76"/>
      <c r="NS134" s="76"/>
      <c r="NT134" s="76"/>
      <c r="NU134" s="76"/>
      <c r="NV134" s="76"/>
      <c r="NW134" s="76"/>
      <c r="NX134" s="76"/>
      <c r="NY134" s="76"/>
      <c r="NZ134" s="76"/>
      <c r="OA134" s="76"/>
      <c r="OB134" s="76"/>
      <c r="OC134" s="76"/>
      <c r="OD134" s="76"/>
      <c r="OE134" s="76"/>
      <c r="OF134" s="76"/>
      <c r="OG134" s="76"/>
      <c r="OH134" s="76"/>
      <c r="OI134" s="76"/>
      <c r="OJ134" s="76"/>
      <c r="OK134" s="76"/>
      <c r="OL134" s="76"/>
      <c r="OM134" s="76"/>
      <c r="ON134" s="76"/>
      <c r="OO134" s="76"/>
      <c r="OP134" s="76"/>
      <c r="OQ134" s="76"/>
      <c r="OR134" s="76"/>
      <c r="OS134" s="76"/>
      <c r="OT134" s="76"/>
      <c r="OU134" s="76"/>
      <c r="OV134" s="76"/>
      <c r="OW134" s="76"/>
      <c r="OX134" s="76"/>
      <c r="OY134" s="76"/>
      <c r="OZ134" s="76"/>
      <c r="PA134" s="76"/>
      <c r="PB134" s="76"/>
      <c r="PC134" s="76"/>
      <c r="PD134" s="76"/>
      <c r="PE134" s="76"/>
      <c r="PF134" s="76"/>
      <c r="PG134" s="76"/>
      <c r="PH134" s="76"/>
      <c r="PI134" s="76"/>
      <c r="PJ134" s="76"/>
      <c r="PK134" s="76"/>
      <c r="PL134" s="76"/>
      <c r="PM134" s="76"/>
      <c r="PN134" s="76"/>
      <c r="PO134" s="76"/>
      <c r="PP134" s="76"/>
      <c r="PQ134" s="76"/>
      <c r="PR134" s="76"/>
      <c r="PS134" s="76"/>
      <c r="PT134" s="76"/>
      <c r="PU134" s="76"/>
      <c r="PV134" s="76"/>
      <c r="PW134" s="76"/>
      <c r="PX134" s="76"/>
      <c r="PY134" s="76"/>
      <c r="PZ134" s="76"/>
      <c r="QA134" s="76"/>
      <c r="QB134" s="76"/>
      <c r="QC134" s="76"/>
      <c r="QD134" s="76"/>
      <c r="QE134" s="76"/>
      <c r="QF134" s="76"/>
      <c r="QG134" s="76"/>
      <c r="QH134" s="76"/>
      <c r="QI134" s="76"/>
      <c r="QJ134" s="76"/>
      <c r="QK134" s="76"/>
      <c r="QL134" s="76"/>
      <c r="QM134" s="76"/>
      <c r="QN134" s="76"/>
      <c r="QO134" s="76"/>
      <c r="QP134" s="76"/>
      <c r="QQ134" s="76"/>
      <c r="QR134" s="76"/>
      <c r="QS134" s="76"/>
      <c r="QT134" s="76"/>
      <c r="QU134" s="76"/>
      <c r="QV134" s="76"/>
      <c r="QW134" s="76"/>
      <c r="QX134" s="76"/>
      <c r="QY134" s="76"/>
      <c r="QZ134" s="76"/>
      <c r="RA134" s="76"/>
      <c r="RB134" s="76"/>
      <c r="RC134" s="76"/>
      <c r="RD134" s="76"/>
      <c r="RE134" s="76"/>
      <c r="RF134" s="76"/>
      <c r="RG134" s="76"/>
      <c r="RH134" s="76"/>
      <c r="RI134" s="76"/>
      <c r="RJ134" s="76"/>
      <c r="RK134" s="76"/>
      <c r="RL134" s="76"/>
      <c r="RM134" s="76"/>
      <c r="RN134" s="76"/>
      <c r="RO134" s="76"/>
      <c r="RP134" s="76"/>
      <c r="RQ134" s="76"/>
      <c r="RR134" s="76"/>
      <c r="RS134" s="76"/>
      <c r="RT134" s="76"/>
      <c r="RU134" s="76"/>
      <c r="RV134" s="76"/>
      <c r="RW134" s="76"/>
      <c r="RX134" s="76"/>
      <c r="RY134" s="76"/>
      <c r="RZ134" s="76"/>
      <c r="SA134" s="76"/>
    </row>
    <row r="135" spans="1:495" x14ac:dyDescent="0.25">
      <c r="A135" s="6"/>
      <c r="B135" s="7">
        <v>44234</v>
      </c>
      <c r="C135" s="8" t="s">
        <v>1013</v>
      </c>
      <c r="D135" s="8" t="s">
        <v>299</v>
      </c>
      <c r="E135" s="9" t="s">
        <v>813</v>
      </c>
      <c r="F135" s="9" t="s">
        <v>814</v>
      </c>
      <c r="G135" s="17">
        <v>0.37777777777777777</v>
      </c>
      <c r="H135" s="17">
        <v>0.38958333333333334</v>
      </c>
      <c r="I135" s="9">
        <v>41240</v>
      </c>
      <c r="J135" s="9">
        <v>15390</v>
      </c>
      <c r="K135" s="10">
        <f t="shared" si="1"/>
        <v>25850</v>
      </c>
      <c r="L135" s="10" t="s">
        <v>1014</v>
      </c>
      <c r="M135" s="11" t="s">
        <v>1012</v>
      </c>
      <c r="N135" s="12">
        <v>23.4</v>
      </c>
      <c r="O135" s="13" t="s">
        <v>855</v>
      </c>
      <c r="P135" s="14"/>
    </row>
    <row r="136" spans="1:495" x14ac:dyDescent="0.25">
      <c r="A136" s="6"/>
      <c r="B136" s="7">
        <v>44234</v>
      </c>
      <c r="C136" s="8" t="s">
        <v>1017</v>
      </c>
      <c r="D136" s="8" t="s">
        <v>392</v>
      </c>
      <c r="E136" s="9" t="s">
        <v>867</v>
      </c>
      <c r="F136" s="9" t="s">
        <v>297</v>
      </c>
      <c r="G136" s="17">
        <v>0.39861111111111108</v>
      </c>
      <c r="H136" s="17">
        <v>0.80347222222222225</v>
      </c>
      <c r="I136" s="9">
        <v>11880</v>
      </c>
      <c r="J136" s="9">
        <v>6560</v>
      </c>
      <c r="K136" s="10">
        <f t="shared" ref="K136:K202" si="4">+I136-J136</f>
        <v>5320</v>
      </c>
      <c r="L136" s="10" t="s">
        <v>1018</v>
      </c>
      <c r="M136" s="11" t="s">
        <v>718</v>
      </c>
      <c r="N136" s="12">
        <v>12996</v>
      </c>
      <c r="O136" s="13" t="s">
        <v>49</v>
      </c>
      <c r="P136" s="14"/>
    </row>
    <row r="137" spans="1:495" x14ac:dyDescent="0.25">
      <c r="A137" s="6"/>
      <c r="B137" s="7">
        <v>44234</v>
      </c>
      <c r="C137" s="8" t="s">
        <v>1015</v>
      </c>
      <c r="D137" s="8" t="s">
        <v>465</v>
      </c>
      <c r="E137" s="9" t="s">
        <v>881</v>
      </c>
      <c r="F137" s="9" t="s">
        <v>749</v>
      </c>
      <c r="G137" s="17">
        <v>0.41388888888888892</v>
      </c>
      <c r="H137" s="17">
        <v>0.42708333333333331</v>
      </c>
      <c r="I137" s="9">
        <v>38060</v>
      </c>
      <c r="J137" s="9">
        <v>16070</v>
      </c>
      <c r="K137" s="10">
        <f t="shared" si="1"/>
        <v>21990</v>
      </c>
      <c r="L137" s="10" t="s">
        <v>1016</v>
      </c>
      <c r="M137" s="11" t="s">
        <v>1012</v>
      </c>
      <c r="N137" s="12">
        <v>20.399999999999999</v>
      </c>
      <c r="O137" s="13" t="s">
        <v>855</v>
      </c>
      <c r="P137" s="14"/>
    </row>
    <row r="138" spans="1:495" x14ac:dyDescent="0.25">
      <c r="A138" s="6"/>
      <c r="B138" s="7">
        <v>44234</v>
      </c>
      <c r="C138" s="8" t="s">
        <v>1019</v>
      </c>
      <c r="D138" s="8" t="s">
        <v>928</v>
      </c>
      <c r="E138" s="9" t="s">
        <v>858</v>
      </c>
      <c r="F138" s="9" t="s">
        <v>859</v>
      </c>
      <c r="G138" s="17">
        <v>0.43958333333333338</v>
      </c>
      <c r="H138" s="17">
        <v>0.44861111111111113</v>
      </c>
      <c r="I138" s="9">
        <v>22890</v>
      </c>
      <c r="J138" s="9">
        <v>9600</v>
      </c>
      <c r="K138" s="10">
        <f t="shared" si="4"/>
        <v>13290</v>
      </c>
      <c r="L138" s="10" t="s">
        <v>1020</v>
      </c>
      <c r="M138" s="11" t="s">
        <v>1021</v>
      </c>
      <c r="N138" s="12">
        <v>12</v>
      </c>
      <c r="O138" s="13" t="s">
        <v>855</v>
      </c>
      <c r="P138" s="14"/>
      <c r="Q138" s="19"/>
    </row>
    <row r="139" spans="1:495" x14ac:dyDescent="0.25">
      <c r="A139" s="6"/>
      <c r="B139" s="7">
        <v>44234</v>
      </c>
      <c r="C139" s="8" t="s">
        <v>1015</v>
      </c>
      <c r="D139" s="8" t="s">
        <v>143</v>
      </c>
      <c r="E139" s="9" t="s">
        <v>144</v>
      </c>
      <c r="F139" s="9" t="s">
        <v>626</v>
      </c>
      <c r="G139" s="17">
        <v>0.44791666666666669</v>
      </c>
      <c r="H139" s="17">
        <v>0.45277777777777778</v>
      </c>
      <c r="I139" s="9">
        <v>30050</v>
      </c>
      <c r="J139" s="9">
        <v>15640</v>
      </c>
      <c r="K139" s="10">
        <f t="shared" si="4"/>
        <v>14410</v>
      </c>
      <c r="L139" s="10">
        <v>23322</v>
      </c>
      <c r="M139" s="11" t="s">
        <v>1012</v>
      </c>
      <c r="N139" s="12">
        <v>14410</v>
      </c>
      <c r="O139" s="13" t="s">
        <v>32</v>
      </c>
      <c r="P139" s="14" t="s">
        <v>1022</v>
      </c>
    </row>
    <row r="140" spans="1:495" x14ac:dyDescent="0.25">
      <c r="A140" s="6"/>
      <c r="B140" s="7">
        <v>44234</v>
      </c>
      <c r="C140" s="8" t="s">
        <v>1023</v>
      </c>
      <c r="D140" s="8" t="s">
        <v>1008</v>
      </c>
      <c r="E140" s="9" t="s">
        <v>87</v>
      </c>
      <c r="F140" s="9" t="s">
        <v>88</v>
      </c>
      <c r="G140" s="17">
        <v>0.4604166666666667</v>
      </c>
      <c r="H140" s="17">
        <v>0.48194444444444445</v>
      </c>
      <c r="I140" s="9">
        <v>43420</v>
      </c>
      <c r="J140" s="9">
        <v>17390</v>
      </c>
      <c r="K140" s="10">
        <f t="shared" si="4"/>
        <v>26030</v>
      </c>
      <c r="L140" s="10" t="s">
        <v>1024</v>
      </c>
      <c r="M140" s="11" t="s">
        <v>1025</v>
      </c>
      <c r="N140" s="12">
        <v>24</v>
      </c>
      <c r="O140" s="13" t="s">
        <v>855</v>
      </c>
      <c r="P140" s="14"/>
    </row>
    <row r="141" spans="1:495" x14ac:dyDescent="0.25">
      <c r="A141" s="6"/>
      <c r="B141" s="7">
        <v>44234</v>
      </c>
      <c r="C141" s="8" t="s">
        <v>984</v>
      </c>
      <c r="D141" s="8" t="s">
        <v>299</v>
      </c>
      <c r="E141" s="9" t="s">
        <v>813</v>
      </c>
      <c r="F141" s="9" t="s">
        <v>814</v>
      </c>
      <c r="G141" s="17">
        <v>0.46319444444444446</v>
      </c>
      <c r="H141" s="17">
        <v>0.47430555555555554</v>
      </c>
      <c r="I141" s="9">
        <v>38800</v>
      </c>
      <c r="J141" s="9">
        <v>15440</v>
      </c>
      <c r="K141" s="10">
        <f t="shared" si="4"/>
        <v>23360</v>
      </c>
      <c r="L141" s="10">
        <v>23323</v>
      </c>
      <c r="M141" s="11" t="s">
        <v>1026</v>
      </c>
      <c r="N141" s="12">
        <v>21.6</v>
      </c>
      <c r="O141" s="13" t="s">
        <v>855</v>
      </c>
      <c r="P141" s="14"/>
    </row>
    <row r="142" spans="1:495" x14ac:dyDescent="0.25">
      <c r="A142" s="6"/>
      <c r="B142" s="7">
        <v>44234</v>
      </c>
      <c r="C142" s="8" t="s">
        <v>984</v>
      </c>
      <c r="D142" s="8" t="s">
        <v>465</v>
      </c>
      <c r="E142" s="9" t="s">
        <v>881</v>
      </c>
      <c r="F142" s="9" t="s">
        <v>749</v>
      </c>
      <c r="G142" s="17">
        <v>0.4916666666666667</v>
      </c>
      <c r="H142" s="17">
        <v>0.4993055555555555</v>
      </c>
      <c r="I142" s="9">
        <v>38230</v>
      </c>
      <c r="J142" s="9">
        <v>16050</v>
      </c>
      <c r="K142" s="10">
        <f t="shared" si="4"/>
        <v>22180</v>
      </c>
      <c r="L142" s="10">
        <v>23323</v>
      </c>
      <c r="M142" s="11" t="s">
        <v>1026</v>
      </c>
      <c r="N142" s="12">
        <v>21.6</v>
      </c>
      <c r="O142" s="13" t="s">
        <v>855</v>
      </c>
      <c r="P142" s="14"/>
    </row>
    <row r="143" spans="1:495" x14ac:dyDescent="0.25">
      <c r="A143" s="6"/>
      <c r="B143" s="7">
        <v>44234</v>
      </c>
      <c r="C143" s="8" t="s">
        <v>984</v>
      </c>
      <c r="D143" s="8" t="s">
        <v>143</v>
      </c>
      <c r="E143" s="9" t="s">
        <v>144</v>
      </c>
      <c r="F143" s="9" t="s">
        <v>626</v>
      </c>
      <c r="G143" s="17">
        <v>0.50694444444444442</v>
      </c>
      <c r="H143" s="17">
        <v>0.51250000000000007</v>
      </c>
      <c r="I143" s="9">
        <v>38930</v>
      </c>
      <c r="J143" s="9">
        <v>15610</v>
      </c>
      <c r="K143" s="10">
        <f t="shared" si="4"/>
        <v>23320</v>
      </c>
      <c r="L143" s="10">
        <v>23323</v>
      </c>
      <c r="M143" s="11" t="s">
        <v>1026</v>
      </c>
      <c r="N143" s="12">
        <v>21.6</v>
      </c>
      <c r="O143" s="13" t="s">
        <v>855</v>
      </c>
      <c r="P143" s="14"/>
    </row>
    <row r="144" spans="1:495" x14ac:dyDescent="0.25">
      <c r="A144" s="6"/>
      <c r="B144" s="7">
        <v>44234</v>
      </c>
      <c r="C144" s="8" t="s">
        <v>984</v>
      </c>
      <c r="D144" s="8" t="s">
        <v>299</v>
      </c>
      <c r="E144" s="9" t="s">
        <v>813</v>
      </c>
      <c r="F144" s="9" t="s">
        <v>814</v>
      </c>
      <c r="G144" s="17">
        <v>0.53333333333333333</v>
      </c>
      <c r="H144" s="17">
        <v>0.54027777777777775</v>
      </c>
      <c r="I144" s="9">
        <v>38620</v>
      </c>
      <c r="J144" s="9">
        <v>15370</v>
      </c>
      <c r="K144" s="10">
        <f t="shared" si="4"/>
        <v>23250</v>
      </c>
      <c r="L144" s="10">
        <v>23323</v>
      </c>
      <c r="M144" s="11" t="s">
        <v>1026</v>
      </c>
      <c r="N144" s="12">
        <v>21.6</v>
      </c>
      <c r="O144" s="13" t="s">
        <v>855</v>
      </c>
      <c r="P144" s="14"/>
    </row>
    <row r="145" spans="1:16" x14ac:dyDescent="0.25">
      <c r="A145" s="6"/>
      <c r="B145" s="7">
        <v>44234</v>
      </c>
      <c r="C145" s="8" t="s">
        <v>984</v>
      </c>
      <c r="D145" s="8" t="s">
        <v>86</v>
      </c>
      <c r="E145" s="9" t="s">
        <v>87</v>
      </c>
      <c r="F145" s="9" t="s">
        <v>88</v>
      </c>
      <c r="G145" s="17">
        <v>0.53680555555555554</v>
      </c>
      <c r="H145" s="17">
        <v>0.54652777777777783</v>
      </c>
      <c r="I145" s="9">
        <v>43480</v>
      </c>
      <c r="J145" s="9">
        <v>17370</v>
      </c>
      <c r="K145" s="10">
        <f t="shared" si="4"/>
        <v>26110</v>
      </c>
      <c r="L145" s="10">
        <v>23323</v>
      </c>
      <c r="M145" s="11" t="s">
        <v>1026</v>
      </c>
      <c r="N145" s="12">
        <v>21.6</v>
      </c>
      <c r="O145" s="13" t="s">
        <v>855</v>
      </c>
      <c r="P145" s="14"/>
    </row>
    <row r="146" spans="1:16" x14ac:dyDescent="0.25">
      <c r="A146" s="6"/>
      <c r="B146" s="7">
        <v>44234</v>
      </c>
      <c r="C146" s="8" t="s">
        <v>1027</v>
      </c>
      <c r="D146" s="8" t="s">
        <v>243</v>
      </c>
      <c r="E146" s="9" t="s">
        <v>285</v>
      </c>
      <c r="F146" s="9" t="s">
        <v>286</v>
      </c>
      <c r="G146" s="17">
        <v>0.56458333333333333</v>
      </c>
      <c r="H146" s="17">
        <v>0.57638888888888895</v>
      </c>
      <c r="I146" s="9">
        <v>39750</v>
      </c>
      <c r="J146" s="9">
        <v>14550</v>
      </c>
      <c r="K146" s="10">
        <f t="shared" si="4"/>
        <v>25200</v>
      </c>
      <c r="L146" s="10" t="s">
        <v>1028</v>
      </c>
      <c r="M146" s="11" t="s">
        <v>1026</v>
      </c>
      <c r="N146" s="12">
        <v>19.8</v>
      </c>
      <c r="O146" s="13" t="s">
        <v>855</v>
      </c>
      <c r="P146" s="14"/>
    </row>
    <row r="147" spans="1:16" x14ac:dyDescent="0.25">
      <c r="A147" s="6"/>
      <c r="B147" s="7">
        <v>44234</v>
      </c>
      <c r="C147" s="8" t="s">
        <v>1029</v>
      </c>
      <c r="D147" s="8" t="s">
        <v>928</v>
      </c>
      <c r="E147" s="9" t="s">
        <v>858</v>
      </c>
      <c r="F147" s="9" t="s">
        <v>859</v>
      </c>
      <c r="G147" s="17">
        <v>0.56805555555555554</v>
      </c>
      <c r="H147" s="17">
        <v>0.59861111111111109</v>
      </c>
      <c r="I147" s="9">
        <v>23360</v>
      </c>
      <c r="J147" s="9">
        <v>9680</v>
      </c>
      <c r="K147" s="10">
        <f t="shared" si="4"/>
        <v>13680</v>
      </c>
      <c r="L147" s="10">
        <v>23324</v>
      </c>
      <c r="M147" s="11" t="s">
        <v>1026</v>
      </c>
      <c r="N147" s="12">
        <v>12</v>
      </c>
      <c r="O147" s="13" t="s">
        <v>855</v>
      </c>
      <c r="P147" s="14"/>
    </row>
    <row r="148" spans="1:16" x14ac:dyDescent="0.25">
      <c r="A148" s="6"/>
      <c r="B148" s="7">
        <v>44234</v>
      </c>
      <c r="C148" s="8" t="s">
        <v>1030</v>
      </c>
      <c r="D148" s="8" t="s">
        <v>465</v>
      </c>
      <c r="E148" s="9" t="s">
        <v>881</v>
      </c>
      <c r="F148" s="9" t="s">
        <v>749</v>
      </c>
      <c r="G148" s="17">
        <v>0.59583333333333333</v>
      </c>
      <c r="H148" s="17">
        <v>0.61041666666666672</v>
      </c>
      <c r="I148" s="9">
        <v>38800</v>
      </c>
      <c r="J148" s="9">
        <v>16030</v>
      </c>
      <c r="K148" s="10">
        <f t="shared" si="4"/>
        <v>22770</v>
      </c>
      <c r="L148" s="10" t="s">
        <v>1031</v>
      </c>
      <c r="M148" s="11" t="s">
        <v>1026</v>
      </c>
      <c r="N148" s="12">
        <v>20.399999999999999</v>
      </c>
      <c r="O148" s="13" t="s">
        <v>855</v>
      </c>
      <c r="P148" s="14"/>
    </row>
    <row r="149" spans="1:16" x14ac:dyDescent="0.25">
      <c r="A149" s="6"/>
      <c r="B149" s="7">
        <v>44234</v>
      </c>
      <c r="C149" s="8" t="s">
        <v>991</v>
      </c>
      <c r="D149" s="8" t="s">
        <v>143</v>
      </c>
      <c r="E149" s="9" t="s">
        <v>144</v>
      </c>
      <c r="F149" s="9" t="s">
        <v>626</v>
      </c>
      <c r="G149" s="17">
        <v>0.6</v>
      </c>
      <c r="H149" s="17">
        <v>0.60902777777777783</v>
      </c>
      <c r="I149" s="9">
        <v>39280</v>
      </c>
      <c r="J149" s="9">
        <v>15620</v>
      </c>
      <c r="K149" s="10">
        <f t="shared" si="4"/>
        <v>23660</v>
      </c>
      <c r="L149" s="10">
        <v>23326</v>
      </c>
      <c r="M149" s="11" t="s">
        <v>1026</v>
      </c>
      <c r="N149" s="12">
        <v>21.6</v>
      </c>
      <c r="O149" s="13" t="s">
        <v>855</v>
      </c>
      <c r="P149" s="14"/>
    </row>
    <row r="150" spans="1:16" x14ac:dyDescent="0.25">
      <c r="A150" s="6"/>
      <c r="B150" s="7">
        <v>44234</v>
      </c>
      <c r="C150" s="8" t="s">
        <v>1034</v>
      </c>
      <c r="D150" s="8" t="s">
        <v>86</v>
      </c>
      <c r="E150" s="9" t="s">
        <v>87</v>
      </c>
      <c r="F150" s="9" t="s">
        <v>88</v>
      </c>
      <c r="G150" s="17">
        <v>0.64374999999999993</v>
      </c>
      <c r="H150" s="17">
        <v>0.65555555555555556</v>
      </c>
      <c r="I150" s="9">
        <v>43880</v>
      </c>
      <c r="J150" s="9">
        <v>17330</v>
      </c>
      <c r="K150" s="10">
        <f t="shared" si="4"/>
        <v>26550</v>
      </c>
      <c r="L150" s="10" t="s">
        <v>1035</v>
      </c>
      <c r="M150" s="11" t="s">
        <v>1026</v>
      </c>
      <c r="N150" s="12">
        <f>4.8+14.4</f>
        <v>19.2</v>
      </c>
      <c r="O150" s="13" t="s">
        <v>855</v>
      </c>
      <c r="P150" s="14"/>
    </row>
    <row r="151" spans="1:16" x14ac:dyDescent="0.25">
      <c r="A151" s="6"/>
      <c r="B151" s="7">
        <v>44234</v>
      </c>
      <c r="C151" s="8" t="s">
        <v>1036</v>
      </c>
      <c r="D151" s="8" t="s">
        <v>243</v>
      </c>
      <c r="E151" s="9" t="s">
        <v>285</v>
      </c>
      <c r="F151" s="9" t="s">
        <v>286</v>
      </c>
      <c r="G151" s="17">
        <v>0.70624999999999993</v>
      </c>
      <c r="H151" s="17">
        <v>0.73958333333333337</v>
      </c>
      <c r="I151" s="9">
        <v>40070</v>
      </c>
      <c r="J151" s="9">
        <v>14570</v>
      </c>
      <c r="K151" s="10">
        <f t="shared" si="4"/>
        <v>25500</v>
      </c>
      <c r="L151" s="10" t="s">
        <v>1037</v>
      </c>
      <c r="M151" s="11" t="s">
        <v>1038</v>
      </c>
      <c r="N151" s="12">
        <f>9.6+13.8</f>
        <v>23.4</v>
      </c>
      <c r="O151" s="13" t="s">
        <v>855</v>
      </c>
      <c r="P151" s="14"/>
    </row>
    <row r="152" spans="1:16" x14ac:dyDescent="0.25">
      <c r="A152" s="6"/>
      <c r="B152" s="7">
        <v>44234</v>
      </c>
      <c r="C152" s="8" t="s">
        <v>1039</v>
      </c>
      <c r="D152" s="8" t="s">
        <v>299</v>
      </c>
      <c r="E152" s="9" t="s">
        <v>813</v>
      </c>
      <c r="F152" s="9" t="s">
        <v>814</v>
      </c>
      <c r="G152" s="17">
        <v>0.71597222222222223</v>
      </c>
      <c r="H152" s="17">
        <v>0.74097222222222225</v>
      </c>
      <c r="I152" s="9">
        <v>42800</v>
      </c>
      <c r="J152" s="9">
        <v>17330</v>
      </c>
      <c r="K152" s="10">
        <f t="shared" si="4"/>
        <v>25470</v>
      </c>
      <c r="L152" s="10" t="s">
        <v>1040</v>
      </c>
      <c r="M152" s="11" t="s">
        <v>1038</v>
      </c>
      <c r="N152" s="12">
        <f>21.6+0.6</f>
        <v>22.200000000000003</v>
      </c>
      <c r="O152" s="13" t="s">
        <v>855</v>
      </c>
      <c r="P152" s="14"/>
    </row>
    <row r="153" spans="1:16" x14ac:dyDescent="0.25">
      <c r="A153" s="6"/>
      <c r="B153" s="7">
        <v>44234</v>
      </c>
      <c r="C153" s="8" t="s">
        <v>941</v>
      </c>
      <c r="D153" s="8" t="s">
        <v>143</v>
      </c>
      <c r="E153" s="9" t="s">
        <v>144</v>
      </c>
      <c r="F153" s="9" t="s">
        <v>626</v>
      </c>
      <c r="G153" s="17">
        <v>0.72499999999999998</v>
      </c>
      <c r="H153" s="17">
        <v>0.7319444444444444</v>
      </c>
      <c r="I153" s="9">
        <v>40260</v>
      </c>
      <c r="J153" s="9">
        <v>15610</v>
      </c>
      <c r="K153" s="10">
        <f t="shared" si="4"/>
        <v>24650</v>
      </c>
      <c r="L153" s="10">
        <v>23330</v>
      </c>
      <c r="M153" s="11" t="s">
        <v>1041</v>
      </c>
      <c r="N153" s="12">
        <v>21.6</v>
      </c>
      <c r="O153" s="13" t="s">
        <v>855</v>
      </c>
      <c r="P153" s="14"/>
    </row>
    <row r="154" spans="1:16" x14ac:dyDescent="0.25">
      <c r="A154" s="6"/>
      <c r="B154" s="7">
        <v>44234</v>
      </c>
      <c r="C154" s="8" t="s">
        <v>1042</v>
      </c>
      <c r="D154" s="8" t="s">
        <v>530</v>
      </c>
      <c r="E154" s="9" t="s">
        <v>858</v>
      </c>
      <c r="F154" s="9" t="s">
        <v>859</v>
      </c>
      <c r="G154" s="17">
        <v>0.72638888888888886</v>
      </c>
      <c r="H154" s="17">
        <v>0.74305555555555547</v>
      </c>
      <c r="I154" s="9">
        <v>16330</v>
      </c>
      <c r="J154" s="9">
        <v>9690</v>
      </c>
      <c r="K154" s="10">
        <f t="shared" si="4"/>
        <v>6640</v>
      </c>
      <c r="L154" s="10">
        <v>23331</v>
      </c>
      <c r="M154" s="11" t="s">
        <v>1041</v>
      </c>
      <c r="N154" s="12">
        <v>6640</v>
      </c>
      <c r="O154" s="13" t="s">
        <v>32</v>
      </c>
      <c r="P154" s="14" t="s">
        <v>979</v>
      </c>
    </row>
    <row r="155" spans="1:16" x14ac:dyDescent="0.25">
      <c r="A155" s="6"/>
      <c r="B155" s="7">
        <v>44234</v>
      </c>
      <c r="C155" s="8" t="s">
        <v>941</v>
      </c>
      <c r="D155" s="8" t="s">
        <v>198</v>
      </c>
      <c r="E155" s="9" t="s">
        <v>405</v>
      </c>
      <c r="F155" s="9" t="s">
        <v>161</v>
      </c>
      <c r="G155" s="17">
        <v>0.73819444444444438</v>
      </c>
      <c r="H155" s="17">
        <v>0.74861111111111101</v>
      </c>
      <c r="I155" s="9">
        <v>27140</v>
      </c>
      <c r="J155" s="9">
        <v>16620</v>
      </c>
      <c r="K155" s="10">
        <f t="shared" si="4"/>
        <v>10520</v>
      </c>
      <c r="L155" s="10">
        <v>23330</v>
      </c>
      <c r="M155" s="11" t="s">
        <v>1041</v>
      </c>
      <c r="N155" s="12">
        <v>9.6</v>
      </c>
      <c r="O155" s="13" t="s">
        <v>855</v>
      </c>
      <c r="P155" s="14"/>
    </row>
    <row r="156" spans="1:16" x14ac:dyDescent="0.25">
      <c r="A156" s="6"/>
      <c r="B156" s="7">
        <v>44234</v>
      </c>
      <c r="C156" s="8" t="s">
        <v>941</v>
      </c>
      <c r="D156" s="8" t="s">
        <v>465</v>
      </c>
      <c r="E156" s="9" t="s">
        <v>881</v>
      </c>
      <c r="F156" s="9" t="s">
        <v>749</v>
      </c>
      <c r="G156" s="17">
        <v>0.77222222222222225</v>
      </c>
      <c r="H156" s="17">
        <v>0.78680555555555554</v>
      </c>
      <c r="I156" s="9">
        <v>36350</v>
      </c>
      <c r="J156" s="9">
        <v>16040</v>
      </c>
      <c r="K156" s="10">
        <f t="shared" si="4"/>
        <v>20310</v>
      </c>
      <c r="L156" s="10">
        <v>23330</v>
      </c>
      <c r="M156" s="11" t="s">
        <v>1041</v>
      </c>
      <c r="N156" s="12">
        <v>21.6</v>
      </c>
      <c r="O156" s="13" t="s">
        <v>855</v>
      </c>
      <c r="P156" s="14"/>
    </row>
    <row r="157" spans="1:16" x14ac:dyDescent="0.25">
      <c r="A157" s="6"/>
      <c r="B157" s="7">
        <v>44234</v>
      </c>
      <c r="C157" s="8" t="s">
        <v>37</v>
      </c>
      <c r="D157" s="8" t="s">
        <v>1001</v>
      </c>
      <c r="E157" s="9" t="s">
        <v>967</v>
      </c>
      <c r="F157" s="9" t="s">
        <v>36</v>
      </c>
      <c r="G157" s="17">
        <v>0.77430555555555547</v>
      </c>
      <c r="H157" s="17">
        <v>9.0277777777777787E-3</v>
      </c>
      <c r="I157" s="9">
        <v>13385</v>
      </c>
      <c r="J157" s="9">
        <v>6450</v>
      </c>
      <c r="K157" s="10">
        <f t="shared" si="4"/>
        <v>6935</v>
      </c>
      <c r="L157" s="10">
        <v>26437</v>
      </c>
      <c r="M157" s="11" t="s">
        <v>1043</v>
      </c>
      <c r="N157" s="12">
        <v>6935</v>
      </c>
      <c r="O157" s="13" t="s">
        <v>32</v>
      </c>
      <c r="P157" s="14"/>
    </row>
    <row r="158" spans="1:16" x14ac:dyDescent="0.25">
      <c r="A158" s="6"/>
      <c r="B158" s="7">
        <v>44234</v>
      </c>
      <c r="C158" s="8" t="s">
        <v>941</v>
      </c>
      <c r="D158" s="8" t="s">
        <v>86</v>
      </c>
      <c r="E158" s="9" t="s">
        <v>87</v>
      </c>
      <c r="F158" s="9" t="s">
        <v>88</v>
      </c>
      <c r="G158" s="17">
        <v>0.77638888888888891</v>
      </c>
      <c r="H158" s="17">
        <v>0.78541666666666676</v>
      </c>
      <c r="I158" s="9">
        <v>27870</v>
      </c>
      <c r="J158" s="9">
        <v>17310</v>
      </c>
      <c r="K158" s="10">
        <f t="shared" si="4"/>
        <v>10560</v>
      </c>
      <c r="L158" s="10">
        <v>23330</v>
      </c>
      <c r="M158" s="11" t="s">
        <v>1044</v>
      </c>
      <c r="N158" s="12">
        <v>10.199999999999999</v>
      </c>
      <c r="O158" s="13" t="s">
        <v>855</v>
      </c>
      <c r="P158" s="14"/>
    </row>
    <row r="159" spans="1:16" x14ac:dyDescent="0.25">
      <c r="A159" s="6"/>
      <c r="B159" s="7">
        <v>44234</v>
      </c>
      <c r="C159" s="8" t="s">
        <v>1045</v>
      </c>
      <c r="D159" s="8" t="s">
        <v>530</v>
      </c>
      <c r="E159" s="9" t="s">
        <v>858</v>
      </c>
      <c r="F159" s="9" t="s">
        <v>859</v>
      </c>
      <c r="G159" s="17">
        <v>0.80069444444444438</v>
      </c>
      <c r="H159" s="17">
        <v>0.80625000000000002</v>
      </c>
      <c r="I159" s="9">
        <v>10880</v>
      </c>
      <c r="J159" s="9">
        <v>9770</v>
      </c>
      <c r="K159" s="10">
        <f t="shared" si="4"/>
        <v>1110</v>
      </c>
      <c r="L159" s="10">
        <v>23333</v>
      </c>
      <c r="M159" s="11" t="s">
        <v>1012</v>
      </c>
      <c r="N159" s="12">
        <v>1110</v>
      </c>
      <c r="O159" s="13" t="s">
        <v>32</v>
      </c>
      <c r="P159" s="14" t="s">
        <v>1046</v>
      </c>
    </row>
    <row r="160" spans="1:16" x14ac:dyDescent="0.25">
      <c r="A160" s="6"/>
      <c r="B160" s="7">
        <v>44234</v>
      </c>
      <c r="C160" s="8" t="s">
        <v>825</v>
      </c>
      <c r="D160" s="8" t="s">
        <v>1047</v>
      </c>
      <c r="E160" s="9" t="s">
        <v>1048</v>
      </c>
      <c r="F160" s="9" t="s">
        <v>526</v>
      </c>
      <c r="G160" s="17">
        <v>0.81041666666666667</v>
      </c>
      <c r="H160" s="17"/>
      <c r="I160" s="9">
        <v>20870</v>
      </c>
      <c r="J160" s="9"/>
      <c r="K160" s="10">
        <f t="shared" si="4"/>
        <v>20870</v>
      </c>
      <c r="L160" s="10"/>
      <c r="M160" s="11" t="s">
        <v>1049</v>
      </c>
      <c r="N160" s="12"/>
      <c r="O160" s="13" t="s">
        <v>32</v>
      </c>
      <c r="P160" s="14" t="s">
        <v>1049</v>
      </c>
    </row>
    <row r="161" spans="1:21" x14ac:dyDescent="0.25">
      <c r="A161" s="6"/>
      <c r="B161" s="7">
        <v>44234</v>
      </c>
      <c r="C161" s="8" t="s">
        <v>1050</v>
      </c>
      <c r="D161" s="8" t="s">
        <v>243</v>
      </c>
      <c r="E161" s="9" t="s">
        <v>87</v>
      </c>
      <c r="F161" s="9" t="s">
        <v>88</v>
      </c>
      <c r="G161" s="17">
        <v>0.92291666666666661</v>
      </c>
      <c r="H161" s="17">
        <v>0.94027777777777777</v>
      </c>
      <c r="I161" s="9">
        <v>37870</v>
      </c>
      <c r="J161" s="9">
        <v>17300</v>
      </c>
      <c r="K161" s="10">
        <f t="shared" si="4"/>
        <v>20570</v>
      </c>
      <c r="L161" s="10" t="s">
        <v>1051</v>
      </c>
      <c r="M161" s="11" t="s">
        <v>1052</v>
      </c>
      <c r="N161" s="12">
        <v>18</v>
      </c>
      <c r="O161" s="13" t="s">
        <v>855</v>
      </c>
      <c r="P161" s="14">
        <v>4</v>
      </c>
    </row>
    <row r="162" spans="1:21" x14ac:dyDescent="0.25">
      <c r="A162" s="6"/>
      <c r="B162" s="7">
        <v>44234</v>
      </c>
      <c r="C162" s="8" t="s">
        <v>1053</v>
      </c>
      <c r="D162" s="8" t="s">
        <v>928</v>
      </c>
      <c r="E162" s="9" t="s">
        <v>858</v>
      </c>
      <c r="F162" s="9" t="s">
        <v>36</v>
      </c>
      <c r="G162" s="17">
        <v>0.98611111111111116</v>
      </c>
      <c r="H162" s="17">
        <v>0.99375000000000002</v>
      </c>
      <c r="I162" s="9">
        <v>10650</v>
      </c>
      <c r="J162" s="9">
        <v>9650</v>
      </c>
      <c r="K162" s="10">
        <f t="shared" si="4"/>
        <v>1000</v>
      </c>
      <c r="L162" s="10">
        <v>23335</v>
      </c>
      <c r="M162" s="11" t="s">
        <v>1041</v>
      </c>
      <c r="N162" s="12">
        <v>1000</v>
      </c>
      <c r="O162" s="13" t="s">
        <v>32</v>
      </c>
      <c r="P162" s="14">
        <v>3</v>
      </c>
    </row>
    <row r="163" spans="1:21" x14ac:dyDescent="0.25">
      <c r="A163" s="6"/>
      <c r="B163" s="7">
        <v>44234</v>
      </c>
      <c r="C163" s="8" t="s">
        <v>1054</v>
      </c>
      <c r="D163" s="8" t="s">
        <v>1055</v>
      </c>
      <c r="E163" s="9" t="s">
        <v>39</v>
      </c>
      <c r="F163" s="9" t="s">
        <v>36</v>
      </c>
      <c r="G163" s="17">
        <v>0.99791666666666667</v>
      </c>
      <c r="H163" s="17">
        <v>4.6527777777777779E-2</v>
      </c>
      <c r="I163" s="9">
        <v>12370</v>
      </c>
      <c r="J163" s="9">
        <v>6270</v>
      </c>
      <c r="K163" s="10">
        <f t="shared" si="4"/>
        <v>6100</v>
      </c>
      <c r="L163" s="10">
        <v>742</v>
      </c>
      <c r="M163" s="11" t="s">
        <v>1056</v>
      </c>
      <c r="N163" s="12">
        <v>6116</v>
      </c>
      <c r="O163" s="13" t="s">
        <v>32</v>
      </c>
      <c r="P163" s="14"/>
    </row>
    <row r="164" spans="1:21" x14ac:dyDescent="0.25">
      <c r="A164" s="6"/>
      <c r="B164" s="7">
        <v>44234</v>
      </c>
      <c r="C164" s="8" t="s">
        <v>1050</v>
      </c>
      <c r="D164" s="8" t="s">
        <v>243</v>
      </c>
      <c r="E164" s="9" t="s">
        <v>87</v>
      </c>
      <c r="F164" s="9" t="s">
        <v>88</v>
      </c>
      <c r="G164" s="17">
        <v>0.92291666666666661</v>
      </c>
      <c r="H164" s="17">
        <v>0.94027777777777777</v>
      </c>
      <c r="I164" s="9">
        <v>37870</v>
      </c>
      <c r="J164" s="9">
        <v>17300</v>
      </c>
      <c r="K164" s="10">
        <f t="shared" si="4"/>
        <v>20570</v>
      </c>
      <c r="L164" s="10" t="s">
        <v>1051</v>
      </c>
      <c r="M164" s="11" t="s">
        <v>1057</v>
      </c>
      <c r="N164" s="12">
        <v>18</v>
      </c>
      <c r="O164" s="13" t="s">
        <v>855</v>
      </c>
      <c r="P164" s="14"/>
      <c r="Q164" s="2"/>
    </row>
    <row r="165" spans="1:21" x14ac:dyDescent="0.25">
      <c r="A165" s="6"/>
      <c r="B165" s="7">
        <v>44234</v>
      </c>
      <c r="C165" s="8" t="s">
        <v>1053</v>
      </c>
      <c r="D165" s="8" t="s">
        <v>928</v>
      </c>
      <c r="E165" s="9" t="s">
        <v>858</v>
      </c>
      <c r="F165" s="9" t="s">
        <v>859</v>
      </c>
      <c r="G165" s="17">
        <v>0.98611111111111116</v>
      </c>
      <c r="H165" s="17">
        <v>0.99375000000000002</v>
      </c>
      <c r="I165" s="9">
        <v>10650</v>
      </c>
      <c r="J165" s="9">
        <v>9650</v>
      </c>
      <c r="K165" s="10">
        <f t="shared" si="4"/>
        <v>1000</v>
      </c>
      <c r="L165" s="10">
        <v>23335</v>
      </c>
      <c r="M165" s="11" t="s">
        <v>1058</v>
      </c>
      <c r="N165" s="12">
        <v>1000</v>
      </c>
      <c r="O165" s="13" t="s">
        <v>32</v>
      </c>
      <c r="P165" s="14" t="s">
        <v>883</v>
      </c>
    </row>
    <row r="166" spans="1:21" x14ac:dyDescent="0.25">
      <c r="A166" s="6"/>
      <c r="B166" s="7">
        <v>44234</v>
      </c>
      <c r="C166" s="8" t="s">
        <v>871</v>
      </c>
      <c r="D166" s="8" t="s">
        <v>1055</v>
      </c>
      <c r="E166" s="9" t="s">
        <v>39</v>
      </c>
      <c r="F166" s="9" t="s">
        <v>36</v>
      </c>
      <c r="G166" s="17">
        <v>0.99791666666666667</v>
      </c>
      <c r="H166" s="17">
        <v>4.6527777777777779E-2</v>
      </c>
      <c r="I166" s="9">
        <v>12370</v>
      </c>
      <c r="J166" s="9">
        <v>6270</v>
      </c>
      <c r="K166" s="10">
        <f t="shared" si="4"/>
        <v>6100</v>
      </c>
      <c r="L166" s="10">
        <v>742</v>
      </c>
      <c r="M166" s="11" t="s">
        <v>1059</v>
      </c>
      <c r="N166" s="12">
        <v>6116</v>
      </c>
      <c r="O166" s="13" t="s">
        <v>32</v>
      </c>
      <c r="P166" s="14"/>
    </row>
    <row r="167" spans="1:21" x14ac:dyDescent="0.25">
      <c r="A167" s="6"/>
      <c r="B167" s="15">
        <v>44235</v>
      </c>
      <c r="C167" s="16" t="s">
        <v>977</v>
      </c>
      <c r="D167" s="8" t="s">
        <v>465</v>
      </c>
      <c r="E167" s="9" t="s">
        <v>881</v>
      </c>
      <c r="F167" s="9" t="s">
        <v>749</v>
      </c>
      <c r="G167" s="17">
        <v>0.37222222222222223</v>
      </c>
      <c r="H167" s="17">
        <v>0.38750000000000001</v>
      </c>
      <c r="I167" s="9">
        <v>40640</v>
      </c>
      <c r="J167" s="9">
        <v>16010</v>
      </c>
      <c r="K167" s="10">
        <f t="shared" si="4"/>
        <v>24630</v>
      </c>
      <c r="L167" s="10">
        <v>23336</v>
      </c>
      <c r="M167" s="11" t="s">
        <v>1041</v>
      </c>
      <c r="N167" s="12">
        <v>19.2</v>
      </c>
      <c r="O167" s="13" t="s">
        <v>855</v>
      </c>
      <c r="P167" s="14"/>
      <c r="U167" s="23"/>
    </row>
    <row r="168" spans="1:21" x14ac:dyDescent="0.25">
      <c r="A168" s="6"/>
      <c r="B168" s="7">
        <v>44235</v>
      </c>
      <c r="C168" s="8" t="s">
        <v>977</v>
      </c>
      <c r="D168" s="8" t="s">
        <v>243</v>
      </c>
      <c r="E168" s="9" t="s">
        <v>51</v>
      </c>
      <c r="F168" s="9" t="s">
        <v>52</v>
      </c>
      <c r="G168" s="17">
        <v>0.37638888888888888</v>
      </c>
      <c r="H168" s="17">
        <v>0.38472222222222219</v>
      </c>
      <c r="I168" s="9">
        <v>40410</v>
      </c>
      <c r="J168" s="9">
        <v>15790</v>
      </c>
      <c r="K168" s="10">
        <f t="shared" si="4"/>
        <v>24620</v>
      </c>
      <c r="L168" s="10">
        <v>23336</v>
      </c>
      <c r="M168" s="11" t="s">
        <v>1041</v>
      </c>
      <c r="N168" s="12">
        <v>21.6</v>
      </c>
      <c r="O168" s="13" t="s">
        <v>855</v>
      </c>
      <c r="P168" s="14"/>
    </row>
    <row r="169" spans="1:21" x14ac:dyDescent="0.25">
      <c r="A169" s="6"/>
      <c r="B169" s="7">
        <v>44235</v>
      </c>
      <c r="C169" s="8" t="s">
        <v>977</v>
      </c>
      <c r="D169" s="8" t="s">
        <v>86</v>
      </c>
      <c r="E169" s="9" t="s">
        <v>87</v>
      </c>
      <c r="F169" s="9" t="s">
        <v>88</v>
      </c>
      <c r="G169" s="17">
        <v>0.3888888888888889</v>
      </c>
      <c r="H169" s="17">
        <v>0.39513888888888887</v>
      </c>
      <c r="I169" s="9">
        <v>44140</v>
      </c>
      <c r="J169" s="9">
        <v>17280</v>
      </c>
      <c r="K169" s="10">
        <f t="shared" si="4"/>
        <v>26860</v>
      </c>
      <c r="L169" s="10">
        <v>23336</v>
      </c>
      <c r="M169" s="11" t="s">
        <v>1041</v>
      </c>
      <c r="N169" s="12">
        <v>21.6</v>
      </c>
      <c r="O169" s="13" t="s">
        <v>855</v>
      </c>
      <c r="P169" s="14"/>
    </row>
    <row r="170" spans="1:21" x14ac:dyDescent="0.25">
      <c r="A170" s="6"/>
      <c r="B170" s="7">
        <v>44235</v>
      </c>
      <c r="C170" s="8" t="s">
        <v>977</v>
      </c>
      <c r="D170" s="8" t="s">
        <v>299</v>
      </c>
      <c r="E170" s="9" t="s">
        <v>813</v>
      </c>
      <c r="F170" s="9" t="s">
        <v>814</v>
      </c>
      <c r="G170" s="17">
        <v>0.39930555555555558</v>
      </c>
      <c r="H170" s="17">
        <v>0.40902777777777777</v>
      </c>
      <c r="I170" s="9">
        <v>42940</v>
      </c>
      <c r="J170" s="9">
        <v>17570</v>
      </c>
      <c r="K170" s="10">
        <f t="shared" si="4"/>
        <v>25370</v>
      </c>
      <c r="L170" s="10">
        <v>23336</v>
      </c>
      <c r="M170" s="11" t="s">
        <v>1041</v>
      </c>
      <c r="N170" s="12">
        <v>21.6</v>
      </c>
      <c r="O170" s="13" t="s">
        <v>855</v>
      </c>
      <c r="P170" s="14"/>
    </row>
    <row r="171" spans="1:21" x14ac:dyDescent="0.25">
      <c r="A171" s="6"/>
      <c r="B171" s="7">
        <v>44235</v>
      </c>
      <c r="C171" s="8" t="s">
        <v>977</v>
      </c>
      <c r="D171" s="8" t="s">
        <v>198</v>
      </c>
      <c r="E171" s="9" t="s">
        <v>405</v>
      </c>
      <c r="F171" s="9" t="s">
        <v>161</v>
      </c>
      <c r="G171" s="17">
        <v>0.4069444444444445</v>
      </c>
      <c r="H171" s="17">
        <v>0.41875000000000001</v>
      </c>
      <c r="I171" s="9">
        <v>40490</v>
      </c>
      <c r="J171" s="9">
        <v>16610</v>
      </c>
      <c r="K171" s="10">
        <f t="shared" si="4"/>
        <v>23880</v>
      </c>
      <c r="L171" s="10">
        <v>23336</v>
      </c>
      <c r="M171" s="11" t="s">
        <v>1041</v>
      </c>
      <c r="N171" s="12">
        <v>21.6</v>
      </c>
      <c r="O171" s="13" t="s">
        <v>855</v>
      </c>
      <c r="P171" s="14"/>
    </row>
    <row r="172" spans="1:21" x14ac:dyDescent="0.25">
      <c r="A172" s="6"/>
      <c r="B172" s="7">
        <v>44235</v>
      </c>
      <c r="C172" s="8" t="s">
        <v>977</v>
      </c>
      <c r="D172" s="8" t="s">
        <v>928</v>
      </c>
      <c r="E172" s="9" t="s">
        <v>858</v>
      </c>
      <c r="F172" s="9" t="s">
        <v>859</v>
      </c>
      <c r="G172" s="17">
        <v>0.40763888888888888</v>
      </c>
      <c r="H172" s="17">
        <v>0.4152777777777778</v>
      </c>
      <c r="I172" s="9">
        <v>22900</v>
      </c>
      <c r="J172" s="9">
        <v>9650</v>
      </c>
      <c r="K172" s="10">
        <f t="shared" si="4"/>
        <v>13250</v>
      </c>
      <c r="L172" s="10">
        <v>23336</v>
      </c>
      <c r="M172" s="11" t="s">
        <v>1041</v>
      </c>
      <c r="N172" s="12">
        <v>12</v>
      </c>
      <c r="O172" s="13" t="s">
        <v>855</v>
      </c>
      <c r="P172" s="14"/>
    </row>
    <row r="173" spans="1:21" x14ac:dyDescent="0.25">
      <c r="A173" s="6"/>
      <c r="B173" s="7">
        <v>44235</v>
      </c>
      <c r="C173" s="8" t="s">
        <v>977</v>
      </c>
      <c r="D173" s="8" t="s">
        <v>143</v>
      </c>
      <c r="E173" s="9" t="s">
        <v>144</v>
      </c>
      <c r="F173" s="9" t="s">
        <v>626</v>
      </c>
      <c r="G173" s="17">
        <v>0.4201388888888889</v>
      </c>
      <c r="H173" s="17">
        <v>0.42569444444444443</v>
      </c>
      <c r="I173" s="9">
        <v>39620</v>
      </c>
      <c r="J173" s="9">
        <v>15590</v>
      </c>
      <c r="K173" s="10">
        <f t="shared" si="4"/>
        <v>24030</v>
      </c>
      <c r="L173" s="10">
        <v>23336</v>
      </c>
      <c r="M173" s="11" t="s">
        <v>1041</v>
      </c>
      <c r="N173" s="12">
        <v>21.6</v>
      </c>
      <c r="O173" s="13" t="s">
        <v>855</v>
      </c>
      <c r="P173" s="14"/>
    </row>
    <row r="174" spans="1:21" x14ac:dyDescent="0.25">
      <c r="A174" s="6"/>
      <c r="B174" s="7">
        <v>44235</v>
      </c>
      <c r="C174" s="8" t="s">
        <v>1060</v>
      </c>
      <c r="D174" s="8" t="s">
        <v>284</v>
      </c>
      <c r="E174" s="9" t="s">
        <v>285</v>
      </c>
      <c r="F174" s="9" t="s">
        <v>286</v>
      </c>
      <c r="G174" s="17">
        <v>0.43541666666666662</v>
      </c>
      <c r="H174" s="17">
        <v>0.45069444444444445</v>
      </c>
      <c r="I174" s="9">
        <v>40840</v>
      </c>
      <c r="J174" s="9">
        <v>16390</v>
      </c>
      <c r="K174" s="10">
        <f t="shared" si="4"/>
        <v>24450</v>
      </c>
      <c r="L174" s="10" t="s">
        <v>1061</v>
      </c>
      <c r="M174" s="11" t="s">
        <v>1041</v>
      </c>
      <c r="N174" s="12">
        <v>19.2</v>
      </c>
      <c r="O174" s="13" t="s">
        <v>855</v>
      </c>
      <c r="P174" s="14"/>
    </row>
    <row r="175" spans="1:21" x14ac:dyDescent="0.25">
      <c r="A175" s="6"/>
      <c r="B175" s="7">
        <v>44235</v>
      </c>
      <c r="C175" s="8" t="s">
        <v>1062</v>
      </c>
      <c r="D175" s="8" t="s">
        <v>465</v>
      </c>
      <c r="E175" s="9" t="s">
        <v>881</v>
      </c>
      <c r="F175" s="9" t="s">
        <v>749</v>
      </c>
      <c r="G175" s="17">
        <v>0.44513888888888892</v>
      </c>
      <c r="H175" s="17">
        <v>0.45694444444444443</v>
      </c>
      <c r="I175" s="9">
        <v>36800</v>
      </c>
      <c r="J175" s="9">
        <v>16010</v>
      </c>
      <c r="K175" s="10">
        <f t="shared" si="4"/>
        <v>20790</v>
      </c>
      <c r="L175" s="10">
        <v>23337</v>
      </c>
      <c r="M175" s="11" t="s">
        <v>1041</v>
      </c>
      <c r="N175" s="12">
        <v>19.2</v>
      </c>
      <c r="O175" s="13" t="s">
        <v>855</v>
      </c>
      <c r="P175" s="14"/>
      <c r="Q175" s="2"/>
    </row>
    <row r="176" spans="1:21" x14ac:dyDescent="0.25">
      <c r="A176" s="6"/>
      <c r="B176" s="7">
        <v>44235</v>
      </c>
      <c r="C176" s="8" t="s">
        <v>1062</v>
      </c>
      <c r="D176" s="8" t="s">
        <v>86</v>
      </c>
      <c r="E176" s="9" t="s">
        <v>87</v>
      </c>
      <c r="F176" s="9" t="s">
        <v>88</v>
      </c>
      <c r="G176" s="17">
        <v>0.45416666666666666</v>
      </c>
      <c r="H176" s="17">
        <v>0.46319444444444446</v>
      </c>
      <c r="I176" s="9">
        <v>42230</v>
      </c>
      <c r="J176" s="9">
        <v>17260</v>
      </c>
      <c r="K176" s="10">
        <f t="shared" si="4"/>
        <v>24970</v>
      </c>
      <c r="L176" s="10">
        <v>23337</v>
      </c>
      <c r="M176" s="11" t="s">
        <v>1041</v>
      </c>
      <c r="N176" s="12">
        <v>21.6</v>
      </c>
      <c r="O176" s="13" t="s">
        <v>855</v>
      </c>
      <c r="P176" s="14"/>
    </row>
    <row r="177" spans="1:16" x14ac:dyDescent="0.25">
      <c r="A177" s="6"/>
      <c r="B177" s="7">
        <v>44235</v>
      </c>
      <c r="C177" s="8" t="s">
        <v>1062</v>
      </c>
      <c r="D177" s="8" t="s">
        <v>243</v>
      </c>
      <c r="E177" s="9" t="s">
        <v>51</v>
      </c>
      <c r="F177" s="9" t="s">
        <v>52</v>
      </c>
      <c r="G177" s="17">
        <v>0.4604166666666667</v>
      </c>
      <c r="H177" s="17">
        <v>0.4694444444444445</v>
      </c>
      <c r="I177" s="9">
        <v>40590</v>
      </c>
      <c r="J177" s="9">
        <v>15830</v>
      </c>
      <c r="K177" s="10">
        <f t="shared" si="4"/>
        <v>24760</v>
      </c>
      <c r="L177" s="10">
        <v>23337</v>
      </c>
      <c r="M177" s="11" t="s">
        <v>1041</v>
      </c>
      <c r="N177" s="12">
        <v>21.6</v>
      </c>
      <c r="O177" s="13" t="s">
        <v>855</v>
      </c>
      <c r="P177" s="14"/>
    </row>
    <row r="178" spans="1:16" x14ac:dyDescent="0.25">
      <c r="A178" s="6"/>
      <c r="B178" s="7">
        <v>44235</v>
      </c>
      <c r="C178" s="8" t="s">
        <v>1062</v>
      </c>
      <c r="D178" s="8" t="s">
        <v>299</v>
      </c>
      <c r="E178" s="9" t="s">
        <v>813</v>
      </c>
      <c r="F178" s="9" t="s">
        <v>814</v>
      </c>
      <c r="G178" s="17">
        <v>0.47847222222222219</v>
      </c>
      <c r="H178" s="17">
        <v>0.49444444444444446</v>
      </c>
      <c r="I178" s="9">
        <v>43620</v>
      </c>
      <c r="J178" s="9">
        <v>17570</v>
      </c>
      <c r="K178" s="10">
        <f t="shared" si="4"/>
        <v>26050</v>
      </c>
      <c r="L178" s="10">
        <v>23337</v>
      </c>
      <c r="M178" s="11" t="s">
        <v>1041</v>
      </c>
      <c r="N178" s="12">
        <v>21.6</v>
      </c>
      <c r="O178" s="13" t="s">
        <v>855</v>
      </c>
      <c r="P178" s="14"/>
    </row>
    <row r="179" spans="1:16" x14ac:dyDescent="0.25">
      <c r="A179" s="6"/>
      <c r="B179" s="7">
        <v>44235</v>
      </c>
      <c r="C179" s="8" t="s">
        <v>1062</v>
      </c>
      <c r="D179" s="8" t="s">
        <v>198</v>
      </c>
      <c r="E179" s="9" t="s">
        <v>405</v>
      </c>
      <c r="F179" s="9" t="s">
        <v>161</v>
      </c>
      <c r="G179" s="17">
        <v>0.48819444444444443</v>
      </c>
      <c r="H179" s="17">
        <v>0.51041666666666663</v>
      </c>
      <c r="I179" s="9">
        <v>39640</v>
      </c>
      <c r="J179" s="9">
        <v>16610</v>
      </c>
      <c r="K179" s="10">
        <f t="shared" si="4"/>
        <v>23030</v>
      </c>
      <c r="L179" s="10">
        <v>23337</v>
      </c>
      <c r="M179" s="11" t="s">
        <v>1041</v>
      </c>
      <c r="N179" s="12">
        <v>21.6</v>
      </c>
      <c r="O179" s="13" t="s">
        <v>855</v>
      </c>
      <c r="P179" s="14"/>
    </row>
    <row r="180" spans="1:16" x14ac:dyDescent="0.25">
      <c r="A180" s="6"/>
      <c r="B180" s="7">
        <v>44235</v>
      </c>
      <c r="C180" s="8" t="s">
        <v>1062</v>
      </c>
      <c r="D180" s="8" t="s">
        <v>284</v>
      </c>
      <c r="E180" s="9" t="s">
        <v>285</v>
      </c>
      <c r="F180" s="9" t="s">
        <v>286</v>
      </c>
      <c r="G180" s="17">
        <v>0.51250000000000007</v>
      </c>
      <c r="H180" s="17">
        <v>0.52986111111111112</v>
      </c>
      <c r="I180" s="9">
        <v>42370</v>
      </c>
      <c r="J180" s="9">
        <v>16370</v>
      </c>
      <c r="K180" s="10">
        <f t="shared" si="4"/>
        <v>26000</v>
      </c>
      <c r="L180" s="10">
        <v>23337</v>
      </c>
      <c r="M180" s="11" t="s">
        <v>1041</v>
      </c>
      <c r="N180" s="12">
        <v>24</v>
      </c>
      <c r="O180" s="13" t="s">
        <v>855</v>
      </c>
      <c r="P180" s="14"/>
    </row>
    <row r="181" spans="1:16" x14ac:dyDescent="0.25">
      <c r="A181" s="6"/>
      <c r="B181" s="7">
        <v>44235</v>
      </c>
      <c r="C181" s="8" t="s">
        <v>1062</v>
      </c>
      <c r="D181" s="8" t="s">
        <v>1063</v>
      </c>
      <c r="E181" s="9" t="s">
        <v>1064</v>
      </c>
      <c r="F181" s="9" t="s">
        <v>859</v>
      </c>
      <c r="G181" s="17">
        <v>0.5131944444444444</v>
      </c>
      <c r="H181" s="17">
        <v>0.54375000000000007</v>
      </c>
      <c r="I181" s="9">
        <v>22730</v>
      </c>
      <c r="J181" s="9">
        <v>9630</v>
      </c>
      <c r="K181" s="10">
        <f t="shared" si="4"/>
        <v>13100</v>
      </c>
      <c r="L181" s="10">
        <v>23337</v>
      </c>
      <c r="M181" s="11" t="s">
        <v>1041</v>
      </c>
      <c r="N181" s="12">
        <v>12</v>
      </c>
      <c r="O181" s="13" t="s">
        <v>855</v>
      </c>
      <c r="P181" s="14"/>
    </row>
    <row r="182" spans="1:16" x14ac:dyDescent="0.25">
      <c r="A182" s="6"/>
      <c r="B182" s="7">
        <v>44235</v>
      </c>
      <c r="C182" s="8" t="s">
        <v>1062</v>
      </c>
      <c r="D182" s="8" t="s">
        <v>465</v>
      </c>
      <c r="E182" s="9" t="s">
        <v>881</v>
      </c>
      <c r="F182" s="9" t="s">
        <v>749</v>
      </c>
      <c r="G182" s="17">
        <v>0.5395833333333333</v>
      </c>
      <c r="H182" s="17">
        <v>0.54999999999999993</v>
      </c>
      <c r="I182" s="9">
        <v>36780</v>
      </c>
      <c r="J182" s="9">
        <v>15990</v>
      </c>
      <c r="K182" s="10">
        <f t="shared" si="4"/>
        <v>20790</v>
      </c>
      <c r="L182" s="10">
        <v>23337</v>
      </c>
      <c r="M182" s="11" t="s">
        <v>1041</v>
      </c>
      <c r="N182" s="12">
        <v>19.2</v>
      </c>
      <c r="O182" s="13" t="s">
        <v>855</v>
      </c>
      <c r="P182" s="14"/>
    </row>
    <row r="183" spans="1:16" x14ac:dyDescent="0.25">
      <c r="A183" s="6"/>
      <c r="B183" s="7">
        <v>44235</v>
      </c>
      <c r="C183" s="8" t="s">
        <v>1065</v>
      </c>
      <c r="D183" s="8" t="s">
        <v>143</v>
      </c>
      <c r="E183" s="9" t="s">
        <v>144</v>
      </c>
      <c r="F183" s="9" t="s">
        <v>626</v>
      </c>
      <c r="G183" s="17">
        <v>0.57013888888888886</v>
      </c>
      <c r="H183" s="17">
        <v>0.57708333333333328</v>
      </c>
      <c r="I183" s="9">
        <v>38020</v>
      </c>
      <c r="J183" s="9">
        <v>15750</v>
      </c>
      <c r="K183" s="10">
        <f t="shared" si="4"/>
        <v>22270</v>
      </c>
      <c r="L183" s="10">
        <v>23338</v>
      </c>
      <c r="M183" s="11" t="s">
        <v>1041</v>
      </c>
      <c r="N183" s="12">
        <v>22270</v>
      </c>
      <c r="O183" s="13" t="s">
        <v>32</v>
      </c>
      <c r="P183" s="14" t="s">
        <v>1066</v>
      </c>
    </row>
    <row r="184" spans="1:16" x14ac:dyDescent="0.25">
      <c r="A184" s="6"/>
      <c r="B184" s="7">
        <v>44235</v>
      </c>
      <c r="C184" s="8" t="s">
        <v>1067</v>
      </c>
      <c r="D184" s="8" t="s">
        <v>243</v>
      </c>
      <c r="E184" s="9" t="s">
        <v>51</v>
      </c>
      <c r="F184" s="9" t="s">
        <v>52</v>
      </c>
      <c r="G184" s="17">
        <v>0.57638888888888895</v>
      </c>
      <c r="H184" s="17">
        <v>0.5854166666666667</v>
      </c>
      <c r="I184" s="9">
        <v>40370</v>
      </c>
      <c r="J184" s="9">
        <v>15830</v>
      </c>
      <c r="K184" s="10">
        <f t="shared" si="4"/>
        <v>24540</v>
      </c>
      <c r="L184" s="10">
        <v>23339</v>
      </c>
      <c r="M184" s="11" t="s">
        <v>1041</v>
      </c>
      <c r="N184" s="12">
        <v>19.2</v>
      </c>
      <c r="O184" s="13" t="s">
        <v>855</v>
      </c>
      <c r="P184" s="14"/>
    </row>
    <row r="185" spans="1:16" x14ac:dyDescent="0.25">
      <c r="A185" s="6"/>
      <c r="B185" s="7">
        <v>44235</v>
      </c>
      <c r="C185" s="8" t="s">
        <v>1068</v>
      </c>
      <c r="D185" s="8" t="s">
        <v>86</v>
      </c>
      <c r="E185" s="9" t="s">
        <v>87</v>
      </c>
      <c r="F185" s="9" t="s">
        <v>88</v>
      </c>
      <c r="G185" s="17">
        <v>0.57986111111111105</v>
      </c>
      <c r="H185" s="17">
        <v>0.58888888888888891</v>
      </c>
      <c r="I185" s="9">
        <v>47900</v>
      </c>
      <c r="J185" s="9">
        <v>17290</v>
      </c>
      <c r="K185" s="10">
        <f t="shared" si="4"/>
        <v>30610</v>
      </c>
      <c r="L185" s="10" t="s">
        <v>1069</v>
      </c>
      <c r="M185" s="11" t="s">
        <v>1041</v>
      </c>
      <c r="N185" s="12">
        <v>22.8</v>
      </c>
      <c r="O185" s="13" t="s">
        <v>855</v>
      </c>
      <c r="P185" s="14"/>
    </row>
    <row r="186" spans="1:16" x14ac:dyDescent="0.25">
      <c r="A186" s="6"/>
      <c r="B186" s="7">
        <v>44235</v>
      </c>
      <c r="C186" s="8" t="s">
        <v>328</v>
      </c>
      <c r="D186" s="8" t="s">
        <v>617</v>
      </c>
      <c r="E186" s="9" t="s">
        <v>35</v>
      </c>
      <c r="F186" s="9" t="s">
        <v>338</v>
      </c>
      <c r="G186" s="17">
        <v>0.59652777777777777</v>
      </c>
      <c r="H186" s="17">
        <v>0.6333333333333333</v>
      </c>
      <c r="I186" s="9">
        <v>13240</v>
      </c>
      <c r="J186" s="9">
        <v>5350</v>
      </c>
      <c r="K186" s="10">
        <f t="shared" si="4"/>
        <v>7890</v>
      </c>
      <c r="L186" s="10">
        <v>1524</v>
      </c>
      <c r="M186" s="11" t="s">
        <v>48</v>
      </c>
      <c r="N186" s="12">
        <v>8950</v>
      </c>
      <c r="O186" s="13" t="s">
        <v>49</v>
      </c>
      <c r="P186" s="14"/>
    </row>
    <row r="187" spans="1:16" x14ac:dyDescent="0.25">
      <c r="A187" s="6"/>
      <c r="B187" s="7">
        <v>44235</v>
      </c>
      <c r="C187" s="8" t="s">
        <v>1070</v>
      </c>
      <c r="D187" s="8" t="s">
        <v>299</v>
      </c>
      <c r="E187" s="9" t="s">
        <v>813</v>
      </c>
      <c r="F187" s="9" t="s">
        <v>814</v>
      </c>
      <c r="G187" s="17">
        <v>0.59791666666666665</v>
      </c>
      <c r="H187" s="17">
        <v>0.60763888888888895</v>
      </c>
      <c r="I187" s="9">
        <v>35600</v>
      </c>
      <c r="J187" s="9">
        <v>17560</v>
      </c>
      <c r="K187" s="10">
        <f t="shared" si="4"/>
        <v>18040</v>
      </c>
      <c r="L187" s="10">
        <v>23339</v>
      </c>
      <c r="M187" s="11" t="s">
        <v>1041</v>
      </c>
      <c r="N187" s="12">
        <v>15.6</v>
      </c>
      <c r="O187" s="13" t="s">
        <v>855</v>
      </c>
      <c r="P187" s="14"/>
    </row>
    <row r="188" spans="1:16" x14ac:dyDescent="0.25">
      <c r="A188" s="6"/>
      <c r="B188" s="7">
        <v>44235</v>
      </c>
      <c r="C188" s="8" t="s">
        <v>1065</v>
      </c>
      <c r="D188" s="8" t="s">
        <v>198</v>
      </c>
      <c r="E188" s="9" t="s">
        <v>405</v>
      </c>
      <c r="F188" s="9" t="s">
        <v>161</v>
      </c>
      <c r="G188" s="17">
        <v>0.62083333333333335</v>
      </c>
      <c r="H188" s="17">
        <v>0.62777777777777777</v>
      </c>
      <c r="I188" s="9">
        <v>40530</v>
      </c>
      <c r="J188" s="9">
        <v>16580</v>
      </c>
      <c r="K188" s="10">
        <f t="shared" si="4"/>
        <v>23950</v>
      </c>
      <c r="L188" s="10">
        <v>23341</v>
      </c>
      <c r="M188" s="11" t="s">
        <v>1041</v>
      </c>
      <c r="N188" s="12">
        <v>23950</v>
      </c>
      <c r="O188" s="13" t="s">
        <v>32</v>
      </c>
      <c r="P188" s="14" t="s">
        <v>1071</v>
      </c>
    </row>
    <row r="189" spans="1:16" x14ac:dyDescent="0.25">
      <c r="A189" s="6"/>
      <c r="B189" s="7">
        <v>44235</v>
      </c>
      <c r="C189" s="8" t="s">
        <v>1072</v>
      </c>
      <c r="D189" s="8" t="s">
        <v>284</v>
      </c>
      <c r="E189" s="9" t="s">
        <v>285</v>
      </c>
      <c r="F189" s="9" t="s">
        <v>286</v>
      </c>
      <c r="G189" s="17">
        <v>0.62986111111111109</v>
      </c>
      <c r="H189" s="17">
        <v>0.65555555555555556</v>
      </c>
      <c r="I189" s="9">
        <v>40860</v>
      </c>
      <c r="J189" s="9">
        <v>16340</v>
      </c>
      <c r="K189" s="10">
        <f t="shared" si="4"/>
        <v>24520</v>
      </c>
      <c r="L189" s="10">
        <v>23340</v>
      </c>
      <c r="M189" s="11" t="s">
        <v>1041</v>
      </c>
      <c r="N189" s="12">
        <v>21.6</v>
      </c>
      <c r="O189" s="13" t="s">
        <v>855</v>
      </c>
      <c r="P189" s="14"/>
    </row>
    <row r="190" spans="1:16" x14ac:dyDescent="0.25">
      <c r="A190" s="6"/>
      <c r="B190" s="7">
        <v>44235</v>
      </c>
      <c r="C190" s="8" t="s">
        <v>1065</v>
      </c>
      <c r="D190" s="8" t="s">
        <v>243</v>
      </c>
      <c r="E190" s="9" t="s">
        <v>51</v>
      </c>
      <c r="F190" s="9" t="s">
        <v>52</v>
      </c>
      <c r="G190" s="17">
        <v>0.65138888888888891</v>
      </c>
      <c r="H190" s="17">
        <v>0.66805555555555562</v>
      </c>
      <c r="I190" s="9">
        <v>38210</v>
      </c>
      <c r="J190" s="9">
        <v>15830</v>
      </c>
      <c r="K190" s="10">
        <f t="shared" si="4"/>
        <v>22380</v>
      </c>
      <c r="L190" s="10">
        <v>23341</v>
      </c>
      <c r="M190" s="11" t="s">
        <v>1041</v>
      </c>
      <c r="N190" s="12">
        <v>22380</v>
      </c>
      <c r="O190" s="13" t="s">
        <v>32</v>
      </c>
      <c r="P190" s="14" t="s">
        <v>989</v>
      </c>
    </row>
    <row r="191" spans="1:16" x14ac:dyDescent="0.25">
      <c r="A191" s="6"/>
      <c r="B191" s="7">
        <v>44235</v>
      </c>
      <c r="C191" s="8" t="s">
        <v>1073</v>
      </c>
      <c r="D191" s="8" t="s">
        <v>465</v>
      </c>
      <c r="E191" s="9" t="s">
        <v>881</v>
      </c>
      <c r="F191" s="9" t="s">
        <v>749</v>
      </c>
      <c r="G191" s="17">
        <v>0.66527777777777775</v>
      </c>
      <c r="H191" s="17">
        <v>0.70624999999999993</v>
      </c>
      <c r="I191" s="9">
        <v>38640</v>
      </c>
      <c r="J191" s="9">
        <v>16000</v>
      </c>
      <c r="K191" s="10">
        <f t="shared" si="4"/>
        <v>22640</v>
      </c>
      <c r="L191" s="10" t="s">
        <v>1074</v>
      </c>
      <c r="M191" s="11" t="s">
        <v>1041</v>
      </c>
      <c r="N191" s="12">
        <v>19.2</v>
      </c>
      <c r="O191" s="13" t="s">
        <v>855</v>
      </c>
      <c r="P191" s="14"/>
    </row>
    <row r="192" spans="1:16" x14ac:dyDescent="0.25">
      <c r="A192" s="6"/>
      <c r="B192" s="7">
        <v>44235</v>
      </c>
      <c r="C192" s="8" t="s">
        <v>1078</v>
      </c>
      <c r="D192" s="8" t="s">
        <v>1063</v>
      </c>
      <c r="E192" s="9" t="s">
        <v>1064</v>
      </c>
      <c r="F192" s="9" t="s">
        <v>859</v>
      </c>
      <c r="G192" s="17">
        <v>0.67152777777777783</v>
      </c>
      <c r="H192" s="17">
        <v>0.71111111111111114</v>
      </c>
      <c r="I192" s="9">
        <v>23110</v>
      </c>
      <c r="J192" s="9">
        <v>9780</v>
      </c>
      <c r="K192" s="10">
        <f t="shared" ref="K192" si="5">+I192-J192</f>
        <v>13330</v>
      </c>
      <c r="L192" s="10">
        <v>23342</v>
      </c>
      <c r="M192" s="11" t="s">
        <v>1041</v>
      </c>
      <c r="N192" s="12">
        <v>12</v>
      </c>
      <c r="O192" s="13" t="s">
        <v>855</v>
      </c>
      <c r="P192" s="14"/>
    </row>
    <row r="193" spans="1:17" x14ac:dyDescent="0.25">
      <c r="A193" s="6"/>
      <c r="B193" s="7">
        <v>44235</v>
      </c>
      <c r="C193" s="8" t="s">
        <v>1075</v>
      </c>
      <c r="D193" s="8" t="s">
        <v>1076</v>
      </c>
      <c r="E193" s="9" t="s">
        <v>220</v>
      </c>
      <c r="F193" s="9" t="s">
        <v>221</v>
      </c>
      <c r="G193" s="17">
        <v>0.6791666666666667</v>
      </c>
      <c r="H193" s="17">
        <v>0.81527777777777777</v>
      </c>
      <c r="I193" s="9">
        <v>19600</v>
      </c>
      <c r="J193" s="9">
        <v>9150</v>
      </c>
      <c r="K193" s="10">
        <f t="shared" si="4"/>
        <v>10450</v>
      </c>
      <c r="L193" s="10">
        <v>743</v>
      </c>
      <c r="M193" s="11" t="s">
        <v>1077</v>
      </c>
      <c r="N193" s="12">
        <v>10448</v>
      </c>
      <c r="O193" s="13" t="s">
        <v>32</v>
      </c>
      <c r="P193" s="14"/>
    </row>
    <row r="194" spans="1:17" x14ac:dyDescent="0.25">
      <c r="A194" s="6"/>
      <c r="B194" s="7">
        <v>44235</v>
      </c>
      <c r="C194" s="8" t="s">
        <v>1079</v>
      </c>
      <c r="D194" s="8" t="s">
        <v>143</v>
      </c>
      <c r="E194" s="9" t="s">
        <v>144</v>
      </c>
      <c r="F194" s="9" t="s">
        <v>626</v>
      </c>
      <c r="G194" s="17">
        <v>0.68680555555555556</v>
      </c>
      <c r="H194" s="17">
        <v>0.74791666666666667</v>
      </c>
      <c r="I194" s="9">
        <v>40570</v>
      </c>
      <c r="J194" s="9">
        <v>15680</v>
      </c>
      <c r="K194" s="10">
        <f t="shared" si="4"/>
        <v>24890</v>
      </c>
      <c r="L194" s="11" t="s">
        <v>1080</v>
      </c>
      <c r="M194" s="11" t="s">
        <v>1041</v>
      </c>
      <c r="N194" s="12">
        <v>22.8</v>
      </c>
      <c r="O194" s="13" t="s">
        <v>855</v>
      </c>
      <c r="P194" s="14"/>
    </row>
    <row r="195" spans="1:17" x14ac:dyDescent="0.25">
      <c r="A195" s="6"/>
      <c r="B195" s="7">
        <v>44235</v>
      </c>
      <c r="C195" s="8" t="s">
        <v>1081</v>
      </c>
      <c r="D195" s="8" t="s">
        <v>86</v>
      </c>
      <c r="E195" s="9" t="s">
        <v>87</v>
      </c>
      <c r="F195" s="9" t="s">
        <v>88</v>
      </c>
      <c r="G195" s="17">
        <v>0.69652777777777775</v>
      </c>
      <c r="H195" s="17">
        <v>0.78541666666666676</v>
      </c>
      <c r="I195" s="9">
        <v>41510</v>
      </c>
      <c r="J195" s="9">
        <v>17250</v>
      </c>
      <c r="K195" s="10">
        <f t="shared" si="4"/>
        <v>24260</v>
      </c>
      <c r="L195" s="10">
        <v>23343</v>
      </c>
      <c r="M195" s="11" t="s">
        <v>1041</v>
      </c>
      <c r="N195" s="12">
        <v>21.6</v>
      </c>
      <c r="O195" s="13" t="s">
        <v>855</v>
      </c>
      <c r="P195" s="14"/>
    </row>
    <row r="196" spans="1:17" x14ac:dyDescent="0.25">
      <c r="A196" s="6"/>
      <c r="B196" s="7">
        <v>44235</v>
      </c>
      <c r="C196" s="8" t="s">
        <v>1065</v>
      </c>
      <c r="D196" s="8" t="s">
        <v>299</v>
      </c>
      <c r="E196" s="9" t="s">
        <v>813</v>
      </c>
      <c r="F196" s="9" t="s">
        <v>814</v>
      </c>
      <c r="G196" s="17">
        <v>0.70000000000000007</v>
      </c>
      <c r="H196" s="17">
        <v>0.74097222222222225</v>
      </c>
      <c r="I196" s="9">
        <v>40605</v>
      </c>
      <c r="J196" s="9">
        <v>17510</v>
      </c>
      <c r="K196" s="10">
        <f t="shared" si="4"/>
        <v>23095</v>
      </c>
      <c r="L196" s="10">
        <v>23341</v>
      </c>
      <c r="M196" s="11" t="s">
        <v>1041</v>
      </c>
      <c r="N196" s="12">
        <v>23095</v>
      </c>
      <c r="O196" s="13" t="s">
        <v>32</v>
      </c>
      <c r="P196" s="14" t="s">
        <v>1082</v>
      </c>
    </row>
    <row r="197" spans="1:17" x14ac:dyDescent="0.25">
      <c r="A197" s="6"/>
      <c r="B197" s="7">
        <v>44235</v>
      </c>
      <c r="C197" s="8" t="s">
        <v>1083</v>
      </c>
      <c r="D197" s="8" t="s">
        <v>1084</v>
      </c>
      <c r="E197" s="9" t="s">
        <v>1085</v>
      </c>
      <c r="F197" s="9" t="s">
        <v>1086</v>
      </c>
      <c r="G197" s="17">
        <v>0.71250000000000002</v>
      </c>
      <c r="H197" s="17">
        <v>0.73888888888888893</v>
      </c>
      <c r="I197" s="9">
        <v>11550</v>
      </c>
      <c r="J197" s="9">
        <v>6520</v>
      </c>
      <c r="K197" s="10">
        <f t="shared" si="4"/>
        <v>5030</v>
      </c>
      <c r="L197" s="10">
        <v>20167</v>
      </c>
      <c r="M197" s="11" t="s">
        <v>1087</v>
      </c>
      <c r="N197" s="12">
        <v>5030</v>
      </c>
      <c r="O197" s="13" t="s">
        <v>32</v>
      </c>
      <c r="P197" s="14" t="s">
        <v>1088</v>
      </c>
    </row>
    <row r="198" spans="1:17" x14ac:dyDescent="0.25">
      <c r="A198" s="6"/>
      <c r="B198" s="7">
        <v>44235</v>
      </c>
      <c r="C198" s="8" t="s">
        <v>1081</v>
      </c>
      <c r="D198" s="8" t="s">
        <v>198</v>
      </c>
      <c r="E198" s="9" t="s">
        <v>405</v>
      </c>
      <c r="F198" s="9" t="s">
        <v>161</v>
      </c>
      <c r="G198" s="17">
        <v>0.74583333333333324</v>
      </c>
      <c r="H198" s="17">
        <v>0.84097222222222223</v>
      </c>
      <c r="I198" s="9">
        <v>38110</v>
      </c>
      <c r="J198" s="9">
        <v>16570</v>
      </c>
      <c r="K198" s="10">
        <f t="shared" si="4"/>
        <v>21540</v>
      </c>
      <c r="L198" s="10">
        <v>23343</v>
      </c>
      <c r="M198" s="11" t="s">
        <v>1041</v>
      </c>
      <c r="N198" s="12">
        <v>19.2</v>
      </c>
      <c r="O198" s="13" t="s">
        <v>855</v>
      </c>
      <c r="P198" s="14"/>
    </row>
    <row r="199" spans="1:17" x14ac:dyDescent="0.25">
      <c r="A199" s="6"/>
      <c r="B199" s="7">
        <v>44235</v>
      </c>
      <c r="C199" s="8" t="s">
        <v>1089</v>
      </c>
      <c r="D199" s="8" t="s">
        <v>284</v>
      </c>
      <c r="E199" s="9" t="s">
        <v>285</v>
      </c>
      <c r="F199" s="9" t="s">
        <v>286</v>
      </c>
      <c r="G199" s="17">
        <v>0.7631944444444444</v>
      </c>
      <c r="H199" s="17">
        <v>0.84583333333333333</v>
      </c>
      <c r="I199" s="9">
        <v>43140</v>
      </c>
      <c r="J199" s="9">
        <v>16440</v>
      </c>
      <c r="K199" s="10">
        <f t="shared" si="4"/>
        <v>26700</v>
      </c>
      <c r="L199" s="10">
        <v>23344</v>
      </c>
      <c r="M199" s="11" t="s">
        <v>1041</v>
      </c>
      <c r="N199" s="12">
        <v>24</v>
      </c>
      <c r="O199" s="13" t="s">
        <v>855</v>
      </c>
      <c r="P199" s="14"/>
    </row>
    <row r="200" spans="1:17" x14ac:dyDescent="0.25">
      <c r="A200" s="6"/>
      <c r="B200" s="7">
        <v>44235</v>
      </c>
      <c r="C200" s="8" t="s">
        <v>1065</v>
      </c>
      <c r="D200" s="8" t="s">
        <v>243</v>
      </c>
      <c r="E200" s="9" t="s">
        <v>51</v>
      </c>
      <c r="F200" s="9" t="s">
        <v>52</v>
      </c>
      <c r="G200" s="17">
        <v>0.77013888888888893</v>
      </c>
      <c r="H200" s="17">
        <v>0.85625000000000007</v>
      </c>
      <c r="I200" s="9">
        <v>37305</v>
      </c>
      <c r="J200" s="9">
        <v>15760</v>
      </c>
      <c r="K200" s="10">
        <f t="shared" si="4"/>
        <v>21545</v>
      </c>
      <c r="L200" s="10">
        <v>23341</v>
      </c>
      <c r="M200" s="11" t="s">
        <v>1041</v>
      </c>
      <c r="N200" s="12">
        <v>21545</v>
      </c>
      <c r="O200" s="13" t="s">
        <v>32</v>
      </c>
      <c r="P200" s="14" t="s">
        <v>1090</v>
      </c>
    </row>
    <row r="201" spans="1:17" x14ac:dyDescent="0.25">
      <c r="A201" s="6"/>
      <c r="B201" s="7">
        <v>44235</v>
      </c>
      <c r="C201" s="8" t="s">
        <v>1083</v>
      </c>
      <c r="D201" s="8" t="s">
        <v>1084</v>
      </c>
      <c r="E201" s="9" t="s">
        <v>502</v>
      </c>
      <c r="F201" s="9" t="s">
        <v>503</v>
      </c>
      <c r="G201" s="17">
        <v>0.78819444444444453</v>
      </c>
      <c r="H201" s="17">
        <v>0.81874999999999998</v>
      </c>
      <c r="I201" s="9">
        <v>7320</v>
      </c>
      <c r="J201" s="9">
        <v>5550</v>
      </c>
      <c r="K201" s="10">
        <f t="shared" si="4"/>
        <v>1770</v>
      </c>
      <c r="L201" s="10">
        <v>20168</v>
      </c>
      <c r="M201" s="11" t="s">
        <v>1091</v>
      </c>
      <c r="N201" s="12">
        <v>1770</v>
      </c>
      <c r="O201" s="13" t="s">
        <v>32</v>
      </c>
      <c r="P201" s="14" t="s">
        <v>992</v>
      </c>
    </row>
    <row r="202" spans="1:17" x14ac:dyDescent="0.25">
      <c r="A202" s="6"/>
      <c r="B202" s="7">
        <v>44235</v>
      </c>
      <c r="C202" s="8" t="s">
        <v>1089</v>
      </c>
      <c r="D202" s="8" t="s">
        <v>928</v>
      </c>
      <c r="E202" s="9" t="s">
        <v>1064</v>
      </c>
      <c r="F202" s="9" t="s">
        <v>859</v>
      </c>
      <c r="G202" s="17">
        <v>0.79027777777777775</v>
      </c>
      <c r="H202" s="17">
        <v>0.91875000000000007</v>
      </c>
      <c r="I202" s="9">
        <v>23230</v>
      </c>
      <c r="J202" s="9">
        <v>9780</v>
      </c>
      <c r="K202" s="10">
        <f t="shared" si="4"/>
        <v>13450</v>
      </c>
      <c r="L202" s="10">
        <v>23344</v>
      </c>
      <c r="M202" s="11" t="s">
        <v>1041</v>
      </c>
      <c r="N202" s="12">
        <v>12</v>
      </c>
      <c r="O202" s="13" t="s">
        <v>855</v>
      </c>
      <c r="P202" s="14"/>
    </row>
    <row r="203" spans="1:17" x14ac:dyDescent="0.25">
      <c r="A203" s="6"/>
      <c r="B203" s="7">
        <v>44235</v>
      </c>
      <c r="C203" s="8" t="s">
        <v>1092</v>
      </c>
      <c r="D203" s="8" t="s">
        <v>465</v>
      </c>
      <c r="E203" s="9" t="s">
        <v>881</v>
      </c>
      <c r="F203" s="9" t="s">
        <v>749</v>
      </c>
      <c r="G203" s="17">
        <v>0.82847222222222217</v>
      </c>
      <c r="H203" s="17">
        <v>0.94652777777777775</v>
      </c>
      <c r="I203" s="9">
        <v>37140</v>
      </c>
      <c r="J203" s="9">
        <v>16130</v>
      </c>
      <c r="K203" s="10">
        <f t="shared" ref="K203:K266" si="6">+I203-J203</f>
        <v>21010</v>
      </c>
      <c r="L203" s="10" t="s">
        <v>1093</v>
      </c>
      <c r="M203" s="11" t="s">
        <v>1041</v>
      </c>
      <c r="N203" s="12">
        <f>9+9.6</f>
        <v>18.600000000000001</v>
      </c>
      <c r="O203" s="13" t="s">
        <v>855</v>
      </c>
      <c r="P203" s="14"/>
      <c r="Q203" s="2"/>
    </row>
    <row r="204" spans="1:17" x14ac:dyDescent="0.25">
      <c r="A204" s="6"/>
      <c r="B204" s="7">
        <v>44235</v>
      </c>
      <c r="C204" s="8" t="s">
        <v>962</v>
      </c>
      <c r="D204" s="8" t="s">
        <v>1094</v>
      </c>
      <c r="E204" s="9" t="s">
        <v>1095</v>
      </c>
      <c r="F204" s="9" t="s">
        <v>338</v>
      </c>
      <c r="G204" s="17">
        <v>0.83333333333333337</v>
      </c>
      <c r="H204" s="17">
        <v>0.85486111111111107</v>
      </c>
      <c r="I204" s="9">
        <v>2680</v>
      </c>
      <c r="J204" s="9">
        <v>1240</v>
      </c>
      <c r="K204" s="10">
        <f t="shared" si="6"/>
        <v>1440</v>
      </c>
      <c r="L204" s="10">
        <v>26438</v>
      </c>
      <c r="M204" s="11" t="s">
        <v>965</v>
      </c>
      <c r="N204" s="12">
        <v>1440</v>
      </c>
      <c r="O204" s="13" t="s">
        <v>32</v>
      </c>
      <c r="P204" s="14"/>
    </row>
    <row r="205" spans="1:17" x14ac:dyDescent="0.25">
      <c r="A205" s="6"/>
      <c r="B205" s="7">
        <v>44235</v>
      </c>
      <c r="C205" s="8" t="s">
        <v>328</v>
      </c>
      <c r="D205" s="8" t="s">
        <v>255</v>
      </c>
      <c r="E205" s="9" t="s">
        <v>181</v>
      </c>
      <c r="F205" s="9" t="s">
        <v>338</v>
      </c>
      <c r="G205" s="17">
        <v>0.83750000000000002</v>
      </c>
      <c r="H205" s="17">
        <v>0.87013888888888891</v>
      </c>
      <c r="I205" s="9">
        <v>8740</v>
      </c>
      <c r="J205" s="9">
        <v>4080</v>
      </c>
      <c r="K205" s="10">
        <f t="shared" si="6"/>
        <v>4660</v>
      </c>
      <c r="L205" s="10">
        <v>1525</v>
      </c>
      <c r="M205" s="11" t="s">
        <v>48</v>
      </c>
      <c r="N205" s="12">
        <v>7200</v>
      </c>
      <c r="O205" s="13" t="s">
        <v>49</v>
      </c>
      <c r="P205" s="14"/>
    </row>
    <row r="206" spans="1:17" x14ac:dyDescent="0.25">
      <c r="A206" s="6"/>
      <c r="B206" s="7">
        <v>44235</v>
      </c>
      <c r="C206" s="8" t="s">
        <v>1096</v>
      </c>
      <c r="D206" s="8" t="s">
        <v>143</v>
      </c>
      <c r="E206" s="9" t="s">
        <v>144</v>
      </c>
      <c r="F206" s="9" t="s">
        <v>626</v>
      </c>
      <c r="G206" s="17">
        <v>0.84375</v>
      </c>
      <c r="H206" s="17">
        <v>0.98611111111111116</v>
      </c>
      <c r="I206" s="9">
        <v>39590</v>
      </c>
      <c r="J206" s="9">
        <v>15670</v>
      </c>
      <c r="K206" s="10">
        <f t="shared" si="6"/>
        <v>23920</v>
      </c>
      <c r="L206" s="10">
        <v>23344</v>
      </c>
      <c r="M206" s="11" t="s">
        <v>1041</v>
      </c>
      <c r="N206" s="12">
        <v>21.6</v>
      </c>
      <c r="O206" s="13" t="s">
        <v>855</v>
      </c>
      <c r="P206" s="14"/>
    </row>
    <row r="207" spans="1:17" x14ac:dyDescent="0.25">
      <c r="A207" s="6"/>
      <c r="B207" s="7">
        <v>44235</v>
      </c>
      <c r="C207" s="8" t="s">
        <v>930</v>
      </c>
      <c r="D207" s="8" t="s">
        <v>299</v>
      </c>
      <c r="E207" s="9" t="s">
        <v>813</v>
      </c>
      <c r="F207" s="9" t="s">
        <v>814</v>
      </c>
      <c r="G207" s="17">
        <v>0.84861111111111109</v>
      </c>
      <c r="H207" s="17">
        <v>0.46249999999999997</v>
      </c>
      <c r="I207" s="9">
        <v>33510</v>
      </c>
      <c r="J207" s="9">
        <v>16450</v>
      </c>
      <c r="K207" s="10">
        <f t="shared" si="6"/>
        <v>17060</v>
      </c>
      <c r="L207" s="10">
        <v>40339</v>
      </c>
      <c r="M207" s="11" t="s">
        <v>862</v>
      </c>
      <c r="N207" s="12">
        <v>17010</v>
      </c>
      <c r="O207" s="13" t="s">
        <v>32</v>
      </c>
      <c r="P207" s="14"/>
    </row>
    <row r="208" spans="1:17" x14ac:dyDescent="0.25">
      <c r="A208" s="6"/>
      <c r="B208" s="7">
        <v>44235</v>
      </c>
      <c r="C208" s="8" t="s">
        <v>1097</v>
      </c>
      <c r="D208" s="8" t="s">
        <v>86</v>
      </c>
      <c r="E208" s="9" t="s">
        <v>87</v>
      </c>
      <c r="F208" s="9" t="s">
        <v>88</v>
      </c>
      <c r="G208" s="17">
        <v>0.8520833333333333</v>
      </c>
      <c r="H208" s="17">
        <v>7.6388888888888886E-3</v>
      </c>
      <c r="I208" s="9">
        <v>39900</v>
      </c>
      <c r="J208" s="9">
        <v>17240</v>
      </c>
      <c r="K208" s="10">
        <f t="shared" si="6"/>
        <v>22660</v>
      </c>
      <c r="L208" s="10" t="s">
        <v>1098</v>
      </c>
      <c r="M208" s="11" t="s">
        <v>1041</v>
      </c>
      <c r="N208" s="12">
        <f>16.8+3</f>
        <v>19.8</v>
      </c>
      <c r="O208" s="13" t="s">
        <v>855</v>
      </c>
      <c r="P208" s="14"/>
    </row>
    <row r="209" spans="1:17" x14ac:dyDescent="0.25">
      <c r="A209" s="6"/>
      <c r="B209" s="7">
        <v>44235</v>
      </c>
      <c r="C209" s="8" t="s">
        <v>147</v>
      </c>
      <c r="D209" s="8" t="s">
        <v>935</v>
      </c>
      <c r="E209" s="9" t="s">
        <v>473</v>
      </c>
      <c r="F209" s="9" t="s">
        <v>338</v>
      </c>
      <c r="G209" s="17">
        <v>0.8618055555555556</v>
      </c>
      <c r="H209" s="17">
        <v>0.3756944444444445</v>
      </c>
      <c r="I209" s="9">
        <v>37280</v>
      </c>
      <c r="J209" s="9">
        <v>16330</v>
      </c>
      <c r="K209" s="10">
        <f t="shared" si="6"/>
        <v>20950</v>
      </c>
      <c r="L209" s="10">
        <v>4924</v>
      </c>
      <c r="M209" s="11" t="s">
        <v>898</v>
      </c>
      <c r="N209" s="12">
        <f>210+175+35</f>
        <v>420</v>
      </c>
      <c r="O209" s="13" t="s">
        <v>1099</v>
      </c>
      <c r="P209" s="14"/>
    </row>
    <row r="210" spans="1:17" x14ac:dyDescent="0.25">
      <c r="A210" s="6"/>
      <c r="B210" s="7">
        <v>44235</v>
      </c>
      <c r="C210" s="8" t="s">
        <v>37</v>
      </c>
      <c r="D210" s="8" t="s">
        <v>1055</v>
      </c>
      <c r="E210" s="9" t="s">
        <v>39</v>
      </c>
      <c r="F210" s="9" t="s">
        <v>338</v>
      </c>
      <c r="G210" s="17">
        <v>0.89513888888888893</v>
      </c>
      <c r="H210" s="17">
        <v>0.98263888888888884</v>
      </c>
      <c r="I210" s="9">
        <v>14875</v>
      </c>
      <c r="J210" s="9">
        <v>6290</v>
      </c>
      <c r="K210" s="10">
        <f t="shared" si="6"/>
        <v>8585</v>
      </c>
      <c r="L210" s="10">
        <v>26439</v>
      </c>
      <c r="M210" s="11" t="s">
        <v>124</v>
      </c>
      <c r="N210" s="12">
        <v>8580</v>
      </c>
      <c r="O210" s="13" t="s">
        <v>32</v>
      </c>
      <c r="P210" s="14"/>
    </row>
    <row r="211" spans="1:17" x14ac:dyDescent="0.25">
      <c r="A211" s="6"/>
      <c r="B211" s="7">
        <v>44235</v>
      </c>
      <c r="C211" s="8" t="s">
        <v>991</v>
      </c>
      <c r="D211" s="8" t="s">
        <v>198</v>
      </c>
      <c r="E211" s="9" t="s">
        <v>405</v>
      </c>
      <c r="F211" s="9" t="s">
        <v>161</v>
      </c>
      <c r="G211" s="17">
        <v>0.93125000000000002</v>
      </c>
      <c r="H211" s="17">
        <v>2.6388888888888889E-2</v>
      </c>
      <c r="I211" s="9">
        <v>39950</v>
      </c>
      <c r="J211" s="9">
        <v>16560</v>
      </c>
      <c r="K211" s="10">
        <f t="shared" si="6"/>
        <v>23390</v>
      </c>
      <c r="L211" s="10">
        <v>23346</v>
      </c>
      <c r="M211" s="11" t="s">
        <v>1041</v>
      </c>
      <c r="N211" s="12">
        <v>21.6</v>
      </c>
      <c r="O211" s="13" t="s">
        <v>855</v>
      </c>
      <c r="P211" s="14"/>
    </row>
    <row r="212" spans="1:17" x14ac:dyDescent="0.25">
      <c r="A212" s="6"/>
      <c r="B212" s="7">
        <v>44235</v>
      </c>
      <c r="C212" s="8" t="s">
        <v>991</v>
      </c>
      <c r="D212" s="8" t="s">
        <v>928</v>
      </c>
      <c r="E212" s="9" t="s">
        <v>947</v>
      </c>
      <c r="F212" s="9" t="s">
        <v>948</v>
      </c>
      <c r="G212" s="17">
        <v>0.94166666666666676</v>
      </c>
      <c r="H212" s="17">
        <v>0.95138888888888884</v>
      </c>
      <c r="I212" s="9">
        <v>9790</v>
      </c>
      <c r="J212" s="9">
        <v>7500</v>
      </c>
      <c r="K212" s="10">
        <f t="shared" si="6"/>
        <v>2290</v>
      </c>
      <c r="L212" s="10">
        <v>23346</v>
      </c>
      <c r="M212" s="11" t="s">
        <v>1041</v>
      </c>
      <c r="N212" s="12">
        <v>1.8</v>
      </c>
      <c r="O212" s="13" t="s">
        <v>855</v>
      </c>
      <c r="P212" s="14"/>
    </row>
    <row r="213" spans="1:17" x14ac:dyDescent="0.25">
      <c r="A213" s="6"/>
      <c r="B213" s="7">
        <v>44235</v>
      </c>
      <c r="C213" s="8" t="s">
        <v>985</v>
      </c>
      <c r="D213" s="8" t="s">
        <v>284</v>
      </c>
      <c r="E213" s="9" t="s">
        <v>285</v>
      </c>
      <c r="F213" s="9" t="s">
        <v>286</v>
      </c>
      <c r="G213" s="17">
        <v>0.94305555555555554</v>
      </c>
      <c r="H213" s="17">
        <v>3.4722222222222224E-2</v>
      </c>
      <c r="I213" s="9">
        <v>37765</v>
      </c>
      <c r="J213" s="9">
        <v>16340</v>
      </c>
      <c r="K213" s="10">
        <f t="shared" si="6"/>
        <v>21425</v>
      </c>
      <c r="L213" s="10">
        <v>23347</v>
      </c>
      <c r="M213" s="11" t="s">
        <v>1041</v>
      </c>
      <c r="N213" s="12">
        <v>21425</v>
      </c>
      <c r="O213" s="13" t="s">
        <v>32</v>
      </c>
      <c r="P213" s="14" t="s">
        <v>1100</v>
      </c>
    </row>
    <row r="214" spans="1:17" x14ac:dyDescent="0.25">
      <c r="A214" s="6"/>
      <c r="B214" s="7">
        <v>44235</v>
      </c>
      <c r="C214" s="8" t="s">
        <v>443</v>
      </c>
      <c r="D214" s="8" t="s">
        <v>1102</v>
      </c>
      <c r="E214" s="9" t="s">
        <v>337</v>
      </c>
      <c r="F214" s="9" t="s">
        <v>338</v>
      </c>
      <c r="G214" s="17">
        <v>0.97430555555555554</v>
      </c>
      <c r="H214" s="17">
        <v>7.9861111111111105E-2</v>
      </c>
      <c r="I214" s="9">
        <v>17950</v>
      </c>
      <c r="J214" s="9">
        <v>7780</v>
      </c>
      <c r="K214" s="10">
        <f t="shared" si="6"/>
        <v>10170</v>
      </c>
      <c r="L214" s="10" t="s">
        <v>1101</v>
      </c>
      <c r="M214" s="11" t="s">
        <v>1103</v>
      </c>
      <c r="N214" s="12">
        <f>7699+2501</f>
        <v>10200</v>
      </c>
      <c r="O214" s="13" t="s">
        <v>32</v>
      </c>
      <c r="P214" s="40">
        <f>+N205+N186</f>
        <v>16150</v>
      </c>
      <c r="Q214" s="18">
        <f>+P214-34472.6</f>
        <v>-18322.599999999999</v>
      </c>
    </row>
    <row r="215" spans="1:17" x14ac:dyDescent="0.25">
      <c r="A215" s="6"/>
      <c r="B215" s="7">
        <v>44236</v>
      </c>
      <c r="C215" s="8" t="s">
        <v>1096</v>
      </c>
      <c r="D215" s="8" t="s">
        <v>243</v>
      </c>
      <c r="E215" s="9" t="s">
        <v>51</v>
      </c>
      <c r="F215" s="9" t="s">
        <v>52</v>
      </c>
      <c r="G215" s="17">
        <v>6.9444444444444447E-4</v>
      </c>
      <c r="H215" s="17">
        <v>6.805555555555555E-2</v>
      </c>
      <c r="I215" s="9">
        <v>27815</v>
      </c>
      <c r="J215" s="9">
        <v>15750</v>
      </c>
      <c r="K215" s="10">
        <f t="shared" si="6"/>
        <v>12065</v>
      </c>
      <c r="L215" s="10">
        <v>23348</v>
      </c>
      <c r="M215" s="11" t="s">
        <v>1041</v>
      </c>
      <c r="N215" s="12">
        <v>12065</v>
      </c>
      <c r="O215" s="13" t="s">
        <v>32</v>
      </c>
      <c r="P215" s="14" t="s">
        <v>1104</v>
      </c>
    </row>
    <row r="216" spans="1:17" x14ac:dyDescent="0.25">
      <c r="A216" s="6"/>
      <c r="B216" s="7">
        <v>44236</v>
      </c>
      <c r="C216" s="8" t="s">
        <v>1105</v>
      </c>
      <c r="D216" s="8" t="s">
        <v>530</v>
      </c>
      <c r="E216" s="9" t="s">
        <v>699</v>
      </c>
      <c r="F216" s="9" t="s">
        <v>140</v>
      </c>
      <c r="G216" s="17">
        <v>6.5972222222222224E-2</v>
      </c>
      <c r="H216" s="17">
        <v>0.1076388888888889</v>
      </c>
      <c r="I216" s="9">
        <v>20530</v>
      </c>
      <c r="J216" s="9">
        <v>8250</v>
      </c>
      <c r="K216" s="10">
        <f t="shared" si="6"/>
        <v>12280</v>
      </c>
      <c r="L216" s="10" t="s">
        <v>1106</v>
      </c>
      <c r="M216" s="11" t="s">
        <v>48</v>
      </c>
      <c r="N216" s="12">
        <f>18322.6+8635</f>
        <v>26957.599999999999</v>
      </c>
      <c r="O216" s="13" t="s">
        <v>49</v>
      </c>
      <c r="P216" s="14"/>
    </row>
    <row r="217" spans="1:17" x14ac:dyDescent="0.25">
      <c r="A217" s="6"/>
      <c r="B217" s="15">
        <v>44236</v>
      </c>
      <c r="C217" s="16" t="s">
        <v>1107</v>
      </c>
      <c r="D217" s="8" t="s">
        <v>174</v>
      </c>
      <c r="E217" s="9" t="s">
        <v>110</v>
      </c>
      <c r="F217" s="9" t="s">
        <v>111</v>
      </c>
      <c r="G217" s="17">
        <v>0.3611111111111111</v>
      </c>
      <c r="H217" s="17">
        <v>0.60138888888888886</v>
      </c>
      <c r="I217" s="9">
        <v>11390</v>
      </c>
      <c r="J217" s="9">
        <v>6480</v>
      </c>
      <c r="K217" s="10">
        <f t="shared" si="6"/>
        <v>4910</v>
      </c>
      <c r="L217" s="10">
        <v>93</v>
      </c>
      <c r="M217" s="11" t="s">
        <v>48</v>
      </c>
      <c r="N217" s="12">
        <v>4910</v>
      </c>
      <c r="O217" s="13" t="s">
        <v>49</v>
      </c>
      <c r="P217" s="14"/>
      <c r="Q217" s="1">
        <f>18322.6+8635</f>
        <v>26957.599999999999</v>
      </c>
    </row>
    <row r="218" spans="1:17" x14ac:dyDescent="0.25">
      <c r="A218" s="6"/>
      <c r="B218" s="7">
        <v>44236</v>
      </c>
      <c r="C218" s="8" t="s">
        <v>147</v>
      </c>
      <c r="D218" s="8" t="s">
        <v>935</v>
      </c>
      <c r="E218" s="9" t="s">
        <v>473</v>
      </c>
      <c r="F218" s="9" t="s">
        <v>338</v>
      </c>
      <c r="G218" s="17">
        <v>0.375</v>
      </c>
      <c r="H218" s="17">
        <v>0.42708333333333331</v>
      </c>
      <c r="I218" s="9">
        <v>16540</v>
      </c>
      <c r="J218" s="9">
        <v>37330</v>
      </c>
      <c r="K218" s="10">
        <f t="shared" si="6"/>
        <v>-20790</v>
      </c>
      <c r="L218" s="10">
        <v>15442</v>
      </c>
      <c r="M218" s="11" t="s">
        <v>638</v>
      </c>
      <c r="N218" s="12">
        <v>840</v>
      </c>
      <c r="O218" s="13" t="s">
        <v>1099</v>
      </c>
      <c r="P218" s="14"/>
      <c r="Q218" s="1">
        <f>+Q217/2.2</f>
        <v>12253.454545454544</v>
      </c>
    </row>
    <row r="219" spans="1:17" x14ac:dyDescent="0.25">
      <c r="A219" s="6"/>
      <c r="B219" s="7">
        <v>44236</v>
      </c>
      <c r="C219" s="8" t="s">
        <v>1042</v>
      </c>
      <c r="D219" s="8" t="s">
        <v>465</v>
      </c>
      <c r="E219" s="9" t="s">
        <v>881</v>
      </c>
      <c r="F219" s="9" t="s">
        <v>749</v>
      </c>
      <c r="G219" s="17">
        <v>0.4145833333333333</v>
      </c>
      <c r="H219" s="17">
        <v>0.48402777777777778</v>
      </c>
      <c r="I219" s="9">
        <v>39440</v>
      </c>
      <c r="J219" s="9">
        <v>15960</v>
      </c>
      <c r="K219" s="10">
        <f t="shared" si="6"/>
        <v>23480</v>
      </c>
      <c r="L219" s="10">
        <v>23349</v>
      </c>
      <c r="M219" s="11" t="s">
        <v>1041</v>
      </c>
      <c r="N219" s="12">
        <v>21.6</v>
      </c>
      <c r="O219" s="13" t="s">
        <v>855</v>
      </c>
      <c r="P219" s="14"/>
    </row>
    <row r="220" spans="1:17" x14ac:dyDescent="0.25">
      <c r="A220" s="6"/>
      <c r="B220" s="7">
        <v>44236</v>
      </c>
      <c r="C220" s="8" t="s">
        <v>1042</v>
      </c>
      <c r="D220" s="8" t="s">
        <v>86</v>
      </c>
      <c r="E220" s="9" t="s">
        <v>87</v>
      </c>
      <c r="F220" s="9" t="s">
        <v>88</v>
      </c>
      <c r="G220" s="17">
        <v>0.41666666666666669</v>
      </c>
      <c r="H220" s="17">
        <v>0.48541666666666666</v>
      </c>
      <c r="I220" s="9">
        <v>41000</v>
      </c>
      <c r="J220" s="9">
        <v>17390</v>
      </c>
      <c r="K220" s="10">
        <f t="shared" si="6"/>
        <v>23610</v>
      </c>
      <c r="L220" s="10">
        <v>23349</v>
      </c>
      <c r="M220" s="11" t="s">
        <v>1041</v>
      </c>
      <c r="N220" s="12">
        <v>21.6</v>
      </c>
      <c r="O220" s="13" t="s">
        <v>855</v>
      </c>
      <c r="P220" s="14"/>
    </row>
    <row r="221" spans="1:17" x14ac:dyDescent="0.25">
      <c r="A221" s="6"/>
      <c r="B221" s="7">
        <v>44236</v>
      </c>
      <c r="C221" s="8" t="s">
        <v>1042</v>
      </c>
      <c r="D221" s="8" t="s">
        <v>143</v>
      </c>
      <c r="E221" s="9" t="s">
        <v>144</v>
      </c>
      <c r="F221" s="9" t="s">
        <v>626</v>
      </c>
      <c r="G221" s="17">
        <v>0.41805555555555557</v>
      </c>
      <c r="H221" s="17">
        <v>0.49583333333333335</v>
      </c>
      <c r="I221" s="9">
        <v>39650</v>
      </c>
      <c r="J221" s="9">
        <v>15690</v>
      </c>
      <c r="K221" s="10">
        <f t="shared" si="6"/>
        <v>23960</v>
      </c>
      <c r="L221" s="10">
        <v>23349</v>
      </c>
      <c r="M221" s="11" t="s">
        <v>1041</v>
      </c>
      <c r="N221" s="12">
        <v>21.6</v>
      </c>
      <c r="O221" s="13" t="s">
        <v>855</v>
      </c>
      <c r="P221" s="14"/>
    </row>
    <row r="222" spans="1:17" x14ac:dyDescent="0.25">
      <c r="A222" s="6"/>
      <c r="B222" s="7">
        <v>44236</v>
      </c>
      <c r="C222" s="8" t="s">
        <v>1042</v>
      </c>
      <c r="D222" s="8" t="s">
        <v>299</v>
      </c>
      <c r="E222" s="9" t="s">
        <v>813</v>
      </c>
      <c r="F222" s="9" t="s">
        <v>814</v>
      </c>
      <c r="G222" s="17">
        <v>0.42569444444444443</v>
      </c>
      <c r="H222" s="17">
        <v>0.5</v>
      </c>
      <c r="I222" s="9">
        <v>41340</v>
      </c>
      <c r="J222" s="9">
        <v>17520</v>
      </c>
      <c r="K222" s="10">
        <f t="shared" si="6"/>
        <v>23820</v>
      </c>
      <c r="L222" s="10">
        <v>23349</v>
      </c>
      <c r="M222" s="11" t="s">
        <v>1041</v>
      </c>
      <c r="N222" s="12">
        <v>21.6</v>
      </c>
      <c r="O222" s="13" t="s">
        <v>855</v>
      </c>
      <c r="P222" s="14"/>
      <c r="Q222" s="2"/>
    </row>
    <row r="223" spans="1:17" x14ac:dyDescent="0.25">
      <c r="A223" s="6"/>
      <c r="B223" s="7">
        <v>44236</v>
      </c>
      <c r="C223" s="8" t="s">
        <v>1108</v>
      </c>
      <c r="D223" s="8" t="s">
        <v>1109</v>
      </c>
      <c r="E223" s="9" t="s">
        <v>1110</v>
      </c>
      <c r="F223" s="9" t="s">
        <v>338</v>
      </c>
      <c r="G223" s="17">
        <v>0.43541666666666662</v>
      </c>
      <c r="H223" s="17">
        <v>0.46319444444444446</v>
      </c>
      <c r="I223" s="9">
        <v>5660</v>
      </c>
      <c r="J223" s="9">
        <v>4030</v>
      </c>
      <c r="K223" s="10">
        <f t="shared" si="6"/>
        <v>1630</v>
      </c>
      <c r="L223" s="10">
        <v>2150</v>
      </c>
      <c r="M223" s="11" t="s">
        <v>1111</v>
      </c>
      <c r="N223" s="12">
        <v>12</v>
      </c>
      <c r="O223" s="13" t="s">
        <v>80</v>
      </c>
      <c r="P223" s="14"/>
    </row>
    <row r="224" spans="1:17" x14ac:dyDescent="0.25">
      <c r="A224" s="6"/>
      <c r="B224" s="7">
        <v>44236</v>
      </c>
      <c r="C224" s="8" t="s">
        <v>1112</v>
      </c>
      <c r="D224" s="8" t="s">
        <v>878</v>
      </c>
      <c r="E224" s="9" t="s">
        <v>879</v>
      </c>
      <c r="F224" s="9" t="s">
        <v>36</v>
      </c>
      <c r="G224" s="17">
        <v>0.44166666666666665</v>
      </c>
      <c r="H224" s="17">
        <v>0.60902777777777783</v>
      </c>
      <c r="I224" s="9">
        <v>17610</v>
      </c>
      <c r="J224" s="9">
        <v>48940</v>
      </c>
      <c r="K224" s="10">
        <f t="shared" si="6"/>
        <v>-31330</v>
      </c>
      <c r="L224" s="10">
        <v>5750</v>
      </c>
      <c r="M224" s="11" t="s">
        <v>53</v>
      </c>
      <c r="N224" s="12">
        <v>600</v>
      </c>
      <c r="O224" s="13" t="s">
        <v>1099</v>
      </c>
      <c r="P224" s="14"/>
    </row>
    <row r="225" spans="1:16" x14ac:dyDescent="0.25">
      <c r="A225" s="6"/>
      <c r="B225" s="7">
        <v>44236</v>
      </c>
      <c r="C225" s="8" t="s">
        <v>164</v>
      </c>
      <c r="D225" s="8" t="s">
        <v>1113</v>
      </c>
      <c r="E225" s="9" t="s">
        <v>745</v>
      </c>
      <c r="F225" s="9" t="s">
        <v>1114</v>
      </c>
      <c r="G225" s="17">
        <v>0.44305555555555554</v>
      </c>
      <c r="H225" s="17">
        <v>0.39930555555555558</v>
      </c>
      <c r="I225" s="9">
        <v>15770</v>
      </c>
      <c r="J225" s="9">
        <v>6040</v>
      </c>
      <c r="K225" s="10">
        <f t="shared" si="6"/>
        <v>9730</v>
      </c>
      <c r="L225" s="10">
        <v>15386</v>
      </c>
      <c r="M225" s="11" t="s">
        <v>398</v>
      </c>
      <c r="N225" s="12">
        <v>180</v>
      </c>
      <c r="O225" s="13" t="s">
        <v>1099</v>
      </c>
      <c r="P225" s="14"/>
    </row>
    <row r="226" spans="1:16" x14ac:dyDescent="0.25">
      <c r="A226" s="6"/>
      <c r="B226" s="7">
        <v>44236</v>
      </c>
      <c r="C226" s="8" t="s">
        <v>1115</v>
      </c>
      <c r="D226" s="8" t="s">
        <v>243</v>
      </c>
      <c r="E226" s="9" t="s">
        <v>51</v>
      </c>
      <c r="F226" s="9" t="s">
        <v>52</v>
      </c>
      <c r="G226" s="17">
        <v>0.48958333333333331</v>
      </c>
      <c r="H226" s="17">
        <v>0.52569444444444446</v>
      </c>
      <c r="I226" s="9">
        <v>29240</v>
      </c>
      <c r="J226" s="9">
        <v>15780</v>
      </c>
      <c r="K226" s="10">
        <f t="shared" si="6"/>
        <v>13460</v>
      </c>
      <c r="L226" s="10">
        <v>23350</v>
      </c>
      <c r="M226" s="11" t="s">
        <v>1041</v>
      </c>
      <c r="N226" s="12">
        <v>12</v>
      </c>
      <c r="O226" s="13" t="s">
        <v>855</v>
      </c>
      <c r="P226" s="14"/>
    </row>
    <row r="227" spans="1:16" x14ac:dyDescent="0.25">
      <c r="A227" s="6"/>
      <c r="B227" s="7">
        <v>44236</v>
      </c>
      <c r="C227" s="8" t="s">
        <v>871</v>
      </c>
      <c r="D227" s="8" t="s">
        <v>1116</v>
      </c>
      <c r="E227" s="9" t="s">
        <v>1048</v>
      </c>
      <c r="F227" s="9" t="s">
        <v>1117</v>
      </c>
      <c r="G227" s="17">
        <v>0.49791666666666662</v>
      </c>
      <c r="H227" s="17">
        <v>0.7680555555555556</v>
      </c>
      <c r="I227" s="9">
        <v>37000</v>
      </c>
      <c r="J227" s="9">
        <v>21020</v>
      </c>
      <c r="K227" s="10">
        <f t="shared" si="6"/>
        <v>15980</v>
      </c>
      <c r="L227" s="10">
        <v>744</v>
      </c>
      <c r="M227" s="11" t="s">
        <v>1118</v>
      </c>
      <c r="N227" s="12">
        <v>16413</v>
      </c>
      <c r="O227" s="13" t="s">
        <v>32</v>
      </c>
      <c r="P227" s="14"/>
    </row>
    <row r="228" spans="1:16" x14ac:dyDescent="0.25">
      <c r="A228" s="6"/>
      <c r="B228" s="7">
        <v>44236</v>
      </c>
      <c r="C228" s="8" t="s">
        <v>1119</v>
      </c>
      <c r="D228" s="8" t="s">
        <v>284</v>
      </c>
      <c r="E228" s="9" t="s">
        <v>285</v>
      </c>
      <c r="F228" s="9" t="s">
        <v>286</v>
      </c>
      <c r="G228" s="17">
        <v>0.52708333333333335</v>
      </c>
      <c r="H228" s="17">
        <v>0.54097222222222219</v>
      </c>
      <c r="I228" s="9">
        <v>38850</v>
      </c>
      <c r="J228" s="9">
        <v>16400</v>
      </c>
      <c r="K228" s="10">
        <f t="shared" si="6"/>
        <v>22450</v>
      </c>
      <c r="L228" s="10" t="s">
        <v>1120</v>
      </c>
      <c r="M228" s="11" t="s">
        <v>1041</v>
      </c>
      <c r="N228" s="12">
        <v>21</v>
      </c>
      <c r="O228" s="13" t="s">
        <v>855</v>
      </c>
      <c r="P228" s="14"/>
    </row>
    <row r="229" spans="1:16" x14ac:dyDescent="0.25">
      <c r="A229" s="6"/>
      <c r="B229" s="7">
        <v>44236</v>
      </c>
      <c r="C229" s="8" t="s">
        <v>1121</v>
      </c>
      <c r="D229" s="8" t="s">
        <v>198</v>
      </c>
      <c r="E229" s="9" t="s">
        <v>405</v>
      </c>
      <c r="F229" s="9" t="s">
        <v>161</v>
      </c>
      <c r="G229" s="17">
        <v>0.52986111111111112</v>
      </c>
      <c r="H229" s="17">
        <v>0.53888888888888886</v>
      </c>
      <c r="I229" s="9">
        <v>37800</v>
      </c>
      <c r="J229" s="9">
        <v>16540</v>
      </c>
      <c r="K229" s="10">
        <f t="shared" si="6"/>
        <v>21260</v>
      </c>
      <c r="L229" s="10">
        <v>23351</v>
      </c>
      <c r="M229" s="11" t="s">
        <v>1041</v>
      </c>
      <c r="N229" s="12">
        <v>19.2</v>
      </c>
      <c r="O229" s="13" t="s">
        <v>855</v>
      </c>
      <c r="P229" s="14"/>
    </row>
    <row r="230" spans="1:16" x14ac:dyDescent="0.25">
      <c r="A230" s="6"/>
      <c r="B230" s="7">
        <v>44236</v>
      </c>
      <c r="C230" s="8" t="s">
        <v>1122</v>
      </c>
      <c r="D230" s="8" t="s">
        <v>1123</v>
      </c>
      <c r="E230" s="9" t="s">
        <v>1124</v>
      </c>
      <c r="F230" s="9" t="s">
        <v>1125</v>
      </c>
      <c r="G230" s="17">
        <v>0.5493055555555556</v>
      </c>
      <c r="H230" s="17">
        <v>0.61388888888888882</v>
      </c>
      <c r="I230" s="9">
        <v>54750</v>
      </c>
      <c r="J230" s="9">
        <v>19350</v>
      </c>
      <c r="K230" s="10">
        <f t="shared" si="6"/>
        <v>35400</v>
      </c>
      <c r="L230" s="10">
        <v>908</v>
      </c>
      <c r="M230" s="11" t="s">
        <v>306</v>
      </c>
      <c r="N230" s="12">
        <v>10000</v>
      </c>
      <c r="O230" s="13" t="s">
        <v>84</v>
      </c>
      <c r="P230" s="14"/>
    </row>
    <row r="231" spans="1:16" x14ac:dyDescent="0.25">
      <c r="A231" s="6"/>
      <c r="B231" s="7">
        <v>44236</v>
      </c>
      <c r="C231" s="8" t="s">
        <v>1121</v>
      </c>
      <c r="D231" s="8" t="s">
        <v>465</v>
      </c>
      <c r="E231" s="9" t="s">
        <v>881</v>
      </c>
      <c r="F231" s="9" t="s">
        <v>749</v>
      </c>
      <c r="G231" s="17">
        <v>0.56874999999999998</v>
      </c>
      <c r="H231" s="17">
        <v>0.58194444444444449</v>
      </c>
      <c r="I231" s="9">
        <v>36710</v>
      </c>
      <c r="J231" s="9">
        <v>15960</v>
      </c>
      <c r="K231" s="10">
        <f t="shared" si="6"/>
        <v>20750</v>
      </c>
      <c r="L231" s="10">
        <v>23351</v>
      </c>
      <c r="M231" s="11" t="s">
        <v>1041</v>
      </c>
      <c r="N231" s="12">
        <v>18.600000000000001</v>
      </c>
      <c r="O231" s="13" t="s">
        <v>855</v>
      </c>
      <c r="P231" s="14"/>
    </row>
    <row r="232" spans="1:16" x14ac:dyDescent="0.25">
      <c r="A232" s="6"/>
      <c r="B232" s="7">
        <v>44236</v>
      </c>
      <c r="C232" s="8" t="s">
        <v>1126</v>
      </c>
      <c r="D232" s="8" t="s">
        <v>86</v>
      </c>
      <c r="E232" s="9" t="s">
        <v>87</v>
      </c>
      <c r="F232" s="9" t="s">
        <v>88</v>
      </c>
      <c r="G232" s="17">
        <v>0.60277777777777775</v>
      </c>
      <c r="H232" s="17">
        <v>0.62777777777777777</v>
      </c>
      <c r="I232" s="9">
        <v>40130</v>
      </c>
      <c r="J232" s="9">
        <v>17210</v>
      </c>
      <c r="K232" s="10">
        <f t="shared" si="6"/>
        <v>22920</v>
      </c>
      <c r="L232" s="10" t="s">
        <v>1127</v>
      </c>
      <c r="M232" s="11" t="s">
        <v>1041</v>
      </c>
      <c r="N232" s="12">
        <v>21</v>
      </c>
      <c r="O232" s="13" t="s">
        <v>855</v>
      </c>
      <c r="P232" s="14"/>
    </row>
    <row r="233" spans="1:16" x14ac:dyDescent="0.25">
      <c r="A233" s="6"/>
      <c r="B233" s="7">
        <v>44236</v>
      </c>
      <c r="C233" s="8" t="s">
        <v>1128</v>
      </c>
      <c r="D233" s="8" t="s">
        <v>143</v>
      </c>
      <c r="E233" s="9" t="s">
        <v>144</v>
      </c>
      <c r="F233" s="9" t="s">
        <v>626</v>
      </c>
      <c r="G233" s="17">
        <v>0.60555555555555551</v>
      </c>
      <c r="H233" s="17">
        <v>0.6166666666666667</v>
      </c>
      <c r="I233" s="9">
        <v>38305</v>
      </c>
      <c r="J233" s="9">
        <v>15710</v>
      </c>
      <c r="K233" s="10">
        <f t="shared" si="6"/>
        <v>22595</v>
      </c>
      <c r="L233" s="10">
        <v>23355</v>
      </c>
      <c r="M233" s="11" t="s">
        <v>1041</v>
      </c>
      <c r="N233" s="12">
        <v>22595</v>
      </c>
      <c r="O233" s="13" t="s">
        <v>32</v>
      </c>
      <c r="P233" s="14" t="s">
        <v>1129</v>
      </c>
    </row>
    <row r="234" spans="1:16" x14ac:dyDescent="0.25">
      <c r="A234" s="6"/>
      <c r="B234" s="7">
        <v>44236</v>
      </c>
      <c r="C234" s="8" t="s">
        <v>1122</v>
      </c>
      <c r="D234" s="8" t="s">
        <v>1130</v>
      </c>
      <c r="E234" s="9" t="s">
        <v>1131</v>
      </c>
      <c r="F234" s="9" t="s">
        <v>338</v>
      </c>
      <c r="G234" s="17">
        <v>0.62152777777777779</v>
      </c>
      <c r="H234" s="17">
        <v>0.6875</v>
      </c>
      <c r="I234" s="9">
        <v>55500</v>
      </c>
      <c r="J234" s="9">
        <v>20320</v>
      </c>
      <c r="K234" s="10">
        <f t="shared" si="6"/>
        <v>35180</v>
      </c>
      <c r="L234" s="10">
        <v>907</v>
      </c>
      <c r="M234" s="11" t="s">
        <v>306</v>
      </c>
      <c r="N234" s="12">
        <v>10000</v>
      </c>
      <c r="O234" s="13" t="s">
        <v>84</v>
      </c>
      <c r="P234" s="14"/>
    </row>
    <row r="235" spans="1:16" x14ac:dyDescent="0.25">
      <c r="A235" s="6"/>
      <c r="B235" s="7">
        <v>44236</v>
      </c>
      <c r="C235" s="8" t="s">
        <v>1112</v>
      </c>
      <c r="D235" s="8" t="s">
        <v>1132</v>
      </c>
      <c r="E235" s="9" t="s">
        <v>102</v>
      </c>
      <c r="F235" s="9" t="s">
        <v>338</v>
      </c>
      <c r="G235" s="17">
        <v>0.62361111111111112</v>
      </c>
      <c r="H235" s="17">
        <v>0.67708333333333337</v>
      </c>
      <c r="I235" s="9">
        <v>14540</v>
      </c>
      <c r="J235" s="9">
        <v>45940</v>
      </c>
      <c r="K235" s="10">
        <f t="shared" si="6"/>
        <v>-31400</v>
      </c>
      <c r="L235" s="10">
        <v>5762</v>
      </c>
      <c r="M235" s="11" t="s">
        <v>53</v>
      </c>
      <c r="N235" s="12">
        <v>600</v>
      </c>
      <c r="O235" s="13" t="s">
        <v>1099</v>
      </c>
      <c r="P235" s="14"/>
    </row>
    <row r="236" spans="1:16" x14ac:dyDescent="0.25">
      <c r="A236" s="6"/>
      <c r="B236" s="7">
        <v>44236</v>
      </c>
      <c r="C236" s="8" t="s">
        <v>1133</v>
      </c>
      <c r="D236" s="8" t="s">
        <v>243</v>
      </c>
      <c r="E236" s="9" t="s">
        <v>51</v>
      </c>
      <c r="F236" s="9" t="s">
        <v>52</v>
      </c>
      <c r="G236" s="17">
        <v>0.62430555555555556</v>
      </c>
      <c r="H236" s="17">
        <v>0.6333333333333333</v>
      </c>
      <c r="I236" s="9">
        <v>38460</v>
      </c>
      <c r="J236" s="9">
        <v>15780</v>
      </c>
      <c r="K236" s="10">
        <f t="shared" si="6"/>
        <v>22680</v>
      </c>
      <c r="L236" s="10" t="s">
        <v>1134</v>
      </c>
      <c r="M236" s="11" t="s">
        <v>1041</v>
      </c>
      <c r="N236" s="12">
        <v>20.399999999999999</v>
      </c>
      <c r="O236" s="13" t="s">
        <v>855</v>
      </c>
      <c r="P236" s="14"/>
    </row>
    <row r="237" spans="1:16" x14ac:dyDescent="0.25">
      <c r="A237" s="6"/>
      <c r="B237" s="7">
        <v>44236</v>
      </c>
      <c r="C237" s="8" t="s">
        <v>1062</v>
      </c>
      <c r="D237" s="8" t="s">
        <v>299</v>
      </c>
      <c r="E237" s="9" t="s">
        <v>813</v>
      </c>
      <c r="F237" s="9" t="s">
        <v>814</v>
      </c>
      <c r="G237" s="17">
        <v>0.62638888888888888</v>
      </c>
      <c r="H237" s="17">
        <v>0.63750000000000007</v>
      </c>
      <c r="I237" s="9">
        <v>38380</v>
      </c>
      <c r="J237" s="9">
        <v>14970</v>
      </c>
      <c r="K237" s="10">
        <f t="shared" si="6"/>
        <v>23410</v>
      </c>
      <c r="L237" s="10">
        <v>23354</v>
      </c>
      <c r="M237" s="11" t="s">
        <v>1041</v>
      </c>
      <c r="N237" s="12">
        <v>21.6</v>
      </c>
      <c r="O237" s="13" t="s">
        <v>855</v>
      </c>
      <c r="P237" s="14"/>
    </row>
    <row r="238" spans="1:16" x14ac:dyDescent="0.25">
      <c r="A238" s="6"/>
      <c r="B238" s="7">
        <v>44236</v>
      </c>
      <c r="C238" s="8" t="s">
        <v>1062</v>
      </c>
      <c r="D238" s="8" t="s">
        <v>284</v>
      </c>
      <c r="E238" s="9" t="s">
        <v>285</v>
      </c>
      <c r="F238" s="9" t="s">
        <v>286</v>
      </c>
      <c r="G238" s="17">
        <v>0.63541666666666663</v>
      </c>
      <c r="H238" s="17">
        <v>0.64513888888888882</v>
      </c>
      <c r="I238" s="9">
        <v>39540</v>
      </c>
      <c r="J238" s="9">
        <v>16330</v>
      </c>
      <c r="K238" s="10">
        <f t="shared" si="6"/>
        <v>23210</v>
      </c>
      <c r="L238" s="10">
        <v>23354</v>
      </c>
      <c r="M238" s="11" t="s">
        <v>1041</v>
      </c>
      <c r="N238" s="12">
        <v>21.6</v>
      </c>
      <c r="O238" s="13" t="s">
        <v>855</v>
      </c>
      <c r="P238" s="14"/>
    </row>
    <row r="239" spans="1:16" x14ac:dyDescent="0.25">
      <c r="A239" s="6"/>
      <c r="B239" s="7">
        <v>44236</v>
      </c>
      <c r="C239" s="8" t="s">
        <v>1062</v>
      </c>
      <c r="D239" s="8" t="s">
        <v>928</v>
      </c>
      <c r="E239" s="9" t="s">
        <v>1064</v>
      </c>
      <c r="F239" s="9" t="s">
        <v>859</v>
      </c>
      <c r="G239" s="17">
        <v>0.63611111111111118</v>
      </c>
      <c r="H239" s="17">
        <v>0.64861111111111114</v>
      </c>
      <c r="I239" s="9">
        <v>22590</v>
      </c>
      <c r="J239" s="9">
        <v>9610</v>
      </c>
      <c r="K239" s="10">
        <f t="shared" si="6"/>
        <v>12980</v>
      </c>
      <c r="L239" s="10">
        <v>23354</v>
      </c>
      <c r="M239" s="11" t="s">
        <v>1041</v>
      </c>
      <c r="N239" s="12">
        <v>12</v>
      </c>
      <c r="O239" s="13" t="s">
        <v>855</v>
      </c>
      <c r="P239" s="14"/>
    </row>
    <row r="240" spans="1:16" x14ac:dyDescent="0.25">
      <c r="A240" s="6"/>
      <c r="B240" s="7">
        <v>44236</v>
      </c>
      <c r="C240" s="8" t="s">
        <v>1062</v>
      </c>
      <c r="D240" s="8" t="s">
        <v>465</v>
      </c>
      <c r="E240" s="9" t="s">
        <v>881</v>
      </c>
      <c r="F240" s="9" t="s">
        <v>749</v>
      </c>
      <c r="G240" s="17">
        <v>0.65416666666666667</v>
      </c>
      <c r="H240" s="17">
        <v>0.66527777777777775</v>
      </c>
      <c r="I240" s="9">
        <v>39590</v>
      </c>
      <c r="J240" s="9">
        <v>15950</v>
      </c>
      <c r="K240" s="10">
        <f t="shared" si="6"/>
        <v>23640</v>
      </c>
      <c r="L240" s="10">
        <v>23354</v>
      </c>
      <c r="M240" s="11" t="s">
        <v>1041</v>
      </c>
      <c r="N240" s="12">
        <v>21.6</v>
      </c>
      <c r="O240" s="13" t="s">
        <v>855</v>
      </c>
      <c r="P240" s="14"/>
    </row>
    <row r="241" spans="1:17" x14ac:dyDescent="0.25">
      <c r="A241" s="6"/>
      <c r="B241" s="7">
        <v>44236</v>
      </c>
      <c r="C241" s="8" t="s">
        <v>962</v>
      </c>
      <c r="D241" s="8" t="s">
        <v>994</v>
      </c>
      <c r="E241" s="9" t="s">
        <v>995</v>
      </c>
      <c r="F241" s="9" t="s">
        <v>36</v>
      </c>
      <c r="G241" s="17">
        <v>0.66875000000000007</v>
      </c>
      <c r="H241" s="17">
        <v>0.68402777777777779</v>
      </c>
      <c r="I241" s="9">
        <v>3500</v>
      </c>
      <c r="J241" s="9">
        <v>3240</v>
      </c>
      <c r="K241" s="10">
        <f t="shared" si="6"/>
        <v>260</v>
      </c>
      <c r="L241" s="10">
        <v>26440</v>
      </c>
      <c r="M241" s="11" t="s">
        <v>1135</v>
      </c>
      <c r="N241" s="12">
        <v>260</v>
      </c>
      <c r="O241" s="13" t="s">
        <v>32</v>
      </c>
      <c r="P241" s="14"/>
    </row>
    <row r="242" spans="1:17" x14ac:dyDescent="0.25">
      <c r="A242" s="6"/>
      <c r="B242" s="7">
        <v>44236</v>
      </c>
      <c r="C242" s="8" t="s">
        <v>1128</v>
      </c>
      <c r="D242" s="8" t="s">
        <v>198</v>
      </c>
      <c r="E242" s="9" t="s">
        <v>405</v>
      </c>
      <c r="F242" s="9" t="s">
        <v>161</v>
      </c>
      <c r="G242" s="17">
        <v>0.68055555555555547</v>
      </c>
      <c r="H242" s="17">
        <v>0.69861111111111107</v>
      </c>
      <c r="I242" s="9">
        <v>38760</v>
      </c>
      <c r="J242" s="9">
        <v>16520</v>
      </c>
      <c r="K242" s="10">
        <f t="shared" si="6"/>
        <v>22240</v>
      </c>
      <c r="L242" s="10">
        <v>23355</v>
      </c>
      <c r="M242" s="11" t="s">
        <v>1041</v>
      </c>
      <c r="N242" s="12">
        <v>22240</v>
      </c>
      <c r="O242" s="13" t="s">
        <v>32</v>
      </c>
      <c r="P242" s="14" t="s">
        <v>989</v>
      </c>
    </row>
    <row r="243" spans="1:17" x14ac:dyDescent="0.25">
      <c r="A243" s="6"/>
      <c r="B243" s="7">
        <v>44236</v>
      </c>
      <c r="C243" s="8" t="s">
        <v>1075</v>
      </c>
      <c r="D243" s="8" t="s">
        <v>1076</v>
      </c>
      <c r="E243" s="9" t="s">
        <v>220</v>
      </c>
      <c r="F243" s="9" t="s">
        <v>221</v>
      </c>
      <c r="G243" s="17">
        <v>0.68958333333333333</v>
      </c>
      <c r="H243" s="17">
        <v>0.78888888888888886</v>
      </c>
      <c r="I243" s="9">
        <v>20360</v>
      </c>
      <c r="J243" s="9">
        <v>9240</v>
      </c>
      <c r="K243" s="10">
        <f t="shared" si="6"/>
        <v>11120</v>
      </c>
      <c r="L243" s="10">
        <v>745</v>
      </c>
      <c r="M243" s="11" t="s">
        <v>1077</v>
      </c>
      <c r="N243" s="12">
        <v>11497</v>
      </c>
      <c r="O243" s="13" t="s">
        <v>32</v>
      </c>
      <c r="P243" s="14"/>
    </row>
    <row r="244" spans="1:17" x14ac:dyDescent="0.25">
      <c r="A244" s="6"/>
      <c r="B244" s="7">
        <v>44236</v>
      </c>
      <c r="C244" s="8" t="s">
        <v>1083</v>
      </c>
      <c r="D244" s="8" t="s">
        <v>1084</v>
      </c>
      <c r="E244" s="9" t="s">
        <v>1085</v>
      </c>
      <c r="F244" s="9" t="s">
        <v>1086</v>
      </c>
      <c r="G244" s="17">
        <v>0.70138888888888884</v>
      </c>
      <c r="H244" s="17">
        <v>0.42152777777777778</v>
      </c>
      <c r="I244" s="9">
        <v>10630</v>
      </c>
      <c r="J244" s="9">
        <v>6270</v>
      </c>
      <c r="K244" s="10">
        <f t="shared" si="6"/>
        <v>4360</v>
      </c>
      <c r="L244" s="10">
        <v>20170</v>
      </c>
      <c r="M244" s="11" t="s">
        <v>1087</v>
      </c>
      <c r="N244" s="12">
        <v>4360</v>
      </c>
      <c r="O244" s="13" t="s">
        <v>32</v>
      </c>
      <c r="P244" s="14" t="s">
        <v>1088</v>
      </c>
    </row>
    <row r="245" spans="1:17" x14ac:dyDescent="0.25">
      <c r="A245" s="6"/>
      <c r="B245" s="7">
        <v>44236</v>
      </c>
      <c r="C245" s="8" t="s">
        <v>1136</v>
      </c>
      <c r="D245" s="8" t="s">
        <v>143</v>
      </c>
      <c r="E245" s="9" t="s">
        <v>144</v>
      </c>
      <c r="F245" s="9" t="s">
        <v>626</v>
      </c>
      <c r="G245" s="17">
        <v>0.71250000000000002</v>
      </c>
      <c r="H245" s="17">
        <v>0.72152777777777777</v>
      </c>
      <c r="I245" s="9">
        <v>38870</v>
      </c>
      <c r="J245" s="9">
        <v>15680</v>
      </c>
      <c r="K245" s="10">
        <f t="shared" si="6"/>
        <v>23190</v>
      </c>
      <c r="L245" s="10" t="s">
        <v>1137</v>
      </c>
      <c r="M245" s="11" t="s">
        <v>1041</v>
      </c>
      <c r="N245" s="12">
        <v>21</v>
      </c>
      <c r="O245" s="13" t="s">
        <v>855</v>
      </c>
      <c r="P245" s="14"/>
    </row>
    <row r="246" spans="1:17" x14ac:dyDescent="0.25">
      <c r="A246" s="6"/>
      <c r="B246" s="7">
        <v>44236</v>
      </c>
      <c r="C246" s="8" t="s">
        <v>469</v>
      </c>
      <c r="D246" s="8" t="s">
        <v>1138</v>
      </c>
      <c r="E246" s="9" t="s">
        <v>1139</v>
      </c>
      <c r="F246" s="9" t="s">
        <v>36</v>
      </c>
      <c r="G246" s="17">
        <v>0.72638888888888886</v>
      </c>
      <c r="H246" s="17">
        <v>0.77361111111111114</v>
      </c>
      <c r="I246" s="9">
        <v>16340</v>
      </c>
      <c r="J246" s="9">
        <v>51440</v>
      </c>
      <c r="K246" s="10">
        <f t="shared" si="6"/>
        <v>-35100</v>
      </c>
      <c r="L246" s="10">
        <v>5764</v>
      </c>
      <c r="M246" s="11" t="s">
        <v>1140</v>
      </c>
      <c r="N246" s="12">
        <v>700</v>
      </c>
      <c r="O246" s="13" t="s">
        <v>32</v>
      </c>
      <c r="P246" s="14"/>
    </row>
    <row r="247" spans="1:17" x14ac:dyDescent="0.25">
      <c r="A247" s="6"/>
      <c r="B247" s="7">
        <v>44236</v>
      </c>
      <c r="C247" s="8" t="s">
        <v>1141</v>
      </c>
      <c r="D247" s="8" t="s">
        <v>1142</v>
      </c>
      <c r="E247" s="9" t="s">
        <v>1143</v>
      </c>
      <c r="F247" s="9" t="s">
        <v>36</v>
      </c>
      <c r="G247" s="17">
        <v>0.74583333333333324</v>
      </c>
      <c r="H247" s="17">
        <v>0.84930555555555554</v>
      </c>
      <c r="I247" s="9">
        <v>39600</v>
      </c>
      <c r="J247" s="9">
        <v>17970</v>
      </c>
      <c r="K247" s="10">
        <f t="shared" si="6"/>
        <v>21630</v>
      </c>
      <c r="L247" s="10">
        <v>4926</v>
      </c>
      <c r="M247" s="11" t="s">
        <v>1144</v>
      </c>
      <c r="N247" s="12">
        <v>420</v>
      </c>
      <c r="O247" s="13" t="s">
        <v>1099</v>
      </c>
      <c r="P247" s="14"/>
    </row>
    <row r="248" spans="1:17" x14ac:dyDescent="0.25">
      <c r="A248" s="6"/>
      <c r="B248" s="7">
        <v>44236</v>
      </c>
      <c r="C248" s="8" t="s">
        <v>1065</v>
      </c>
      <c r="D248" s="8" t="s">
        <v>86</v>
      </c>
      <c r="E248" s="9" t="s">
        <v>87</v>
      </c>
      <c r="F248" s="9" t="s">
        <v>88</v>
      </c>
      <c r="G248" s="17">
        <v>0.74930555555555556</v>
      </c>
      <c r="H248" s="17">
        <v>0.7583333333333333</v>
      </c>
      <c r="I248" s="9">
        <v>40580</v>
      </c>
      <c r="J248" s="9">
        <v>17230</v>
      </c>
      <c r="K248" s="10">
        <f t="shared" si="6"/>
        <v>23350</v>
      </c>
      <c r="L248" s="10">
        <v>23357</v>
      </c>
      <c r="M248" s="11" t="s">
        <v>1041</v>
      </c>
      <c r="N248" s="12">
        <v>21.6</v>
      </c>
      <c r="O248" s="13" t="s">
        <v>855</v>
      </c>
      <c r="P248" s="14"/>
    </row>
    <row r="249" spans="1:17" x14ac:dyDescent="0.25">
      <c r="A249" s="6"/>
      <c r="B249" s="7">
        <v>44236</v>
      </c>
      <c r="C249" s="8" t="s">
        <v>1065</v>
      </c>
      <c r="D249" s="8" t="s">
        <v>243</v>
      </c>
      <c r="E249" s="9" t="s">
        <v>51</v>
      </c>
      <c r="F249" s="9" t="s">
        <v>52</v>
      </c>
      <c r="G249" s="17">
        <v>0.75416666666666676</v>
      </c>
      <c r="H249" s="17">
        <v>0.76250000000000007</v>
      </c>
      <c r="I249" s="9">
        <v>39170</v>
      </c>
      <c r="J249" s="9">
        <v>15780</v>
      </c>
      <c r="K249" s="10">
        <f t="shared" si="6"/>
        <v>23390</v>
      </c>
      <c r="L249" s="10">
        <v>23357</v>
      </c>
      <c r="M249" s="11" t="s">
        <v>1041</v>
      </c>
      <c r="N249" s="12">
        <v>21.6</v>
      </c>
      <c r="O249" s="13" t="s">
        <v>855</v>
      </c>
      <c r="P249" s="14"/>
    </row>
    <row r="250" spans="1:17" x14ac:dyDescent="0.25">
      <c r="A250" s="6"/>
      <c r="B250" s="7">
        <v>44236</v>
      </c>
      <c r="C250" s="8" t="s">
        <v>1065</v>
      </c>
      <c r="D250" s="8" t="s">
        <v>299</v>
      </c>
      <c r="E250" s="9" t="s">
        <v>813</v>
      </c>
      <c r="F250" s="9" t="s">
        <v>814</v>
      </c>
      <c r="G250" s="17">
        <v>0.75555555555555554</v>
      </c>
      <c r="H250" s="17">
        <v>0.76944444444444438</v>
      </c>
      <c r="I250" s="9">
        <v>28450</v>
      </c>
      <c r="J250" s="9">
        <v>14970</v>
      </c>
      <c r="K250" s="10">
        <f t="shared" si="6"/>
        <v>13480</v>
      </c>
      <c r="L250" s="10">
        <v>23357</v>
      </c>
      <c r="M250" s="11" t="s">
        <v>1041</v>
      </c>
      <c r="N250" s="12">
        <v>12</v>
      </c>
      <c r="O250" s="13" t="s">
        <v>855</v>
      </c>
      <c r="P250" s="14"/>
    </row>
    <row r="251" spans="1:17" x14ac:dyDescent="0.25">
      <c r="A251" s="6"/>
      <c r="B251" s="7">
        <v>44236</v>
      </c>
      <c r="C251" s="8" t="s">
        <v>1083</v>
      </c>
      <c r="D251" s="8" t="s">
        <v>1084</v>
      </c>
      <c r="E251" s="9" t="s">
        <v>502</v>
      </c>
      <c r="F251" s="9" t="s">
        <v>503</v>
      </c>
      <c r="G251" s="17">
        <v>0.77916666666666667</v>
      </c>
      <c r="H251" s="17">
        <v>0.80763888888888891</v>
      </c>
      <c r="I251" s="9">
        <v>6980</v>
      </c>
      <c r="J251" s="9">
        <v>5560</v>
      </c>
      <c r="K251" s="10">
        <f t="shared" si="6"/>
        <v>1420</v>
      </c>
      <c r="L251" s="10">
        <v>20171</v>
      </c>
      <c r="M251" s="11" t="s">
        <v>1091</v>
      </c>
      <c r="N251" s="12">
        <v>1420</v>
      </c>
      <c r="O251" s="13" t="s">
        <v>32</v>
      </c>
      <c r="P251" s="14" t="s">
        <v>992</v>
      </c>
    </row>
    <row r="252" spans="1:17" x14ac:dyDescent="0.25">
      <c r="A252" s="6"/>
      <c r="B252" s="7">
        <v>44236</v>
      </c>
      <c r="C252" s="8" t="s">
        <v>1145</v>
      </c>
      <c r="D252" s="8" t="s">
        <v>1076</v>
      </c>
      <c r="E252" s="9" t="s">
        <v>220</v>
      </c>
      <c r="F252" s="9" t="s">
        <v>221</v>
      </c>
      <c r="G252" s="17">
        <v>0.7895833333333333</v>
      </c>
      <c r="H252" s="17">
        <v>0.80138888888888893</v>
      </c>
      <c r="I252" s="9">
        <v>9250</v>
      </c>
      <c r="J252" s="9">
        <v>10230</v>
      </c>
      <c r="K252" s="10">
        <f t="shared" si="6"/>
        <v>-980</v>
      </c>
      <c r="L252" s="10" t="s">
        <v>196</v>
      </c>
      <c r="M252" s="11" t="s">
        <v>1146</v>
      </c>
      <c r="N252" s="12">
        <v>20</v>
      </c>
      <c r="O252" s="13" t="s">
        <v>80</v>
      </c>
      <c r="P252" s="14"/>
    </row>
    <row r="253" spans="1:17" x14ac:dyDescent="0.25">
      <c r="A253" s="6"/>
      <c r="B253" s="7">
        <v>44236</v>
      </c>
      <c r="C253" s="8" t="s">
        <v>984</v>
      </c>
      <c r="D253" s="8" t="s">
        <v>284</v>
      </c>
      <c r="E253" s="9" t="s">
        <v>285</v>
      </c>
      <c r="F253" s="9" t="s">
        <v>286</v>
      </c>
      <c r="G253" s="17">
        <v>0.79722222222222217</v>
      </c>
      <c r="H253" s="17">
        <v>0.80972222222222223</v>
      </c>
      <c r="I253" s="9">
        <v>38850</v>
      </c>
      <c r="J253" s="9">
        <v>16330</v>
      </c>
      <c r="K253" s="10">
        <f t="shared" si="6"/>
        <v>22520</v>
      </c>
      <c r="L253" s="10">
        <v>23358</v>
      </c>
      <c r="M253" s="11" t="s">
        <v>1041</v>
      </c>
      <c r="N253" s="12">
        <v>22520</v>
      </c>
      <c r="O253" s="13" t="s">
        <v>32</v>
      </c>
      <c r="P253" s="14" t="s">
        <v>1090</v>
      </c>
    </row>
    <row r="254" spans="1:17" x14ac:dyDescent="0.25">
      <c r="A254" s="6"/>
      <c r="B254" s="7">
        <v>44236</v>
      </c>
      <c r="C254" s="8" t="s">
        <v>985</v>
      </c>
      <c r="D254" s="8" t="s">
        <v>928</v>
      </c>
      <c r="E254" s="9" t="s">
        <v>628</v>
      </c>
      <c r="F254" s="9" t="s">
        <v>859</v>
      </c>
      <c r="G254" s="17">
        <v>0.82986111111111116</v>
      </c>
      <c r="H254" s="17">
        <v>0.83680555555555547</v>
      </c>
      <c r="I254" s="9">
        <v>22880</v>
      </c>
      <c r="J254" s="9">
        <v>9700</v>
      </c>
      <c r="K254" s="10">
        <f t="shared" si="6"/>
        <v>13180</v>
      </c>
      <c r="L254" s="10">
        <v>23359</v>
      </c>
      <c r="M254" s="11" t="s">
        <v>1041</v>
      </c>
      <c r="N254" s="12">
        <v>12</v>
      </c>
      <c r="O254" s="13" t="s">
        <v>855</v>
      </c>
      <c r="P254" s="14"/>
      <c r="Q254" s="2"/>
    </row>
    <row r="255" spans="1:17" x14ac:dyDescent="0.25">
      <c r="A255" s="6"/>
      <c r="B255" s="7">
        <v>44236</v>
      </c>
      <c r="C255" s="8" t="s">
        <v>984</v>
      </c>
      <c r="D255" s="8" t="s">
        <v>465</v>
      </c>
      <c r="E255" s="9" t="s">
        <v>881</v>
      </c>
      <c r="F255" s="9" t="s">
        <v>749</v>
      </c>
      <c r="G255" s="17">
        <v>0.84027777777777779</v>
      </c>
      <c r="H255" s="17">
        <v>0.85277777777777775</v>
      </c>
      <c r="I255" s="9">
        <v>30120</v>
      </c>
      <c r="J255" s="9">
        <v>15960</v>
      </c>
      <c r="K255" s="10">
        <f t="shared" si="6"/>
        <v>14160</v>
      </c>
      <c r="L255" s="10">
        <v>23358</v>
      </c>
      <c r="M255" s="11" t="s">
        <v>1041</v>
      </c>
      <c r="N255" s="12">
        <v>14160</v>
      </c>
      <c r="O255" s="13" t="s">
        <v>32</v>
      </c>
      <c r="P255" s="14" t="s">
        <v>1147</v>
      </c>
      <c r="Q255" s="2"/>
    </row>
    <row r="256" spans="1:17" x14ac:dyDescent="0.25">
      <c r="A256" s="6"/>
      <c r="B256" s="7">
        <v>44236</v>
      </c>
      <c r="C256" s="8" t="s">
        <v>147</v>
      </c>
      <c r="D256" s="8" t="s">
        <v>935</v>
      </c>
      <c r="E256" s="9" t="s">
        <v>473</v>
      </c>
      <c r="F256" s="9" t="s">
        <v>338</v>
      </c>
      <c r="G256" s="17">
        <v>0.84444444444444444</v>
      </c>
      <c r="H256" s="17">
        <v>0.91666666666666663</v>
      </c>
      <c r="I256" s="9">
        <v>37420</v>
      </c>
      <c r="J256" s="9">
        <v>15440</v>
      </c>
      <c r="K256" s="10">
        <f t="shared" si="6"/>
        <v>21980</v>
      </c>
      <c r="L256" s="10">
        <v>4927</v>
      </c>
      <c r="M256" s="11" t="s">
        <v>898</v>
      </c>
      <c r="N256" s="12">
        <v>840</v>
      </c>
      <c r="O256" s="13" t="s">
        <v>1099</v>
      </c>
      <c r="P256" s="14" t="s">
        <v>322</v>
      </c>
      <c r="Q256" s="2"/>
    </row>
    <row r="257" spans="1:23" x14ac:dyDescent="0.25">
      <c r="A257" s="6"/>
      <c r="B257" s="7">
        <v>44236</v>
      </c>
      <c r="C257" s="8" t="s">
        <v>314</v>
      </c>
      <c r="D257" s="8" t="s">
        <v>530</v>
      </c>
      <c r="E257" s="9" t="s">
        <v>699</v>
      </c>
      <c r="F257" s="9" t="s">
        <v>140</v>
      </c>
      <c r="G257" s="17">
        <v>0.84722222222222221</v>
      </c>
      <c r="H257" s="17">
        <v>0.8930555555555556</v>
      </c>
      <c r="I257" s="9">
        <v>20880</v>
      </c>
      <c r="J257" s="9">
        <v>8260</v>
      </c>
      <c r="K257" s="10">
        <f t="shared" si="6"/>
        <v>12620</v>
      </c>
      <c r="L257" s="10">
        <v>1528</v>
      </c>
      <c r="M257" s="11" t="s">
        <v>48</v>
      </c>
      <c r="N257" s="12">
        <v>20507.599999999999</v>
      </c>
      <c r="O257" s="13" t="s">
        <v>49</v>
      </c>
      <c r="P257" s="14"/>
      <c r="Q257" s="2"/>
    </row>
    <row r="258" spans="1:23" x14ac:dyDescent="0.25">
      <c r="A258" s="6"/>
      <c r="B258" s="7">
        <v>44236</v>
      </c>
      <c r="C258" s="8" t="s">
        <v>985</v>
      </c>
      <c r="D258" s="8" t="s">
        <v>143</v>
      </c>
      <c r="E258" s="9" t="s">
        <v>144</v>
      </c>
      <c r="F258" s="9" t="s">
        <v>626</v>
      </c>
      <c r="G258" s="17">
        <v>0.85138888888888886</v>
      </c>
      <c r="H258" s="17">
        <v>0.85972222222222217</v>
      </c>
      <c r="I258" s="9">
        <v>39030</v>
      </c>
      <c r="J258" s="9">
        <v>15650</v>
      </c>
      <c r="K258" s="10">
        <f t="shared" si="6"/>
        <v>23380</v>
      </c>
      <c r="L258" s="10">
        <v>23359</v>
      </c>
      <c r="M258" s="11" t="s">
        <v>1041</v>
      </c>
      <c r="N258" s="12">
        <v>21.6</v>
      </c>
      <c r="O258" s="13" t="s">
        <v>855</v>
      </c>
      <c r="P258" s="14"/>
      <c r="Q258" s="2"/>
    </row>
    <row r="259" spans="1:23" x14ac:dyDescent="0.25">
      <c r="A259" s="6"/>
      <c r="B259" s="7">
        <v>44236</v>
      </c>
      <c r="C259" s="8" t="s">
        <v>835</v>
      </c>
      <c r="D259" s="8" t="s">
        <v>175</v>
      </c>
      <c r="E259" s="9" t="s">
        <v>176</v>
      </c>
      <c r="F259" s="9" t="s">
        <v>338</v>
      </c>
      <c r="G259" s="17">
        <v>0.87986111111111109</v>
      </c>
      <c r="H259" s="17">
        <v>0.90694444444444444</v>
      </c>
      <c r="I259" s="9">
        <v>9400</v>
      </c>
      <c r="J259" s="9">
        <v>4260</v>
      </c>
      <c r="K259" s="10">
        <f t="shared" si="6"/>
        <v>5140</v>
      </c>
      <c r="L259" s="10">
        <v>3834</v>
      </c>
      <c r="M259" s="11" t="s">
        <v>48</v>
      </c>
      <c r="N259" s="12">
        <v>4081</v>
      </c>
      <c r="O259" s="13" t="s">
        <v>49</v>
      </c>
      <c r="P259" s="14"/>
      <c r="Q259" s="2"/>
      <c r="U259" s="27"/>
    </row>
    <row r="260" spans="1:23" x14ac:dyDescent="0.25">
      <c r="A260" s="6"/>
      <c r="B260" s="7">
        <v>44236</v>
      </c>
      <c r="C260" s="8" t="s">
        <v>985</v>
      </c>
      <c r="D260" s="8" t="s">
        <v>928</v>
      </c>
      <c r="E260" s="9" t="s">
        <v>628</v>
      </c>
      <c r="F260" s="9" t="s">
        <v>859</v>
      </c>
      <c r="G260" s="17">
        <v>0.88194444444444453</v>
      </c>
      <c r="H260" s="17">
        <v>0.8881944444444444</v>
      </c>
      <c r="I260" s="9">
        <v>14680</v>
      </c>
      <c r="J260" s="9">
        <v>9690</v>
      </c>
      <c r="K260" s="10">
        <f t="shared" si="6"/>
        <v>4990</v>
      </c>
      <c r="L260" s="10">
        <v>23359</v>
      </c>
      <c r="M260" s="11" t="s">
        <v>1041</v>
      </c>
      <c r="N260" s="12">
        <v>4.2</v>
      </c>
      <c r="O260" s="13" t="s">
        <v>855</v>
      </c>
      <c r="P260" s="14"/>
      <c r="Q260" s="2"/>
      <c r="U260" s="27"/>
    </row>
    <row r="261" spans="1:23" x14ac:dyDescent="0.25">
      <c r="A261" s="6"/>
      <c r="B261" s="7">
        <v>44236</v>
      </c>
      <c r="C261" s="8" t="s">
        <v>37</v>
      </c>
      <c r="D261" s="8" t="s">
        <v>1055</v>
      </c>
      <c r="E261" s="9" t="s">
        <v>39</v>
      </c>
      <c r="F261" s="9" t="s">
        <v>338</v>
      </c>
      <c r="G261" s="17">
        <v>0.88750000000000007</v>
      </c>
      <c r="H261" s="17">
        <v>0.93888888888888899</v>
      </c>
      <c r="I261" s="9">
        <v>11820</v>
      </c>
      <c r="J261" s="9">
        <v>6230</v>
      </c>
      <c r="K261" s="10">
        <f t="shared" si="6"/>
        <v>5590</v>
      </c>
      <c r="L261" s="10">
        <v>26441</v>
      </c>
      <c r="M261" s="11" t="s">
        <v>1148</v>
      </c>
      <c r="N261" s="12">
        <v>5590</v>
      </c>
      <c r="O261" s="13" t="s">
        <v>32</v>
      </c>
      <c r="P261" s="14"/>
      <c r="Q261" s="2"/>
      <c r="U261" s="27"/>
    </row>
    <row r="262" spans="1:23" x14ac:dyDescent="0.25">
      <c r="A262" s="6"/>
      <c r="B262" s="7">
        <v>44236</v>
      </c>
      <c r="C262" s="8" t="s">
        <v>930</v>
      </c>
      <c r="D262" s="8" t="s">
        <v>198</v>
      </c>
      <c r="E262" s="9" t="s">
        <v>405</v>
      </c>
      <c r="F262" s="9" t="s">
        <v>161</v>
      </c>
      <c r="G262" s="17">
        <v>0.92291666666666661</v>
      </c>
      <c r="H262" s="17">
        <v>0.51666666666666672</v>
      </c>
      <c r="I262" s="9">
        <v>43240</v>
      </c>
      <c r="J262" s="9">
        <v>16920</v>
      </c>
      <c r="K262" s="10">
        <f t="shared" si="6"/>
        <v>26320</v>
      </c>
      <c r="L262" s="10">
        <v>40366</v>
      </c>
      <c r="M262" s="11" t="s">
        <v>862</v>
      </c>
      <c r="N262" s="12">
        <v>25980</v>
      </c>
      <c r="O262" s="13" t="s">
        <v>84</v>
      </c>
      <c r="P262" s="40"/>
      <c r="Q262" s="2"/>
      <c r="U262" s="27"/>
    </row>
    <row r="263" spans="1:23" x14ac:dyDescent="0.25">
      <c r="A263" s="6"/>
      <c r="B263" s="7">
        <v>44236</v>
      </c>
      <c r="C263" s="8" t="s">
        <v>147</v>
      </c>
      <c r="D263" s="8" t="s">
        <v>1149</v>
      </c>
      <c r="E263" s="9" t="s">
        <v>1150</v>
      </c>
      <c r="F263" s="9" t="s">
        <v>338</v>
      </c>
      <c r="G263" s="17">
        <v>0.99097222222222225</v>
      </c>
      <c r="H263" s="17">
        <v>0.4291666666666667</v>
      </c>
      <c r="I263" s="9">
        <v>38670</v>
      </c>
      <c r="J263" s="9">
        <v>16780</v>
      </c>
      <c r="K263" s="10">
        <f t="shared" si="6"/>
        <v>21890</v>
      </c>
      <c r="L263" s="10">
        <v>4928</v>
      </c>
      <c r="M263" s="11" t="s">
        <v>898</v>
      </c>
      <c r="N263" s="12">
        <v>840</v>
      </c>
      <c r="O263" s="13" t="s">
        <v>1099</v>
      </c>
      <c r="P263" s="14"/>
      <c r="Q263" s="2"/>
      <c r="U263" s="27"/>
    </row>
    <row r="264" spans="1:23" x14ac:dyDescent="0.25">
      <c r="A264" s="6"/>
      <c r="B264" s="7">
        <v>44237</v>
      </c>
      <c r="C264" s="8" t="s">
        <v>825</v>
      </c>
      <c r="D264" s="8" t="s">
        <v>1151</v>
      </c>
      <c r="E264" s="9" t="s">
        <v>1152</v>
      </c>
      <c r="F264" s="9" t="s">
        <v>338</v>
      </c>
      <c r="G264" s="17">
        <v>0.11666666666666665</v>
      </c>
      <c r="H264" s="17">
        <v>0.12708333333333333</v>
      </c>
      <c r="I264" s="9">
        <v>20610</v>
      </c>
      <c r="J264" s="9">
        <v>8400</v>
      </c>
      <c r="K264" s="10">
        <f t="shared" si="6"/>
        <v>12210</v>
      </c>
      <c r="L264" s="10">
        <v>81577</v>
      </c>
      <c r="M264" s="11" t="s">
        <v>1153</v>
      </c>
      <c r="N264" s="12">
        <v>122110</v>
      </c>
      <c r="O264" s="13" t="s">
        <v>32</v>
      </c>
      <c r="P264" s="14"/>
      <c r="Q264" s="2"/>
      <c r="W264" s="1" t="s">
        <v>19</v>
      </c>
    </row>
    <row r="265" spans="1:23" x14ac:dyDescent="0.25">
      <c r="A265" s="6"/>
      <c r="B265" s="7">
        <v>44237</v>
      </c>
      <c r="C265" s="8" t="s">
        <v>1154</v>
      </c>
      <c r="D265" s="8" t="s">
        <v>1155</v>
      </c>
      <c r="E265" s="9" t="s">
        <v>1156</v>
      </c>
      <c r="F265" s="9" t="s">
        <v>338</v>
      </c>
      <c r="G265" s="17">
        <v>0.17500000000000002</v>
      </c>
      <c r="H265" s="17">
        <v>0.18472222222222223</v>
      </c>
      <c r="I265" s="9">
        <v>7260</v>
      </c>
      <c r="J265" s="9">
        <v>6610</v>
      </c>
      <c r="K265" s="10">
        <f t="shared" si="6"/>
        <v>650</v>
      </c>
      <c r="L265" s="10">
        <v>26442</v>
      </c>
      <c r="M265" s="11" t="s">
        <v>1041</v>
      </c>
      <c r="N265" s="12">
        <v>650</v>
      </c>
      <c r="O265" s="13" t="s">
        <v>32</v>
      </c>
      <c r="P265" s="14"/>
      <c r="Q265" s="2"/>
      <c r="W265" s="1" t="s">
        <v>20</v>
      </c>
    </row>
    <row r="266" spans="1:23" x14ac:dyDescent="0.25">
      <c r="A266" s="6"/>
      <c r="B266" s="15">
        <v>44237</v>
      </c>
      <c r="C266" s="16" t="s">
        <v>469</v>
      </c>
      <c r="D266" s="8" t="s">
        <v>1157</v>
      </c>
      <c r="E266" s="9" t="s">
        <v>1158</v>
      </c>
      <c r="F266" s="9" t="s">
        <v>338</v>
      </c>
      <c r="G266" s="17">
        <v>0.29305555555555557</v>
      </c>
      <c r="H266" s="17">
        <v>0.3923611111111111</v>
      </c>
      <c r="I266" s="9">
        <v>10490</v>
      </c>
      <c r="J266" s="9">
        <v>31030</v>
      </c>
      <c r="K266" s="10">
        <f t="shared" si="6"/>
        <v>-20540</v>
      </c>
      <c r="L266" s="10">
        <v>5766</v>
      </c>
      <c r="M266" s="11" t="s">
        <v>664</v>
      </c>
      <c r="N266" s="12">
        <v>5911</v>
      </c>
      <c r="O266" s="13" t="s">
        <v>84</v>
      </c>
      <c r="P266" s="14"/>
      <c r="Q266" s="2"/>
      <c r="W266" s="1" t="s">
        <v>21</v>
      </c>
    </row>
    <row r="267" spans="1:23" x14ac:dyDescent="0.25">
      <c r="A267" s="6"/>
      <c r="B267" s="7">
        <v>44237</v>
      </c>
      <c r="C267" s="8" t="s">
        <v>971</v>
      </c>
      <c r="D267" s="8" t="s">
        <v>174</v>
      </c>
      <c r="E267" s="9" t="s">
        <v>110</v>
      </c>
      <c r="F267" s="9" t="s">
        <v>111</v>
      </c>
      <c r="G267" s="17">
        <v>0.3576388888888889</v>
      </c>
      <c r="H267" s="17">
        <v>0.41666666666666669</v>
      </c>
      <c r="I267" s="9">
        <v>9830</v>
      </c>
      <c r="J267" s="9">
        <v>6480</v>
      </c>
      <c r="K267" s="10">
        <f t="shared" ref="K267:K332" si="7">+I267-J267</f>
        <v>3350</v>
      </c>
      <c r="L267" s="10">
        <v>94</v>
      </c>
      <c r="M267" s="11" t="s">
        <v>1159</v>
      </c>
      <c r="N267" s="12">
        <v>6865</v>
      </c>
      <c r="O267" s="13" t="s">
        <v>49</v>
      </c>
      <c r="P267" s="14"/>
      <c r="Q267" s="2"/>
    </row>
    <row r="268" spans="1:23" x14ac:dyDescent="0.25">
      <c r="A268" s="6"/>
      <c r="B268" s="7">
        <v>44237</v>
      </c>
      <c r="C268" s="8" t="s">
        <v>505</v>
      </c>
      <c r="D268" s="8" t="s">
        <v>1160</v>
      </c>
      <c r="E268" s="9" t="s">
        <v>1161</v>
      </c>
      <c r="F268" s="9" t="s">
        <v>338</v>
      </c>
      <c r="G268" s="17">
        <v>0.36249999999999999</v>
      </c>
      <c r="H268" s="17">
        <v>0.3833333333333333</v>
      </c>
      <c r="I268" s="9">
        <v>9600</v>
      </c>
      <c r="J268" s="9">
        <v>5420</v>
      </c>
      <c r="K268" s="10">
        <f t="shared" si="7"/>
        <v>4180</v>
      </c>
      <c r="L268" s="10">
        <v>66844</v>
      </c>
      <c r="M268" s="11" t="s">
        <v>508</v>
      </c>
      <c r="N268" s="12">
        <v>2000</v>
      </c>
      <c r="O268" s="13" t="s">
        <v>32</v>
      </c>
      <c r="P268" s="14"/>
      <c r="Q268" s="2"/>
    </row>
    <row r="269" spans="1:23" x14ac:dyDescent="0.25">
      <c r="A269" s="6"/>
      <c r="B269" s="7">
        <v>44237</v>
      </c>
      <c r="C269" s="8" t="s">
        <v>871</v>
      </c>
      <c r="D269" s="8" t="s">
        <v>86</v>
      </c>
      <c r="E269" s="9" t="s">
        <v>87</v>
      </c>
      <c r="F269" s="9" t="s">
        <v>88</v>
      </c>
      <c r="G269" s="17">
        <v>0.36319444444444443</v>
      </c>
      <c r="H269" s="17">
        <v>0.37638888888888888</v>
      </c>
      <c r="I269" s="9">
        <v>30700</v>
      </c>
      <c r="J269" s="9">
        <v>17320</v>
      </c>
      <c r="K269" s="10">
        <f t="shared" si="7"/>
        <v>13380</v>
      </c>
      <c r="L269" s="10">
        <v>746</v>
      </c>
      <c r="M269" s="11" t="s">
        <v>442</v>
      </c>
      <c r="N269" s="12">
        <v>12945</v>
      </c>
      <c r="O269" s="13" t="s">
        <v>32</v>
      </c>
      <c r="P269" s="14"/>
      <c r="Q269" s="2"/>
    </row>
    <row r="270" spans="1:23" x14ac:dyDescent="0.25">
      <c r="A270" s="6"/>
      <c r="B270" s="7">
        <v>44237</v>
      </c>
      <c r="C270" s="8" t="s">
        <v>1162</v>
      </c>
      <c r="D270" s="8" t="s">
        <v>928</v>
      </c>
      <c r="E270" s="9" t="s">
        <v>628</v>
      </c>
      <c r="F270" s="9" t="s">
        <v>859</v>
      </c>
      <c r="G270" s="17">
        <v>0.38125000000000003</v>
      </c>
      <c r="H270" s="17">
        <v>0.39652777777777781</v>
      </c>
      <c r="I270" s="9">
        <v>20120</v>
      </c>
      <c r="J270" s="9">
        <v>9680</v>
      </c>
      <c r="K270" s="10">
        <f t="shared" si="7"/>
        <v>10440</v>
      </c>
      <c r="L270" s="10">
        <v>23360</v>
      </c>
      <c r="M270" s="11" t="s">
        <v>1041</v>
      </c>
      <c r="N270" s="12">
        <v>9.6</v>
      </c>
      <c r="O270" s="13" t="s">
        <v>855</v>
      </c>
      <c r="P270" s="14"/>
      <c r="Q270" s="2"/>
    </row>
    <row r="271" spans="1:23" x14ac:dyDescent="0.25">
      <c r="A271" s="6"/>
      <c r="B271" s="7">
        <v>44237</v>
      </c>
      <c r="C271" s="8" t="s">
        <v>1163</v>
      </c>
      <c r="D271" s="8" t="s">
        <v>1164</v>
      </c>
      <c r="E271" s="9" t="s">
        <v>1165</v>
      </c>
      <c r="F271" s="9" t="s">
        <v>338</v>
      </c>
      <c r="G271" s="17">
        <v>0.42499999999999999</v>
      </c>
      <c r="H271" s="17"/>
      <c r="I271" s="9">
        <v>17760</v>
      </c>
      <c r="J271" s="9"/>
      <c r="K271" s="10">
        <f t="shared" si="7"/>
        <v>17760</v>
      </c>
      <c r="L271" s="10"/>
      <c r="M271" s="11" t="s">
        <v>53</v>
      </c>
      <c r="N271" s="12"/>
      <c r="O271" s="13" t="s">
        <v>1099</v>
      </c>
      <c r="P271" s="14"/>
      <c r="Q271" s="2"/>
    </row>
    <row r="272" spans="1:23" x14ac:dyDescent="0.25">
      <c r="A272" s="6"/>
      <c r="B272" s="7">
        <v>44237</v>
      </c>
      <c r="C272" s="8" t="s">
        <v>1070</v>
      </c>
      <c r="D272" s="8" t="s">
        <v>284</v>
      </c>
      <c r="E272" s="9" t="s">
        <v>285</v>
      </c>
      <c r="F272" s="9" t="s">
        <v>286</v>
      </c>
      <c r="G272" s="17">
        <v>0.46666666666666662</v>
      </c>
      <c r="H272" s="17">
        <v>0.47638888888888892</v>
      </c>
      <c r="I272" s="9">
        <v>40020</v>
      </c>
      <c r="J272" s="9">
        <v>16280</v>
      </c>
      <c r="K272" s="10">
        <f t="shared" si="7"/>
        <v>23740</v>
      </c>
      <c r="L272" s="10">
        <v>23361</v>
      </c>
      <c r="M272" s="11" t="s">
        <v>1041</v>
      </c>
      <c r="N272" s="12">
        <v>21.6</v>
      </c>
      <c r="O272" s="13" t="s">
        <v>855</v>
      </c>
      <c r="P272" s="14"/>
      <c r="Q272" s="2"/>
    </row>
    <row r="273" spans="1:17" x14ac:dyDescent="0.25">
      <c r="A273" s="6"/>
      <c r="B273" s="7">
        <v>44237</v>
      </c>
      <c r="C273" s="8" t="s">
        <v>164</v>
      </c>
      <c r="D273" s="8" t="s">
        <v>1113</v>
      </c>
      <c r="E273" s="9" t="s">
        <v>745</v>
      </c>
      <c r="F273" s="9" t="s">
        <v>1114</v>
      </c>
      <c r="G273" s="17">
        <v>0.47361111111111115</v>
      </c>
      <c r="H273" s="17">
        <v>0.39930555555555558</v>
      </c>
      <c r="I273" s="9">
        <v>13050</v>
      </c>
      <c r="J273" s="9">
        <v>6040</v>
      </c>
      <c r="K273" s="10">
        <f t="shared" si="7"/>
        <v>7010</v>
      </c>
      <c r="L273" s="10">
        <v>15387</v>
      </c>
      <c r="M273" s="11" t="s">
        <v>398</v>
      </c>
      <c r="N273" s="12">
        <v>131</v>
      </c>
      <c r="O273" s="13" t="s">
        <v>1099</v>
      </c>
      <c r="P273" s="14"/>
      <c r="Q273" s="2"/>
    </row>
    <row r="274" spans="1:17" x14ac:dyDescent="0.25">
      <c r="A274" s="6"/>
      <c r="B274" s="7">
        <v>44237</v>
      </c>
      <c r="C274" s="8" t="s">
        <v>1070</v>
      </c>
      <c r="D274" s="8" t="s">
        <v>465</v>
      </c>
      <c r="E274" s="9" t="s">
        <v>881</v>
      </c>
      <c r="F274" s="9" t="s">
        <v>749</v>
      </c>
      <c r="G274" s="17">
        <v>0.48541666666666666</v>
      </c>
      <c r="H274" s="17">
        <v>0.49236111111111108</v>
      </c>
      <c r="I274" s="9">
        <v>38480</v>
      </c>
      <c r="J274" s="9">
        <v>16080</v>
      </c>
      <c r="K274" s="10">
        <f t="shared" si="7"/>
        <v>22400</v>
      </c>
      <c r="L274" s="10">
        <v>23361</v>
      </c>
      <c r="M274" s="11" t="s">
        <v>1041</v>
      </c>
      <c r="N274" s="12">
        <v>20.399999999999999</v>
      </c>
      <c r="O274" s="13" t="s">
        <v>855</v>
      </c>
      <c r="P274" s="14"/>
      <c r="Q274" s="2"/>
    </row>
    <row r="275" spans="1:17" x14ac:dyDescent="0.25">
      <c r="A275" s="6"/>
      <c r="B275" s="7">
        <v>44237</v>
      </c>
      <c r="C275" s="8" t="s">
        <v>962</v>
      </c>
      <c r="D275" s="8" t="s">
        <v>994</v>
      </c>
      <c r="E275" s="9" t="s">
        <v>995</v>
      </c>
      <c r="F275" s="9" t="s">
        <v>36</v>
      </c>
      <c r="G275" s="17">
        <v>0.49513888888888885</v>
      </c>
      <c r="H275" s="17">
        <v>0.52361111111111114</v>
      </c>
      <c r="I275" s="9">
        <v>4060</v>
      </c>
      <c r="J275" s="9">
        <v>3220</v>
      </c>
      <c r="K275" s="10">
        <f t="shared" si="7"/>
        <v>840</v>
      </c>
      <c r="L275" s="10">
        <v>26443</v>
      </c>
      <c r="M275" s="11" t="s">
        <v>1166</v>
      </c>
      <c r="N275" s="12">
        <v>840</v>
      </c>
      <c r="O275" s="13" t="s">
        <v>32</v>
      </c>
      <c r="P275" s="14"/>
      <c r="Q275" s="2"/>
    </row>
    <row r="276" spans="1:17" x14ac:dyDescent="0.25">
      <c r="A276" s="6"/>
      <c r="B276" s="7">
        <v>44237</v>
      </c>
      <c r="C276" s="8" t="s">
        <v>1167</v>
      </c>
      <c r="D276" s="8" t="s">
        <v>1168</v>
      </c>
      <c r="E276" s="9" t="s">
        <v>1169</v>
      </c>
      <c r="F276" s="9" t="s">
        <v>36</v>
      </c>
      <c r="G276" s="17">
        <v>0.50347222222222221</v>
      </c>
      <c r="H276" s="17">
        <v>0.51527777777777783</v>
      </c>
      <c r="I276" s="9">
        <v>9270</v>
      </c>
      <c r="J276" s="9">
        <v>4160</v>
      </c>
      <c r="K276" s="10">
        <f t="shared" si="7"/>
        <v>5110</v>
      </c>
      <c r="L276" s="10">
        <v>7810</v>
      </c>
      <c r="M276" s="11" t="s">
        <v>1170</v>
      </c>
      <c r="N276" s="12">
        <v>5000</v>
      </c>
      <c r="O276" s="13" t="s">
        <v>32</v>
      </c>
      <c r="P276" s="14"/>
    </row>
    <row r="277" spans="1:17" x14ac:dyDescent="0.25">
      <c r="A277" s="6"/>
      <c r="B277" s="7">
        <v>44237</v>
      </c>
      <c r="C277" s="8" t="s">
        <v>1081</v>
      </c>
      <c r="D277" s="8" t="s">
        <v>928</v>
      </c>
      <c r="E277" s="9" t="s">
        <v>628</v>
      </c>
      <c r="F277" s="9" t="s">
        <v>859</v>
      </c>
      <c r="G277" s="17">
        <v>0.5083333333333333</v>
      </c>
      <c r="H277" s="17">
        <v>0.51388888888888895</v>
      </c>
      <c r="I277" s="9">
        <v>21810</v>
      </c>
      <c r="J277" s="9">
        <v>9640</v>
      </c>
      <c r="K277" s="10">
        <f t="shared" si="7"/>
        <v>12170</v>
      </c>
      <c r="L277" s="10">
        <v>23363</v>
      </c>
      <c r="M277" s="11" t="s">
        <v>1041</v>
      </c>
      <c r="N277" s="12">
        <v>9.6</v>
      </c>
      <c r="O277" s="13" t="s">
        <v>855</v>
      </c>
      <c r="P277" s="14"/>
    </row>
    <row r="278" spans="1:17" x14ac:dyDescent="0.25">
      <c r="A278" s="6"/>
      <c r="B278" s="7">
        <v>44237</v>
      </c>
      <c r="C278" s="8" t="s">
        <v>1171</v>
      </c>
      <c r="D278" s="8" t="s">
        <v>143</v>
      </c>
      <c r="E278" s="9" t="s">
        <v>144</v>
      </c>
      <c r="F278" s="9" t="s">
        <v>626</v>
      </c>
      <c r="G278" s="17">
        <v>0.51250000000000007</v>
      </c>
      <c r="H278" s="17">
        <v>0.52500000000000002</v>
      </c>
      <c r="I278" s="9">
        <v>39560</v>
      </c>
      <c r="J278" s="9">
        <v>15600</v>
      </c>
      <c r="K278" s="10">
        <f t="shared" si="7"/>
        <v>23960</v>
      </c>
      <c r="L278" s="10" t="s">
        <v>1172</v>
      </c>
      <c r="M278" s="11" t="s">
        <v>1041</v>
      </c>
      <c r="N278" s="12">
        <v>21.6</v>
      </c>
      <c r="O278" s="13" t="s">
        <v>855</v>
      </c>
      <c r="P278" s="14"/>
    </row>
    <row r="279" spans="1:17" x14ac:dyDescent="0.25">
      <c r="A279" s="6"/>
      <c r="B279" s="7">
        <v>44237</v>
      </c>
      <c r="C279" s="8" t="s">
        <v>1083</v>
      </c>
      <c r="D279" s="8" t="s">
        <v>1173</v>
      </c>
      <c r="E279" s="9" t="s">
        <v>1174</v>
      </c>
      <c r="F279" s="9" t="s">
        <v>503</v>
      </c>
      <c r="G279" s="17">
        <v>0.5493055555555556</v>
      </c>
      <c r="H279" s="17">
        <v>0.59027777777777779</v>
      </c>
      <c r="I279" s="9">
        <v>8030</v>
      </c>
      <c r="J279" s="9">
        <v>5270</v>
      </c>
      <c r="K279" s="10">
        <f t="shared" si="7"/>
        <v>2760</v>
      </c>
      <c r="L279" s="10">
        <v>4352</v>
      </c>
      <c r="M279" s="11" t="s">
        <v>1175</v>
      </c>
      <c r="N279" s="12">
        <v>2760</v>
      </c>
      <c r="O279" s="13" t="s">
        <v>32</v>
      </c>
      <c r="P279" s="14"/>
    </row>
    <row r="280" spans="1:17" x14ac:dyDescent="0.25">
      <c r="A280" s="6"/>
      <c r="B280" s="7">
        <v>44237</v>
      </c>
      <c r="C280" s="8" t="s">
        <v>1163</v>
      </c>
      <c r="D280" s="8" t="s">
        <v>1184</v>
      </c>
      <c r="E280" s="9" t="s">
        <v>1185</v>
      </c>
      <c r="F280" s="9" t="s">
        <v>338</v>
      </c>
      <c r="G280" s="17">
        <v>0.55138888888888882</v>
      </c>
      <c r="H280" s="17">
        <v>0.58611111111111114</v>
      </c>
      <c r="I280" s="9">
        <v>17860</v>
      </c>
      <c r="J280" s="9">
        <v>48830</v>
      </c>
      <c r="K280" s="10">
        <f t="shared" ref="K280" si="8">+I280-J280</f>
        <v>-30970</v>
      </c>
      <c r="L280" s="10">
        <v>5767</v>
      </c>
      <c r="M280" s="11" t="s">
        <v>53</v>
      </c>
      <c r="N280" s="12">
        <v>600</v>
      </c>
      <c r="O280" s="13" t="s">
        <v>1099</v>
      </c>
      <c r="P280" s="14"/>
    </row>
    <row r="281" spans="1:17" x14ac:dyDescent="0.25">
      <c r="A281" s="6"/>
      <c r="B281" s="7">
        <v>44237</v>
      </c>
      <c r="C281" s="8" t="s">
        <v>1198</v>
      </c>
      <c r="D281" s="8" t="s">
        <v>1176</v>
      </c>
      <c r="E281" s="9" t="s">
        <v>1150</v>
      </c>
      <c r="F281" s="9" t="s">
        <v>338</v>
      </c>
      <c r="G281" s="17">
        <v>0.5541666666666667</v>
      </c>
      <c r="H281" s="17">
        <v>0.72638888888888886</v>
      </c>
      <c r="I281" s="9">
        <v>18070</v>
      </c>
      <c r="J281" s="9">
        <v>57400</v>
      </c>
      <c r="K281" s="10">
        <f t="shared" si="7"/>
        <v>-39330</v>
      </c>
      <c r="L281" s="10">
        <v>15512</v>
      </c>
      <c r="M281" s="11" t="s">
        <v>1199</v>
      </c>
      <c r="N281" s="12">
        <v>39330</v>
      </c>
      <c r="O281" s="13" t="s">
        <v>32</v>
      </c>
      <c r="P281" s="14"/>
    </row>
    <row r="282" spans="1:17" x14ac:dyDescent="0.25">
      <c r="A282" s="6"/>
      <c r="B282" s="7">
        <v>44237</v>
      </c>
      <c r="C282" s="8" t="s">
        <v>1177</v>
      </c>
      <c r="D282" s="8" t="s">
        <v>1116</v>
      </c>
      <c r="E282" s="9" t="s">
        <v>1048</v>
      </c>
      <c r="F282" s="9" t="s">
        <v>1117</v>
      </c>
      <c r="G282" s="17">
        <v>0.55625000000000002</v>
      </c>
      <c r="H282" s="17">
        <v>0.56666666666666665</v>
      </c>
      <c r="I282" s="9">
        <v>30260</v>
      </c>
      <c r="J282" s="9">
        <v>19360</v>
      </c>
      <c r="K282" s="10">
        <f t="shared" si="7"/>
        <v>10900</v>
      </c>
      <c r="L282" s="10" t="s">
        <v>1178</v>
      </c>
      <c r="M282" s="11" t="s">
        <v>1041</v>
      </c>
      <c r="N282" s="12">
        <v>9.6</v>
      </c>
      <c r="O282" s="13" t="s">
        <v>855</v>
      </c>
      <c r="P282" s="14"/>
    </row>
    <row r="283" spans="1:17" x14ac:dyDescent="0.25">
      <c r="A283" s="6"/>
      <c r="B283" s="7">
        <v>44237</v>
      </c>
      <c r="C283" s="8" t="s">
        <v>1179</v>
      </c>
      <c r="D283" s="8" t="s">
        <v>1180</v>
      </c>
      <c r="E283" s="9" t="s">
        <v>1181</v>
      </c>
      <c r="F283" s="9" t="s">
        <v>1182</v>
      </c>
      <c r="G283" s="17">
        <v>0.56041666666666667</v>
      </c>
      <c r="H283" s="17">
        <v>0.56874999999999998</v>
      </c>
      <c r="I283" s="9">
        <v>21410</v>
      </c>
      <c r="J283" s="9">
        <v>7990</v>
      </c>
      <c r="K283" s="10">
        <f t="shared" si="7"/>
        <v>13420</v>
      </c>
      <c r="L283" s="10">
        <v>22225</v>
      </c>
      <c r="M283" s="11" t="s">
        <v>1183</v>
      </c>
      <c r="N283" s="12">
        <v>13420</v>
      </c>
      <c r="O283" s="13" t="s">
        <v>32</v>
      </c>
      <c r="P283" s="14"/>
    </row>
    <row r="284" spans="1:17" x14ac:dyDescent="0.25">
      <c r="A284" s="6"/>
      <c r="B284" s="7">
        <v>44237</v>
      </c>
      <c r="C284" s="8" t="s">
        <v>1179</v>
      </c>
      <c r="D284" s="8" t="s">
        <v>1180</v>
      </c>
      <c r="E284" s="9" t="s">
        <v>1181</v>
      </c>
      <c r="F284" s="9" t="s">
        <v>1182</v>
      </c>
      <c r="G284" s="17">
        <v>0.56874999999999998</v>
      </c>
      <c r="H284" s="17">
        <v>0.57638888888888895</v>
      </c>
      <c r="I284" s="9">
        <v>7990</v>
      </c>
      <c r="J284" s="9">
        <v>21300</v>
      </c>
      <c r="K284" s="10">
        <f t="shared" si="7"/>
        <v>-13310</v>
      </c>
      <c r="L284" s="10">
        <v>22226</v>
      </c>
      <c r="M284" s="11" t="s">
        <v>1183</v>
      </c>
      <c r="N284" s="12">
        <v>13310</v>
      </c>
      <c r="O284" s="13" t="s">
        <v>32</v>
      </c>
      <c r="P284" s="14"/>
    </row>
    <row r="285" spans="1:17" x14ac:dyDescent="0.25">
      <c r="A285" s="6"/>
      <c r="B285" s="7">
        <v>44237</v>
      </c>
      <c r="C285" s="8" t="s">
        <v>1186</v>
      </c>
      <c r="D285" s="8" t="s">
        <v>243</v>
      </c>
      <c r="E285" s="9" t="s">
        <v>51</v>
      </c>
      <c r="F285" s="9" t="s">
        <v>52</v>
      </c>
      <c r="G285" s="17">
        <v>0.58958333333333335</v>
      </c>
      <c r="H285" s="17">
        <v>0.59722222222222221</v>
      </c>
      <c r="I285" s="9">
        <v>36820</v>
      </c>
      <c r="J285" s="9">
        <v>16000</v>
      </c>
      <c r="K285" s="10">
        <f t="shared" si="7"/>
        <v>20820</v>
      </c>
      <c r="L285" s="10">
        <v>23365</v>
      </c>
      <c r="M285" s="11" t="s">
        <v>1041</v>
      </c>
      <c r="N285" s="12">
        <v>19.2</v>
      </c>
      <c r="O285" s="13" t="s">
        <v>855</v>
      </c>
      <c r="P285" s="14"/>
    </row>
    <row r="286" spans="1:17" x14ac:dyDescent="0.25">
      <c r="A286" s="6"/>
      <c r="B286" s="7">
        <v>44237</v>
      </c>
      <c r="C286" s="8" t="s">
        <v>1179</v>
      </c>
      <c r="D286" s="8" t="s">
        <v>1180</v>
      </c>
      <c r="E286" s="9" t="s">
        <v>1181</v>
      </c>
      <c r="F286" s="9" t="s">
        <v>1182</v>
      </c>
      <c r="G286" s="17">
        <v>0.59166666666666667</v>
      </c>
      <c r="H286" s="17">
        <v>0.60138888888888886</v>
      </c>
      <c r="I286" s="9">
        <v>21930</v>
      </c>
      <c r="J286" s="9">
        <v>7980</v>
      </c>
      <c r="K286" s="10">
        <f t="shared" si="7"/>
        <v>13950</v>
      </c>
      <c r="L286" s="10">
        <v>22228</v>
      </c>
      <c r="M286" s="11" t="s">
        <v>1183</v>
      </c>
      <c r="N286" s="12">
        <v>13950</v>
      </c>
      <c r="O286" s="13" t="s">
        <v>32</v>
      </c>
      <c r="P286" s="14"/>
    </row>
    <row r="287" spans="1:17" x14ac:dyDescent="0.25">
      <c r="A287" s="6"/>
      <c r="B287" s="7">
        <v>44237</v>
      </c>
      <c r="C287" s="8" t="s">
        <v>1179</v>
      </c>
      <c r="D287" s="8" t="s">
        <v>1180</v>
      </c>
      <c r="E287" s="9" t="s">
        <v>1181</v>
      </c>
      <c r="F287" s="9" t="s">
        <v>1182</v>
      </c>
      <c r="G287" s="17">
        <v>0.60138888888888886</v>
      </c>
      <c r="H287" s="17">
        <v>0.60902777777777783</v>
      </c>
      <c r="I287" s="9">
        <v>7980</v>
      </c>
      <c r="J287" s="9">
        <v>21570</v>
      </c>
      <c r="K287" s="10">
        <f t="shared" si="7"/>
        <v>-13590</v>
      </c>
      <c r="L287" s="10">
        <v>22229</v>
      </c>
      <c r="M287" s="11" t="s">
        <v>1183</v>
      </c>
      <c r="N287" s="12">
        <v>13590</v>
      </c>
      <c r="O287" s="13" t="s">
        <v>32</v>
      </c>
      <c r="P287" s="14"/>
    </row>
    <row r="288" spans="1:17" x14ac:dyDescent="0.25">
      <c r="A288" s="6"/>
      <c r="B288" s="7">
        <v>44237</v>
      </c>
      <c r="C288" s="8" t="s">
        <v>1187</v>
      </c>
      <c r="D288" s="8" t="s">
        <v>465</v>
      </c>
      <c r="E288" s="9" t="s">
        <v>881</v>
      </c>
      <c r="F288" s="9" t="s">
        <v>749</v>
      </c>
      <c r="G288" s="17">
        <v>0.60763888888888895</v>
      </c>
      <c r="H288" s="17">
        <v>0.61805555555555558</v>
      </c>
      <c r="I288" s="9">
        <v>36090</v>
      </c>
      <c r="J288" s="9">
        <v>16070</v>
      </c>
      <c r="K288" s="10">
        <f t="shared" si="7"/>
        <v>20020</v>
      </c>
      <c r="L288" s="10" t="s">
        <v>1188</v>
      </c>
      <c r="M288" s="11" t="s">
        <v>1041</v>
      </c>
      <c r="N288" s="12">
        <v>19.2</v>
      </c>
      <c r="O288" s="13" t="s">
        <v>855</v>
      </c>
      <c r="P288" s="14"/>
    </row>
    <row r="289" spans="1:22" x14ac:dyDescent="0.25">
      <c r="A289" s="6"/>
      <c r="B289" s="7">
        <v>44237</v>
      </c>
      <c r="C289" s="8" t="s">
        <v>1122</v>
      </c>
      <c r="D289" s="8" t="s">
        <v>1123</v>
      </c>
      <c r="E289" s="9" t="s">
        <v>1124</v>
      </c>
      <c r="F289" s="9" t="s">
        <v>1125</v>
      </c>
      <c r="G289" s="17">
        <v>0.61041666666666672</v>
      </c>
      <c r="H289" s="17">
        <v>0.67986111111111114</v>
      </c>
      <c r="I289" s="9">
        <v>54880</v>
      </c>
      <c r="J289" s="9">
        <v>19540</v>
      </c>
      <c r="K289" s="10">
        <f t="shared" si="7"/>
        <v>35340</v>
      </c>
      <c r="L289" s="10">
        <v>910</v>
      </c>
      <c r="M289" s="11" t="s">
        <v>306</v>
      </c>
      <c r="N289" s="12">
        <v>10000</v>
      </c>
      <c r="O289" s="13" t="s">
        <v>84</v>
      </c>
      <c r="P289" s="14"/>
    </row>
    <row r="290" spans="1:22" x14ac:dyDescent="0.25">
      <c r="A290" s="6"/>
      <c r="B290" s="7">
        <v>44237</v>
      </c>
      <c r="C290" s="8" t="s">
        <v>1189</v>
      </c>
      <c r="D290" s="8" t="s">
        <v>1190</v>
      </c>
      <c r="E290" s="9" t="s">
        <v>1191</v>
      </c>
      <c r="F290" s="9" t="s">
        <v>1192</v>
      </c>
      <c r="G290" s="17">
        <v>0.61458333333333337</v>
      </c>
      <c r="H290" s="17">
        <v>0.73541666666666661</v>
      </c>
      <c r="I290" s="9">
        <v>39980</v>
      </c>
      <c r="J290" s="9">
        <v>17260</v>
      </c>
      <c r="K290" s="10">
        <f t="shared" si="7"/>
        <v>22720</v>
      </c>
      <c r="L290" s="10">
        <v>4929</v>
      </c>
      <c r="M290" s="11" t="s">
        <v>898</v>
      </c>
      <c r="N290" s="12">
        <v>708</v>
      </c>
      <c r="O290" s="13" t="s">
        <v>1099</v>
      </c>
      <c r="P290" s="14"/>
    </row>
    <row r="291" spans="1:22" x14ac:dyDescent="0.25">
      <c r="A291" s="6"/>
      <c r="B291" s="7">
        <v>44237</v>
      </c>
      <c r="C291" s="8" t="s">
        <v>1062</v>
      </c>
      <c r="D291" s="8" t="s">
        <v>284</v>
      </c>
      <c r="E291" s="9" t="s">
        <v>285</v>
      </c>
      <c r="F291" s="9" t="s">
        <v>286</v>
      </c>
      <c r="G291" s="17">
        <v>0.61736111111111114</v>
      </c>
      <c r="H291" s="17">
        <v>0.63194444444444442</v>
      </c>
      <c r="I291" s="9">
        <v>35750</v>
      </c>
      <c r="J291" s="9">
        <v>16400</v>
      </c>
      <c r="K291" s="10">
        <f t="shared" si="7"/>
        <v>19350</v>
      </c>
      <c r="L291" s="10">
        <v>23366</v>
      </c>
      <c r="M291" s="11" t="s">
        <v>1041</v>
      </c>
      <c r="N291" s="12">
        <v>18</v>
      </c>
      <c r="O291" s="13" t="s">
        <v>855</v>
      </c>
      <c r="P291" s="14"/>
    </row>
    <row r="292" spans="1:22" x14ac:dyDescent="0.25">
      <c r="A292" s="6"/>
      <c r="B292" s="7">
        <v>44237</v>
      </c>
      <c r="C292" s="8" t="s">
        <v>1179</v>
      </c>
      <c r="D292" s="8" t="s">
        <v>1180</v>
      </c>
      <c r="E292" s="9" t="s">
        <v>1181</v>
      </c>
      <c r="F292" s="9" t="s">
        <v>1182</v>
      </c>
      <c r="G292" s="17">
        <v>0.62430555555555556</v>
      </c>
      <c r="H292" s="17">
        <v>0.63472222222222219</v>
      </c>
      <c r="I292" s="9">
        <v>20780</v>
      </c>
      <c r="J292" s="9">
        <v>7970</v>
      </c>
      <c r="K292" s="10">
        <f t="shared" si="7"/>
        <v>12810</v>
      </c>
      <c r="L292" s="10">
        <v>22234</v>
      </c>
      <c r="M292" s="11" t="s">
        <v>1183</v>
      </c>
      <c r="N292" s="12">
        <v>12810</v>
      </c>
      <c r="O292" s="13" t="s">
        <v>32</v>
      </c>
      <c r="P292" s="14"/>
    </row>
    <row r="293" spans="1:22" x14ac:dyDescent="0.25">
      <c r="A293" s="6"/>
      <c r="B293" s="7">
        <v>44237</v>
      </c>
      <c r="C293" s="8" t="s">
        <v>1062</v>
      </c>
      <c r="D293" s="8" t="s">
        <v>1008</v>
      </c>
      <c r="E293" s="9" t="s">
        <v>490</v>
      </c>
      <c r="F293" s="9" t="s">
        <v>491</v>
      </c>
      <c r="G293" s="17">
        <v>0.63888888888888895</v>
      </c>
      <c r="H293" s="17">
        <v>0.65069444444444446</v>
      </c>
      <c r="I293" s="9">
        <v>27105</v>
      </c>
      <c r="J293" s="9">
        <v>15950</v>
      </c>
      <c r="K293" s="10">
        <f t="shared" ref="K293" si="9">+I293-J293</f>
        <v>11155</v>
      </c>
      <c r="L293" s="10">
        <v>23367</v>
      </c>
      <c r="M293" s="11" t="s">
        <v>1041</v>
      </c>
      <c r="N293" s="12">
        <v>11155</v>
      </c>
      <c r="O293" s="13" t="s">
        <v>32</v>
      </c>
      <c r="P293" s="14" t="s">
        <v>1104</v>
      </c>
    </row>
    <row r="294" spans="1:22" x14ac:dyDescent="0.25">
      <c r="A294" s="6"/>
      <c r="B294" s="7">
        <v>44237</v>
      </c>
      <c r="C294" s="8" t="s">
        <v>469</v>
      </c>
      <c r="D294" s="8" t="s">
        <v>1116</v>
      </c>
      <c r="E294" s="9" t="s">
        <v>1048</v>
      </c>
      <c r="F294" s="9" t="s">
        <v>1117</v>
      </c>
      <c r="G294" s="17">
        <v>0.64861111111111114</v>
      </c>
      <c r="H294" s="17">
        <v>0.71805555555555556</v>
      </c>
      <c r="I294" s="9">
        <v>17060</v>
      </c>
      <c r="J294" s="9">
        <v>40670</v>
      </c>
      <c r="K294" s="10">
        <f t="shared" si="7"/>
        <v>-23610</v>
      </c>
      <c r="L294" s="10">
        <v>5769</v>
      </c>
      <c r="M294" s="11" t="s">
        <v>861</v>
      </c>
      <c r="N294" s="12">
        <v>22450</v>
      </c>
      <c r="O294" s="13" t="s">
        <v>32</v>
      </c>
      <c r="P294" s="14" t="s">
        <v>1147</v>
      </c>
    </row>
    <row r="295" spans="1:22" x14ac:dyDescent="0.25">
      <c r="A295" s="6"/>
      <c r="B295" s="7">
        <v>44237</v>
      </c>
      <c r="C295" s="8" t="s">
        <v>1075</v>
      </c>
      <c r="D295" s="8" t="s">
        <v>1076</v>
      </c>
      <c r="E295" s="9" t="s">
        <v>220</v>
      </c>
      <c r="F295" s="9" t="s">
        <v>221</v>
      </c>
      <c r="G295" s="17">
        <v>0.66875000000000007</v>
      </c>
      <c r="H295" s="17">
        <v>0.7319444444444444</v>
      </c>
      <c r="I295" s="9">
        <v>21410</v>
      </c>
      <c r="J295" s="9">
        <v>9180</v>
      </c>
      <c r="K295" s="10">
        <f t="shared" si="7"/>
        <v>12230</v>
      </c>
      <c r="L295" s="10">
        <v>747</v>
      </c>
      <c r="M295" s="11" t="s">
        <v>1077</v>
      </c>
      <c r="N295" s="12">
        <v>11331</v>
      </c>
      <c r="O295" s="13" t="s">
        <v>32</v>
      </c>
      <c r="P295" s="14"/>
    </row>
    <row r="296" spans="1:22" x14ac:dyDescent="0.25">
      <c r="A296" s="6"/>
      <c r="B296" s="7">
        <v>44237</v>
      </c>
      <c r="C296" s="8" t="s">
        <v>1083</v>
      </c>
      <c r="D296" s="8" t="s">
        <v>1084</v>
      </c>
      <c r="E296" s="9" t="s">
        <v>1085</v>
      </c>
      <c r="F296" s="9" t="s">
        <v>1086</v>
      </c>
      <c r="G296" s="17">
        <v>0.67708333333333337</v>
      </c>
      <c r="H296" s="17">
        <v>0.72291666666666676</v>
      </c>
      <c r="I296" s="9">
        <v>7660</v>
      </c>
      <c r="J296" s="9">
        <v>6300</v>
      </c>
      <c r="K296" s="10">
        <f t="shared" si="7"/>
        <v>1360</v>
      </c>
      <c r="L296" s="10">
        <v>20172</v>
      </c>
      <c r="M296" s="11" t="s">
        <v>1087</v>
      </c>
      <c r="N296" s="12">
        <v>1360</v>
      </c>
      <c r="O296" s="13" t="s">
        <v>32</v>
      </c>
      <c r="P296" s="14" t="s">
        <v>1193</v>
      </c>
    </row>
    <row r="297" spans="1:22" x14ac:dyDescent="0.25">
      <c r="A297" s="6"/>
      <c r="B297" s="7">
        <v>44237</v>
      </c>
      <c r="C297" s="8" t="s">
        <v>1194</v>
      </c>
      <c r="D297" s="8" t="s">
        <v>1195</v>
      </c>
      <c r="E297" s="9" t="s">
        <v>1196</v>
      </c>
      <c r="F297" s="9" t="s">
        <v>1086</v>
      </c>
      <c r="G297" s="17">
        <v>0.71458333333333324</v>
      </c>
      <c r="H297" s="17"/>
      <c r="I297" s="9">
        <v>12770</v>
      </c>
      <c r="J297" s="9"/>
      <c r="K297" s="10">
        <f t="shared" si="7"/>
        <v>12770</v>
      </c>
      <c r="L297" s="10"/>
      <c r="M297" s="11" t="s">
        <v>1197</v>
      </c>
      <c r="N297" s="12"/>
      <c r="O297" s="13" t="s">
        <v>32</v>
      </c>
      <c r="P297" s="14"/>
    </row>
    <row r="298" spans="1:22" x14ac:dyDescent="0.25">
      <c r="A298" s="6"/>
      <c r="B298" s="7">
        <v>44237</v>
      </c>
      <c r="C298" s="8" t="s">
        <v>469</v>
      </c>
      <c r="D298" s="8" t="s">
        <v>1138</v>
      </c>
      <c r="E298" s="9" t="s">
        <v>1139</v>
      </c>
      <c r="F298" s="9" t="s">
        <v>36</v>
      </c>
      <c r="G298" s="17">
        <v>0.73749999999999993</v>
      </c>
      <c r="H298" s="17">
        <v>0.78125</v>
      </c>
      <c r="I298" s="9">
        <v>16460</v>
      </c>
      <c r="J298" s="9">
        <v>51540</v>
      </c>
      <c r="K298" s="10">
        <f t="shared" si="7"/>
        <v>-35080</v>
      </c>
      <c r="L298" s="10">
        <v>5768</v>
      </c>
      <c r="M298" s="11" t="s">
        <v>53</v>
      </c>
      <c r="N298" s="12">
        <v>700</v>
      </c>
      <c r="O298" s="13" t="s">
        <v>1099</v>
      </c>
      <c r="P298" s="14"/>
    </row>
    <row r="299" spans="1:22" x14ac:dyDescent="0.25">
      <c r="A299" s="6"/>
      <c r="B299" s="7">
        <v>44237</v>
      </c>
      <c r="C299" s="8" t="s">
        <v>1200</v>
      </c>
      <c r="D299" s="8" t="s">
        <v>1201</v>
      </c>
      <c r="E299" s="9" t="s">
        <v>1202</v>
      </c>
      <c r="F299" s="9" t="s">
        <v>36</v>
      </c>
      <c r="G299" s="17">
        <v>0.74791666666666667</v>
      </c>
      <c r="H299" s="17">
        <v>0.78611111111111109</v>
      </c>
      <c r="I299" s="9">
        <v>7960</v>
      </c>
      <c r="J299" s="9">
        <v>6630</v>
      </c>
      <c r="K299" s="10">
        <f t="shared" si="7"/>
        <v>1330</v>
      </c>
      <c r="L299" s="10">
        <v>1195</v>
      </c>
      <c r="M299" s="11" t="s">
        <v>958</v>
      </c>
      <c r="N299" s="12">
        <v>24</v>
      </c>
      <c r="O299" s="13" t="s">
        <v>80</v>
      </c>
      <c r="P299" s="14"/>
    </row>
    <row r="300" spans="1:22" x14ac:dyDescent="0.25">
      <c r="A300" s="6"/>
      <c r="B300" s="7">
        <v>44237</v>
      </c>
      <c r="C300" s="8" t="s">
        <v>1198</v>
      </c>
      <c r="D300" s="8" t="s">
        <v>465</v>
      </c>
      <c r="E300" s="9" t="s">
        <v>881</v>
      </c>
      <c r="F300" s="9" t="s">
        <v>1203</v>
      </c>
      <c r="G300" s="17">
        <v>0.77222222222222225</v>
      </c>
      <c r="H300" s="17">
        <v>0.8881944444444444</v>
      </c>
      <c r="I300" s="9">
        <v>18240</v>
      </c>
      <c r="J300" s="9">
        <v>42400</v>
      </c>
      <c r="K300" s="10">
        <f t="shared" si="7"/>
        <v>-24160</v>
      </c>
      <c r="L300" s="10"/>
      <c r="M300" s="11" t="s">
        <v>1199</v>
      </c>
      <c r="N300" s="12">
        <v>24160</v>
      </c>
      <c r="O300" s="13" t="s">
        <v>32</v>
      </c>
      <c r="P300" s="14"/>
    </row>
    <row r="301" spans="1:22" x14ac:dyDescent="0.25">
      <c r="A301" s="6"/>
      <c r="B301" s="7">
        <v>44237</v>
      </c>
      <c r="C301" s="8" t="s">
        <v>852</v>
      </c>
      <c r="D301" s="8" t="s">
        <v>299</v>
      </c>
      <c r="E301" s="9" t="s">
        <v>813</v>
      </c>
      <c r="F301" s="9" t="s">
        <v>814</v>
      </c>
      <c r="G301" s="17">
        <v>0.7729166666666667</v>
      </c>
      <c r="H301" s="17">
        <v>0.78472222222222221</v>
      </c>
      <c r="I301" s="9">
        <v>39320</v>
      </c>
      <c r="J301" s="9">
        <v>16730</v>
      </c>
      <c r="K301" s="10">
        <f t="shared" si="7"/>
        <v>22590</v>
      </c>
      <c r="L301" s="10">
        <v>500604</v>
      </c>
      <c r="M301" s="11" t="s">
        <v>854</v>
      </c>
      <c r="N301" s="12">
        <v>20</v>
      </c>
      <c r="O301" s="13" t="s">
        <v>855</v>
      </c>
      <c r="P301" s="14"/>
      <c r="S301" s="1">
        <v>6640</v>
      </c>
      <c r="T301" s="1">
        <f>+S301+3650</f>
        <v>10290</v>
      </c>
      <c r="U301" s="1">
        <v>3650</v>
      </c>
      <c r="V301" s="1">
        <f>+U301*2.2/90</f>
        <v>89.222222222222229</v>
      </c>
    </row>
    <row r="302" spans="1:22" x14ac:dyDescent="0.25">
      <c r="A302" s="6"/>
      <c r="B302" s="7">
        <v>44237</v>
      </c>
      <c r="C302" s="8" t="s">
        <v>1083</v>
      </c>
      <c r="D302" s="8" t="s">
        <v>1084</v>
      </c>
      <c r="E302" s="9" t="s">
        <v>502</v>
      </c>
      <c r="F302" s="9" t="s">
        <v>503</v>
      </c>
      <c r="G302" s="17">
        <v>0.77430555555555547</v>
      </c>
      <c r="H302" s="17">
        <v>0.79027777777777775</v>
      </c>
      <c r="I302" s="9">
        <v>6650</v>
      </c>
      <c r="J302" s="9">
        <v>5560</v>
      </c>
      <c r="K302" s="10">
        <f t="shared" si="7"/>
        <v>1090</v>
      </c>
      <c r="L302" s="10">
        <v>20173</v>
      </c>
      <c r="M302" s="11" t="s">
        <v>1091</v>
      </c>
      <c r="N302" s="12">
        <v>1090</v>
      </c>
      <c r="O302" s="13" t="s">
        <v>32</v>
      </c>
      <c r="P302" s="14" t="s">
        <v>992</v>
      </c>
    </row>
    <row r="303" spans="1:22" x14ac:dyDescent="0.25">
      <c r="A303" s="6"/>
      <c r="B303" s="7">
        <v>44237</v>
      </c>
      <c r="C303" s="8" t="s">
        <v>930</v>
      </c>
      <c r="D303" s="8" t="s">
        <v>284</v>
      </c>
      <c r="E303" s="9" t="s">
        <v>285</v>
      </c>
      <c r="F303" s="9" t="s">
        <v>286</v>
      </c>
      <c r="G303" s="17">
        <v>0.8125</v>
      </c>
      <c r="H303" s="17"/>
      <c r="I303" s="9">
        <v>45290</v>
      </c>
      <c r="J303" s="9"/>
      <c r="K303" s="10">
        <f t="shared" si="7"/>
        <v>45290</v>
      </c>
      <c r="L303" s="10">
        <v>40389</v>
      </c>
      <c r="M303" s="11" t="s">
        <v>862</v>
      </c>
      <c r="N303" s="12">
        <v>27780</v>
      </c>
      <c r="O303" s="13" t="s">
        <v>32</v>
      </c>
      <c r="P303" s="14" t="s">
        <v>1204</v>
      </c>
      <c r="R303" s="18"/>
    </row>
    <row r="304" spans="1:22" x14ac:dyDescent="0.25">
      <c r="A304" s="6"/>
      <c r="B304" s="7">
        <v>44237</v>
      </c>
      <c r="C304" s="8" t="s">
        <v>962</v>
      </c>
      <c r="D304" s="8" t="s">
        <v>1205</v>
      </c>
      <c r="E304" s="9" t="s">
        <v>1206</v>
      </c>
      <c r="F304" s="9" t="s">
        <v>36</v>
      </c>
      <c r="G304" s="17">
        <v>0.82291666666666663</v>
      </c>
      <c r="H304" s="17">
        <v>0.84722222222222221</v>
      </c>
      <c r="I304" s="9">
        <v>10270</v>
      </c>
      <c r="J304" s="9">
        <v>6640</v>
      </c>
      <c r="K304" s="10">
        <f t="shared" si="7"/>
        <v>3630</v>
      </c>
      <c r="L304" s="10">
        <v>26444</v>
      </c>
      <c r="M304" s="11" t="s">
        <v>1041</v>
      </c>
      <c r="N304" s="12">
        <v>3630</v>
      </c>
      <c r="O304" s="13" t="s">
        <v>32</v>
      </c>
      <c r="P304" s="14"/>
    </row>
    <row r="305" spans="1:20" x14ac:dyDescent="0.25">
      <c r="A305" s="6"/>
      <c r="B305" s="7">
        <v>44237</v>
      </c>
      <c r="C305" s="8" t="s">
        <v>835</v>
      </c>
      <c r="D305" s="8" t="s">
        <v>617</v>
      </c>
      <c r="E305" s="9" t="s">
        <v>35</v>
      </c>
      <c r="F305" s="9" t="s">
        <v>36</v>
      </c>
      <c r="G305" s="17">
        <v>0.87847222222222221</v>
      </c>
      <c r="H305" s="17">
        <v>0.90138888888888891</v>
      </c>
      <c r="I305" s="9">
        <v>10770</v>
      </c>
      <c r="J305" s="9">
        <v>5370</v>
      </c>
      <c r="K305" s="10">
        <f t="shared" si="7"/>
        <v>5400</v>
      </c>
      <c r="L305" s="10">
        <v>725</v>
      </c>
      <c r="M305" s="11" t="s">
        <v>48</v>
      </c>
      <c r="N305" s="12">
        <v>19386</v>
      </c>
      <c r="O305" s="13" t="s">
        <v>49</v>
      </c>
      <c r="P305" s="14"/>
      <c r="Q305" s="1">
        <v>2440</v>
      </c>
    </row>
    <row r="306" spans="1:20" x14ac:dyDescent="0.25">
      <c r="A306" s="6"/>
      <c r="B306" s="7">
        <v>44237</v>
      </c>
      <c r="C306" s="8" t="s">
        <v>37</v>
      </c>
      <c r="D306" s="8" t="s">
        <v>1055</v>
      </c>
      <c r="E306" s="9" t="s">
        <v>39</v>
      </c>
      <c r="F306" s="9" t="s">
        <v>338</v>
      </c>
      <c r="G306" s="17">
        <v>0.88055555555555554</v>
      </c>
      <c r="H306" s="17">
        <v>0.94444444444444453</v>
      </c>
      <c r="I306" s="9">
        <v>14715</v>
      </c>
      <c r="J306" s="9">
        <v>6280</v>
      </c>
      <c r="K306" s="10">
        <f t="shared" si="7"/>
        <v>8435</v>
      </c>
      <c r="L306" s="10">
        <v>26447</v>
      </c>
      <c r="M306" s="11" t="s">
        <v>1148</v>
      </c>
      <c r="N306" s="12">
        <v>8435</v>
      </c>
      <c r="O306" s="13" t="s">
        <v>32</v>
      </c>
      <c r="P306" s="14"/>
      <c r="Q306" s="1">
        <f>+Q305+6640</f>
        <v>9080</v>
      </c>
      <c r="R306" s="1">
        <f>+Q306-6640</f>
        <v>2440</v>
      </c>
      <c r="S306" s="1">
        <v>90</v>
      </c>
      <c r="T306" s="1">
        <f>+R306*2.2/90</f>
        <v>59.644444444444446</v>
      </c>
    </row>
    <row r="307" spans="1:20" x14ac:dyDescent="0.25">
      <c r="A307" s="6"/>
      <c r="B307" s="7">
        <v>44237</v>
      </c>
      <c r="C307" s="8" t="s">
        <v>443</v>
      </c>
      <c r="D307" s="8" t="s">
        <v>1102</v>
      </c>
      <c r="E307" s="9" t="s">
        <v>337</v>
      </c>
      <c r="F307" s="9" t="s">
        <v>338</v>
      </c>
      <c r="G307" s="17">
        <v>0.88263888888888886</v>
      </c>
      <c r="H307" s="17">
        <v>0.96875</v>
      </c>
      <c r="I307" s="9">
        <v>18950</v>
      </c>
      <c r="J307" s="9">
        <v>7790</v>
      </c>
      <c r="K307" s="10">
        <f t="shared" si="7"/>
        <v>11160</v>
      </c>
      <c r="L307" s="10" t="s">
        <v>1207</v>
      </c>
      <c r="M307" s="11" t="s">
        <v>1103</v>
      </c>
      <c r="N307" s="12">
        <f>2890+8294</f>
        <v>11184</v>
      </c>
      <c r="O307" s="13" t="s">
        <v>32</v>
      </c>
      <c r="P307" s="14"/>
    </row>
    <row r="308" spans="1:20" x14ac:dyDescent="0.25">
      <c r="A308" s="6"/>
      <c r="B308" s="7">
        <v>44237</v>
      </c>
      <c r="C308" s="8" t="s">
        <v>852</v>
      </c>
      <c r="D308" s="8" t="s">
        <v>143</v>
      </c>
      <c r="E308" s="9" t="s">
        <v>144</v>
      </c>
      <c r="F308" s="9" t="s">
        <v>626</v>
      </c>
      <c r="G308" s="17">
        <v>0.89166666666666661</v>
      </c>
      <c r="H308" s="17">
        <v>0.90972222222222221</v>
      </c>
      <c r="I308" s="9">
        <v>36940</v>
      </c>
      <c r="J308" s="9">
        <v>15620</v>
      </c>
      <c r="K308" s="10">
        <f t="shared" si="7"/>
        <v>21320</v>
      </c>
      <c r="L308" s="10">
        <v>500603</v>
      </c>
      <c r="M308" s="11" t="s">
        <v>875</v>
      </c>
      <c r="N308" s="12">
        <v>20</v>
      </c>
      <c r="O308" s="13" t="s">
        <v>855</v>
      </c>
      <c r="P308" s="14"/>
    </row>
    <row r="309" spans="1:20" x14ac:dyDescent="0.25">
      <c r="A309" s="6"/>
      <c r="B309" s="7">
        <v>44237</v>
      </c>
      <c r="C309" s="8" t="s">
        <v>962</v>
      </c>
      <c r="D309" s="8" t="s">
        <v>963</v>
      </c>
      <c r="E309" s="9" t="s">
        <v>964</v>
      </c>
      <c r="F309" s="9" t="s">
        <v>338</v>
      </c>
      <c r="G309" s="17">
        <v>0.89444444444444438</v>
      </c>
      <c r="H309" s="17">
        <v>0.91527777777777775</v>
      </c>
      <c r="I309" s="9">
        <v>4310</v>
      </c>
      <c r="J309" s="9">
        <v>1780</v>
      </c>
      <c r="K309" s="10">
        <f t="shared" ref="K309" si="10">+I309-J309</f>
        <v>2530</v>
      </c>
      <c r="L309" s="10">
        <v>26445</v>
      </c>
      <c r="M309" s="11" t="s">
        <v>965</v>
      </c>
      <c r="N309" s="12">
        <v>2530</v>
      </c>
      <c r="O309" s="13" t="s">
        <v>32</v>
      </c>
      <c r="P309" s="14"/>
    </row>
    <row r="310" spans="1:20" x14ac:dyDescent="0.25">
      <c r="A310" s="6"/>
      <c r="B310" s="7">
        <v>44237</v>
      </c>
      <c r="C310" s="8" t="s">
        <v>962</v>
      </c>
      <c r="D310" s="8" t="s">
        <v>928</v>
      </c>
      <c r="E310" s="9" t="s">
        <v>628</v>
      </c>
      <c r="F310" s="9" t="s">
        <v>859</v>
      </c>
      <c r="G310" s="17">
        <v>0.90555555555555556</v>
      </c>
      <c r="H310" s="17">
        <v>0.92499999999999993</v>
      </c>
      <c r="I310" s="9">
        <v>19820</v>
      </c>
      <c r="J310" s="9">
        <v>9640</v>
      </c>
      <c r="K310" s="10">
        <f t="shared" si="7"/>
        <v>10180</v>
      </c>
      <c r="L310" s="10">
        <v>26446</v>
      </c>
      <c r="M310" s="11" t="s">
        <v>1208</v>
      </c>
      <c r="N310" s="12">
        <v>10180</v>
      </c>
      <c r="O310" s="13" t="s">
        <v>32</v>
      </c>
      <c r="P310" s="14"/>
    </row>
    <row r="311" spans="1:20" x14ac:dyDescent="0.25">
      <c r="A311" s="6"/>
      <c r="B311" s="7">
        <v>44237</v>
      </c>
      <c r="C311" s="8" t="s">
        <v>926</v>
      </c>
      <c r="D311" s="8" t="s">
        <v>935</v>
      </c>
      <c r="E311" s="9" t="s">
        <v>473</v>
      </c>
      <c r="F311" s="9" t="s">
        <v>338</v>
      </c>
      <c r="G311" s="17">
        <v>0.90763888888888899</v>
      </c>
      <c r="H311" s="17">
        <v>0.94305555555555554</v>
      </c>
      <c r="I311" s="9">
        <v>17900</v>
      </c>
      <c r="J311" s="9">
        <v>15180</v>
      </c>
      <c r="K311" s="10">
        <f t="shared" si="7"/>
        <v>2720</v>
      </c>
      <c r="L311" s="10">
        <v>22742</v>
      </c>
      <c r="M311" s="11" t="s">
        <v>958</v>
      </c>
      <c r="N311" s="12">
        <v>36</v>
      </c>
      <c r="O311" s="13" t="s">
        <v>80</v>
      </c>
      <c r="P311" s="14"/>
    </row>
    <row r="312" spans="1:20" x14ac:dyDescent="0.25">
      <c r="A312" s="6"/>
      <c r="B312" s="7">
        <v>44237</v>
      </c>
      <c r="C312" s="8" t="s">
        <v>422</v>
      </c>
      <c r="D312" s="8" t="s">
        <v>530</v>
      </c>
      <c r="E312" s="9" t="s">
        <v>699</v>
      </c>
      <c r="F312" s="9" t="s">
        <v>140</v>
      </c>
      <c r="G312" s="17">
        <v>0.9277777777777777</v>
      </c>
      <c r="H312" s="17">
        <v>0.95486111111111116</v>
      </c>
      <c r="I312" s="9">
        <v>22520</v>
      </c>
      <c r="J312" s="9">
        <v>8260</v>
      </c>
      <c r="K312" s="10">
        <f t="shared" si="7"/>
        <v>14260</v>
      </c>
      <c r="L312" s="10">
        <v>1529</v>
      </c>
      <c r="M312" s="11" t="s">
        <v>48</v>
      </c>
      <c r="N312" s="12">
        <v>21670.5</v>
      </c>
      <c r="O312" s="13" t="s">
        <v>49</v>
      </c>
      <c r="P312" s="14"/>
    </row>
    <row r="313" spans="1:20" x14ac:dyDescent="0.25">
      <c r="A313" s="6"/>
      <c r="B313" s="15">
        <v>44238</v>
      </c>
      <c r="C313" s="16" t="s">
        <v>871</v>
      </c>
      <c r="D313" s="8" t="s">
        <v>86</v>
      </c>
      <c r="E313" s="9" t="s">
        <v>87</v>
      </c>
      <c r="F313" s="9" t="s">
        <v>88</v>
      </c>
      <c r="G313" s="17">
        <v>0.26527777777777778</v>
      </c>
      <c r="H313" s="17">
        <v>0.27499999999999997</v>
      </c>
      <c r="I313" s="9">
        <v>31230</v>
      </c>
      <c r="J313" s="9">
        <v>18270</v>
      </c>
      <c r="K313" s="10">
        <f t="shared" si="7"/>
        <v>12960</v>
      </c>
      <c r="L313" s="10">
        <v>747</v>
      </c>
      <c r="M313" s="11" t="s">
        <v>257</v>
      </c>
      <c r="N313" s="12">
        <v>14215</v>
      </c>
      <c r="O313" s="13" t="s">
        <v>32</v>
      </c>
      <c r="P313" s="14"/>
    </row>
    <row r="314" spans="1:20" x14ac:dyDescent="0.25">
      <c r="A314" s="6"/>
      <c r="B314" s="7">
        <v>44238</v>
      </c>
      <c r="C314" s="8" t="s">
        <v>469</v>
      </c>
      <c r="D314" s="8" t="s">
        <v>1157</v>
      </c>
      <c r="E314" s="9" t="s">
        <v>1158</v>
      </c>
      <c r="F314" s="9" t="s">
        <v>338</v>
      </c>
      <c r="G314" s="17">
        <v>0.28750000000000003</v>
      </c>
      <c r="H314" s="17">
        <v>0.4284722222222222</v>
      </c>
      <c r="I314" s="9">
        <v>10510</v>
      </c>
      <c r="J314" s="9">
        <v>30160</v>
      </c>
      <c r="K314" s="10">
        <f t="shared" si="7"/>
        <v>-19650</v>
      </c>
      <c r="L314" s="10">
        <v>5770</v>
      </c>
      <c r="M314" s="11" t="s">
        <v>664</v>
      </c>
      <c r="N314" s="12">
        <v>5655</v>
      </c>
      <c r="O314" s="13" t="s">
        <v>84</v>
      </c>
      <c r="P314" s="14"/>
    </row>
    <row r="315" spans="1:20" x14ac:dyDescent="0.25">
      <c r="A315" s="6"/>
      <c r="B315" s="7">
        <v>44238</v>
      </c>
      <c r="C315" s="8" t="s">
        <v>971</v>
      </c>
      <c r="D315" s="8" t="s">
        <v>174</v>
      </c>
      <c r="E315" s="9" t="s">
        <v>110</v>
      </c>
      <c r="F315" s="9" t="s">
        <v>111</v>
      </c>
      <c r="G315" s="17">
        <v>0.32777777777777778</v>
      </c>
      <c r="H315" s="17">
        <v>0.4375</v>
      </c>
      <c r="I315" s="9">
        <v>10830</v>
      </c>
      <c r="J315" s="9">
        <v>6540</v>
      </c>
      <c r="K315" s="10">
        <f t="shared" si="7"/>
        <v>4290</v>
      </c>
      <c r="L315" s="10">
        <v>95</v>
      </c>
      <c r="M315" s="11" t="s">
        <v>48</v>
      </c>
      <c r="N315" s="12">
        <v>9046</v>
      </c>
      <c r="O315" s="13" t="s">
        <v>49</v>
      </c>
      <c r="P315" s="14"/>
    </row>
    <row r="316" spans="1:20" x14ac:dyDescent="0.25">
      <c r="A316" s="6"/>
      <c r="B316" s="7">
        <v>44238</v>
      </c>
      <c r="C316" s="8" t="s">
        <v>1209</v>
      </c>
      <c r="D316" s="8" t="s">
        <v>1210</v>
      </c>
      <c r="E316" s="9" t="s">
        <v>1211</v>
      </c>
      <c r="F316" s="9" t="s">
        <v>338</v>
      </c>
      <c r="G316" s="17">
        <v>0.35069444444444442</v>
      </c>
      <c r="H316" s="17">
        <v>0.45694444444444443</v>
      </c>
      <c r="I316" s="9">
        <v>17310</v>
      </c>
      <c r="J316" s="9">
        <v>48170</v>
      </c>
      <c r="K316" s="10">
        <f t="shared" si="7"/>
        <v>-30860</v>
      </c>
      <c r="L316" s="10">
        <v>5771</v>
      </c>
      <c r="M316" s="11" t="s">
        <v>53</v>
      </c>
      <c r="N316" s="12">
        <v>600</v>
      </c>
      <c r="O316" s="13" t="s">
        <v>1099</v>
      </c>
      <c r="P316" s="14"/>
    </row>
    <row r="317" spans="1:20" x14ac:dyDescent="0.25">
      <c r="A317" s="6"/>
      <c r="B317" s="7">
        <v>44238</v>
      </c>
      <c r="C317" s="8" t="s">
        <v>1042</v>
      </c>
      <c r="D317" s="8" t="s">
        <v>198</v>
      </c>
      <c r="E317" s="9" t="s">
        <v>405</v>
      </c>
      <c r="F317" s="9" t="s">
        <v>161</v>
      </c>
      <c r="G317" s="17">
        <v>0.40208333333333335</v>
      </c>
      <c r="H317" s="17">
        <v>0.40833333333333338</v>
      </c>
      <c r="I317" s="9">
        <v>40750</v>
      </c>
      <c r="J317" s="9">
        <v>16550</v>
      </c>
      <c r="K317" s="10">
        <f t="shared" si="7"/>
        <v>24200</v>
      </c>
      <c r="L317" s="10">
        <v>23368</v>
      </c>
      <c r="M317" s="11" t="s">
        <v>1041</v>
      </c>
      <c r="N317" s="12">
        <v>21.6</v>
      </c>
      <c r="O317" s="13" t="s">
        <v>855</v>
      </c>
      <c r="P317" s="14"/>
    </row>
    <row r="318" spans="1:20" x14ac:dyDescent="0.25">
      <c r="A318" s="6"/>
      <c r="B318" s="7">
        <v>44238</v>
      </c>
      <c r="C318" s="8" t="s">
        <v>1042</v>
      </c>
      <c r="D318" s="8" t="s">
        <v>243</v>
      </c>
      <c r="E318" s="9" t="s">
        <v>51</v>
      </c>
      <c r="F318" s="9" t="s">
        <v>52</v>
      </c>
      <c r="G318" s="17">
        <v>0.41041666666666665</v>
      </c>
      <c r="H318" s="17">
        <v>0.41944444444444445</v>
      </c>
      <c r="I318" s="9">
        <v>40980</v>
      </c>
      <c r="J318" s="9">
        <v>16020</v>
      </c>
      <c r="K318" s="10">
        <f t="shared" si="7"/>
        <v>24960</v>
      </c>
      <c r="L318" s="10">
        <v>23368</v>
      </c>
      <c r="M318" s="11" t="s">
        <v>1041</v>
      </c>
      <c r="N318" s="12">
        <v>21.6</v>
      </c>
      <c r="O318" s="13" t="s">
        <v>855</v>
      </c>
      <c r="P318" s="14"/>
    </row>
    <row r="319" spans="1:20" x14ac:dyDescent="0.25">
      <c r="A319" s="6"/>
      <c r="B319" s="7">
        <v>44238</v>
      </c>
      <c r="C319" s="8" t="s">
        <v>1042</v>
      </c>
      <c r="D319" s="8" t="s">
        <v>299</v>
      </c>
      <c r="E319" s="9" t="s">
        <v>813</v>
      </c>
      <c r="F319" s="9" t="s">
        <v>814</v>
      </c>
      <c r="G319" s="17">
        <v>0.41805555555555557</v>
      </c>
      <c r="H319" s="17">
        <v>0.4465277777777778</v>
      </c>
      <c r="I319" s="9">
        <v>42960</v>
      </c>
      <c r="J319" s="9">
        <v>16740</v>
      </c>
      <c r="K319" s="10">
        <f t="shared" si="7"/>
        <v>26220</v>
      </c>
      <c r="L319" s="10">
        <v>23368</v>
      </c>
      <c r="M319" s="11" t="s">
        <v>1041</v>
      </c>
      <c r="N319" s="12">
        <v>24</v>
      </c>
      <c r="O319" s="13" t="s">
        <v>855</v>
      </c>
      <c r="P319" s="14"/>
    </row>
    <row r="320" spans="1:20" x14ac:dyDescent="0.25">
      <c r="A320" s="6"/>
      <c r="B320" s="7">
        <v>44238</v>
      </c>
      <c r="C320" s="8" t="s">
        <v>164</v>
      </c>
      <c r="D320" s="8" t="s">
        <v>1190</v>
      </c>
      <c r="E320" s="9" t="s">
        <v>1191</v>
      </c>
      <c r="F320" s="9" t="s">
        <v>1192</v>
      </c>
      <c r="G320" s="17">
        <v>0.42638888888888887</v>
      </c>
      <c r="H320" s="17">
        <v>0.4770833333333333</v>
      </c>
      <c r="I320" s="9">
        <v>18540</v>
      </c>
      <c r="J320" s="9">
        <v>43780</v>
      </c>
      <c r="K320" s="10">
        <f t="shared" si="7"/>
        <v>-25240</v>
      </c>
      <c r="L320" s="10">
        <v>15446</v>
      </c>
      <c r="M320" s="11" t="s">
        <v>166</v>
      </c>
      <c r="N320" s="12">
        <v>504</v>
      </c>
      <c r="O320" s="13" t="s">
        <v>1099</v>
      </c>
      <c r="P320" s="14"/>
    </row>
    <row r="321" spans="1:16" x14ac:dyDescent="0.25">
      <c r="A321" s="6"/>
      <c r="B321" s="7">
        <v>44238</v>
      </c>
      <c r="C321" s="8" t="s">
        <v>164</v>
      </c>
      <c r="D321" s="8" t="s">
        <v>1164</v>
      </c>
      <c r="E321" s="9" t="s">
        <v>1165</v>
      </c>
      <c r="F321" s="9" t="s">
        <v>338</v>
      </c>
      <c r="G321" s="17">
        <v>0.42777777777777781</v>
      </c>
      <c r="H321" s="17">
        <v>0.47569444444444442</v>
      </c>
      <c r="I321" s="9">
        <v>18930</v>
      </c>
      <c r="J321" s="9">
        <v>44200</v>
      </c>
      <c r="K321" s="10">
        <f t="shared" si="7"/>
        <v>-25270</v>
      </c>
      <c r="L321" s="10">
        <v>15445</v>
      </c>
      <c r="M321" s="11" t="s">
        <v>166</v>
      </c>
      <c r="N321" s="12">
        <v>504</v>
      </c>
      <c r="O321" s="13" t="s">
        <v>1099</v>
      </c>
      <c r="P321" s="14"/>
    </row>
    <row r="322" spans="1:16" x14ac:dyDescent="0.25">
      <c r="A322" s="6"/>
      <c r="B322" s="7">
        <v>44238</v>
      </c>
      <c r="C322" s="8" t="s">
        <v>1042</v>
      </c>
      <c r="D322" s="8" t="s">
        <v>143</v>
      </c>
      <c r="E322" s="9" t="s">
        <v>144</v>
      </c>
      <c r="F322" s="9" t="s">
        <v>626</v>
      </c>
      <c r="G322" s="17">
        <v>0.43124999999999997</v>
      </c>
      <c r="H322" s="17">
        <v>0.45347222222222222</v>
      </c>
      <c r="I322" s="9">
        <v>39380</v>
      </c>
      <c r="J322" s="9">
        <v>15550</v>
      </c>
      <c r="K322" s="10">
        <f t="shared" si="7"/>
        <v>23830</v>
      </c>
      <c r="L322" s="10">
        <v>23368</v>
      </c>
      <c r="M322" s="11" t="s">
        <v>1041</v>
      </c>
      <c r="N322" s="12">
        <v>21.6</v>
      </c>
      <c r="O322" s="13" t="s">
        <v>855</v>
      </c>
      <c r="P322" s="14"/>
    </row>
    <row r="323" spans="1:16" x14ac:dyDescent="0.25">
      <c r="A323" s="6"/>
      <c r="B323" s="7">
        <v>44238</v>
      </c>
      <c r="C323" s="8" t="s">
        <v>1042</v>
      </c>
      <c r="D323" s="8" t="s">
        <v>928</v>
      </c>
      <c r="E323" s="9" t="s">
        <v>628</v>
      </c>
      <c r="F323" s="9" t="s">
        <v>859</v>
      </c>
      <c r="G323" s="17">
        <v>0.43263888888888885</v>
      </c>
      <c r="H323" s="17">
        <v>0.44444444444444442</v>
      </c>
      <c r="I323" s="9">
        <v>22750</v>
      </c>
      <c r="J323" s="9">
        <v>9650</v>
      </c>
      <c r="K323" s="10">
        <f t="shared" si="7"/>
        <v>13100</v>
      </c>
      <c r="L323" s="10">
        <v>23368</v>
      </c>
      <c r="M323" s="11" t="s">
        <v>1041</v>
      </c>
      <c r="N323" s="12">
        <v>12</v>
      </c>
      <c r="O323" s="13" t="s">
        <v>855</v>
      </c>
      <c r="P323" s="14"/>
    </row>
    <row r="324" spans="1:16" x14ac:dyDescent="0.25">
      <c r="A324" s="6"/>
      <c r="B324" s="7">
        <v>44238</v>
      </c>
      <c r="C324" s="8" t="s">
        <v>1083</v>
      </c>
      <c r="D324" s="8" t="s">
        <v>1173</v>
      </c>
      <c r="E324" s="9" t="s">
        <v>1174</v>
      </c>
      <c r="F324" s="9" t="s">
        <v>503</v>
      </c>
      <c r="G324" s="17">
        <v>0.43472222222222223</v>
      </c>
      <c r="H324" s="17">
        <v>0.46319444444444446</v>
      </c>
      <c r="I324" s="9">
        <v>6910</v>
      </c>
      <c r="J324" s="9">
        <v>5270</v>
      </c>
      <c r="K324" s="10">
        <f t="shared" ref="K324" si="11">+I324-J324</f>
        <v>1640</v>
      </c>
      <c r="L324" s="10">
        <v>4353</v>
      </c>
      <c r="M324" s="11" t="s">
        <v>1175</v>
      </c>
      <c r="N324" s="12">
        <v>1640</v>
      </c>
      <c r="O324" s="13" t="s">
        <v>32</v>
      </c>
      <c r="P324" s="14"/>
    </row>
    <row r="325" spans="1:16" x14ac:dyDescent="0.25">
      <c r="A325" s="6"/>
      <c r="B325" s="7">
        <v>44238</v>
      </c>
      <c r="C325" s="8" t="s">
        <v>1042</v>
      </c>
      <c r="D325" s="8" t="s">
        <v>1008</v>
      </c>
      <c r="E325" s="9" t="s">
        <v>490</v>
      </c>
      <c r="F325" s="9" t="s">
        <v>491</v>
      </c>
      <c r="G325" s="17">
        <v>0.43888888888888888</v>
      </c>
      <c r="H325" s="17">
        <v>0.44791666666666669</v>
      </c>
      <c r="I325" s="9">
        <v>39640</v>
      </c>
      <c r="J325" s="9">
        <v>15880</v>
      </c>
      <c r="K325" s="10">
        <f t="shared" si="7"/>
        <v>23760</v>
      </c>
      <c r="L325" s="10">
        <v>23368</v>
      </c>
      <c r="M325" s="11" t="s">
        <v>1041</v>
      </c>
      <c r="N325" s="12">
        <v>21.6</v>
      </c>
      <c r="O325" s="13" t="s">
        <v>855</v>
      </c>
      <c r="P325" s="14"/>
    </row>
    <row r="326" spans="1:16" x14ac:dyDescent="0.25">
      <c r="A326" s="6"/>
      <c r="B326" s="7">
        <v>44238</v>
      </c>
      <c r="C326" s="8" t="s">
        <v>1212</v>
      </c>
      <c r="D326" s="8" t="s">
        <v>1213</v>
      </c>
      <c r="E326" s="9" t="s">
        <v>1214</v>
      </c>
      <c r="F326" s="9" t="s">
        <v>338</v>
      </c>
      <c r="G326" s="17">
        <v>0.47916666666666669</v>
      </c>
      <c r="H326" s="17">
        <v>0.56805555555555554</v>
      </c>
      <c r="I326" s="9">
        <v>3420</v>
      </c>
      <c r="J326" s="9">
        <v>7180</v>
      </c>
      <c r="K326" s="10">
        <f t="shared" si="7"/>
        <v>-3760</v>
      </c>
      <c r="L326" s="10">
        <v>15448</v>
      </c>
      <c r="M326" s="11" t="s">
        <v>1215</v>
      </c>
      <c r="N326" s="12">
        <v>3760</v>
      </c>
      <c r="O326" s="13" t="s">
        <v>32</v>
      </c>
      <c r="P326" s="14"/>
    </row>
    <row r="327" spans="1:16" x14ac:dyDescent="0.25">
      <c r="A327" s="6"/>
      <c r="B327" s="7">
        <v>44238</v>
      </c>
      <c r="C327" s="8" t="s">
        <v>1042</v>
      </c>
      <c r="D327" s="8" t="s">
        <v>465</v>
      </c>
      <c r="E327" s="9" t="s">
        <v>881</v>
      </c>
      <c r="F327" s="9" t="s">
        <v>1203</v>
      </c>
      <c r="G327" s="17">
        <v>0.48333333333333334</v>
      </c>
      <c r="H327" s="17">
        <v>0.48958333333333331</v>
      </c>
      <c r="I327" s="9">
        <v>37130</v>
      </c>
      <c r="J327" s="9">
        <v>16130</v>
      </c>
      <c r="K327" s="10">
        <f t="shared" si="7"/>
        <v>21000</v>
      </c>
      <c r="L327" s="10">
        <v>23368</v>
      </c>
      <c r="M327" s="11" t="s">
        <v>1041</v>
      </c>
      <c r="N327" s="12">
        <v>19.2</v>
      </c>
      <c r="O327" s="13" t="s">
        <v>855</v>
      </c>
      <c r="P327" s="14"/>
    </row>
    <row r="328" spans="1:16" x14ac:dyDescent="0.25">
      <c r="A328" s="6"/>
      <c r="B328" s="7">
        <v>44238</v>
      </c>
      <c r="C328" s="8" t="s">
        <v>1042</v>
      </c>
      <c r="D328" s="8" t="s">
        <v>243</v>
      </c>
      <c r="E328" s="9" t="s">
        <v>51</v>
      </c>
      <c r="F328" s="9" t="s">
        <v>52</v>
      </c>
      <c r="G328" s="17">
        <v>0.48472222222222222</v>
      </c>
      <c r="H328" s="17">
        <v>0.50347222222222221</v>
      </c>
      <c r="I328" s="9">
        <v>39590</v>
      </c>
      <c r="J328" s="9">
        <v>16130</v>
      </c>
      <c r="K328" s="10">
        <f t="shared" si="7"/>
        <v>23460</v>
      </c>
      <c r="L328" s="10">
        <v>23368</v>
      </c>
      <c r="M328" s="11" t="s">
        <v>1041</v>
      </c>
      <c r="N328" s="12">
        <v>21.6</v>
      </c>
      <c r="O328" s="13" t="s">
        <v>855</v>
      </c>
      <c r="P328" s="14"/>
    </row>
    <row r="329" spans="1:16" x14ac:dyDescent="0.25">
      <c r="A329" s="6"/>
      <c r="B329" s="7">
        <v>44238</v>
      </c>
      <c r="C329" s="8" t="s">
        <v>962</v>
      </c>
      <c r="D329" s="8" t="s">
        <v>994</v>
      </c>
      <c r="E329" s="9" t="s">
        <v>995</v>
      </c>
      <c r="F329" s="9" t="s">
        <v>36</v>
      </c>
      <c r="G329" s="17">
        <v>0.49791666666666662</v>
      </c>
      <c r="H329" s="17">
        <v>0.53194444444444444</v>
      </c>
      <c r="I329" s="9">
        <v>3860</v>
      </c>
      <c r="J329" s="9">
        <v>3210</v>
      </c>
      <c r="K329" s="10">
        <f t="shared" si="7"/>
        <v>650</v>
      </c>
      <c r="L329" s="10">
        <v>24648</v>
      </c>
      <c r="M329" s="11" t="s">
        <v>1216</v>
      </c>
      <c r="N329" s="12">
        <v>650</v>
      </c>
      <c r="O329" s="13" t="s">
        <v>32</v>
      </c>
      <c r="P329" s="14"/>
    </row>
    <row r="330" spans="1:16" x14ac:dyDescent="0.25">
      <c r="A330" s="6"/>
      <c r="B330" s="7">
        <v>44238</v>
      </c>
      <c r="C330" s="8" t="s">
        <v>1217</v>
      </c>
      <c r="D330" s="8" t="s">
        <v>198</v>
      </c>
      <c r="E330" s="9" t="s">
        <v>405</v>
      </c>
      <c r="F330" s="9" t="s">
        <v>161</v>
      </c>
      <c r="G330" s="17">
        <v>0.5083333333333333</v>
      </c>
      <c r="H330" s="17">
        <v>0.52222222222222225</v>
      </c>
      <c r="I330" s="9">
        <v>40180</v>
      </c>
      <c r="J330" s="9">
        <v>16490</v>
      </c>
      <c r="K330" s="10">
        <f t="shared" si="7"/>
        <v>23690</v>
      </c>
      <c r="L330" s="10" t="s">
        <v>1218</v>
      </c>
      <c r="M330" s="11" t="s">
        <v>1041</v>
      </c>
      <c r="N330" s="12">
        <v>21.6</v>
      </c>
      <c r="O330" s="13" t="s">
        <v>855</v>
      </c>
      <c r="P330" s="14"/>
    </row>
    <row r="331" spans="1:16" x14ac:dyDescent="0.25">
      <c r="A331" s="6"/>
      <c r="B331" s="7">
        <v>44238</v>
      </c>
      <c r="C331" s="8" t="s">
        <v>1062</v>
      </c>
      <c r="D331" s="8" t="s">
        <v>299</v>
      </c>
      <c r="E331" s="9" t="s">
        <v>813</v>
      </c>
      <c r="F331" s="9" t="s">
        <v>814</v>
      </c>
      <c r="G331" s="17">
        <v>0.51527777777777783</v>
      </c>
      <c r="H331" s="17">
        <v>0.52777777777777779</v>
      </c>
      <c r="I331" s="9">
        <v>42630</v>
      </c>
      <c r="J331" s="9">
        <v>16720</v>
      </c>
      <c r="K331" s="10">
        <f t="shared" si="7"/>
        <v>25910</v>
      </c>
      <c r="L331" s="10">
        <v>23369</v>
      </c>
      <c r="M331" s="11" t="s">
        <v>1041</v>
      </c>
      <c r="N331" s="12">
        <v>21.6</v>
      </c>
      <c r="O331" s="13" t="s">
        <v>855</v>
      </c>
      <c r="P331" s="14"/>
    </row>
    <row r="332" spans="1:16" x14ac:dyDescent="0.25">
      <c r="A332" s="6"/>
      <c r="B332" s="7">
        <v>44238</v>
      </c>
      <c r="C332" s="8" t="s">
        <v>1062</v>
      </c>
      <c r="D332" s="8" t="s">
        <v>1008</v>
      </c>
      <c r="E332" s="9" t="s">
        <v>490</v>
      </c>
      <c r="F332" s="9" t="s">
        <v>491</v>
      </c>
      <c r="G332" s="17">
        <v>0.51736111111111105</v>
      </c>
      <c r="H332" s="17">
        <v>0.53888888888888886</v>
      </c>
      <c r="I332" s="9">
        <v>39000</v>
      </c>
      <c r="J332" s="9">
        <v>15860</v>
      </c>
      <c r="K332" s="10">
        <f t="shared" si="7"/>
        <v>23140</v>
      </c>
      <c r="L332" s="10">
        <v>23369</v>
      </c>
      <c r="M332" s="11" t="s">
        <v>1041</v>
      </c>
      <c r="N332" s="12">
        <v>21.6</v>
      </c>
      <c r="O332" s="13" t="s">
        <v>855</v>
      </c>
      <c r="P332" s="14"/>
    </row>
    <row r="333" spans="1:16" x14ac:dyDescent="0.25">
      <c r="A333" s="6"/>
      <c r="B333" s="7">
        <v>44238</v>
      </c>
      <c r="C333" s="8" t="s">
        <v>1062</v>
      </c>
      <c r="D333" s="8" t="s">
        <v>143</v>
      </c>
      <c r="E333" s="9" t="s">
        <v>144</v>
      </c>
      <c r="F333" s="9" t="s">
        <v>626</v>
      </c>
      <c r="G333" s="17">
        <v>0.52916666666666667</v>
      </c>
      <c r="H333" s="17">
        <v>0.53611111111111109</v>
      </c>
      <c r="I333" s="9">
        <v>38770</v>
      </c>
      <c r="J333" s="9">
        <v>15540</v>
      </c>
      <c r="K333" s="10">
        <f t="shared" ref="K333:K399" si="12">+I333-J333</f>
        <v>23230</v>
      </c>
      <c r="L333" s="10">
        <v>23369</v>
      </c>
      <c r="M333" s="11" t="s">
        <v>1041</v>
      </c>
      <c r="N333" s="12">
        <v>21.6</v>
      </c>
      <c r="O333" s="13" t="s">
        <v>855</v>
      </c>
      <c r="P333" s="14"/>
    </row>
    <row r="334" spans="1:16" x14ac:dyDescent="0.25">
      <c r="A334" s="6"/>
      <c r="B334" s="7">
        <v>44238</v>
      </c>
      <c r="C334" s="8" t="s">
        <v>1062</v>
      </c>
      <c r="D334" s="8" t="s">
        <v>928</v>
      </c>
      <c r="E334" s="9" t="s">
        <v>628</v>
      </c>
      <c r="F334" s="9" t="s">
        <v>859</v>
      </c>
      <c r="G334" s="17">
        <v>0.53749999999999998</v>
      </c>
      <c r="H334" s="17">
        <v>0.55138888888888882</v>
      </c>
      <c r="I334" s="9">
        <v>22590</v>
      </c>
      <c r="J334" s="9">
        <v>9640</v>
      </c>
      <c r="K334" s="10">
        <f t="shared" si="12"/>
        <v>12950</v>
      </c>
      <c r="L334" s="10">
        <v>23369</v>
      </c>
      <c r="M334" s="11" t="s">
        <v>1041</v>
      </c>
      <c r="N334" s="12">
        <v>12</v>
      </c>
      <c r="O334" s="13" t="s">
        <v>855</v>
      </c>
      <c r="P334" s="14"/>
    </row>
    <row r="335" spans="1:16" x14ac:dyDescent="0.25">
      <c r="A335" s="6"/>
      <c r="B335" s="7">
        <v>44238</v>
      </c>
      <c r="C335" s="8" t="s">
        <v>164</v>
      </c>
      <c r="D335" s="8" t="s">
        <v>1164</v>
      </c>
      <c r="E335" s="9" t="s">
        <v>1165</v>
      </c>
      <c r="F335" s="9" t="s">
        <v>338</v>
      </c>
      <c r="G335" s="17">
        <v>0.54027777777777775</v>
      </c>
      <c r="H335" s="17"/>
      <c r="I335" s="9">
        <v>18870</v>
      </c>
      <c r="J335" s="9"/>
      <c r="K335" s="10">
        <f t="shared" si="12"/>
        <v>18870</v>
      </c>
      <c r="L335" s="10"/>
      <c r="M335" s="11" t="s">
        <v>166</v>
      </c>
      <c r="N335" s="12"/>
      <c r="O335" s="13" t="s">
        <v>1099</v>
      </c>
      <c r="P335" s="14"/>
    </row>
    <row r="336" spans="1:16" x14ac:dyDescent="0.25">
      <c r="A336" s="6"/>
      <c r="B336" s="7">
        <v>44238</v>
      </c>
      <c r="C336" s="8" t="s">
        <v>1122</v>
      </c>
      <c r="D336" s="8" t="s">
        <v>1130</v>
      </c>
      <c r="E336" s="9" t="s">
        <v>1131</v>
      </c>
      <c r="F336" s="9" t="s">
        <v>338</v>
      </c>
      <c r="G336" s="17">
        <v>0.55486111111111114</v>
      </c>
      <c r="H336" s="17">
        <v>0.62083333333333335</v>
      </c>
      <c r="I336" s="9">
        <v>56010</v>
      </c>
      <c r="J336" s="9">
        <v>20460</v>
      </c>
      <c r="K336" s="10">
        <f t="shared" si="12"/>
        <v>35550</v>
      </c>
      <c r="L336" s="10">
        <v>913</v>
      </c>
      <c r="M336" s="11" t="s">
        <v>306</v>
      </c>
      <c r="N336" s="12">
        <v>10000</v>
      </c>
      <c r="O336" s="13" t="s">
        <v>84</v>
      </c>
      <c r="P336" s="14"/>
    </row>
    <row r="337" spans="1:16" x14ac:dyDescent="0.25">
      <c r="A337" s="6"/>
      <c r="B337" s="7">
        <v>44238</v>
      </c>
      <c r="C337" s="8" t="s">
        <v>1062</v>
      </c>
      <c r="D337" s="8" t="s">
        <v>465</v>
      </c>
      <c r="E337" s="9" t="s">
        <v>881</v>
      </c>
      <c r="F337" s="9" t="s">
        <v>1203</v>
      </c>
      <c r="G337" s="17">
        <v>0.57013888888888886</v>
      </c>
      <c r="H337" s="17">
        <v>0.57638888888888895</v>
      </c>
      <c r="I337" s="9">
        <v>38880</v>
      </c>
      <c r="J337" s="9">
        <v>16160</v>
      </c>
      <c r="K337" s="10">
        <f t="shared" si="12"/>
        <v>22720</v>
      </c>
      <c r="L337" s="10">
        <v>23369</v>
      </c>
      <c r="M337" s="11" t="s">
        <v>1041</v>
      </c>
      <c r="N337" s="12">
        <v>21.6</v>
      </c>
      <c r="O337" s="13" t="s">
        <v>855</v>
      </c>
      <c r="P337" s="14"/>
    </row>
    <row r="338" spans="1:16" x14ac:dyDescent="0.25">
      <c r="A338" s="6"/>
      <c r="B338" s="7">
        <v>44238</v>
      </c>
      <c r="C338" s="8" t="s">
        <v>1062</v>
      </c>
      <c r="D338" s="8" t="s">
        <v>243</v>
      </c>
      <c r="E338" s="9" t="s">
        <v>51</v>
      </c>
      <c r="F338" s="9" t="s">
        <v>52</v>
      </c>
      <c r="G338" s="17">
        <v>0.57152777777777775</v>
      </c>
      <c r="H338" s="17">
        <v>0.58124999999999993</v>
      </c>
      <c r="I338" s="9">
        <v>38910</v>
      </c>
      <c r="J338" s="9">
        <v>16100</v>
      </c>
      <c r="K338" s="10">
        <f t="shared" si="12"/>
        <v>22810</v>
      </c>
      <c r="L338" s="10">
        <v>23369</v>
      </c>
      <c r="M338" s="11" t="s">
        <v>1041</v>
      </c>
      <c r="N338" s="12">
        <v>21.6</v>
      </c>
      <c r="O338" s="13" t="s">
        <v>855</v>
      </c>
      <c r="P338" s="14"/>
    </row>
    <row r="339" spans="1:16" x14ac:dyDescent="0.25">
      <c r="A339" s="6"/>
      <c r="B339" s="7">
        <v>44238</v>
      </c>
      <c r="C339" s="8" t="s">
        <v>1083</v>
      </c>
      <c r="D339" s="8" t="s">
        <v>1173</v>
      </c>
      <c r="E339" s="9" t="s">
        <v>1174</v>
      </c>
      <c r="F339" s="9" t="s">
        <v>503</v>
      </c>
      <c r="G339" s="17">
        <v>0.57361111111111118</v>
      </c>
      <c r="H339" s="17">
        <v>0.59305555555555556</v>
      </c>
      <c r="I339" s="9">
        <v>7450</v>
      </c>
      <c r="J339" s="9">
        <v>5270</v>
      </c>
      <c r="K339" s="10">
        <f t="shared" si="12"/>
        <v>2180</v>
      </c>
      <c r="L339" s="10">
        <v>4357</v>
      </c>
      <c r="M339" s="11" t="s">
        <v>1175</v>
      </c>
      <c r="N339" s="12">
        <v>2180</v>
      </c>
      <c r="O339" s="13" t="s">
        <v>32</v>
      </c>
      <c r="P339" s="14"/>
    </row>
    <row r="340" spans="1:16" x14ac:dyDescent="0.25">
      <c r="A340" s="6"/>
      <c r="B340" s="7">
        <v>44238</v>
      </c>
      <c r="C340" s="8" t="s">
        <v>1179</v>
      </c>
      <c r="D340" s="8" t="s">
        <v>1180</v>
      </c>
      <c r="E340" s="9" t="s">
        <v>1181</v>
      </c>
      <c r="F340" s="9" t="s">
        <v>1182</v>
      </c>
      <c r="G340" s="17">
        <v>0.59444444444444444</v>
      </c>
      <c r="H340" s="17">
        <v>0.60416666666666663</v>
      </c>
      <c r="I340" s="9">
        <v>21320</v>
      </c>
      <c r="J340" s="9">
        <v>8010</v>
      </c>
      <c r="K340" s="10">
        <f t="shared" si="12"/>
        <v>13310</v>
      </c>
      <c r="L340" s="10">
        <v>22282</v>
      </c>
      <c r="M340" s="11" t="s">
        <v>1183</v>
      </c>
      <c r="N340" s="12">
        <v>13310</v>
      </c>
      <c r="O340" s="13" t="s">
        <v>32</v>
      </c>
      <c r="P340" s="14"/>
    </row>
    <row r="341" spans="1:16" x14ac:dyDescent="0.25">
      <c r="A341" s="6"/>
      <c r="B341" s="7">
        <v>44238</v>
      </c>
      <c r="C341" s="8" t="s">
        <v>1062</v>
      </c>
      <c r="D341" s="8" t="s">
        <v>198</v>
      </c>
      <c r="E341" s="9" t="s">
        <v>405</v>
      </c>
      <c r="F341" s="9" t="s">
        <v>161</v>
      </c>
      <c r="G341" s="17">
        <v>0.59583333333333333</v>
      </c>
      <c r="H341" s="17">
        <v>0.65069444444444446</v>
      </c>
      <c r="I341" s="9">
        <v>41700</v>
      </c>
      <c r="J341" s="9">
        <v>16500</v>
      </c>
      <c r="K341" s="10">
        <f t="shared" si="12"/>
        <v>25200</v>
      </c>
      <c r="L341" s="10">
        <v>23369</v>
      </c>
      <c r="M341" s="11" t="s">
        <v>1041</v>
      </c>
      <c r="N341" s="12">
        <v>21.6</v>
      </c>
      <c r="O341" s="13" t="s">
        <v>855</v>
      </c>
      <c r="P341" s="14"/>
    </row>
    <row r="342" spans="1:16" x14ac:dyDescent="0.25">
      <c r="A342" s="6"/>
      <c r="B342" s="7">
        <v>44238</v>
      </c>
      <c r="C342" s="8" t="s">
        <v>1179</v>
      </c>
      <c r="D342" s="8" t="s">
        <v>1180</v>
      </c>
      <c r="E342" s="9" t="s">
        <v>1181</v>
      </c>
      <c r="F342" s="9" t="s">
        <v>1182</v>
      </c>
      <c r="G342" s="17">
        <v>0.60486111111111118</v>
      </c>
      <c r="H342" s="17">
        <v>0.61597222222222225</v>
      </c>
      <c r="I342" s="9">
        <v>8010</v>
      </c>
      <c r="J342" s="9">
        <v>20970</v>
      </c>
      <c r="K342" s="10">
        <f t="shared" si="12"/>
        <v>-12960</v>
      </c>
      <c r="L342" s="10">
        <v>22284</v>
      </c>
      <c r="M342" s="11" t="s">
        <v>1183</v>
      </c>
      <c r="N342" s="12">
        <v>12960</v>
      </c>
      <c r="O342" s="13" t="s">
        <v>32</v>
      </c>
      <c r="P342" s="14"/>
    </row>
    <row r="343" spans="1:16" x14ac:dyDescent="0.25">
      <c r="A343" s="6"/>
      <c r="B343" s="7">
        <v>44238</v>
      </c>
      <c r="C343" s="8" t="s">
        <v>1062</v>
      </c>
      <c r="D343" s="8" t="s">
        <v>299</v>
      </c>
      <c r="E343" s="9" t="s">
        <v>813</v>
      </c>
      <c r="F343" s="9" t="s">
        <v>814</v>
      </c>
      <c r="G343" s="17">
        <v>0.61527777777777781</v>
      </c>
      <c r="H343" s="17">
        <v>0.63055555555555554</v>
      </c>
      <c r="I343" s="9">
        <v>24610</v>
      </c>
      <c r="J343" s="9">
        <v>16820</v>
      </c>
      <c r="K343" s="10">
        <f t="shared" si="12"/>
        <v>7790</v>
      </c>
      <c r="L343" s="10">
        <v>23369</v>
      </c>
      <c r="M343" s="11" t="s">
        <v>1041</v>
      </c>
      <c r="N343" s="12">
        <v>7.2</v>
      </c>
      <c r="O343" s="13" t="s">
        <v>855</v>
      </c>
      <c r="P343" s="14"/>
    </row>
    <row r="344" spans="1:16" x14ac:dyDescent="0.25">
      <c r="A344" s="6"/>
      <c r="B344" s="7">
        <v>44238</v>
      </c>
      <c r="C344" s="8" t="s">
        <v>1122</v>
      </c>
      <c r="D344" s="8" t="s">
        <v>1219</v>
      </c>
      <c r="E344" s="9" t="s">
        <v>1220</v>
      </c>
      <c r="F344" s="9" t="s">
        <v>390</v>
      </c>
      <c r="G344" s="17">
        <v>0.62986111111111109</v>
      </c>
      <c r="H344" s="17">
        <v>0.70416666666666661</v>
      </c>
      <c r="I344" s="9">
        <v>54310</v>
      </c>
      <c r="J344" s="9">
        <v>18690</v>
      </c>
      <c r="K344" s="10">
        <f t="shared" si="12"/>
        <v>35620</v>
      </c>
      <c r="L344" s="10">
        <v>914</v>
      </c>
      <c r="M344" s="11" t="s">
        <v>306</v>
      </c>
      <c r="N344" s="12">
        <v>10000</v>
      </c>
      <c r="O344" s="13" t="s">
        <v>84</v>
      </c>
      <c r="P344" s="14"/>
    </row>
    <row r="345" spans="1:16" x14ac:dyDescent="0.25">
      <c r="A345" s="6"/>
      <c r="B345" s="7">
        <v>44238</v>
      </c>
      <c r="C345" s="8" t="s">
        <v>1221</v>
      </c>
      <c r="D345" s="8" t="s">
        <v>1222</v>
      </c>
      <c r="E345" s="9" t="s">
        <v>1223</v>
      </c>
      <c r="F345" s="9" t="s">
        <v>390</v>
      </c>
      <c r="G345" s="17">
        <v>0.63263888888888886</v>
      </c>
      <c r="H345" s="17">
        <v>0.64722222222222225</v>
      </c>
      <c r="I345" s="9">
        <v>7110</v>
      </c>
      <c r="J345" s="9">
        <v>6090</v>
      </c>
      <c r="K345" s="10">
        <f t="shared" si="12"/>
        <v>1020</v>
      </c>
      <c r="L345" s="10">
        <v>11397</v>
      </c>
      <c r="M345" s="11" t="s">
        <v>958</v>
      </c>
      <c r="N345" s="12">
        <v>18</v>
      </c>
      <c r="O345" s="13" t="s">
        <v>80</v>
      </c>
      <c r="P345" s="14"/>
    </row>
    <row r="346" spans="1:16" x14ac:dyDescent="0.25">
      <c r="A346" s="6"/>
      <c r="B346" s="7">
        <v>44238</v>
      </c>
      <c r="C346" s="8" t="s">
        <v>1224</v>
      </c>
      <c r="D346" s="8" t="s">
        <v>1225</v>
      </c>
      <c r="E346" s="9" t="s">
        <v>1226</v>
      </c>
      <c r="F346" s="9" t="s">
        <v>390</v>
      </c>
      <c r="G346" s="17">
        <v>0.66041666666666665</v>
      </c>
      <c r="H346" s="17">
        <v>0.67291666666666661</v>
      </c>
      <c r="I346" s="9">
        <v>8270</v>
      </c>
      <c r="J346" s="9">
        <v>6940</v>
      </c>
      <c r="K346" s="10">
        <f t="shared" si="12"/>
        <v>1330</v>
      </c>
      <c r="L346" s="10">
        <v>1196</v>
      </c>
      <c r="M346" s="11" t="s">
        <v>958</v>
      </c>
      <c r="N346" s="12">
        <v>24</v>
      </c>
      <c r="O346" s="13" t="s">
        <v>80</v>
      </c>
      <c r="P346" s="14"/>
    </row>
    <row r="347" spans="1:16" x14ac:dyDescent="0.25">
      <c r="A347" s="6"/>
      <c r="B347" s="7">
        <v>44238</v>
      </c>
      <c r="C347" s="8" t="s">
        <v>1083</v>
      </c>
      <c r="D347" s="8" t="s">
        <v>1173</v>
      </c>
      <c r="E347" s="9" t="s">
        <v>1174</v>
      </c>
      <c r="F347" s="9" t="s">
        <v>503</v>
      </c>
      <c r="G347" s="17">
        <v>0.6645833333333333</v>
      </c>
      <c r="H347" s="17">
        <v>0.67986111111111114</v>
      </c>
      <c r="I347" s="9">
        <v>6320</v>
      </c>
      <c r="J347" s="9">
        <v>5270</v>
      </c>
      <c r="K347" s="10">
        <f t="shared" si="12"/>
        <v>1050</v>
      </c>
      <c r="L347" s="10">
        <v>4358</v>
      </c>
      <c r="M347" s="11" t="s">
        <v>1175</v>
      </c>
      <c r="N347" s="12">
        <v>1050</v>
      </c>
      <c r="O347" s="13" t="s">
        <v>32</v>
      </c>
      <c r="P347" s="14"/>
    </row>
    <row r="348" spans="1:16" x14ac:dyDescent="0.25">
      <c r="A348" s="6"/>
      <c r="B348" s="7">
        <v>44238</v>
      </c>
      <c r="C348" s="8" t="s">
        <v>1065</v>
      </c>
      <c r="D348" s="8" t="s">
        <v>143</v>
      </c>
      <c r="E348" s="9" t="s">
        <v>144</v>
      </c>
      <c r="F348" s="9" t="s">
        <v>626</v>
      </c>
      <c r="G348" s="17">
        <v>0.67708333333333337</v>
      </c>
      <c r="H348" s="17">
        <v>0.69861111111111107</v>
      </c>
      <c r="I348" s="9">
        <v>38020</v>
      </c>
      <c r="J348" s="9">
        <v>15610</v>
      </c>
      <c r="K348" s="10">
        <f t="shared" si="12"/>
        <v>22410</v>
      </c>
      <c r="L348" s="10">
        <v>23371</v>
      </c>
      <c r="M348" s="11" t="s">
        <v>1041</v>
      </c>
      <c r="N348" s="12">
        <v>21.6</v>
      </c>
      <c r="O348" s="13" t="s">
        <v>855</v>
      </c>
      <c r="P348" s="14"/>
    </row>
    <row r="349" spans="1:16" x14ac:dyDescent="0.25">
      <c r="A349" s="6"/>
      <c r="B349" s="7">
        <v>44238</v>
      </c>
      <c r="C349" s="8" t="s">
        <v>1065</v>
      </c>
      <c r="D349" s="8" t="s">
        <v>1008</v>
      </c>
      <c r="E349" s="9" t="s">
        <v>490</v>
      </c>
      <c r="F349" s="9" t="s">
        <v>491</v>
      </c>
      <c r="G349" s="17">
        <v>0.68125000000000002</v>
      </c>
      <c r="H349" s="17">
        <v>0.68958333333333333</v>
      </c>
      <c r="I349" s="9">
        <v>38270</v>
      </c>
      <c r="J349" s="9">
        <v>15860</v>
      </c>
      <c r="K349" s="10">
        <f t="shared" si="12"/>
        <v>22410</v>
      </c>
      <c r="L349" s="10">
        <v>23371</v>
      </c>
      <c r="M349" s="11" t="s">
        <v>1041</v>
      </c>
      <c r="N349" s="12">
        <v>21.6</v>
      </c>
      <c r="O349" s="13" t="s">
        <v>855</v>
      </c>
      <c r="P349" s="14"/>
    </row>
    <row r="350" spans="1:16" x14ac:dyDescent="0.25">
      <c r="A350" s="6"/>
      <c r="B350" s="7">
        <v>44238</v>
      </c>
      <c r="C350" s="8" t="s">
        <v>1065</v>
      </c>
      <c r="D350" s="8" t="s">
        <v>928</v>
      </c>
      <c r="E350" s="9" t="s">
        <v>628</v>
      </c>
      <c r="F350" s="9" t="s">
        <v>859</v>
      </c>
      <c r="G350" s="17">
        <v>0.68263888888888891</v>
      </c>
      <c r="H350" s="17">
        <v>0.69236111111111109</v>
      </c>
      <c r="I350" s="9">
        <v>22570</v>
      </c>
      <c r="J350" s="9">
        <v>9630</v>
      </c>
      <c r="K350" s="10">
        <f t="shared" si="12"/>
        <v>12940</v>
      </c>
      <c r="L350" s="10">
        <v>23371</v>
      </c>
      <c r="M350" s="11" t="s">
        <v>1041</v>
      </c>
      <c r="N350" s="12">
        <v>12</v>
      </c>
      <c r="O350" s="13" t="s">
        <v>855</v>
      </c>
      <c r="P350" s="14"/>
    </row>
    <row r="351" spans="1:16" x14ac:dyDescent="0.25">
      <c r="A351" s="6"/>
      <c r="B351" s="7">
        <v>44238</v>
      </c>
      <c r="C351" s="8" t="s">
        <v>1075</v>
      </c>
      <c r="D351" s="8" t="s">
        <v>1076</v>
      </c>
      <c r="E351" s="9" t="s">
        <v>220</v>
      </c>
      <c r="F351" s="9" t="s">
        <v>221</v>
      </c>
      <c r="G351" s="17">
        <v>0.69444444444444453</v>
      </c>
      <c r="H351" s="17">
        <v>0.76944444444444438</v>
      </c>
      <c r="I351" s="9">
        <v>20500</v>
      </c>
      <c r="J351" s="9">
        <v>9150</v>
      </c>
      <c r="K351" s="10">
        <f t="shared" si="12"/>
        <v>11350</v>
      </c>
      <c r="L351" s="10">
        <v>749</v>
      </c>
      <c r="M351" s="11" t="s">
        <v>1077</v>
      </c>
      <c r="N351" s="12">
        <v>10995</v>
      </c>
      <c r="O351" s="13" t="s">
        <v>32</v>
      </c>
      <c r="P351" s="14"/>
    </row>
    <row r="352" spans="1:16" x14ac:dyDescent="0.25">
      <c r="A352" s="6"/>
      <c r="B352" s="7">
        <v>44238</v>
      </c>
      <c r="C352" s="8" t="s">
        <v>1065</v>
      </c>
      <c r="D352" s="8" t="s">
        <v>465</v>
      </c>
      <c r="E352" s="9" t="s">
        <v>881</v>
      </c>
      <c r="F352" s="9" t="s">
        <v>1203</v>
      </c>
      <c r="G352" s="17">
        <v>0.6958333333333333</v>
      </c>
      <c r="H352" s="17">
        <v>0.70624999999999993</v>
      </c>
      <c r="I352" s="9">
        <v>36720</v>
      </c>
      <c r="J352" s="9">
        <v>16170</v>
      </c>
      <c r="K352" s="10">
        <f t="shared" si="12"/>
        <v>20550</v>
      </c>
      <c r="L352" s="10">
        <v>23371</v>
      </c>
      <c r="M352" s="11" t="s">
        <v>1041</v>
      </c>
      <c r="N352" s="12">
        <v>19.2</v>
      </c>
      <c r="O352" s="13" t="s">
        <v>855</v>
      </c>
      <c r="P352" s="14"/>
    </row>
    <row r="353" spans="1:16" x14ac:dyDescent="0.25">
      <c r="A353" s="6"/>
      <c r="B353" s="7">
        <v>44238</v>
      </c>
      <c r="C353" s="8" t="s">
        <v>1065</v>
      </c>
      <c r="D353" s="8" t="s">
        <v>299</v>
      </c>
      <c r="E353" s="9" t="s">
        <v>813</v>
      </c>
      <c r="F353" s="9" t="s">
        <v>814</v>
      </c>
      <c r="G353" s="17">
        <v>0.6972222222222223</v>
      </c>
      <c r="H353" s="17">
        <v>0.71597222222222223</v>
      </c>
      <c r="I353" s="9">
        <v>41430</v>
      </c>
      <c r="J353" s="9">
        <v>16740</v>
      </c>
      <c r="K353" s="10">
        <f t="shared" si="12"/>
        <v>24690</v>
      </c>
      <c r="L353" s="10">
        <v>23371</v>
      </c>
      <c r="M353" s="11" t="s">
        <v>1041</v>
      </c>
      <c r="N353" s="12">
        <v>21.6</v>
      </c>
      <c r="O353" s="13" t="s">
        <v>855</v>
      </c>
      <c r="P353" s="14"/>
    </row>
    <row r="354" spans="1:16" s="82" customFormat="1" x14ac:dyDescent="0.25">
      <c r="A354" s="79"/>
      <c r="B354" s="80">
        <v>44238</v>
      </c>
      <c r="C354" s="52" t="s">
        <v>969</v>
      </c>
      <c r="D354" s="52" t="s">
        <v>602</v>
      </c>
      <c r="E354" s="53" t="s">
        <v>277</v>
      </c>
      <c r="F354" s="53" t="s">
        <v>128</v>
      </c>
      <c r="G354" s="54">
        <v>0.71805555555555556</v>
      </c>
      <c r="H354" s="54">
        <v>0.72361111111111109</v>
      </c>
      <c r="I354" s="53">
        <v>6480</v>
      </c>
      <c r="J354" s="53">
        <v>5580</v>
      </c>
      <c r="K354" s="55">
        <f t="shared" si="12"/>
        <v>900</v>
      </c>
      <c r="L354" s="55">
        <v>22296</v>
      </c>
      <c r="M354" s="56" t="s">
        <v>1227</v>
      </c>
      <c r="N354" s="57">
        <v>900</v>
      </c>
      <c r="O354" s="58" t="s">
        <v>32</v>
      </c>
      <c r="P354" s="81"/>
    </row>
    <row r="355" spans="1:16" x14ac:dyDescent="0.25">
      <c r="A355" s="6"/>
      <c r="B355" s="7">
        <v>44238</v>
      </c>
      <c r="C355" s="8" t="s">
        <v>1083</v>
      </c>
      <c r="D355" s="8" t="s">
        <v>1084</v>
      </c>
      <c r="E355" s="9" t="s">
        <v>1085</v>
      </c>
      <c r="F355" s="9" t="s">
        <v>1086</v>
      </c>
      <c r="G355" s="17">
        <v>0.73611111111111116</v>
      </c>
      <c r="H355" s="17">
        <v>0.7583333333333333</v>
      </c>
      <c r="I355" s="9">
        <v>9170</v>
      </c>
      <c r="J355" s="9">
        <v>6320</v>
      </c>
      <c r="K355" s="10">
        <f t="shared" si="12"/>
        <v>2850</v>
      </c>
      <c r="L355" s="10">
        <v>20174</v>
      </c>
      <c r="M355" s="11" t="s">
        <v>1087</v>
      </c>
      <c r="N355" s="12">
        <v>2850</v>
      </c>
      <c r="O355" s="13" t="s">
        <v>32</v>
      </c>
      <c r="P355" s="14" t="s">
        <v>1088</v>
      </c>
    </row>
    <row r="356" spans="1:16" x14ac:dyDescent="0.25">
      <c r="A356" s="6"/>
      <c r="B356" s="7">
        <v>44238</v>
      </c>
      <c r="C356" s="8" t="s">
        <v>1065</v>
      </c>
      <c r="D356" s="8" t="s">
        <v>198</v>
      </c>
      <c r="E356" s="9" t="s">
        <v>405</v>
      </c>
      <c r="F356" s="9" t="s">
        <v>161</v>
      </c>
      <c r="G356" s="17">
        <v>0.75208333333333333</v>
      </c>
      <c r="H356" s="17">
        <v>0.7729166666666667</v>
      </c>
      <c r="I356" s="9">
        <v>42130</v>
      </c>
      <c r="J356" s="9">
        <v>16480</v>
      </c>
      <c r="K356" s="10">
        <f t="shared" si="12"/>
        <v>25650</v>
      </c>
      <c r="L356" s="10">
        <v>23370</v>
      </c>
      <c r="M356" s="11" t="s">
        <v>1041</v>
      </c>
      <c r="N356" s="12">
        <v>21.6</v>
      </c>
      <c r="O356" s="13" t="s">
        <v>855</v>
      </c>
      <c r="P356" s="14"/>
    </row>
    <row r="357" spans="1:16" x14ac:dyDescent="0.25">
      <c r="A357" s="6"/>
      <c r="B357" s="7">
        <v>44238</v>
      </c>
      <c r="C357" s="8" t="s">
        <v>1228</v>
      </c>
      <c r="D357" s="8" t="s">
        <v>1142</v>
      </c>
      <c r="E357" s="9" t="s">
        <v>1143</v>
      </c>
      <c r="F357" s="9" t="s">
        <v>1086</v>
      </c>
      <c r="G357" s="17">
        <v>0.76111111111111107</v>
      </c>
      <c r="H357" s="17">
        <v>0.35138888888888892</v>
      </c>
      <c r="I357" s="9">
        <v>42590</v>
      </c>
      <c r="J357" s="9">
        <v>17810</v>
      </c>
      <c r="K357" s="10">
        <f t="shared" si="12"/>
        <v>24780</v>
      </c>
      <c r="L357" s="10">
        <v>1955</v>
      </c>
      <c r="M357" s="11" t="s">
        <v>1229</v>
      </c>
      <c r="N357" s="12">
        <v>26020</v>
      </c>
      <c r="O357" s="13" t="s">
        <v>32</v>
      </c>
      <c r="P357" s="14"/>
    </row>
    <row r="358" spans="1:16" x14ac:dyDescent="0.25">
      <c r="A358" s="6"/>
      <c r="B358" s="7">
        <v>44238</v>
      </c>
      <c r="C358" s="8" t="s">
        <v>1065</v>
      </c>
      <c r="D358" s="8" t="s">
        <v>928</v>
      </c>
      <c r="E358" s="9" t="s">
        <v>628</v>
      </c>
      <c r="F358" s="9" t="s">
        <v>859</v>
      </c>
      <c r="G358" s="17">
        <v>0.76458333333333339</v>
      </c>
      <c r="H358" s="17">
        <v>0.77569444444444446</v>
      </c>
      <c r="I358" s="9">
        <v>23230</v>
      </c>
      <c r="J358" s="9">
        <v>9620</v>
      </c>
      <c r="K358" s="10">
        <f t="shared" si="12"/>
        <v>13610</v>
      </c>
      <c r="L358" s="10">
        <v>23371</v>
      </c>
      <c r="M358" s="11" t="s">
        <v>1041</v>
      </c>
      <c r="N358" s="12">
        <v>12</v>
      </c>
      <c r="O358" s="13" t="s">
        <v>855</v>
      </c>
      <c r="P358" s="14"/>
    </row>
    <row r="359" spans="1:16" x14ac:dyDescent="0.25">
      <c r="A359" s="6"/>
      <c r="B359" s="7">
        <v>44238</v>
      </c>
      <c r="C359" s="8" t="s">
        <v>1065</v>
      </c>
      <c r="D359" s="8" t="s">
        <v>1008</v>
      </c>
      <c r="E359" s="9" t="s">
        <v>490</v>
      </c>
      <c r="F359" s="9" t="s">
        <v>491</v>
      </c>
      <c r="G359" s="17">
        <v>0.76597222222222217</v>
      </c>
      <c r="H359" s="17">
        <v>0.80902777777777779</v>
      </c>
      <c r="I359" s="9">
        <v>39060</v>
      </c>
      <c r="J359" s="9">
        <v>15830</v>
      </c>
      <c r="K359" s="10">
        <f t="shared" si="12"/>
        <v>23230</v>
      </c>
      <c r="L359" s="10">
        <v>23371</v>
      </c>
      <c r="M359" s="11" t="s">
        <v>1041</v>
      </c>
      <c r="N359" s="12">
        <v>21.6</v>
      </c>
      <c r="O359" s="13" t="s">
        <v>855</v>
      </c>
      <c r="P359" s="14"/>
    </row>
    <row r="360" spans="1:16" x14ac:dyDescent="0.25">
      <c r="A360" s="6"/>
      <c r="B360" s="7">
        <v>44238</v>
      </c>
      <c r="C360" s="8" t="s">
        <v>1065</v>
      </c>
      <c r="D360" s="8" t="s">
        <v>143</v>
      </c>
      <c r="E360" s="9" t="s">
        <v>144</v>
      </c>
      <c r="F360" s="9" t="s">
        <v>626</v>
      </c>
      <c r="G360" s="17">
        <v>0.76666666666666661</v>
      </c>
      <c r="H360" s="17">
        <v>0.8222222222222223</v>
      </c>
      <c r="I360" s="9">
        <v>39030</v>
      </c>
      <c r="J360" s="9">
        <v>15590</v>
      </c>
      <c r="K360" s="10">
        <f t="shared" si="12"/>
        <v>23440</v>
      </c>
      <c r="L360" s="10">
        <v>23371</v>
      </c>
      <c r="M360" s="11" t="s">
        <v>1041</v>
      </c>
      <c r="N360" s="12">
        <v>21.6</v>
      </c>
      <c r="O360" s="13" t="s">
        <v>855</v>
      </c>
      <c r="P360" s="14"/>
    </row>
    <row r="361" spans="1:16" x14ac:dyDescent="0.25">
      <c r="A361" s="6"/>
      <c r="B361" s="7">
        <v>44238</v>
      </c>
      <c r="C361" s="8" t="s">
        <v>1065</v>
      </c>
      <c r="D361" s="8" t="s">
        <v>465</v>
      </c>
      <c r="E361" s="9" t="s">
        <v>881</v>
      </c>
      <c r="F361" s="9" t="s">
        <v>1203</v>
      </c>
      <c r="G361" s="17">
        <v>0.77847222222222223</v>
      </c>
      <c r="H361" s="17">
        <v>0.83263888888888893</v>
      </c>
      <c r="I361" s="9">
        <v>21160</v>
      </c>
      <c r="J361" s="9">
        <v>16080</v>
      </c>
      <c r="K361" s="10">
        <f t="shared" si="12"/>
        <v>5080</v>
      </c>
      <c r="L361" s="10">
        <v>23371</v>
      </c>
      <c r="M361" s="11" t="s">
        <v>1041</v>
      </c>
      <c r="N361" s="12">
        <v>4.8</v>
      </c>
      <c r="O361" s="13" t="s">
        <v>855</v>
      </c>
      <c r="P361" s="14"/>
    </row>
    <row r="362" spans="1:16" x14ac:dyDescent="0.25">
      <c r="A362" s="6"/>
      <c r="B362" s="7">
        <v>44238</v>
      </c>
      <c r="C362" s="8" t="s">
        <v>930</v>
      </c>
      <c r="D362" s="8" t="s">
        <v>243</v>
      </c>
      <c r="E362" s="9" t="s">
        <v>51</v>
      </c>
      <c r="F362" s="9" t="s">
        <v>52</v>
      </c>
      <c r="G362" s="17">
        <v>0.77916666666666667</v>
      </c>
      <c r="H362" s="17"/>
      <c r="I362" s="9">
        <v>42040</v>
      </c>
      <c r="J362" s="9"/>
      <c r="K362" s="10">
        <f t="shared" si="12"/>
        <v>42040</v>
      </c>
      <c r="L362" s="10">
        <v>40426</v>
      </c>
      <c r="M362" s="11" t="s">
        <v>862</v>
      </c>
      <c r="N362" s="12">
        <v>25120</v>
      </c>
      <c r="O362" s="13" t="s">
        <v>32</v>
      </c>
      <c r="P362" s="14"/>
    </row>
    <row r="363" spans="1:16" x14ac:dyDescent="0.25">
      <c r="A363" s="6"/>
      <c r="B363" s="7">
        <v>44238</v>
      </c>
      <c r="C363" s="8" t="s">
        <v>962</v>
      </c>
      <c r="D363" s="8" t="s">
        <v>1230</v>
      </c>
      <c r="E363" s="9" t="s">
        <v>1231</v>
      </c>
      <c r="F363" s="9" t="s">
        <v>390</v>
      </c>
      <c r="G363" s="17">
        <v>0.78888888888888886</v>
      </c>
      <c r="H363" s="17">
        <v>0.84305555555555556</v>
      </c>
      <c r="I363" s="9">
        <v>11560</v>
      </c>
      <c r="J363" s="9">
        <v>4040</v>
      </c>
      <c r="K363" s="10">
        <f t="shared" si="12"/>
        <v>7520</v>
      </c>
      <c r="L363" s="10">
        <v>26449</v>
      </c>
      <c r="M363" s="11" t="s">
        <v>1208</v>
      </c>
      <c r="N363" s="12">
        <v>7520</v>
      </c>
      <c r="O363" s="13" t="s">
        <v>32</v>
      </c>
      <c r="P363" s="14"/>
    </row>
    <row r="364" spans="1:16" x14ac:dyDescent="0.25">
      <c r="A364" s="6"/>
      <c r="B364" s="7">
        <v>44238</v>
      </c>
      <c r="C364" s="8" t="s">
        <v>185</v>
      </c>
      <c r="D364" s="8" t="s">
        <v>1232</v>
      </c>
      <c r="E364" s="9" t="s">
        <v>1233</v>
      </c>
      <c r="F364" s="9" t="s">
        <v>390</v>
      </c>
      <c r="G364" s="17">
        <v>0.8666666666666667</v>
      </c>
      <c r="H364" s="17">
        <v>0.88680555555555562</v>
      </c>
      <c r="I364" s="9">
        <v>5320</v>
      </c>
      <c r="J364" s="9">
        <v>5080</v>
      </c>
      <c r="K364" s="10">
        <f t="shared" si="12"/>
        <v>240</v>
      </c>
      <c r="L364" s="10">
        <v>140140</v>
      </c>
      <c r="M364" s="11" t="s">
        <v>1234</v>
      </c>
      <c r="N364" s="12">
        <v>2000</v>
      </c>
      <c r="O364" s="13" t="s">
        <v>1099</v>
      </c>
      <c r="P364" s="14"/>
    </row>
    <row r="365" spans="1:16" x14ac:dyDescent="0.25">
      <c r="A365" s="6"/>
      <c r="B365" s="7">
        <v>44238</v>
      </c>
      <c r="C365" s="8" t="s">
        <v>926</v>
      </c>
      <c r="D365" s="8" t="s">
        <v>1116</v>
      </c>
      <c r="E365" s="9" t="s">
        <v>1048</v>
      </c>
      <c r="F365" s="9" t="s">
        <v>1117</v>
      </c>
      <c r="G365" s="17">
        <v>0.88402777777777775</v>
      </c>
      <c r="H365" s="17">
        <v>0.3576388888888889</v>
      </c>
      <c r="I365" s="9">
        <v>19990</v>
      </c>
      <c r="J365" s="9">
        <v>17800</v>
      </c>
      <c r="K365" s="10">
        <f t="shared" si="12"/>
        <v>2190</v>
      </c>
      <c r="L365" s="10">
        <v>3046</v>
      </c>
      <c r="M365" s="11" t="s">
        <v>1235</v>
      </c>
      <c r="N365" s="12">
        <v>22</v>
      </c>
      <c r="O365" s="13" t="s">
        <v>80</v>
      </c>
      <c r="P365" s="14"/>
    </row>
    <row r="366" spans="1:16" x14ac:dyDescent="0.25">
      <c r="A366" s="6"/>
      <c r="B366" s="7">
        <v>44238</v>
      </c>
      <c r="C366" s="8" t="s">
        <v>1237</v>
      </c>
      <c r="D366" s="8" t="s">
        <v>530</v>
      </c>
      <c r="E366" s="9" t="s">
        <v>699</v>
      </c>
      <c r="F366" s="9" t="s">
        <v>140</v>
      </c>
      <c r="G366" s="17">
        <v>0.90208333333333324</v>
      </c>
      <c r="H366" s="17">
        <v>0.95000000000000007</v>
      </c>
      <c r="I366" s="9">
        <v>18760</v>
      </c>
      <c r="J366" s="9">
        <v>8400</v>
      </c>
      <c r="K366" s="10">
        <f t="shared" si="12"/>
        <v>10360</v>
      </c>
      <c r="L366" s="10" t="s">
        <v>1236</v>
      </c>
      <c r="M366" s="11" t="s">
        <v>48</v>
      </c>
      <c r="N366" s="12">
        <f>2242+5200+9490</f>
        <v>16932</v>
      </c>
      <c r="O366" s="13" t="s">
        <v>49</v>
      </c>
      <c r="P366" s="14"/>
    </row>
    <row r="367" spans="1:16" x14ac:dyDescent="0.25">
      <c r="A367" s="6"/>
      <c r="B367" s="7">
        <v>44238</v>
      </c>
      <c r="C367" s="8" t="s">
        <v>37</v>
      </c>
      <c r="D367" s="8" t="s">
        <v>1055</v>
      </c>
      <c r="E367" s="9" t="s">
        <v>39</v>
      </c>
      <c r="F367" s="9" t="s">
        <v>338</v>
      </c>
      <c r="G367" s="17">
        <v>0.91111111111111109</v>
      </c>
      <c r="H367" s="17">
        <v>0.97916666666666663</v>
      </c>
      <c r="I367" s="9">
        <v>21060</v>
      </c>
      <c r="J367" s="9">
        <v>6220</v>
      </c>
      <c r="K367" s="10">
        <f t="shared" si="12"/>
        <v>14840</v>
      </c>
      <c r="L367" s="10">
        <v>26450</v>
      </c>
      <c r="M367" s="11" t="s">
        <v>1238</v>
      </c>
      <c r="N367" s="12">
        <v>14840</v>
      </c>
      <c r="O367" s="13" t="s">
        <v>32</v>
      </c>
      <c r="P367" s="14"/>
    </row>
    <row r="368" spans="1:16" x14ac:dyDescent="0.25">
      <c r="A368" s="6"/>
      <c r="B368" s="7">
        <v>44238</v>
      </c>
      <c r="C368" s="8" t="s">
        <v>1239</v>
      </c>
      <c r="D368" s="8" t="s">
        <v>935</v>
      </c>
      <c r="E368" s="9" t="s">
        <v>473</v>
      </c>
      <c r="F368" s="9" t="s">
        <v>338</v>
      </c>
      <c r="G368" s="17">
        <v>0.92708333333333337</v>
      </c>
      <c r="H368" s="17">
        <v>0.95208333333333339</v>
      </c>
      <c r="I368" s="9">
        <v>17890</v>
      </c>
      <c r="J368" s="9">
        <v>15420</v>
      </c>
      <c r="K368" s="10">
        <f t="shared" si="12"/>
        <v>2470</v>
      </c>
      <c r="L368" s="83" t="s">
        <v>1240</v>
      </c>
      <c r="M368" s="11" t="s">
        <v>242</v>
      </c>
      <c r="N368" s="12">
        <v>40</v>
      </c>
      <c r="O368" s="13" t="s">
        <v>80</v>
      </c>
      <c r="P368" s="14"/>
    </row>
    <row r="369" spans="1:16" x14ac:dyDescent="0.25">
      <c r="A369" s="6"/>
      <c r="B369" s="7">
        <v>44238</v>
      </c>
      <c r="C369" s="8" t="s">
        <v>1241</v>
      </c>
      <c r="D369" s="8" t="s">
        <v>1242</v>
      </c>
      <c r="E369" s="9" t="s">
        <v>1243</v>
      </c>
      <c r="F369" s="9" t="s">
        <v>338</v>
      </c>
      <c r="G369" s="17">
        <v>0.9868055555555556</v>
      </c>
      <c r="H369" s="17">
        <v>3.2638888888888891E-2</v>
      </c>
      <c r="I369" s="9">
        <v>18960</v>
      </c>
      <c r="J369" s="9">
        <v>16740</v>
      </c>
      <c r="K369" s="10">
        <f t="shared" si="12"/>
        <v>2220</v>
      </c>
      <c r="L369" s="10">
        <v>89</v>
      </c>
      <c r="M369" s="11" t="s">
        <v>242</v>
      </c>
      <c r="N369" s="12">
        <v>40</v>
      </c>
      <c r="O369" s="13" t="s">
        <v>80</v>
      </c>
      <c r="P369" s="14"/>
    </row>
    <row r="370" spans="1:16" x14ac:dyDescent="0.25">
      <c r="A370" s="6"/>
      <c r="B370" s="15">
        <v>44239</v>
      </c>
      <c r="C370" s="8" t="s">
        <v>871</v>
      </c>
      <c r="D370" s="8" t="s">
        <v>86</v>
      </c>
      <c r="E370" s="9" t="s">
        <v>87</v>
      </c>
      <c r="F370" s="9" t="s">
        <v>88</v>
      </c>
      <c r="G370" s="17">
        <v>0.18333333333333335</v>
      </c>
      <c r="H370" s="17">
        <v>0.19305555555555554</v>
      </c>
      <c r="I370" s="9">
        <v>31940</v>
      </c>
      <c r="J370" s="9">
        <v>18030</v>
      </c>
      <c r="K370" s="10">
        <f t="shared" si="12"/>
        <v>13910</v>
      </c>
      <c r="L370" s="10">
        <v>750</v>
      </c>
      <c r="M370" s="11" t="s">
        <v>257</v>
      </c>
      <c r="N370" s="12">
        <v>14230</v>
      </c>
      <c r="O370" s="13" t="s">
        <v>32</v>
      </c>
      <c r="P370" s="14"/>
    </row>
    <row r="371" spans="1:16" x14ac:dyDescent="0.25">
      <c r="A371" s="6"/>
      <c r="B371" s="7">
        <v>44239</v>
      </c>
      <c r="C371" s="8" t="s">
        <v>1107</v>
      </c>
      <c r="D371" s="8" t="s">
        <v>308</v>
      </c>
      <c r="E371" s="9" t="s">
        <v>110</v>
      </c>
      <c r="F371" s="9" t="s">
        <v>111</v>
      </c>
      <c r="G371" s="17">
        <v>0.28541666666666665</v>
      </c>
      <c r="H371" s="17">
        <v>0.47500000000000003</v>
      </c>
      <c r="I371" s="9">
        <v>13380</v>
      </c>
      <c r="J371" s="9">
        <v>6540</v>
      </c>
      <c r="K371" s="10">
        <f t="shared" si="12"/>
        <v>6840</v>
      </c>
      <c r="L371" s="10">
        <v>96</v>
      </c>
      <c r="M371" s="11" t="s">
        <v>48</v>
      </c>
      <c r="N371" s="12">
        <v>14930</v>
      </c>
      <c r="O371" s="13" t="s">
        <v>49</v>
      </c>
      <c r="P371" s="14"/>
    </row>
    <row r="372" spans="1:16" x14ac:dyDescent="0.25">
      <c r="A372" s="6"/>
      <c r="B372" s="7">
        <v>44239</v>
      </c>
      <c r="C372" s="8" t="s">
        <v>469</v>
      </c>
      <c r="D372" s="8" t="s">
        <v>1157</v>
      </c>
      <c r="E372" s="9" t="s">
        <v>1158</v>
      </c>
      <c r="F372" s="9" t="s">
        <v>338</v>
      </c>
      <c r="G372" s="17">
        <v>0.28611111111111115</v>
      </c>
      <c r="H372" s="17">
        <v>0.51180555555555551</v>
      </c>
      <c r="I372" s="9">
        <v>10490</v>
      </c>
      <c r="J372" s="9">
        <v>30440</v>
      </c>
      <c r="K372" s="10">
        <f t="shared" si="12"/>
        <v>-19950</v>
      </c>
      <c r="L372" s="10">
        <v>5776</v>
      </c>
      <c r="M372" s="11" t="s">
        <v>664</v>
      </c>
      <c r="N372" s="12">
        <v>5741</v>
      </c>
      <c r="O372" s="13" t="s">
        <v>84</v>
      </c>
      <c r="P372" s="14"/>
    </row>
    <row r="373" spans="1:16" x14ac:dyDescent="0.25">
      <c r="A373" s="6"/>
      <c r="B373" s="7">
        <v>44239</v>
      </c>
      <c r="C373" s="8" t="s">
        <v>926</v>
      </c>
      <c r="D373" s="8" t="s">
        <v>1116</v>
      </c>
      <c r="E373" s="9" t="s">
        <v>1048</v>
      </c>
      <c r="F373" s="9" t="s">
        <v>1117</v>
      </c>
      <c r="G373" s="17">
        <v>0.34652777777777777</v>
      </c>
      <c r="H373" s="17">
        <v>0.34861111111111115</v>
      </c>
      <c r="I373" s="9">
        <v>760</v>
      </c>
      <c r="J373" s="9">
        <v>50</v>
      </c>
      <c r="K373" s="10">
        <f t="shared" si="12"/>
        <v>710</v>
      </c>
      <c r="L373" s="10">
        <v>110035</v>
      </c>
      <c r="M373" s="11" t="s">
        <v>1244</v>
      </c>
      <c r="N373" s="12">
        <v>710</v>
      </c>
      <c r="O373" s="13" t="s">
        <v>32</v>
      </c>
      <c r="P373" s="14" t="s">
        <v>883</v>
      </c>
    </row>
    <row r="374" spans="1:16" x14ac:dyDescent="0.25">
      <c r="A374" s="6"/>
      <c r="B374" s="7">
        <v>44239</v>
      </c>
      <c r="C374" s="8" t="s">
        <v>469</v>
      </c>
      <c r="D374" s="8" t="s">
        <v>1116</v>
      </c>
      <c r="E374" s="9" t="s">
        <v>1048</v>
      </c>
      <c r="F374" s="9" t="s">
        <v>1117</v>
      </c>
      <c r="G374" s="17">
        <v>0.35625000000000001</v>
      </c>
      <c r="H374" s="17">
        <v>0.38472222222222219</v>
      </c>
      <c r="I374" s="9">
        <v>17800</v>
      </c>
      <c r="J374" s="9">
        <v>40860</v>
      </c>
      <c r="K374" s="10">
        <f t="shared" si="12"/>
        <v>-23060</v>
      </c>
      <c r="L374" s="10">
        <v>5775</v>
      </c>
      <c r="M374" s="11" t="s">
        <v>861</v>
      </c>
      <c r="N374" s="12">
        <v>21900</v>
      </c>
      <c r="O374" s="13" t="s">
        <v>32</v>
      </c>
      <c r="P374" s="14" t="s">
        <v>1147</v>
      </c>
    </row>
    <row r="375" spans="1:16" x14ac:dyDescent="0.25">
      <c r="A375" s="6"/>
      <c r="B375" s="7">
        <v>44239</v>
      </c>
      <c r="C375" s="8" t="s">
        <v>1245</v>
      </c>
      <c r="D375" s="8" t="s">
        <v>1246</v>
      </c>
      <c r="E375" s="9" t="s">
        <v>1247</v>
      </c>
      <c r="F375" s="9" t="s">
        <v>338</v>
      </c>
      <c r="G375" s="17">
        <v>0.375</v>
      </c>
      <c r="H375" s="17">
        <v>0.4368055555555555</v>
      </c>
      <c r="I375" s="9">
        <v>17840</v>
      </c>
      <c r="J375" s="9">
        <v>48760</v>
      </c>
      <c r="K375" s="10">
        <f t="shared" si="12"/>
        <v>-30920</v>
      </c>
      <c r="L375" s="10">
        <v>5777</v>
      </c>
      <c r="M375" s="11" t="s">
        <v>53</v>
      </c>
      <c r="N375" s="12">
        <v>600</v>
      </c>
      <c r="O375" s="13" t="s">
        <v>1099</v>
      </c>
      <c r="P375" s="14"/>
    </row>
    <row r="376" spans="1:16" x14ac:dyDescent="0.25">
      <c r="A376" s="6"/>
      <c r="B376" s="7">
        <v>44239</v>
      </c>
      <c r="C376" s="8" t="s">
        <v>164</v>
      </c>
      <c r="D376" s="8" t="s">
        <v>1248</v>
      </c>
      <c r="E376" s="9" t="s">
        <v>1249</v>
      </c>
      <c r="F376" s="9" t="s">
        <v>338</v>
      </c>
      <c r="G376" s="17">
        <v>0.37638888888888888</v>
      </c>
      <c r="H376" s="17">
        <v>0.40902777777777777</v>
      </c>
      <c r="I376" s="9">
        <v>12740</v>
      </c>
      <c r="J376" s="9">
        <v>39300</v>
      </c>
      <c r="K376" s="10">
        <f t="shared" si="12"/>
        <v>-26560</v>
      </c>
      <c r="L376" s="10">
        <v>15450</v>
      </c>
      <c r="M376" s="11" t="s">
        <v>166</v>
      </c>
      <c r="N376" s="12">
        <v>504</v>
      </c>
      <c r="O376" s="13" t="s">
        <v>1099</v>
      </c>
      <c r="P376" s="14"/>
    </row>
    <row r="377" spans="1:16" x14ac:dyDescent="0.25">
      <c r="A377" s="6"/>
      <c r="B377" s="7">
        <v>44239</v>
      </c>
      <c r="C377" s="8" t="s">
        <v>985</v>
      </c>
      <c r="D377" s="8" t="s">
        <v>928</v>
      </c>
      <c r="E377" s="9" t="s">
        <v>628</v>
      </c>
      <c r="F377" s="9" t="s">
        <v>859</v>
      </c>
      <c r="G377" s="17">
        <v>0.38055555555555554</v>
      </c>
      <c r="H377" s="17">
        <v>0.39166666666666666</v>
      </c>
      <c r="I377" s="9">
        <v>12160</v>
      </c>
      <c r="J377" s="9">
        <v>9600</v>
      </c>
      <c r="K377" s="10">
        <f t="shared" si="12"/>
        <v>2560</v>
      </c>
      <c r="L377" s="10">
        <v>23374</v>
      </c>
      <c r="M377" s="11" t="s">
        <v>1041</v>
      </c>
      <c r="N377" s="12">
        <v>2560</v>
      </c>
      <c r="O377" s="13" t="s">
        <v>32</v>
      </c>
      <c r="P377" s="14" t="s">
        <v>1250</v>
      </c>
    </row>
    <row r="378" spans="1:16" x14ac:dyDescent="0.25">
      <c r="A378" s="6"/>
      <c r="B378" s="7">
        <v>44239</v>
      </c>
      <c r="C378" s="8" t="s">
        <v>1253</v>
      </c>
      <c r="D378" s="8" t="s">
        <v>1251</v>
      </c>
      <c r="E378" s="9" t="s">
        <v>1252</v>
      </c>
      <c r="F378" s="9" t="s">
        <v>338</v>
      </c>
      <c r="G378" s="17">
        <v>0.41319444444444442</v>
      </c>
      <c r="H378" s="17">
        <v>0.46527777777777773</v>
      </c>
      <c r="I378" s="9">
        <v>20290</v>
      </c>
      <c r="J378" s="9">
        <v>44330</v>
      </c>
      <c r="K378" s="10">
        <f t="shared" si="12"/>
        <v>-24040</v>
      </c>
      <c r="L378" s="10">
        <v>5778</v>
      </c>
      <c r="M378" s="11" t="s">
        <v>1256</v>
      </c>
      <c r="N378" s="12">
        <v>960</v>
      </c>
      <c r="O378" s="13" t="s">
        <v>1099</v>
      </c>
      <c r="P378" s="14"/>
    </row>
    <row r="379" spans="1:16" x14ac:dyDescent="0.25">
      <c r="A379" s="6"/>
      <c r="B379" s="7">
        <v>44239</v>
      </c>
      <c r="C379" s="8" t="s">
        <v>1083</v>
      </c>
      <c r="D379" s="8" t="s">
        <v>1173</v>
      </c>
      <c r="E379" s="9" t="s">
        <v>1174</v>
      </c>
      <c r="F379" s="9" t="s">
        <v>503</v>
      </c>
      <c r="G379" s="17">
        <v>0.41388888888888892</v>
      </c>
      <c r="H379" s="17">
        <v>0.43472222222222223</v>
      </c>
      <c r="I379" s="9">
        <v>6850</v>
      </c>
      <c r="J379" s="9">
        <v>5270</v>
      </c>
      <c r="K379" s="10">
        <f t="shared" si="12"/>
        <v>1580</v>
      </c>
      <c r="L379" s="10">
        <v>4359</v>
      </c>
      <c r="M379" s="11" t="s">
        <v>1175</v>
      </c>
      <c r="N379" s="12">
        <v>1580</v>
      </c>
      <c r="O379" s="13" t="s">
        <v>32</v>
      </c>
      <c r="P379" s="14"/>
    </row>
    <row r="380" spans="1:16" x14ac:dyDescent="0.25">
      <c r="A380" s="6"/>
      <c r="B380" s="7">
        <v>44239</v>
      </c>
      <c r="C380" s="8" t="s">
        <v>1254</v>
      </c>
      <c r="D380" s="8" t="s">
        <v>311</v>
      </c>
      <c r="E380" s="9" t="s">
        <v>312</v>
      </c>
      <c r="F380" s="9" t="s">
        <v>338</v>
      </c>
      <c r="G380" s="17">
        <v>0.44166666666666665</v>
      </c>
      <c r="H380" s="17">
        <v>0.47013888888888888</v>
      </c>
      <c r="I380" s="9">
        <v>6370</v>
      </c>
      <c r="J380" s="9">
        <v>3240</v>
      </c>
      <c r="K380" s="10">
        <f t="shared" ref="K380" si="13">+I380-J380</f>
        <v>3130</v>
      </c>
      <c r="L380" s="10">
        <v>11025</v>
      </c>
      <c r="M380" s="11" t="s">
        <v>1255</v>
      </c>
      <c r="N380" s="12">
        <v>3130</v>
      </c>
      <c r="O380" s="13" t="s">
        <v>32</v>
      </c>
      <c r="P380" s="14"/>
    </row>
    <row r="381" spans="1:16" x14ac:dyDescent="0.25">
      <c r="A381" s="6"/>
      <c r="B381" s="7">
        <v>44239</v>
      </c>
      <c r="C381" s="8" t="s">
        <v>1081</v>
      </c>
      <c r="D381" s="8" t="s">
        <v>198</v>
      </c>
      <c r="E381" s="9" t="s">
        <v>405</v>
      </c>
      <c r="F381" s="9" t="s">
        <v>161</v>
      </c>
      <c r="G381" s="17">
        <v>0.44305555555555554</v>
      </c>
      <c r="H381" s="17">
        <v>0.46319444444444446</v>
      </c>
      <c r="I381" s="9">
        <v>39700</v>
      </c>
      <c r="J381" s="9">
        <v>16720</v>
      </c>
      <c r="K381" s="10">
        <f t="shared" si="12"/>
        <v>22980</v>
      </c>
      <c r="L381" s="10">
        <v>23375</v>
      </c>
      <c r="M381" s="11" t="s">
        <v>1041</v>
      </c>
      <c r="N381" s="12">
        <v>21.6</v>
      </c>
      <c r="O381" s="13" t="s">
        <v>855</v>
      </c>
      <c r="P381" s="14"/>
    </row>
    <row r="382" spans="1:16" x14ac:dyDescent="0.25">
      <c r="A382" s="6"/>
      <c r="B382" s="7">
        <v>44239</v>
      </c>
      <c r="C382" s="8" t="s">
        <v>1081</v>
      </c>
      <c r="D382" s="8" t="s">
        <v>1008</v>
      </c>
      <c r="E382" s="9" t="s">
        <v>490</v>
      </c>
      <c r="F382" s="9" t="s">
        <v>491</v>
      </c>
      <c r="G382" s="17">
        <v>0.44513888888888892</v>
      </c>
      <c r="H382" s="17">
        <v>0.45763888888888887</v>
      </c>
      <c r="I382" s="9">
        <v>38910</v>
      </c>
      <c r="J382" s="9">
        <v>15820</v>
      </c>
      <c r="K382" s="10">
        <f t="shared" si="12"/>
        <v>23090</v>
      </c>
      <c r="L382" s="10">
        <v>23375</v>
      </c>
      <c r="M382" s="11" t="s">
        <v>1041</v>
      </c>
      <c r="N382" s="12">
        <v>21.6</v>
      </c>
      <c r="O382" s="13" t="s">
        <v>855</v>
      </c>
      <c r="P382" s="14"/>
    </row>
    <row r="383" spans="1:16" x14ac:dyDescent="0.25">
      <c r="A383" s="6"/>
      <c r="B383" s="7">
        <v>44239</v>
      </c>
      <c r="C383" s="8" t="s">
        <v>1081</v>
      </c>
      <c r="D383" s="8" t="s">
        <v>299</v>
      </c>
      <c r="E383" s="9" t="s">
        <v>813</v>
      </c>
      <c r="F383" s="9" t="s">
        <v>814</v>
      </c>
      <c r="G383" s="17">
        <v>0.4513888888888889</v>
      </c>
      <c r="H383" s="17">
        <v>0.46111111111111108</v>
      </c>
      <c r="I383" s="9">
        <v>41030</v>
      </c>
      <c r="J383" s="9">
        <v>16700</v>
      </c>
      <c r="K383" s="10">
        <f t="shared" si="12"/>
        <v>24330</v>
      </c>
      <c r="L383" s="10">
        <v>23375</v>
      </c>
      <c r="M383" s="11" t="s">
        <v>1041</v>
      </c>
      <c r="N383" s="12">
        <v>21.6</v>
      </c>
      <c r="O383" s="13" t="s">
        <v>855</v>
      </c>
      <c r="P383" s="14"/>
    </row>
    <row r="384" spans="1:16" x14ac:dyDescent="0.25">
      <c r="A384" s="6"/>
      <c r="B384" s="7">
        <v>44239</v>
      </c>
      <c r="C384" s="8" t="s">
        <v>1081</v>
      </c>
      <c r="D384" s="8" t="s">
        <v>284</v>
      </c>
      <c r="E384" s="9" t="s">
        <v>285</v>
      </c>
      <c r="F384" s="9" t="s">
        <v>286</v>
      </c>
      <c r="G384" s="17">
        <v>0.4694444444444445</v>
      </c>
      <c r="H384" s="17">
        <v>0.47847222222222219</v>
      </c>
      <c r="I384" s="9">
        <v>40250</v>
      </c>
      <c r="J384" s="9">
        <v>16300</v>
      </c>
      <c r="K384" s="10">
        <f t="shared" si="12"/>
        <v>23950</v>
      </c>
      <c r="L384" s="10">
        <v>23375</v>
      </c>
      <c r="M384" s="11" t="s">
        <v>1041</v>
      </c>
      <c r="N384" s="12">
        <v>21.6</v>
      </c>
      <c r="O384" s="13" t="s">
        <v>855</v>
      </c>
      <c r="P384" s="14"/>
    </row>
    <row r="385" spans="1:17" x14ac:dyDescent="0.25">
      <c r="A385" s="6"/>
      <c r="B385" s="7">
        <v>44239</v>
      </c>
      <c r="C385" s="8" t="s">
        <v>1081</v>
      </c>
      <c r="D385" s="8" t="s">
        <v>853</v>
      </c>
      <c r="E385" s="9" t="s">
        <v>51</v>
      </c>
      <c r="F385" s="9" t="s">
        <v>52</v>
      </c>
      <c r="G385" s="17">
        <v>0.47291666666666665</v>
      </c>
      <c r="H385" s="17">
        <v>0.52083333333333337</v>
      </c>
      <c r="I385" s="9">
        <v>38850</v>
      </c>
      <c r="J385" s="9">
        <v>16020</v>
      </c>
      <c r="K385" s="10">
        <f t="shared" si="12"/>
        <v>22830</v>
      </c>
      <c r="L385" s="10">
        <v>23375</v>
      </c>
      <c r="M385" s="11" t="s">
        <v>1041</v>
      </c>
      <c r="N385" s="12">
        <v>21.6</v>
      </c>
      <c r="O385" s="13" t="s">
        <v>855</v>
      </c>
      <c r="P385" s="14"/>
    </row>
    <row r="386" spans="1:17" x14ac:dyDescent="0.25">
      <c r="A386" s="6"/>
      <c r="B386" s="7">
        <v>44239</v>
      </c>
      <c r="C386" s="8" t="s">
        <v>1081</v>
      </c>
      <c r="D386" s="8" t="s">
        <v>465</v>
      </c>
      <c r="E386" s="9" t="s">
        <v>881</v>
      </c>
      <c r="F386" s="9" t="s">
        <v>1203</v>
      </c>
      <c r="G386" s="17">
        <v>0.48194444444444445</v>
      </c>
      <c r="H386" s="17">
        <v>0.49027777777777781</v>
      </c>
      <c r="I386" s="9">
        <v>38690</v>
      </c>
      <c r="J386" s="9">
        <v>16080</v>
      </c>
      <c r="K386" s="10">
        <f t="shared" si="12"/>
        <v>22610</v>
      </c>
      <c r="L386" s="10">
        <v>23375</v>
      </c>
      <c r="M386" s="11" t="s">
        <v>1041</v>
      </c>
      <c r="N386" s="12">
        <v>21.6</v>
      </c>
      <c r="O386" s="13" t="s">
        <v>855</v>
      </c>
      <c r="P386" s="14" t="s">
        <v>1253</v>
      </c>
    </row>
    <row r="387" spans="1:17" x14ac:dyDescent="0.25">
      <c r="A387" s="6"/>
      <c r="B387" s="7">
        <v>44239</v>
      </c>
      <c r="C387" s="8" t="s">
        <v>1257</v>
      </c>
      <c r="D387" s="8" t="s">
        <v>928</v>
      </c>
      <c r="E387" s="9" t="s">
        <v>628</v>
      </c>
      <c r="F387" s="9" t="s">
        <v>859</v>
      </c>
      <c r="G387" s="17">
        <v>0.48333333333333334</v>
      </c>
      <c r="H387" s="17">
        <v>0.49374999999999997</v>
      </c>
      <c r="I387" s="9">
        <v>15780</v>
      </c>
      <c r="J387" s="9">
        <v>9710</v>
      </c>
      <c r="K387" s="10">
        <f t="shared" si="12"/>
        <v>6070</v>
      </c>
      <c r="L387" s="10">
        <v>23376</v>
      </c>
      <c r="M387" s="11" t="s">
        <v>1041</v>
      </c>
      <c r="N387" s="12">
        <v>6070</v>
      </c>
      <c r="O387" s="13" t="s">
        <v>32</v>
      </c>
      <c r="P387" s="14" t="s">
        <v>1258</v>
      </c>
    </row>
    <row r="388" spans="1:17" x14ac:dyDescent="0.25">
      <c r="A388" s="6"/>
      <c r="B388" s="7">
        <v>44239</v>
      </c>
      <c r="C388" s="8" t="s">
        <v>1081</v>
      </c>
      <c r="D388" s="8" t="s">
        <v>143</v>
      </c>
      <c r="E388" s="9" t="s">
        <v>144</v>
      </c>
      <c r="F388" s="9" t="s">
        <v>626</v>
      </c>
      <c r="G388" s="17">
        <v>0.48472222222222222</v>
      </c>
      <c r="H388" s="17">
        <v>0.49791666666666662</v>
      </c>
      <c r="I388" s="9">
        <v>38130</v>
      </c>
      <c r="J388" s="9">
        <v>15730</v>
      </c>
      <c r="K388" s="10">
        <f t="shared" si="12"/>
        <v>22400</v>
      </c>
      <c r="L388" s="10">
        <v>23375</v>
      </c>
      <c r="M388" s="11" t="s">
        <v>1041</v>
      </c>
      <c r="N388" s="12">
        <v>21.6</v>
      </c>
      <c r="O388" s="13" t="s">
        <v>855</v>
      </c>
      <c r="P388" s="14"/>
    </row>
    <row r="389" spans="1:17" x14ac:dyDescent="0.25">
      <c r="A389" s="6"/>
      <c r="B389" s="7">
        <v>44239</v>
      </c>
      <c r="C389" s="8" t="s">
        <v>164</v>
      </c>
      <c r="D389" s="8" t="s">
        <v>1248</v>
      </c>
      <c r="E389" s="9" t="s">
        <v>1249</v>
      </c>
      <c r="F389" s="9" t="s">
        <v>338</v>
      </c>
      <c r="G389" s="17">
        <v>0.4861111111111111</v>
      </c>
      <c r="H389" s="17">
        <v>0.51597222222222217</v>
      </c>
      <c r="I389" s="9">
        <v>13860</v>
      </c>
      <c r="J389" s="9">
        <v>39290</v>
      </c>
      <c r="K389" s="10">
        <f t="shared" ref="K389" si="14">+I389-J389</f>
        <v>-25430</v>
      </c>
      <c r="L389" s="10">
        <v>15551</v>
      </c>
      <c r="M389" s="11" t="s">
        <v>166</v>
      </c>
      <c r="N389" s="12">
        <v>504</v>
      </c>
      <c r="O389" s="13" t="s">
        <v>1099</v>
      </c>
      <c r="P389" s="14"/>
    </row>
    <row r="390" spans="1:17" x14ac:dyDescent="0.25">
      <c r="A390" s="6"/>
      <c r="B390" s="7">
        <v>44239</v>
      </c>
      <c r="C390" s="8" t="s">
        <v>1083</v>
      </c>
      <c r="D390" s="8" t="s">
        <v>1173</v>
      </c>
      <c r="E390" s="9" t="s">
        <v>1174</v>
      </c>
      <c r="F390" s="9" t="s">
        <v>503</v>
      </c>
      <c r="G390" s="17">
        <v>0.49652777777777773</v>
      </c>
      <c r="H390" s="17">
        <v>0.51458333333333328</v>
      </c>
      <c r="I390" s="9">
        <v>7020</v>
      </c>
      <c r="J390" s="9">
        <v>5260</v>
      </c>
      <c r="K390" s="10">
        <f t="shared" si="12"/>
        <v>1760</v>
      </c>
      <c r="L390" s="10">
        <v>4362</v>
      </c>
      <c r="M390" s="11" t="s">
        <v>1175</v>
      </c>
      <c r="N390" s="12">
        <v>1760</v>
      </c>
      <c r="O390" s="28" t="s">
        <v>32</v>
      </c>
      <c r="P390" s="14"/>
    </row>
    <row r="391" spans="1:17" x14ac:dyDescent="0.25">
      <c r="A391" s="6"/>
      <c r="B391" s="7">
        <v>44239</v>
      </c>
      <c r="C391" s="8" t="s">
        <v>1081</v>
      </c>
      <c r="D391" s="8" t="s">
        <v>1008</v>
      </c>
      <c r="E391" s="9" t="s">
        <v>490</v>
      </c>
      <c r="F391" s="9" t="s">
        <v>491</v>
      </c>
      <c r="G391" s="17">
        <v>0.5180555555555556</v>
      </c>
      <c r="H391" s="17">
        <v>0.53194444444444444</v>
      </c>
      <c r="I391" s="9">
        <v>39180</v>
      </c>
      <c r="J391" s="9">
        <v>15810</v>
      </c>
      <c r="K391" s="10">
        <f t="shared" si="12"/>
        <v>23370</v>
      </c>
      <c r="L391" s="10">
        <v>23375</v>
      </c>
      <c r="M391" s="11" t="s">
        <v>1041</v>
      </c>
      <c r="N391" s="12">
        <v>21.6</v>
      </c>
      <c r="O391" s="13" t="s">
        <v>855</v>
      </c>
      <c r="P391" s="14"/>
    </row>
    <row r="392" spans="1:17" x14ac:dyDescent="0.25">
      <c r="A392" s="6"/>
      <c r="B392" s="7">
        <v>44239</v>
      </c>
      <c r="C392" s="8" t="s">
        <v>1081</v>
      </c>
      <c r="D392" s="8" t="s">
        <v>299</v>
      </c>
      <c r="E392" s="9" t="s">
        <v>813</v>
      </c>
      <c r="F392" s="9" t="s">
        <v>814</v>
      </c>
      <c r="G392" s="17">
        <v>0.5229166666666667</v>
      </c>
      <c r="H392" s="17">
        <v>0.53333333333333333</v>
      </c>
      <c r="I392" s="9">
        <v>39710</v>
      </c>
      <c r="J392" s="9">
        <v>16690</v>
      </c>
      <c r="K392" s="10">
        <f t="shared" si="12"/>
        <v>23020</v>
      </c>
      <c r="L392" s="10">
        <v>23375</v>
      </c>
      <c r="M392" s="11" t="s">
        <v>1041</v>
      </c>
      <c r="N392" s="12">
        <v>21.6</v>
      </c>
      <c r="O392" s="13" t="s">
        <v>855</v>
      </c>
      <c r="P392" s="14"/>
    </row>
    <row r="393" spans="1:17" s="76" customFormat="1" x14ac:dyDescent="0.25">
      <c r="A393" s="66"/>
      <c r="B393" s="67">
        <v>44239</v>
      </c>
      <c r="C393" s="68" t="s">
        <v>1259</v>
      </c>
      <c r="D393" s="68" t="s">
        <v>602</v>
      </c>
      <c r="E393" s="69" t="s">
        <v>277</v>
      </c>
      <c r="F393" s="69" t="s">
        <v>128</v>
      </c>
      <c r="G393" s="70">
        <v>0.54027777777777775</v>
      </c>
      <c r="H393" s="70">
        <v>0.54999999999999993</v>
      </c>
      <c r="I393" s="69">
        <v>5960</v>
      </c>
      <c r="J393" s="69">
        <v>5590</v>
      </c>
      <c r="K393" s="71">
        <f t="shared" si="12"/>
        <v>370</v>
      </c>
      <c r="L393" s="71">
        <v>22335</v>
      </c>
      <c r="M393" s="72" t="s">
        <v>1260</v>
      </c>
      <c r="N393" s="73">
        <v>370</v>
      </c>
      <c r="O393" s="74" t="s">
        <v>32</v>
      </c>
      <c r="P393" s="75"/>
    </row>
    <row r="394" spans="1:17" x14ac:dyDescent="0.25">
      <c r="A394" s="6"/>
      <c r="B394" s="7">
        <v>44239</v>
      </c>
      <c r="C394" s="8" t="s">
        <v>1261</v>
      </c>
      <c r="D394" s="8" t="s">
        <v>198</v>
      </c>
      <c r="E394" s="9" t="s">
        <v>405</v>
      </c>
      <c r="F394" s="9" t="s">
        <v>161</v>
      </c>
      <c r="G394" s="17">
        <v>0.55694444444444446</v>
      </c>
      <c r="H394" s="17">
        <v>0.57222222222222219</v>
      </c>
      <c r="I394" s="9">
        <v>40680</v>
      </c>
      <c r="J394" s="9">
        <v>16650</v>
      </c>
      <c r="K394" s="10">
        <f t="shared" si="12"/>
        <v>24030</v>
      </c>
      <c r="L394" s="10" t="s">
        <v>1262</v>
      </c>
      <c r="M394" s="11" t="s">
        <v>1041</v>
      </c>
      <c r="N394" s="12">
        <v>22.2</v>
      </c>
      <c r="O394" s="13" t="s">
        <v>855</v>
      </c>
      <c r="P394" s="14"/>
    </row>
    <row r="395" spans="1:17" x14ac:dyDescent="0.25">
      <c r="A395" s="6"/>
      <c r="B395" s="7">
        <v>44239</v>
      </c>
      <c r="C395" s="8" t="s">
        <v>1122</v>
      </c>
      <c r="D395" s="8" t="s">
        <v>1130</v>
      </c>
      <c r="E395" s="9" t="s">
        <v>1131</v>
      </c>
      <c r="F395" s="9" t="s">
        <v>338</v>
      </c>
      <c r="G395" s="17">
        <v>0.56666666666666665</v>
      </c>
      <c r="H395" s="17">
        <v>0.63263888888888886</v>
      </c>
      <c r="I395" s="9">
        <v>55980</v>
      </c>
      <c r="J395" s="9">
        <v>20360</v>
      </c>
      <c r="K395" s="10">
        <f t="shared" si="12"/>
        <v>35620</v>
      </c>
      <c r="L395" s="10">
        <v>917</v>
      </c>
      <c r="M395" s="11" t="s">
        <v>1271</v>
      </c>
      <c r="N395" s="12">
        <v>10000</v>
      </c>
      <c r="O395" s="13" t="s">
        <v>84</v>
      </c>
      <c r="P395" s="14"/>
    </row>
    <row r="396" spans="1:17" x14ac:dyDescent="0.25">
      <c r="A396" s="6"/>
      <c r="B396" s="7">
        <v>44239</v>
      </c>
      <c r="C396" s="8" t="s">
        <v>1263</v>
      </c>
      <c r="D396" s="8" t="s">
        <v>1264</v>
      </c>
      <c r="E396" s="9" t="s">
        <v>1265</v>
      </c>
      <c r="F396" s="9" t="s">
        <v>390</v>
      </c>
      <c r="G396" s="17">
        <v>0.56805555555555554</v>
      </c>
      <c r="H396" s="17">
        <v>0.62916666666666665</v>
      </c>
      <c r="I396" s="9">
        <v>7860</v>
      </c>
      <c r="J396" s="9">
        <v>6540</v>
      </c>
      <c r="K396" s="10">
        <f t="shared" si="12"/>
        <v>1320</v>
      </c>
      <c r="L396" s="10">
        <v>1198</v>
      </c>
      <c r="M396" s="11" t="s">
        <v>1266</v>
      </c>
      <c r="N396" s="12">
        <v>24</v>
      </c>
      <c r="O396" s="13" t="s">
        <v>80</v>
      </c>
      <c r="P396" s="14"/>
    </row>
    <row r="397" spans="1:17" x14ac:dyDescent="0.25">
      <c r="A397" s="6"/>
      <c r="B397" s="7">
        <v>44239</v>
      </c>
      <c r="C397" s="8" t="s">
        <v>1062</v>
      </c>
      <c r="D397" s="8" t="s">
        <v>284</v>
      </c>
      <c r="E397" s="9" t="s">
        <v>285</v>
      </c>
      <c r="F397" s="9" t="s">
        <v>286</v>
      </c>
      <c r="G397" s="17">
        <v>0.56944444444444442</v>
      </c>
      <c r="H397" s="17">
        <v>0.57986111111111105</v>
      </c>
      <c r="I397" s="9">
        <v>36910</v>
      </c>
      <c r="J397" s="9">
        <v>16300</v>
      </c>
      <c r="K397" s="10">
        <f t="shared" si="12"/>
        <v>20610</v>
      </c>
      <c r="L397" s="10">
        <v>23377</v>
      </c>
      <c r="M397" s="11" t="s">
        <v>1041</v>
      </c>
      <c r="N397" s="12">
        <v>19.2</v>
      </c>
      <c r="O397" s="13" t="s">
        <v>855</v>
      </c>
      <c r="P397" s="14"/>
    </row>
    <row r="398" spans="1:17" x14ac:dyDescent="0.25">
      <c r="A398" s="6"/>
      <c r="B398" s="7">
        <v>44239</v>
      </c>
      <c r="C398" s="8" t="s">
        <v>1267</v>
      </c>
      <c r="D398" s="8" t="s">
        <v>1268</v>
      </c>
      <c r="E398" s="9" t="s">
        <v>1269</v>
      </c>
      <c r="F398" s="9" t="s">
        <v>390</v>
      </c>
      <c r="G398" s="17">
        <v>0.5708333333333333</v>
      </c>
      <c r="H398" s="17">
        <v>0.59444444444444444</v>
      </c>
      <c r="I398" s="9">
        <v>7620</v>
      </c>
      <c r="J398" s="9">
        <v>3490</v>
      </c>
      <c r="K398" s="10">
        <f t="shared" si="12"/>
        <v>4130</v>
      </c>
      <c r="L398" s="10">
        <v>66969</v>
      </c>
      <c r="M398" s="11" t="s">
        <v>1270</v>
      </c>
      <c r="N398" s="12">
        <v>4130</v>
      </c>
      <c r="O398" s="13" t="s">
        <v>32</v>
      </c>
      <c r="P398" s="14"/>
    </row>
    <row r="399" spans="1:17" x14ac:dyDescent="0.25">
      <c r="A399" s="6"/>
      <c r="B399" s="7">
        <v>44239</v>
      </c>
      <c r="C399" s="8" t="s">
        <v>1042</v>
      </c>
      <c r="D399" s="8" t="s">
        <v>465</v>
      </c>
      <c r="E399" s="9" t="s">
        <v>881</v>
      </c>
      <c r="F399" s="9" t="s">
        <v>1203</v>
      </c>
      <c r="G399" s="17">
        <v>0.58750000000000002</v>
      </c>
      <c r="H399" s="17">
        <v>0.59583333333333333</v>
      </c>
      <c r="I399" s="9">
        <v>39610</v>
      </c>
      <c r="J399" s="9">
        <v>16060</v>
      </c>
      <c r="K399" s="10">
        <f t="shared" si="12"/>
        <v>23550</v>
      </c>
      <c r="L399" s="10">
        <v>23379</v>
      </c>
      <c r="M399" s="11" t="s">
        <v>1041</v>
      </c>
      <c r="N399" s="12">
        <v>21.6</v>
      </c>
      <c r="O399" s="13" t="s">
        <v>855</v>
      </c>
      <c r="P399" s="14"/>
      <c r="Q399" s="2"/>
    </row>
    <row r="400" spans="1:17" x14ac:dyDescent="0.25">
      <c r="A400" s="6"/>
      <c r="B400" s="7">
        <v>44239</v>
      </c>
      <c r="C400" s="8" t="s">
        <v>1042</v>
      </c>
      <c r="D400" s="8" t="s">
        <v>143</v>
      </c>
      <c r="E400" s="9" t="s">
        <v>144</v>
      </c>
      <c r="F400" s="9" t="s">
        <v>626</v>
      </c>
      <c r="G400" s="17">
        <v>0.59305555555555556</v>
      </c>
      <c r="H400" s="17">
        <v>0.61111111111111105</v>
      </c>
      <c r="I400" s="9">
        <v>39550</v>
      </c>
      <c r="J400" s="9">
        <v>15710</v>
      </c>
      <c r="K400" s="10">
        <f t="shared" ref="K400:K466" si="15">+I400-J400</f>
        <v>23840</v>
      </c>
      <c r="L400" s="10">
        <v>23379</v>
      </c>
      <c r="M400" s="11" t="s">
        <v>1041</v>
      </c>
      <c r="N400" s="12">
        <v>21.6</v>
      </c>
      <c r="O400" s="13" t="s">
        <v>855</v>
      </c>
      <c r="P400" s="14"/>
    </row>
    <row r="401" spans="1:17" x14ac:dyDescent="0.25">
      <c r="A401" s="6"/>
      <c r="B401" s="7">
        <v>44239</v>
      </c>
      <c r="C401" s="8" t="s">
        <v>1042</v>
      </c>
      <c r="D401" s="8" t="s">
        <v>928</v>
      </c>
      <c r="E401" s="9" t="s">
        <v>628</v>
      </c>
      <c r="F401" s="9" t="s">
        <v>859</v>
      </c>
      <c r="G401" s="17">
        <v>0.59722222222222221</v>
      </c>
      <c r="H401" s="17">
        <v>0.68333333333333324</v>
      </c>
      <c r="I401" s="9">
        <v>22640</v>
      </c>
      <c r="J401" s="9">
        <v>9680</v>
      </c>
      <c r="K401" s="10">
        <f t="shared" si="15"/>
        <v>12960</v>
      </c>
      <c r="L401" s="10">
        <v>23379</v>
      </c>
      <c r="M401" s="11" t="s">
        <v>1272</v>
      </c>
      <c r="N401" s="12">
        <v>12</v>
      </c>
      <c r="O401" s="13" t="s">
        <v>855</v>
      </c>
      <c r="P401" s="14"/>
    </row>
    <row r="402" spans="1:17" x14ac:dyDescent="0.25">
      <c r="A402" s="6"/>
      <c r="B402" s="7">
        <v>44239</v>
      </c>
      <c r="C402" s="8" t="s">
        <v>1042</v>
      </c>
      <c r="D402" s="8" t="s">
        <v>853</v>
      </c>
      <c r="E402" s="9" t="s">
        <v>51</v>
      </c>
      <c r="F402" s="9" t="s">
        <v>52</v>
      </c>
      <c r="G402" s="17">
        <v>0.6069444444444444</v>
      </c>
      <c r="H402" s="17">
        <v>0.6166666666666667</v>
      </c>
      <c r="I402" s="9">
        <v>38960</v>
      </c>
      <c r="J402" s="9">
        <v>16030</v>
      </c>
      <c r="K402" s="10">
        <f t="shared" si="15"/>
        <v>22930</v>
      </c>
      <c r="L402" s="10">
        <v>23379</v>
      </c>
      <c r="M402" s="11" t="s">
        <v>1041</v>
      </c>
      <c r="N402" s="12">
        <v>21.6</v>
      </c>
      <c r="O402" s="13" t="s">
        <v>855</v>
      </c>
      <c r="P402" s="14"/>
    </row>
    <row r="403" spans="1:17" x14ac:dyDescent="0.25">
      <c r="A403" s="6"/>
      <c r="B403" s="7">
        <v>44239</v>
      </c>
      <c r="C403" s="8" t="s">
        <v>1042</v>
      </c>
      <c r="D403" s="8" t="s">
        <v>1008</v>
      </c>
      <c r="E403" s="9" t="s">
        <v>490</v>
      </c>
      <c r="F403" s="9" t="s">
        <v>491</v>
      </c>
      <c r="G403" s="17">
        <v>0.61319444444444449</v>
      </c>
      <c r="H403" s="17">
        <v>0.64513888888888882</v>
      </c>
      <c r="I403" s="9">
        <v>38840</v>
      </c>
      <c r="J403" s="9">
        <v>15810</v>
      </c>
      <c r="K403" s="10">
        <f t="shared" ref="K403" si="16">+I403-J403</f>
        <v>23030</v>
      </c>
      <c r="L403" s="10">
        <v>23379</v>
      </c>
      <c r="M403" s="11" t="s">
        <v>1041</v>
      </c>
      <c r="N403" s="12">
        <v>21.6</v>
      </c>
      <c r="O403" s="13" t="s">
        <v>855</v>
      </c>
      <c r="P403" s="14"/>
      <c r="Q403" s="2"/>
    </row>
    <row r="404" spans="1:17" x14ac:dyDescent="0.25">
      <c r="A404" s="6"/>
      <c r="B404" s="7">
        <v>44239</v>
      </c>
      <c r="C404" s="8" t="s">
        <v>185</v>
      </c>
      <c r="D404" s="8" t="s">
        <v>938</v>
      </c>
      <c r="E404" s="9" t="s">
        <v>939</v>
      </c>
      <c r="F404" s="9" t="s">
        <v>390</v>
      </c>
      <c r="G404" s="17">
        <v>0.61597222222222225</v>
      </c>
      <c r="H404" s="17">
        <v>0.63055555555555554</v>
      </c>
      <c r="I404" s="9">
        <v>5630</v>
      </c>
      <c r="J404" s="9">
        <v>4540</v>
      </c>
      <c r="K404" s="10">
        <f t="shared" si="15"/>
        <v>1090</v>
      </c>
      <c r="L404" s="10">
        <v>140150</v>
      </c>
      <c r="M404" s="11" t="s">
        <v>478</v>
      </c>
      <c r="N404" s="12">
        <v>9000</v>
      </c>
      <c r="O404" s="13" t="s">
        <v>1099</v>
      </c>
      <c r="P404" s="14"/>
    </row>
    <row r="405" spans="1:17" x14ac:dyDescent="0.25">
      <c r="A405" s="6"/>
      <c r="B405" s="7">
        <v>44239</v>
      </c>
      <c r="C405" s="8" t="s">
        <v>164</v>
      </c>
      <c r="D405" s="8" t="s">
        <v>1248</v>
      </c>
      <c r="E405" s="9" t="s">
        <v>1249</v>
      </c>
      <c r="F405" s="9" t="s">
        <v>338</v>
      </c>
      <c r="G405" s="17">
        <v>0.62083333333333335</v>
      </c>
      <c r="H405" s="17">
        <v>0.64236111111111105</v>
      </c>
      <c r="I405" s="9">
        <v>13960</v>
      </c>
      <c r="J405" s="9">
        <v>39380</v>
      </c>
      <c r="K405" s="10">
        <f t="shared" si="15"/>
        <v>-25420</v>
      </c>
      <c r="L405" s="10">
        <v>15553</v>
      </c>
      <c r="M405" s="11" t="s">
        <v>166</v>
      </c>
      <c r="N405" s="12">
        <v>504</v>
      </c>
      <c r="O405" s="13" t="s">
        <v>1099</v>
      </c>
      <c r="P405" s="14"/>
    </row>
    <row r="406" spans="1:17" x14ac:dyDescent="0.25">
      <c r="A406" s="6"/>
      <c r="B406" s="7">
        <v>44239</v>
      </c>
      <c r="C406" s="8" t="s">
        <v>1042</v>
      </c>
      <c r="D406" s="8" t="s">
        <v>299</v>
      </c>
      <c r="E406" s="9" t="s">
        <v>813</v>
      </c>
      <c r="F406" s="9" t="s">
        <v>814</v>
      </c>
      <c r="G406" s="17">
        <v>0.62430555555555556</v>
      </c>
      <c r="H406" s="17">
        <v>0.67638888888888893</v>
      </c>
      <c r="I406" s="9">
        <v>39940</v>
      </c>
      <c r="J406" s="9">
        <v>16670</v>
      </c>
      <c r="K406" s="10">
        <f t="shared" si="15"/>
        <v>23270</v>
      </c>
      <c r="L406" s="10">
        <v>23379</v>
      </c>
      <c r="M406" s="11" t="s">
        <v>1041</v>
      </c>
      <c r="N406" s="12">
        <v>21.6</v>
      </c>
      <c r="O406" s="13" t="s">
        <v>855</v>
      </c>
      <c r="P406" s="14"/>
    </row>
    <row r="407" spans="1:17" x14ac:dyDescent="0.25">
      <c r="A407" s="6"/>
      <c r="B407" s="7">
        <v>44239</v>
      </c>
      <c r="C407" s="8" t="s">
        <v>962</v>
      </c>
      <c r="D407" s="8" t="s">
        <v>994</v>
      </c>
      <c r="E407" s="9" t="s">
        <v>995</v>
      </c>
      <c r="F407" s="9" t="s">
        <v>36</v>
      </c>
      <c r="G407" s="17">
        <v>0.62708333333333333</v>
      </c>
      <c r="H407" s="17">
        <v>0.64861111111111114</v>
      </c>
      <c r="I407" s="9">
        <v>4510</v>
      </c>
      <c r="J407" s="9">
        <v>3170</v>
      </c>
      <c r="K407" s="10">
        <f t="shared" si="15"/>
        <v>1340</v>
      </c>
      <c r="L407" s="10">
        <v>26451</v>
      </c>
      <c r="M407" s="11" t="s">
        <v>1216</v>
      </c>
      <c r="N407" s="12">
        <v>1340</v>
      </c>
      <c r="O407" s="13" t="s">
        <v>32</v>
      </c>
      <c r="P407" s="14"/>
    </row>
    <row r="408" spans="1:17" x14ac:dyDescent="0.25">
      <c r="A408" s="6"/>
      <c r="B408" s="7">
        <v>44239</v>
      </c>
      <c r="C408" s="8" t="s">
        <v>1042</v>
      </c>
      <c r="D408" s="8" t="s">
        <v>198</v>
      </c>
      <c r="E408" s="9" t="s">
        <v>405</v>
      </c>
      <c r="F408" s="9" t="s">
        <v>161</v>
      </c>
      <c r="G408" s="17">
        <v>0.63680555555555551</v>
      </c>
      <c r="H408" s="17">
        <v>0.69236111111111109</v>
      </c>
      <c r="I408" s="9">
        <v>40000</v>
      </c>
      <c r="J408" s="9">
        <v>16590</v>
      </c>
      <c r="K408" s="10">
        <f t="shared" si="15"/>
        <v>23410</v>
      </c>
      <c r="L408" s="10">
        <v>23378</v>
      </c>
      <c r="M408" s="11" t="s">
        <v>1041</v>
      </c>
      <c r="N408" s="12">
        <v>21.6</v>
      </c>
      <c r="O408" s="13" t="s">
        <v>855</v>
      </c>
      <c r="P408" s="14"/>
    </row>
    <row r="409" spans="1:17" x14ac:dyDescent="0.25">
      <c r="A409" s="6"/>
      <c r="B409" s="7">
        <v>44239</v>
      </c>
      <c r="C409" s="8" t="s">
        <v>1194</v>
      </c>
      <c r="D409" s="8" t="s">
        <v>1195</v>
      </c>
      <c r="E409" s="9" t="s">
        <v>1196</v>
      </c>
      <c r="F409" s="9" t="s">
        <v>1086</v>
      </c>
      <c r="G409" s="17">
        <v>0.63750000000000007</v>
      </c>
      <c r="H409" s="17"/>
      <c r="I409" s="9">
        <v>12230</v>
      </c>
      <c r="J409" s="9"/>
      <c r="K409" s="10">
        <f t="shared" ref="K409:K410" si="17">+I409-J409</f>
        <v>12230</v>
      </c>
      <c r="L409" s="10"/>
      <c r="M409" s="11" t="s">
        <v>1273</v>
      </c>
      <c r="N409" s="12"/>
      <c r="O409" s="13" t="s">
        <v>32</v>
      </c>
      <c r="P409" s="14" t="s">
        <v>1274</v>
      </c>
      <c r="Q409" s="2"/>
    </row>
    <row r="410" spans="1:17" x14ac:dyDescent="0.25">
      <c r="A410" s="6"/>
      <c r="B410" s="7">
        <v>44239</v>
      </c>
      <c r="C410" s="8" t="s">
        <v>930</v>
      </c>
      <c r="D410" s="8" t="s">
        <v>243</v>
      </c>
      <c r="E410" s="9" t="s">
        <v>440</v>
      </c>
      <c r="F410" s="9" t="s">
        <v>1276</v>
      </c>
      <c r="G410" s="17">
        <v>0.64583333333333337</v>
      </c>
      <c r="H410" s="17"/>
      <c r="I410" s="9">
        <v>39880</v>
      </c>
      <c r="J410" s="9"/>
      <c r="K410" s="10">
        <f t="shared" si="17"/>
        <v>39880</v>
      </c>
      <c r="L410" s="10">
        <v>40459</v>
      </c>
      <c r="M410" s="11" t="s">
        <v>1277</v>
      </c>
      <c r="N410" s="12">
        <v>24770</v>
      </c>
      <c r="O410" s="13" t="s">
        <v>32</v>
      </c>
      <c r="P410" s="14"/>
      <c r="Q410" s="2"/>
    </row>
    <row r="411" spans="1:17" x14ac:dyDescent="0.25">
      <c r="A411" s="6"/>
      <c r="B411" s="7">
        <v>44239</v>
      </c>
      <c r="C411" s="8" t="s">
        <v>1042</v>
      </c>
      <c r="D411" s="8" t="s">
        <v>284</v>
      </c>
      <c r="E411" s="9" t="s">
        <v>285</v>
      </c>
      <c r="F411" s="9" t="s">
        <v>286</v>
      </c>
      <c r="G411" s="17">
        <v>0.65</v>
      </c>
      <c r="H411" s="17">
        <v>0.69791666666666663</v>
      </c>
      <c r="I411" s="9">
        <v>40030</v>
      </c>
      <c r="J411" s="9">
        <v>16280</v>
      </c>
      <c r="K411" s="10">
        <f t="shared" si="15"/>
        <v>23750</v>
      </c>
      <c r="L411" s="10">
        <v>23379</v>
      </c>
      <c r="M411" s="11" t="s">
        <v>1041</v>
      </c>
      <c r="N411" s="12">
        <v>21.6</v>
      </c>
      <c r="O411" s="13" t="s">
        <v>855</v>
      </c>
      <c r="P411" s="14"/>
    </row>
    <row r="412" spans="1:17" x14ac:dyDescent="0.25">
      <c r="A412" s="6"/>
      <c r="B412" s="7">
        <v>44239</v>
      </c>
      <c r="C412" s="8" t="s">
        <v>1083</v>
      </c>
      <c r="D412" s="8" t="s">
        <v>1173</v>
      </c>
      <c r="E412" s="9" t="s">
        <v>1174</v>
      </c>
      <c r="F412" s="9" t="s">
        <v>503</v>
      </c>
      <c r="G412" s="17">
        <v>0.65208333333333335</v>
      </c>
      <c r="H412" s="17">
        <v>0.67222222222222217</v>
      </c>
      <c r="I412" s="9">
        <v>8140</v>
      </c>
      <c r="J412" s="9">
        <v>5570</v>
      </c>
      <c r="K412" s="10">
        <f t="shared" ref="K412" si="18">+I412-J412</f>
        <v>2570</v>
      </c>
      <c r="L412" s="10">
        <v>4364</v>
      </c>
      <c r="M412" s="11" t="s">
        <v>1275</v>
      </c>
      <c r="N412" s="12">
        <v>3</v>
      </c>
      <c r="O412" s="13" t="s">
        <v>80</v>
      </c>
      <c r="P412" s="14"/>
    </row>
    <row r="413" spans="1:17" x14ac:dyDescent="0.25">
      <c r="A413" s="6"/>
      <c r="B413" s="7">
        <v>44239</v>
      </c>
      <c r="C413" s="8" t="s">
        <v>606</v>
      </c>
      <c r="D413" s="8" t="s">
        <v>325</v>
      </c>
      <c r="E413" s="9" t="s">
        <v>326</v>
      </c>
      <c r="F413" s="9" t="s">
        <v>338</v>
      </c>
      <c r="G413" s="17">
        <v>0.66041666666666665</v>
      </c>
      <c r="H413" s="17">
        <v>0.72638888888888886</v>
      </c>
      <c r="I413" s="9">
        <v>54560</v>
      </c>
      <c r="J413" s="9">
        <v>19000</v>
      </c>
      <c r="K413" s="10">
        <f t="shared" si="15"/>
        <v>35560</v>
      </c>
      <c r="L413" s="10">
        <v>915</v>
      </c>
      <c r="M413" s="11" t="s">
        <v>306</v>
      </c>
      <c r="N413" s="12">
        <v>10000</v>
      </c>
      <c r="O413" s="13" t="s">
        <v>84</v>
      </c>
      <c r="P413" s="14"/>
    </row>
    <row r="414" spans="1:17" x14ac:dyDescent="0.25">
      <c r="A414" s="6"/>
      <c r="B414" s="7">
        <v>44239</v>
      </c>
      <c r="C414" s="8" t="s">
        <v>1075</v>
      </c>
      <c r="D414" s="8" t="s">
        <v>1076</v>
      </c>
      <c r="E414" s="9" t="s">
        <v>220</v>
      </c>
      <c r="F414" s="9" t="s">
        <v>221</v>
      </c>
      <c r="G414" s="17">
        <v>0.6694444444444444</v>
      </c>
      <c r="H414" s="17">
        <v>0.76111111111111107</v>
      </c>
      <c r="I414" s="9">
        <v>20220</v>
      </c>
      <c r="J414" s="9">
        <v>9240</v>
      </c>
      <c r="K414" s="10">
        <f t="shared" si="15"/>
        <v>10980</v>
      </c>
      <c r="L414" s="10">
        <v>751</v>
      </c>
      <c r="M414" s="11" t="s">
        <v>1077</v>
      </c>
      <c r="N414" s="12">
        <v>8705</v>
      </c>
      <c r="O414" s="13" t="s">
        <v>32</v>
      </c>
      <c r="P414" s="14"/>
    </row>
    <row r="415" spans="1:17" x14ac:dyDescent="0.25">
      <c r="A415" s="6"/>
      <c r="B415" s="7">
        <v>44239</v>
      </c>
      <c r="C415" s="8" t="s">
        <v>1065</v>
      </c>
      <c r="D415" s="8" t="s">
        <v>465</v>
      </c>
      <c r="E415" s="9" t="s">
        <v>881</v>
      </c>
      <c r="F415" s="9" t="s">
        <v>1203</v>
      </c>
      <c r="G415" s="17">
        <v>0.67361111111111116</v>
      </c>
      <c r="H415" s="17">
        <v>0.73055555555555562</v>
      </c>
      <c r="I415" s="9">
        <v>39270</v>
      </c>
      <c r="J415" s="9">
        <v>16020</v>
      </c>
      <c r="K415" s="10">
        <f t="shared" si="15"/>
        <v>23250</v>
      </c>
      <c r="L415" s="10">
        <v>23380</v>
      </c>
      <c r="M415" s="11" t="s">
        <v>1041</v>
      </c>
      <c r="N415" s="12">
        <v>21.6</v>
      </c>
      <c r="O415" s="13" t="s">
        <v>855</v>
      </c>
      <c r="P415" s="14"/>
    </row>
    <row r="416" spans="1:17" x14ac:dyDescent="0.25">
      <c r="A416" s="6"/>
      <c r="B416" s="7">
        <v>44239</v>
      </c>
      <c r="C416" s="8" t="s">
        <v>1065</v>
      </c>
      <c r="D416" s="8" t="s">
        <v>143</v>
      </c>
      <c r="E416" s="9" t="s">
        <v>144</v>
      </c>
      <c r="F416" s="9" t="s">
        <v>626</v>
      </c>
      <c r="G416" s="17">
        <v>0.6743055555555556</v>
      </c>
      <c r="H416" s="17">
        <v>0.8305555555555556</v>
      </c>
      <c r="I416" s="9">
        <v>38420</v>
      </c>
      <c r="J416" s="9">
        <v>15690</v>
      </c>
      <c r="K416" s="10">
        <f t="shared" si="15"/>
        <v>22730</v>
      </c>
      <c r="L416" s="10">
        <v>23380</v>
      </c>
      <c r="M416" s="11" t="s">
        <v>1041</v>
      </c>
      <c r="N416" s="12">
        <v>21.6</v>
      </c>
      <c r="O416" s="13" t="s">
        <v>855</v>
      </c>
      <c r="P416" s="14"/>
    </row>
    <row r="417" spans="1:16" x14ac:dyDescent="0.25">
      <c r="A417" s="6"/>
      <c r="B417" s="7">
        <v>44239</v>
      </c>
      <c r="C417" s="8" t="s">
        <v>1198</v>
      </c>
      <c r="D417" s="8" t="s">
        <v>1292</v>
      </c>
      <c r="E417" s="9" t="s">
        <v>1293</v>
      </c>
      <c r="F417" s="9" t="s">
        <v>338</v>
      </c>
      <c r="G417" s="17">
        <v>0.67847222222222225</v>
      </c>
      <c r="H417" s="17">
        <v>0.7090277777777777</v>
      </c>
      <c r="I417" s="9">
        <v>41930</v>
      </c>
      <c r="J417" s="9">
        <v>18360</v>
      </c>
      <c r="K417" s="10">
        <f t="shared" si="15"/>
        <v>23570</v>
      </c>
      <c r="L417" s="10"/>
      <c r="M417" s="11" t="s">
        <v>1294</v>
      </c>
      <c r="N417" s="12">
        <v>23570</v>
      </c>
      <c r="O417" s="13" t="s">
        <v>32</v>
      </c>
      <c r="P417" s="14"/>
    </row>
    <row r="418" spans="1:16" x14ac:dyDescent="0.25">
      <c r="A418" s="6"/>
      <c r="B418" s="7">
        <v>44239</v>
      </c>
      <c r="C418" s="8" t="s">
        <v>1065</v>
      </c>
      <c r="D418" s="8" t="s">
        <v>853</v>
      </c>
      <c r="E418" s="9" t="s">
        <v>51</v>
      </c>
      <c r="F418" s="9" t="s">
        <v>52</v>
      </c>
      <c r="G418" s="17">
        <v>0.68472222222222223</v>
      </c>
      <c r="H418" s="17">
        <v>0.73541666666666661</v>
      </c>
      <c r="I418" s="9">
        <v>39110</v>
      </c>
      <c r="J418" s="9">
        <v>16030</v>
      </c>
      <c r="K418" s="10">
        <f t="shared" si="15"/>
        <v>23080</v>
      </c>
      <c r="L418" s="10">
        <v>23380</v>
      </c>
      <c r="M418" s="11" t="s">
        <v>1041</v>
      </c>
      <c r="N418" s="12">
        <v>21.6</v>
      </c>
      <c r="O418" s="13" t="s">
        <v>855</v>
      </c>
      <c r="P418" s="14"/>
    </row>
    <row r="419" spans="1:16" x14ac:dyDescent="0.25">
      <c r="A419" s="6"/>
      <c r="B419" s="7">
        <v>44239</v>
      </c>
      <c r="C419" s="8" t="s">
        <v>1198</v>
      </c>
      <c r="D419" s="8" t="s">
        <v>878</v>
      </c>
      <c r="E419" s="9" t="s">
        <v>238</v>
      </c>
      <c r="F419" s="9" t="s">
        <v>338</v>
      </c>
      <c r="G419" s="17">
        <v>0.69652777777777775</v>
      </c>
      <c r="H419" s="17">
        <v>0.73819444444444438</v>
      </c>
      <c r="I419" s="9">
        <v>17710</v>
      </c>
      <c r="J419" s="9">
        <v>45170</v>
      </c>
      <c r="K419" s="10">
        <f t="shared" si="15"/>
        <v>-27460</v>
      </c>
      <c r="L419" s="10">
        <v>15702</v>
      </c>
      <c r="M419" s="11" t="s">
        <v>1199</v>
      </c>
      <c r="N419" s="12">
        <v>27460</v>
      </c>
      <c r="O419" s="13" t="s">
        <v>32</v>
      </c>
      <c r="P419" s="14"/>
    </row>
    <row r="420" spans="1:16" x14ac:dyDescent="0.25">
      <c r="A420" s="6"/>
      <c r="B420" s="7">
        <v>44239</v>
      </c>
      <c r="C420" s="8" t="s">
        <v>164</v>
      </c>
      <c r="D420" s="8" t="s">
        <v>1248</v>
      </c>
      <c r="E420" s="9" t="s">
        <v>1249</v>
      </c>
      <c r="F420" s="9" t="s">
        <v>338</v>
      </c>
      <c r="G420" s="17">
        <v>0.70138888888888884</v>
      </c>
      <c r="H420" s="17">
        <v>0.72361111111111109</v>
      </c>
      <c r="I420" s="9">
        <v>13970</v>
      </c>
      <c r="J420" s="9">
        <v>39310</v>
      </c>
      <c r="K420" s="10">
        <f t="shared" si="15"/>
        <v>-25340</v>
      </c>
      <c r="L420" s="10">
        <v>15555</v>
      </c>
      <c r="M420" s="11" t="s">
        <v>166</v>
      </c>
      <c r="N420" s="12">
        <v>504</v>
      </c>
      <c r="O420" s="13" t="s">
        <v>1099</v>
      </c>
      <c r="P420" s="14"/>
    </row>
    <row r="421" spans="1:16" x14ac:dyDescent="0.25">
      <c r="A421" s="6"/>
      <c r="B421" s="7">
        <v>44239</v>
      </c>
      <c r="C421" s="8" t="s">
        <v>1065</v>
      </c>
      <c r="D421" s="8" t="s">
        <v>1008</v>
      </c>
      <c r="E421" s="9" t="s">
        <v>490</v>
      </c>
      <c r="F421" s="9" t="s">
        <v>491</v>
      </c>
      <c r="G421" s="17">
        <v>0.73263888888888884</v>
      </c>
      <c r="H421" s="59">
        <v>0.59305555555555556</v>
      </c>
      <c r="I421" s="9">
        <v>39180</v>
      </c>
      <c r="J421" s="21">
        <v>15910</v>
      </c>
      <c r="K421" s="10">
        <f t="shared" si="15"/>
        <v>23270</v>
      </c>
      <c r="L421" s="10">
        <v>23380</v>
      </c>
      <c r="M421" s="11" t="s">
        <v>1041</v>
      </c>
      <c r="N421" s="12">
        <v>21.6</v>
      </c>
      <c r="O421" s="13" t="s">
        <v>855</v>
      </c>
      <c r="P421" s="14"/>
    </row>
    <row r="422" spans="1:16" x14ac:dyDescent="0.25">
      <c r="A422" s="6"/>
      <c r="B422" s="7">
        <v>44239</v>
      </c>
      <c r="C422" s="8" t="s">
        <v>1065</v>
      </c>
      <c r="D422" s="8" t="s">
        <v>299</v>
      </c>
      <c r="E422" s="9" t="s">
        <v>813</v>
      </c>
      <c r="F422" s="9" t="s">
        <v>814</v>
      </c>
      <c r="G422" s="17">
        <v>0.7368055555555556</v>
      </c>
      <c r="H422" s="17">
        <v>0.83750000000000002</v>
      </c>
      <c r="I422" s="9">
        <v>40500</v>
      </c>
      <c r="J422" s="9">
        <v>16670</v>
      </c>
      <c r="K422" s="10">
        <f t="shared" si="15"/>
        <v>23830</v>
      </c>
      <c r="L422" s="10">
        <v>23380</v>
      </c>
      <c r="M422" s="11" t="s">
        <v>1041</v>
      </c>
      <c r="N422" s="12">
        <v>21.6</v>
      </c>
      <c r="O422" s="13" t="s">
        <v>855</v>
      </c>
      <c r="P422" s="14"/>
    </row>
    <row r="423" spans="1:16" x14ac:dyDescent="0.25">
      <c r="A423" s="6"/>
      <c r="B423" s="7">
        <v>44239</v>
      </c>
      <c r="C423" s="8" t="s">
        <v>1065</v>
      </c>
      <c r="D423" s="8" t="s">
        <v>928</v>
      </c>
      <c r="E423" s="9" t="s">
        <v>628</v>
      </c>
      <c r="F423" s="9" t="s">
        <v>859</v>
      </c>
      <c r="G423" s="17">
        <v>0.75763888888888886</v>
      </c>
      <c r="H423" s="17">
        <v>0.88055555555555554</v>
      </c>
      <c r="I423" s="9">
        <v>22410</v>
      </c>
      <c r="J423" s="9">
        <v>9710</v>
      </c>
      <c r="K423" s="10">
        <f t="shared" si="15"/>
        <v>12700</v>
      </c>
      <c r="L423" s="10">
        <v>23380</v>
      </c>
      <c r="M423" s="11" t="s">
        <v>1041</v>
      </c>
      <c r="N423" s="12">
        <v>12</v>
      </c>
      <c r="O423" s="13" t="s">
        <v>855</v>
      </c>
      <c r="P423" s="14"/>
    </row>
    <row r="424" spans="1:16" x14ac:dyDescent="0.25">
      <c r="A424" s="6"/>
      <c r="B424" s="7">
        <v>44239</v>
      </c>
      <c r="C424" s="8" t="s">
        <v>1065</v>
      </c>
      <c r="D424" s="8" t="s">
        <v>198</v>
      </c>
      <c r="E424" s="9" t="s">
        <v>405</v>
      </c>
      <c r="F424" s="9" t="s">
        <v>161</v>
      </c>
      <c r="G424" s="17">
        <v>0.7631944444444444</v>
      </c>
      <c r="H424" s="17">
        <v>0.9194444444444444</v>
      </c>
      <c r="I424" s="9">
        <v>39810</v>
      </c>
      <c r="J424" s="9">
        <v>16630</v>
      </c>
      <c r="K424" s="10">
        <f t="shared" ref="K424" si="19">+I424-J424</f>
        <v>23180</v>
      </c>
      <c r="L424" s="10">
        <v>23380</v>
      </c>
      <c r="M424" s="11" t="s">
        <v>1041</v>
      </c>
      <c r="N424" s="12">
        <v>21.6</v>
      </c>
      <c r="O424" s="13" t="s">
        <v>855</v>
      </c>
      <c r="P424" s="14"/>
    </row>
    <row r="425" spans="1:16" x14ac:dyDescent="0.25">
      <c r="A425" s="6"/>
      <c r="B425" s="7">
        <v>44239</v>
      </c>
      <c r="C425" s="8" t="s">
        <v>1065</v>
      </c>
      <c r="D425" s="8" t="s">
        <v>284</v>
      </c>
      <c r="E425" s="9" t="s">
        <v>285</v>
      </c>
      <c r="F425" s="9" t="s">
        <v>286</v>
      </c>
      <c r="G425" s="17">
        <v>0.76527777777777783</v>
      </c>
      <c r="H425" s="17">
        <v>0.92638888888888893</v>
      </c>
      <c r="I425" s="9">
        <v>41840</v>
      </c>
      <c r="J425" s="9">
        <v>16280</v>
      </c>
      <c r="K425" s="10">
        <f t="shared" si="15"/>
        <v>25560</v>
      </c>
      <c r="L425" s="10">
        <v>23380</v>
      </c>
      <c r="M425" s="11" t="s">
        <v>1041</v>
      </c>
      <c r="N425" s="12">
        <v>24</v>
      </c>
      <c r="O425" s="13" t="s">
        <v>855</v>
      </c>
      <c r="P425" s="14"/>
    </row>
    <row r="426" spans="1:16" x14ac:dyDescent="0.25">
      <c r="A426" s="6"/>
      <c r="B426" s="7">
        <v>44239</v>
      </c>
      <c r="C426" s="8" t="s">
        <v>443</v>
      </c>
      <c r="D426" s="8" t="s">
        <v>1102</v>
      </c>
      <c r="E426" s="9" t="s">
        <v>337</v>
      </c>
      <c r="F426" s="9" t="s">
        <v>338</v>
      </c>
      <c r="G426" s="17">
        <v>0.78541666666666676</v>
      </c>
      <c r="H426" s="17">
        <v>0.85416666666666663</v>
      </c>
      <c r="I426" s="9">
        <v>19330</v>
      </c>
      <c r="J426" s="9">
        <v>7900</v>
      </c>
      <c r="K426" s="10">
        <f t="shared" si="15"/>
        <v>11430</v>
      </c>
      <c r="L426" s="10" t="s">
        <v>1278</v>
      </c>
      <c r="M426" s="11" t="s">
        <v>1103</v>
      </c>
      <c r="N426" s="12">
        <f>2612+8933</f>
        <v>11545</v>
      </c>
      <c r="O426" s="13" t="s">
        <v>32</v>
      </c>
      <c r="P426" s="14"/>
    </row>
    <row r="427" spans="1:16" x14ac:dyDescent="0.25">
      <c r="A427" s="6"/>
      <c r="B427" s="7">
        <v>44239</v>
      </c>
      <c r="C427" s="8" t="s">
        <v>1083</v>
      </c>
      <c r="D427" s="8" t="s">
        <v>1084</v>
      </c>
      <c r="E427" s="9" t="s">
        <v>1174</v>
      </c>
      <c r="F427" s="9" t="s">
        <v>503</v>
      </c>
      <c r="G427" s="17">
        <v>0.78819444444444453</v>
      </c>
      <c r="H427" s="17">
        <v>0.8027777777777777</v>
      </c>
      <c r="I427" s="9">
        <v>5890</v>
      </c>
      <c r="J427" s="9">
        <v>5390</v>
      </c>
      <c r="K427" s="10">
        <f t="shared" si="15"/>
        <v>500</v>
      </c>
      <c r="L427" s="10">
        <v>20175</v>
      </c>
      <c r="M427" s="11" t="s">
        <v>1091</v>
      </c>
      <c r="N427" s="12">
        <v>500</v>
      </c>
      <c r="O427" s="13" t="s">
        <v>32</v>
      </c>
      <c r="P427" s="14" t="s">
        <v>883</v>
      </c>
    </row>
    <row r="428" spans="1:16" x14ac:dyDescent="0.25">
      <c r="A428" s="6"/>
      <c r="B428" s="7">
        <v>44239</v>
      </c>
      <c r="C428" s="8" t="s">
        <v>1065</v>
      </c>
      <c r="D428" s="8" t="s">
        <v>853</v>
      </c>
      <c r="E428" s="9" t="s">
        <v>51</v>
      </c>
      <c r="F428" s="9" t="s">
        <v>52</v>
      </c>
      <c r="G428" s="17">
        <v>0.7895833333333333</v>
      </c>
      <c r="H428" s="17">
        <v>0.87430555555555556</v>
      </c>
      <c r="I428" s="9">
        <v>20880</v>
      </c>
      <c r="J428" s="9">
        <v>15910</v>
      </c>
      <c r="K428" s="10">
        <f t="shared" si="15"/>
        <v>4970</v>
      </c>
      <c r="L428" s="10">
        <v>23380</v>
      </c>
      <c r="M428" s="11" t="s">
        <v>1041</v>
      </c>
      <c r="N428" s="12">
        <v>4.2</v>
      </c>
      <c r="O428" s="13" t="s">
        <v>855</v>
      </c>
      <c r="P428" s="14"/>
    </row>
    <row r="429" spans="1:16" s="76" customFormat="1" x14ac:dyDescent="0.25">
      <c r="A429" s="66"/>
      <c r="B429" s="67">
        <v>44239</v>
      </c>
      <c r="C429" s="68" t="s">
        <v>1279</v>
      </c>
      <c r="D429" s="68" t="s">
        <v>602</v>
      </c>
      <c r="E429" s="69" t="s">
        <v>277</v>
      </c>
      <c r="F429" s="69" t="s">
        <v>128</v>
      </c>
      <c r="G429" s="70">
        <v>0.80486111111111114</v>
      </c>
      <c r="H429" s="70">
        <v>0.80972222222222223</v>
      </c>
      <c r="I429" s="69">
        <v>6670</v>
      </c>
      <c r="J429" s="69">
        <v>5590</v>
      </c>
      <c r="K429" s="71">
        <f t="shared" si="15"/>
        <v>1080</v>
      </c>
      <c r="L429" s="71">
        <v>747</v>
      </c>
      <c r="M429" s="72" t="s">
        <v>1280</v>
      </c>
      <c r="N429" s="73">
        <v>1080</v>
      </c>
      <c r="O429" s="74" t="s">
        <v>32</v>
      </c>
      <c r="P429" s="75"/>
    </row>
    <row r="430" spans="1:16" x14ac:dyDescent="0.25">
      <c r="A430" s="6"/>
      <c r="B430" s="7">
        <v>44239</v>
      </c>
      <c r="C430" s="8" t="s">
        <v>930</v>
      </c>
      <c r="D430" s="8" t="s">
        <v>465</v>
      </c>
      <c r="E430" s="9" t="s">
        <v>881</v>
      </c>
      <c r="F430" s="9" t="s">
        <v>749</v>
      </c>
      <c r="G430" s="17">
        <v>0.83680555555555547</v>
      </c>
      <c r="H430" s="17">
        <v>0.38750000000000001</v>
      </c>
      <c r="I430" s="9">
        <v>32720</v>
      </c>
      <c r="J430" s="9">
        <v>19220</v>
      </c>
      <c r="K430" s="10">
        <f t="shared" si="15"/>
        <v>13500</v>
      </c>
      <c r="L430" s="10">
        <v>40472</v>
      </c>
      <c r="M430" s="11" t="s">
        <v>862</v>
      </c>
      <c r="N430" s="12">
        <v>13600</v>
      </c>
      <c r="O430" s="13" t="s">
        <v>32</v>
      </c>
      <c r="P430" s="14"/>
    </row>
    <row r="431" spans="1:16" x14ac:dyDescent="0.25">
      <c r="A431" s="6"/>
      <c r="B431" s="7">
        <v>44239</v>
      </c>
      <c r="C431" s="8" t="s">
        <v>422</v>
      </c>
      <c r="D431" s="8" t="s">
        <v>530</v>
      </c>
      <c r="E431" s="9" t="s">
        <v>699</v>
      </c>
      <c r="F431" s="9" t="s">
        <v>140</v>
      </c>
      <c r="G431" s="17">
        <v>0.8569444444444444</v>
      </c>
      <c r="H431" s="17">
        <v>0.91319444444444453</v>
      </c>
      <c r="I431" s="9">
        <v>19740</v>
      </c>
      <c r="J431" s="9">
        <v>8260</v>
      </c>
      <c r="K431" s="10">
        <f t="shared" si="15"/>
        <v>11480</v>
      </c>
      <c r="L431" s="10">
        <v>1531</v>
      </c>
      <c r="M431" s="11" t="s">
        <v>48</v>
      </c>
      <c r="N431" s="12">
        <v>18881.16</v>
      </c>
      <c r="O431" s="13" t="s">
        <v>49</v>
      </c>
      <c r="P431" s="14"/>
    </row>
    <row r="432" spans="1:16" x14ac:dyDescent="0.25">
      <c r="A432" s="6"/>
      <c r="B432" s="7">
        <v>44239</v>
      </c>
      <c r="C432" s="8" t="s">
        <v>926</v>
      </c>
      <c r="D432" s="8" t="s">
        <v>1116</v>
      </c>
      <c r="E432" s="9" t="s">
        <v>1048</v>
      </c>
      <c r="F432" s="9" t="s">
        <v>1117</v>
      </c>
      <c r="G432" s="17">
        <v>0.88541666666666663</v>
      </c>
      <c r="H432" s="17">
        <v>0.3833333333333333</v>
      </c>
      <c r="I432" s="9">
        <v>17930</v>
      </c>
      <c r="J432" s="9">
        <v>17670</v>
      </c>
      <c r="K432" s="10">
        <f t="shared" si="15"/>
        <v>260</v>
      </c>
      <c r="L432" s="10">
        <v>40367</v>
      </c>
      <c r="M432" s="11" t="s">
        <v>242</v>
      </c>
      <c r="N432" s="12">
        <v>4</v>
      </c>
      <c r="O432" s="13" t="s">
        <v>80</v>
      </c>
      <c r="P432" s="14"/>
    </row>
    <row r="433" spans="1:16" x14ac:dyDescent="0.25">
      <c r="A433" s="6"/>
      <c r="B433" s="7">
        <v>44239</v>
      </c>
      <c r="C433" s="8" t="s">
        <v>962</v>
      </c>
      <c r="D433" s="8" t="s">
        <v>1230</v>
      </c>
      <c r="E433" s="9" t="s">
        <v>1231</v>
      </c>
      <c r="F433" s="9" t="s">
        <v>338</v>
      </c>
      <c r="G433" s="17">
        <v>0.94236111111111109</v>
      </c>
      <c r="H433" s="17">
        <v>0.99097222222222225</v>
      </c>
      <c r="I433" s="9">
        <v>10030</v>
      </c>
      <c r="J433" s="9">
        <v>4030</v>
      </c>
      <c r="K433" s="10">
        <f t="shared" si="15"/>
        <v>6000</v>
      </c>
      <c r="L433" s="10">
        <v>226452</v>
      </c>
      <c r="M433" s="11" t="s">
        <v>1208</v>
      </c>
      <c r="N433" s="12">
        <v>6000</v>
      </c>
      <c r="O433" s="13" t="s">
        <v>32</v>
      </c>
      <c r="P433" s="14"/>
    </row>
    <row r="434" spans="1:16" x14ac:dyDescent="0.25">
      <c r="A434" s="6"/>
      <c r="B434" s="7">
        <v>44240</v>
      </c>
      <c r="C434" s="8" t="s">
        <v>962</v>
      </c>
      <c r="D434" s="8" t="s">
        <v>1205</v>
      </c>
      <c r="E434" s="9" t="s">
        <v>1206</v>
      </c>
      <c r="F434" s="9" t="s">
        <v>338</v>
      </c>
      <c r="G434" s="17">
        <v>6.458333333333334E-2</v>
      </c>
      <c r="H434" s="17">
        <v>0.15138888888888888</v>
      </c>
      <c r="I434" s="9">
        <v>16750</v>
      </c>
      <c r="J434" s="9">
        <v>6710</v>
      </c>
      <c r="K434" s="10">
        <f t="shared" si="15"/>
        <v>10040</v>
      </c>
      <c r="L434" s="10">
        <v>26453</v>
      </c>
      <c r="M434" s="11" t="s">
        <v>1208</v>
      </c>
      <c r="N434" s="12">
        <v>10040</v>
      </c>
      <c r="O434" s="13" t="s">
        <v>32</v>
      </c>
      <c r="P434" s="14"/>
    </row>
    <row r="435" spans="1:16" x14ac:dyDescent="0.25">
      <c r="A435" s="6"/>
      <c r="B435" s="7">
        <v>44240</v>
      </c>
      <c r="C435" s="8" t="s">
        <v>37</v>
      </c>
      <c r="D435" s="8" t="s">
        <v>1055</v>
      </c>
      <c r="E435" s="9" t="s">
        <v>39</v>
      </c>
      <c r="F435" s="9" t="s">
        <v>338</v>
      </c>
      <c r="G435" s="17">
        <v>6.5972222222222224E-2</v>
      </c>
      <c r="H435" s="17">
        <v>0.28055555555555556</v>
      </c>
      <c r="I435" s="9">
        <v>18980</v>
      </c>
      <c r="J435" s="9">
        <v>6220</v>
      </c>
      <c r="K435" s="10">
        <f t="shared" si="15"/>
        <v>12760</v>
      </c>
      <c r="L435" s="10">
        <v>26455</v>
      </c>
      <c r="M435" s="11" t="s">
        <v>1238</v>
      </c>
      <c r="N435" s="12">
        <v>12760</v>
      </c>
      <c r="O435" s="13" t="s">
        <v>32</v>
      </c>
      <c r="P435" s="14"/>
    </row>
    <row r="436" spans="1:16" x14ac:dyDescent="0.25">
      <c r="A436" s="6"/>
      <c r="B436" s="7">
        <v>44240</v>
      </c>
      <c r="C436" s="8" t="s">
        <v>37</v>
      </c>
      <c r="D436" s="8" t="s">
        <v>431</v>
      </c>
      <c r="E436" s="9" t="s">
        <v>967</v>
      </c>
      <c r="F436" s="9" t="s">
        <v>338</v>
      </c>
      <c r="G436" s="17">
        <v>9.930555555555555E-2</v>
      </c>
      <c r="H436" s="17">
        <v>0.3354166666666667</v>
      </c>
      <c r="I436" s="9">
        <v>18840</v>
      </c>
      <c r="J436" s="9">
        <v>6440</v>
      </c>
      <c r="K436" s="10">
        <f t="shared" si="15"/>
        <v>12400</v>
      </c>
      <c r="L436" s="10">
        <v>26456</v>
      </c>
      <c r="M436" s="11" t="s">
        <v>1238</v>
      </c>
      <c r="N436" s="12">
        <v>12400</v>
      </c>
      <c r="O436" s="13" t="s">
        <v>32</v>
      </c>
      <c r="P436" s="14"/>
    </row>
    <row r="437" spans="1:16" x14ac:dyDescent="0.25">
      <c r="A437" s="6"/>
      <c r="B437" s="7">
        <v>44240</v>
      </c>
      <c r="C437" s="8" t="s">
        <v>835</v>
      </c>
      <c r="D437" s="8" t="s">
        <v>255</v>
      </c>
      <c r="E437" s="9" t="s">
        <v>181</v>
      </c>
      <c r="F437" s="9" t="s">
        <v>338</v>
      </c>
      <c r="G437" s="17">
        <v>0.10208333333333335</v>
      </c>
      <c r="H437" s="17">
        <v>0.30277777777777776</v>
      </c>
      <c r="I437" s="9">
        <v>9520</v>
      </c>
      <c r="J437" s="9">
        <v>4060</v>
      </c>
      <c r="K437" s="10">
        <f t="shared" si="15"/>
        <v>5460</v>
      </c>
      <c r="L437" s="10">
        <v>725</v>
      </c>
      <c r="M437" s="11" t="s">
        <v>48</v>
      </c>
      <c r="N437" s="12">
        <v>12769</v>
      </c>
      <c r="O437" s="13" t="s">
        <v>49</v>
      </c>
      <c r="P437" s="14"/>
    </row>
    <row r="438" spans="1:16" x14ac:dyDescent="0.25">
      <c r="A438" s="6"/>
      <c r="B438" s="7">
        <v>44240</v>
      </c>
      <c r="C438" s="8" t="s">
        <v>37</v>
      </c>
      <c r="D438" s="8" t="s">
        <v>1001</v>
      </c>
      <c r="E438" s="9" t="s">
        <v>1002</v>
      </c>
      <c r="F438" s="9" t="s">
        <v>338</v>
      </c>
      <c r="G438" s="17">
        <v>0.14791666666666667</v>
      </c>
      <c r="H438" s="17">
        <v>0.34513888888888888</v>
      </c>
      <c r="I438" s="9">
        <v>9595</v>
      </c>
      <c r="J438" s="9">
        <v>3930</v>
      </c>
      <c r="K438" s="10">
        <f t="shared" si="15"/>
        <v>5665</v>
      </c>
      <c r="L438" s="10">
        <v>26457</v>
      </c>
      <c r="M438" s="11" t="s">
        <v>1281</v>
      </c>
      <c r="N438" s="12">
        <v>5665</v>
      </c>
      <c r="O438" s="13" t="s">
        <v>32</v>
      </c>
      <c r="P438" s="14"/>
    </row>
    <row r="439" spans="1:16" x14ac:dyDescent="0.25">
      <c r="A439" s="6"/>
      <c r="B439" s="7">
        <v>44240</v>
      </c>
      <c r="C439" s="8" t="s">
        <v>37</v>
      </c>
      <c r="D439" s="8" t="s">
        <v>1282</v>
      </c>
      <c r="E439" s="9" t="s">
        <v>719</v>
      </c>
      <c r="F439" s="9" t="s">
        <v>338</v>
      </c>
      <c r="G439" s="17">
        <v>0.18333333333333335</v>
      </c>
      <c r="H439" s="17">
        <v>0.27916666666666667</v>
      </c>
      <c r="I439" s="9">
        <v>15705</v>
      </c>
      <c r="J439" s="9">
        <v>6320</v>
      </c>
      <c r="K439" s="10">
        <f t="shared" si="15"/>
        <v>9385</v>
      </c>
      <c r="L439" s="10">
        <v>26454</v>
      </c>
      <c r="M439" s="11" t="s">
        <v>1283</v>
      </c>
      <c r="N439" s="12">
        <v>9385</v>
      </c>
      <c r="O439" s="13" t="s">
        <v>32</v>
      </c>
      <c r="P439" s="14"/>
    </row>
    <row r="440" spans="1:16" x14ac:dyDescent="0.25">
      <c r="A440" s="6"/>
      <c r="B440" s="7">
        <v>44240</v>
      </c>
      <c r="C440" s="8" t="s">
        <v>871</v>
      </c>
      <c r="D440" s="8" t="s">
        <v>86</v>
      </c>
      <c r="E440" s="9" t="s">
        <v>87</v>
      </c>
      <c r="F440" s="9" t="s">
        <v>88</v>
      </c>
      <c r="G440" s="17">
        <v>0.20347222222222219</v>
      </c>
      <c r="H440" s="17">
        <v>0.24374999999999999</v>
      </c>
      <c r="I440" s="9">
        <v>38900</v>
      </c>
      <c r="J440" s="9">
        <v>17760</v>
      </c>
      <c r="K440" s="10">
        <f t="shared" si="15"/>
        <v>21140</v>
      </c>
      <c r="L440" s="10">
        <v>752</v>
      </c>
      <c r="M440" s="11" t="s">
        <v>257</v>
      </c>
      <c r="N440" s="12">
        <v>21140</v>
      </c>
      <c r="O440" s="13" t="s">
        <v>32</v>
      </c>
      <c r="P440" s="14"/>
    </row>
    <row r="441" spans="1:16" x14ac:dyDescent="0.25">
      <c r="A441" s="6"/>
      <c r="B441" s="15">
        <v>44240</v>
      </c>
      <c r="C441" s="16" t="s">
        <v>1107</v>
      </c>
      <c r="D441" s="8" t="s">
        <v>174</v>
      </c>
      <c r="E441" s="9" t="s">
        <v>110</v>
      </c>
      <c r="F441" s="9" t="s">
        <v>111</v>
      </c>
      <c r="G441" s="17">
        <v>0.33263888888888887</v>
      </c>
      <c r="H441" s="17">
        <v>0.71319444444444446</v>
      </c>
      <c r="I441" s="9">
        <v>11670</v>
      </c>
      <c r="J441" s="9">
        <v>6550</v>
      </c>
      <c r="K441" s="10">
        <f t="shared" si="15"/>
        <v>5120</v>
      </c>
      <c r="L441" s="10">
        <v>97</v>
      </c>
      <c r="M441" s="11" t="s">
        <v>48</v>
      </c>
      <c r="N441" s="12">
        <v>9369</v>
      </c>
      <c r="O441" s="13" t="s">
        <v>49</v>
      </c>
      <c r="P441" s="14"/>
    </row>
    <row r="442" spans="1:16" x14ac:dyDescent="0.25">
      <c r="A442" s="6"/>
      <c r="B442" s="7">
        <v>44240</v>
      </c>
      <c r="C442" s="8" t="s">
        <v>164</v>
      </c>
      <c r="D442" s="8" t="s">
        <v>1284</v>
      </c>
      <c r="E442" s="9" t="s">
        <v>1285</v>
      </c>
      <c r="F442" s="9" t="s">
        <v>338</v>
      </c>
      <c r="G442" s="17">
        <v>0.34722222222222227</v>
      </c>
      <c r="H442" s="17">
        <v>0.36805555555555558</v>
      </c>
      <c r="I442" s="9">
        <v>18340</v>
      </c>
      <c r="J442" s="9">
        <v>43690</v>
      </c>
      <c r="K442" s="10">
        <f t="shared" si="15"/>
        <v>-25350</v>
      </c>
      <c r="L442" s="10">
        <v>15556</v>
      </c>
      <c r="M442" s="11" t="s">
        <v>166</v>
      </c>
      <c r="N442" s="12">
        <v>504</v>
      </c>
      <c r="O442" s="13" t="s">
        <v>1099</v>
      </c>
      <c r="P442" s="14"/>
    </row>
    <row r="443" spans="1:16" x14ac:dyDescent="0.25">
      <c r="A443" s="6"/>
      <c r="B443" s="7">
        <v>44240</v>
      </c>
      <c r="C443" s="8" t="s">
        <v>164</v>
      </c>
      <c r="D443" s="8" t="s">
        <v>1248</v>
      </c>
      <c r="E443" s="9" t="s">
        <v>1249</v>
      </c>
      <c r="F443" s="9" t="s">
        <v>338</v>
      </c>
      <c r="G443" s="17">
        <v>0.375</v>
      </c>
      <c r="H443" s="17">
        <v>0.3972222222222222</v>
      </c>
      <c r="I443" s="9">
        <v>13860</v>
      </c>
      <c r="J443" s="9">
        <v>39270</v>
      </c>
      <c r="K443" s="10">
        <f t="shared" si="15"/>
        <v>-25410</v>
      </c>
      <c r="L443" s="10">
        <v>15557</v>
      </c>
      <c r="M443" s="11" t="s">
        <v>166</v>
      </c>
      <c r="N443" s="12">
        <v>504</v>
      </c>
      <c r="O443" s="13" t="s">
        <v>1099</v>
      </c>
      <c r="P443" s="14"/>
    </row>
    <row r="444" spans="1:16" x14ac:dyDescent="0.25">
      <c r="A444" s="6"/>
      <c r="B444" s="7">
        <v>44240</v>
      </c>
      <c r="C444" s="8" t="s">
        <v>164</v>
      </c>
      <c r="D444" s="8" t="s">
        <v>853</v>
      </c>
      <c r="E444" s="9" t="s">
        <v>51</v>
      </c>
      <c r="F444" s="9" t="s">
        <v>52</v>
      </c>
      <c r="G444" s="17">
        <v>0.38611111111111113</v>
      </c>
      <c r="H444" s="17">
        <v>0.40902777777777777</v>
      </c>
      <c r="I444" s="9">
        <v>16590</v>
      </c>
      <c r="J444" s="9">
        <v>42020</v>
      </c>
      <c r="K444" s="10">
        <f t="shared" si="15"/>
        <v>-25430</v>
      </c>
      <c r="L444" s="10">
        <v>15558</v>
      </c>
      <c r="M444" s="11" t="s">
        <v>166</v>
      </c>
      <c r="N444" s="12">
        <v>504</v>
      </c>
      <c r="O444" s="13" t="s">
        <v>1099</v>
      </c>
      <c r="P444" s="14"/>
    </row>
    <row r="445" spans="1:16" x14ac:dyDescent="0.25">
      <c r="A445" s="6"/>
      <c r="B445" s="7">
        <v>44240</v>
      </c>
      <c r="C445" s="8" t="s">
        <v>164</v>
      </c>
      <c r="D445" s="8" t="s">
        <v>1284</v>
      </c>
      <c r="E445" s="9" t="s">
        <v>1285</v>
      </c>
      <c r="F445" s="9" t="s">
        <v>338</v>
      </c>
      <c r="G445" s="17">
        <v>0.43472222222222223</v>
      </c>
      <c r="H445" s="17">
        <v>0.45555555555555555</v>
      </c>
      <c r="I445" s="9">
        <v>18160</v>
      </c>
      <c r="J445" s="9">
        <v>43550</v>
      </c>
      <c r="K445" s="10">
        <f t="shared" si="15"/>
        <v>-25390</v>
      </c>
      <c r="L445" s="10">
        <v>15559</v>
      </c>
      <c r="M445" s="11" t="s">
        <v>166</v>
      </c>
      <c r="N445" s="12">
        <v>504</v>
      </c>
      <c r="O445" s="13" t="s">
        <v>1099</v>
      </c>
      <c r="P445" s="14"/>
    </row>
    <row r="446" spans="1:16" x14ac:dyDescent="0.25">
      <c r="A446" s="6"/>
      <c r="B446" s="7">
        <v>44240</v>
      </c>
      <c r="C446" s="8" t="s">
        <v>1286</v>
      </c>
      <c r="D446" s="8" t="s">
        <v>1287</v>
      </c>
      <c r="E446" s="9" t="s">
        <v>1288</v>
      </c>
      <c r="F446" s="9" t="s">
        <v>338</v>
      </c>
      <c r="G446" s="17">
        <v>0.44513888888888892</v>
      </c>
      <c r="H446" s="17">
        <v>0.45763888888888887</v>
      </c>
      <c r="I446" s="9">
        <v>6800</v>
      </c>
      <c r="J446" s="9">
        <v>5080</v>
      </c>
      <c r="K446" s="10">
        <f t="shared" si="15"/>
        <v>1720</v>
      </c>
      <c r="L446" s="10">
        <v>140195</v>
      </c>
      <c r="M446" s="11" t="s">
        <v>1289</v>
      </c>
      <c r="N446" s="12">
        <v>13893</v>
      </c>
      <c r="O446" s="13" t="s">
        <v>1099</v>
      </c>
      <c r="P446" s="14"/>
    </row>
    <row r="447" spans="1:16" x14ac:dyDescent="0.25">
      <c r="A447" s="6"/>
      <c r="B447" s="7">
        <v>44240</v>
      </c>
      <c r="C447" s="8" t="s">
        <v>1290</v>
      </c>
      <c r="D447" s="8" t="s">
        <v>174</v>
      </c>
      <c r="E447" s="9" t="s">
        <v>628</v>
      </c>
      <c r="F447" s="9" t="s">
        <v>859</v>
      </c>
      <c r="G447" s="17">
        <v>0.4513888888888889</v>
      </c>
      <c r="H447" s="17">
        <v>0.46388888888888885</v>
      </c>
      <c r="I447" s="9">
        <v>14850</v>
      </c>
      <c r="J447" s="9">
        <v>9650</v>
      </c>
      <c r="K447" s="10">
        <f t="shared" si="15"/>
        <v>5200</v>
      </c>
      <c r="L447" s="10">
        <v>23381</v>
      </c>
      <c r="M447" s="11" t="s">
        <v>1041</v>
      </c>
      <c r="N447" s="12">
        <v>5200</v>
      </c>
      <c r="O447" s="13" t="s">
        <v>32</v>
      </c>
      <c r="P447" s="14" t="s">
        <v>1291</v>
      </c>
    </row>
    <row r="448" spans="1:16" x14ac:dyDescent="0.25">
      <c r="A448" s="6"/>
      <c r="B448" s="7">
        <v>44240</v>
      </c>
      <c r="C448" s="8" t="s">
        <v>164</v>
      </c>
      <c r="D448" s="8" t="s">
        <v>1248</v>
      </c>
      <c r="E448" s="9" t="s">
        <v>1249</v>
      </c>
      <c r="F448" s="9" t="s">
        <v>338</v>
      </c>
      <c r="G448" s="17">
        <v>0.45833333333333331</v>
      </c>
      <c r="H448" s="17">
        <v>0.47430555555555554</v>
      </c>
      <c r="I448" s="9">
        <v>13990</v>
      </c>
      <c r="J448" s="9">
        <v>39250</v>
      </c>
      <c r="K448" s="10">
        <f t="shared" si="15"/>
        <v>-25260</v>
      </c>
      <c r="L448" s="10">
        <v>15560</v>
      </c>
      <c r="M448" s="11" t="s">
        <v>166</v>
      </c>
      <c r="N448" s="12">
        <v>504</v>
      </c>
      <c r="O448" s="13" t="s">
        <v>1099</v>
      </c>
      <c r="P448" s="14"/>
    </row>
    <row r="449" spans="1:16" x14ac:dyDescent="0.25">
      <c r="A449" s="6"/>
      <c r="B449" s="7">
        <v>44240</v>
      </c>
      <c r="C449" s="8" t="s">
        <v>1295</v>
      </c>
      <c r="D449" s="8" t="s">
        <v>1292</v>
      </c>
      <c r="E449" s="9" t="s">
        <v>1293</v>
      </c>
      <c r="F449" s="9" t="s">
        <v>338</v>
      </c>
      <c r="G449" s="17">
        <v>0.46666666666666662</v>
      </c>
      <c r="H449" s="17">
        <v>0.70972222222222225</v>
      </c>
      <c r="I449" s="9">
        <v>41060</v>
      </c>
      <c r="J449" s="9">
        <v>18360</v>
      </c>
      <c r="K449" s="10">
        <f t="shared" si="15"/>
        <v>22700</v>
      </c>
      <c r="L449" s="10">
        <v>1963</v>
      </c>
      <c r="M449" s="11" t="s">
        <v>1296</v>
      </c>
      <c r="N449" s="12">
        <v>22830</v>
      </c>
      <c r="O449" s="13" t="s">
        <v>32</v>
      </c>
      <c r="P449" s="14"/>
    </row>
    <row r="450" spans="1:16" x14ac:dyDescent="0.25">
      <c r="A450" s="6"/>
      <c r="B450" s="7">
        <v>44240</v>
      </c>
      <c r="C450" s="8" t="s">
        <v>164</v>
      </c>
      <c r="D450" s="8" t="s">
        <v>853</v>
      </c>
      <c r="E450" s="9" t="s">
        <v>51</v>
      </c>
      <c r="F450" s="9" t="s">
        <v>52</v>
      </c>
      <c r="G450" s="17">
        <v>0.47361111111111115</v>
      </c>
      <c r="H450" s="17">
        <v>0.50277777777777777</v>
      </c>
      <c r="I450" s="9">
        <v>16660</v>
      </c>
      <c r="J450" s="9">
        <v>42010</v>
      </c>
      <c r="K450" s="10">
        <f t="shared" si="15"/>
        <v>-25350</v>
      </c>
      <c r="L450" s="10">
        <v>15561</v>
      </c>
      <c r="M450" s="11" t="s">
        <v>166</v>
      </c>
      <c r="N450" s="12">
        <v>504</v>
      </c>
      <c r="O450" s="13" t="s">
        <v>1099</v>
      </c>
      <c r="P450" s="14"/>
    </row>
    <row r="451" spans="1:16" x14ac:dyDescent="0.25">
      <c r="A451" s="6"/>
      <c r="B451" s="7">
        <v>44240</v>
      </c>
      <c r="C451" s="8" t="s">
        <v>1062</v>
      </c>
      <c r="D451" s="8" t="s">
        <v>143</v>
      </c>
      <c r="E451" s="9" t="s">
        <v>144</v>
      </c>
      <c r="F451" s="9" t="s">
        <v>626</v>
      </c>
      <c r="G451" s="17">
        <v>0.50694444444444442</v>
      </c>
      <c r="H451" s="17">
        <v>0.52222222222222225</v>
      </c>
      <c r="I451" s="9">
        <v>34440</v>
      </c>
      <c r="J451" s="9">
        <v>15660</v>
      </c>
      <c r="K451" s="10">
        <f t="shared" si="15"/>
        <v>18780</v>
      </c>
      <c r="L451" s="10">
        <v>23382</v>
      </c>
      <c r="M451" s="11" t="s">
        <v>1041</v>
      </c>
      <c r="N451" s="12">
        <v>16.8</v>
      </c>
      <c r="O451" s="13" t="s">
        <v>855</v>
      </c>
      <c r="P451" s="14"/>
    </row>
    <row r="452" spans="1:16" x14ac:dyDescent="0.25">
      <c r="A452" s="6"/>
      <c r="B452" s="7">
        <v>44240</v>
      </c>
      <c r="C452" s="8" t="s">
        <v>1062</v>
      </c>
      <c r="D452" s="8" t="s">
        <v>299</v>
      </c>
      <c r="E452" s="9" t="s">
        <v>813</v>
      </c>
      <c r="F452" s="9" t="s">
        <v>814</v>
      </c>
      <c r="G452" s="17">
        <v>0.51736111111111105</v>
      </c>
      <c r="H452" s="17">
        <v>0.53749999999999998</v>
      </c>
      <c r="I452" s="9">
        <v>31180</v>
      </c>
      <c r="J452" s="9">
        <v>16650</v>
      </c>
      <c r="K452" s="10">
        <f t="shared" si="15"/>
        <v>14530</v>
      </c>
      <c r="L452" s="10">
        <v>23382</v>
      </c>
      <c r="M452" s="11" t="s">
        <v>1041</v>
      </c>
      <c r="N452" s="12">
        <v>12.6</v>
      </c>
      <c r="O452" s="13" t="s">
        <v>855</v>
      </c>
      <c r="P452" s="14"/>
    </row>
    <row r="453" spans="1:16" x14ac:dyDescent="0.25">
      <c r="A453" s="6"/>
      <c r="B453" s="7">
        <v>44240</v>
      </c>
      <c r="C453" s="8" t="s">
        <v>164</v>
      </c>
      <c r="D453" s="8" t="s">
        <v>1284</v>
      </c>
      <c r="E453" s="9" t="s">
        <v>1285</v>
      </c>
      <c r="F453" s="9" t="s">
        <v>338</v>
      </c>
      <c r="G453" s="17">
        <v>0.52500000000000002</v>
      </c>
      <c r="H453" s="17">
        <v>0.55486111111111114</v>
      </c>
      <c r="I453" s="9">
        <v>18310</v>
      </c>
      <c r="J453" s="9">
        <v>43550</v>
      </c>
      <c r="K453" s="10">
        <f t="shared" ref="K453" si="20">+I453-J453</f>
        <v>-25240</v>
      </c>
      <c r="L453" s="10">
        <v>15562</v>
      </c>
      <c r="M453" s="11" t="s">
        <v>166</v>
      </c>
      <c r="N453" s="12">
        <v>504</v>
      </c>
      <c r="O453" s="13" t="s">
        <v>1099</v>
      </c>
      <c r="P453" s="14"/>
    </row>
    <row r="454" spans="1:16" x14ac:dyDescent="0.25">
      <c r="A454" s="6"/>
      <c r="B454" s="7">
        <v>44240</v>
      </c>
      <c r="C454" s="8" t="s">
        <v>1198</v>
      </c>
      <c r="D454" s="8" t="s">
        <v>1008</v>
      </c>
      <c r="E454" s="9" t="s">
        <v>490</v>
      </c>
      <c r="F454" s="9" t="s">
        <v>491</v>
      </c>
      <c r="G454" s="17">
        <v>0.53541666666666665</v>
      </c>
      <c r="H454" s="17"/>
      <c r="I454" s="9">
        <v>16780</v>
      </c>
      <c r="J454" s="9"/>
      <c r="K454" s="10">
        <f t="shared" si="15"/>
        <v>16780</v>
      </c>
      <c r="L454" s="10"/>
      <c r="M454" s="11" t="s">
        <v>1297</v>
      </c>
      <c r="N454" s="12"/>
      <c r="O454" s="13" t="s">
        <v>32</v>
      </c>
      <c r="P454" s="14"/>
    </row>
    <row r="455" spans="1:16" x14ac:dyDescent="0.25">
      <c r="A455" s="6"/>
      <c r="B455" s="7">
        <v>44240</v>
      </c>
      <c r="C455" s="8" t="s">
        <v>164</v>
      </c>
      <c r="D455" s="8" t="s">
        <v>1248</v>
      </c>
      <c r="E455" s="9" t="s">
        <v>1249</v>
      </c>
      <c r="F455" s="9" t="s">
        <v>338</v>
      </c>
      <c r="G455" s="17">
        <v>0.5395833333333333</v>
      </c>
      <c r="H455" s="17">
        <v>0.56527777777777777</v>
      </c>
      <c r="I455" s="9">
        <v>13950</v>
      </c>
      <c r="J455" s="9">
        <v>39270</v>
      </c>
      <c r="K455" s="10">
        <f t="shared" si="15"/>
        <v>-25320</v>
      </c>
      <c r="L455" s="10">
        <v>15563</v>
      </c>
      <c r="M455" s="11" t="s">
        <v>166</v>
      </c>
      <c r="N455" s="12">
        <v>504</v>
      </c>
      <c r="O455" s="13" t="s">
        <v>1099</v>
      </c>
      <c r="P455" s="14"/>
    </row>
    <row r="456" spans="1:16" x14ac:dyDescent="0.25">
      <c r="A456" s="6"/>
      <c r="B456" s="7">
        <v>44240</v>
      </c>
      <c r="C456" s="8" t="s">
        <v>1298</v>
      </c>
      <c r="D456" s="8" t="s">
        <v>1299</v>
      </c>
      <c r="E456" s="9" t="s">
        <v>1300</v>
      </c>
      <c r="F456" s="9" t="s">
        <v>338</v>
      </c>
      <c r="G456" s="17">
        <v>0.54166666666666663</v>
      </c>
      <c r="H456" s="17">
        <v>0.54652777777777783</v>
      </c>
      <c r="I456" s="9">
        <v>4710</v>
      </c>
      <c r="J456" s="9">
        <v>3990</v>
      </c>
      <c r="K456" s="10">
        <f t="shared" ref="K456:K457" si="21">+I456-J456</f>
        <v>720</v>
      </c>
      <c r="L456" s="10">
        <v>34049</v>
      </c>
      <c r="M456" s="11" t="s">
        <v>1301</v>
      </c>
      <c r="N456" s="12">
        <v>720</v>
      </c>
      <c r="O456" s="13" t="s">
        <v>32</v>
      </c>
      <c r="P456" s="14"/>
    </row>
    <row r="457" spans="1:16" x14ac:dyDescent="0.25">
      <c r="A457" s="6"/>
      <c r="B457" s="7">
        <v>44240</v>
      </c>
      <c r="C457" s="8" t="s">
        <v>1302</v>
      </c>
      <c r="D457" s="8" t="s">
        <v>1303</v>
      </c>
      <c r="E457" s="9" t="s">
        <v>1304</v>
      </c>
      <c r="F457" s="9" t="s">
        <v>338</v>
      </c>
      <c r="G457" s="17">
        <v>0.55972222222222223</v>
      </c>
      <c r="H457" s="17">
        <v>0.62847222222222221</v>
      </c>
      <c r="I457" s="9">
        <v>5490</v>
      </c>
      <c r="J457" s="9">
        <v>5780</v>
      </c>
      <c r="K457" s="10">
        <f t="shared" si="21"/>
        <v>-290</v>
      </c>
      <c r="L457" s="10">
        <v>15651</v>
      </c>
      <c r="M457" s="11" t="s">
        <v>1305</v>
      </c>
      <c r="N457" s="12">
        <v>3260</v>
      </c>
      <c r="O457" s="13" t="s">
        <v>32</v>
      </c>
      <c r="P457" s="14"/>
    </row>
    <row r="458" spans="1:16" x14ac:dyDescent="0.25">
      <c r="A458" s="6"/>
      <c r="B458" s="7">
        <v>44240</v>
      </c>
      <c r="C458" s="8" t="s">
        <v>164</v>
      </c>
      <c r="D458" s="8" t="s">
        <v>853</v>
      </c>
      <c r="E458" s="9" t="s">
        <v>51</v>
      </c>
      <c r="F458" s="9" t="s">
        <v>52</v>
      </c>
      <c r="G458" s="17">
        <v>0.5756944444444444</v>
      </c>
      <c r="H458" s="17">
        <v>0.60833333333333328</v>
      </c>
      <c r="I458" s="9">
        <v>16740</v>
      </c>
      <c r="J458" s="9">
        <v>42690</v>
      </c>
      <c r="K458" s="10">
        <f t="shared" si="15"/>
        <v>-25950</v>
      </c>
      <c r="L458" s="10">
        <v>15564</v>
      </c>
      <c r="M458" s="11" t="s">
        <v>166</v>
      </c>
      <c r="N458" s="12">
        <v>515</v>
      </c>
      <c r="O458" s="13" t="s">
        <v>1099</v>
      </c>
      <c r="P458" s="22"/>
    </row>
    <row r="459" spans="1:16" x14ac:dyDescent="0.25">
      <c r="A459" s="6"/>
      <c r="B459" s="7">
        <v>44240</v>
      </c>
      <c r="C459" s="8" t="s">
        <v>962</v>
      </c>
      <c r="D459" s="8" t="s">
        <v>1230</v>
      </c>
      <c r="E459" s="9" t="s">
        <v>1206</v>
      </c>
      <c r="F459" s="9" t="s">
        <v>338</v>
      </c>
      <c r="G459" s="17">
        <v>0.59861111111111109</v>
      </c>
      <c r="H459" s="17">
        <v>0.62708333333333333</v>
      </c>
      <c r="I459" s="9">
        <v>14170</v>
      </c>
      <c r="J459" s="9">
        <v>6680</v>
      </c>
      <c r="K459" s="10">
        <f t="shared" si="15"/>
        <v>7490</v>
      </c>
      <c r="L459" s="10">
        <v>26458</v>
      </c>
      <c r="M459" s="11" t="s">
        <v>1208</v>
      </c>
      <c r="N459" s="12">
        <v>7490</v>
      </c>
      <c r="O459" s="13" t="s">
        <v>32</v>
      </c>
      <c r="P459" s="14"/>
    </row>
    <row r="460" spans="1:16" x14ac:dyDescent="0.25">
      <c r="A460" s="6"/>
      <c r="B460" s="7">
        <v>44240</v>
      </c>
      <c r="C460" s="8" t="s">
        <v>164</v>
      </c>
      <c r="D460" s="8" t="s">
        <v>1284</v>
      </c>
      <c r="E460" s="9" t="s">
        <v>1285</v>
      </c>
      <c r="F460" s="9" t="s">
        <v>338</v>
      </c>
      <c r="G460" s="17">
        <v>0.62569444444444444</v>
      </c>
      <c r="H460" s="17">
        <v>0.64930555555555558</v>
      </c>
      <c r="I460" s="9">
        <v>18290</v>
      </c>
      <c r="J460" s="9">
        <v>43560</v>
      </c>
      <c r="K460" s="10">
        <f t="shared" si="15"/>
        <v>-25270</v>
      </c>
      <c r="L460" s="10">
        <v>15565</v>
      </c>
      <c r="M460" s="11" t="s">
        <v>166</v>
      </c>
      <c r="N460" s="12">
        <v>504</v>
      </c>
      <c r="O460" s="13" t="s">
        <v>1099</v>
      </c>
      <c r="P460" s="14"/>
    </row>
    <row r="461" spans="1:16" x14ac:dyDescent="0.25">
      <c r="A461" s="6"/>
      <c r="B461" s="7">
        <v>44240</v>
      </c>
      <c r="C461" s="8" t="s">
        <v>164</v>
      </c>
      <c r="D461" s="8" t="s">
        <v>1248</v>
      </c>
      <c r="E461" s="9" t="s">
        <v>1249</v>
      </c>
      <c r="F461" s="9" t="s">
        <v>338</v>
      </c>
      <c r="G461" s="17">
        <v>0.64166666666666672</v>
      </c>
      <c r="H461" s="17">
        <v>0.65902777777777777</v>
      </c>
      <c r="I461" s="9">
        <v>13940</v>
      </c>
      <c r="J461" s="9">
        <v>39240</v>
      </c>
      <c r="K461" s="10">
        <f t="shared" si="15"/>
        <v>-25300</v>
      </c>
      <c r="L461" s="10">
        <v>15566</v>
      </c>
      <c r="M461" s="11" t="s">
        <v>166</v>
      </c>
      <c r="N461" s="12">
        <v>504</v>
      </c>
      <c r="O461" s="13" t="s">
        <v>1099</v>
      </c>
      <c r="P461" s="14"/>
    </row>
    <row r="462" spans="1:16" x14ac:dyDescent="0.25">
      <c r="A462" s="6"/>
      <c r="B462" s="7">
        <v>44240</v>
      </c>
      <c r="C462" s="8" t="s">
        <v>1306</v>
      </c>
      <c r="D462" s="8" t="s">
        <v>174</v>
      </c>
      <c r="E462" s="9" t="s">
        <v>628</v>
      </c>
      <c r="F462" s="9" t="s">
        <v>859</v>
      </c>
      <c r="G462" s="17">
        <v>0.7416666666666667</v>
      </c>
      <c r="H462" s="17">
        <v>0.76250000000000007</v>
      </c>
      <c r="I462" s="9">
        <v>15160</v>
      </c>
      <c r="J462" s="9">
        <v>9630</v>
      </c>
      <c r="K462" s="10">
        <f t="shared" si="15"/>
        <v>5530</v>
      </c>
      <c r="L462" s="10">
        <v>26459</v>
      </c>
      <c r="M462" s="11" t="s">
        <v>1307</v>
      </c>
      <c r="N462" s="12">
        <v>5530</v>
      </c>
      <c r="O462" s="13" t="s">
        <v>32</v>
      </c>
      <c r="P462" s="14"/>
    </row>
    <row r="463" spans="1:16" x14ac:dyDescent="0.25">
      <c r="A463" s="6"/>
      <c r="B463" s="7">
        <v>44240</v>
      </c>
      <c r="C463" s="8" t="s">
        <v>1308</v>
      </c>
      <c r="D463" s="8" t="s">
        <v>143</v>
      </c>
      <c r="E463" s="9" t="s">
        <v>144</v>
      </c>
      <c r="F463" s="9" t="s">
        <v>626</v>
      </c>
      <c r="G463" s="17">
        <v>0.81666666666666676</v>
      </c>
      <c r="H463" s="17">
        <v>0.82500000000000007</v>
      </c>
      <c r="I463" s="9">
        <v>35760</v>
      </c>
      <c r="J463" s="9">
        <v>15650</v>
      </c>
      <c r="K463" s="10">
        <f t="shared" si="15"/>
        <v>20110</v>
      </c>
      <c r="L463" s="10" t="s">
        <v>1309</v>
      </c>
      <c r="M463" s="11" t="s">
        <v>1041</v>
      </c>
      <c r="N463" s="12">
        <v>20280</v>
      </c>
      <c r="O463" s="13" t="s">
        <v>32</v>
      </c>
      <c r="P463" s="14"/>
    </row>
    <row r="464" spans="1:16" x14ac:dyDescent="0.25">
      <c r="A464" s="6"/>
      <c r="B464" s="7">
        <v>44240</v>
      </c>
      <c r="C464" s="8" t="s">
        <v>1310</v>
      </c>
      <c r="D464" s="8" t="s">
        <v>1311</v>
      </c>
      <c r="E464" s="9" t="s">
        <v>525</v>
      </c>
      <c r="F464" s="9" t="s">
        <v>1312</v>
      </c>
      <c r="G464" s="17">
        <v>0.83750000000000002</v>
      </c>
      <c r="H464" s="17"/>
      <c r="I464" s="9">
        <v>19730</v>
      </c>
      <c r="J464" s="9"/>
      <c r="K464" s="10">
        <f t="shared" si="15"/>
        <v>19730</v>
      </c>
      <c r="L464" s="10" t="s">
        <v>1313</v>
      </c>
      <c r="M464" s="11" t="s">
        <v>1314</v>
      </c>
      <c r="N464" s="12">
        <v>40</v>
      </c>
      <c r="O464" s="13" t="s">
        <v>80</v>
      </c>
      <c r="P464" s="14"/>
    </row>
    <row r="465" spans="1:16" x14ac:dyDescent="0.25">
      <c r="A465" s="6"/>
      <c r="B465" s="7">
        <v>44240</v>
      </c>
      <c r="C465" s="8" t="s">
        <v>962</v>
      </c>
      <c r="D465" s="8" t="s">
        <v>1205</v>
      </c>
      <c r="E465" s="9" t="s">
        <v>1206</v>
      </c>
      <c r="F465" s="9" t="s">
        <v>338</v>
      </c>
      <c r="G465" s="17">
        <v>0.8520833333333333</v>
      </c>
      <c r="H465" s="17">
        <v>0.87847222222222221</v>
      </c>
      <c r="I465" s="9">
        <v>15930</v>
      </c>
      <c r="J465" s="9">
        <v>6730</v>
      </c>
      <c r="K465" s="10">
        <f t="shared" si="15"/>
        <v>9200</v>
      </c>
      <c r="L465" s="10">
        <v>26460</v>
      </c>
      <c r="M465" s="11" t="s">
        <v>1208</v>
      </c>
      <c r="N465" s="12">
        <v>9200</v>
      </c>
      <c r="O465" s="13" t="s">
        <v>32</v>
      </c>
      <c r="P465" s="14"/>
    </row>
    <row r="466" spans="1:16" x14ac:dyDescent="0.25">
      <c r="A466" s="6"/>
      <c r="B466" s="7">
        <v>44240</v>
      </c>
      <c r="C466" s="8" t="s">
        <v>962</v>
      </c>
      <c r="D466" s="8" t="s">
        <v>1230</v>
      </c>
      <c r="E466" s="9" t="s">
        <v>1315</v>
      </c>
      <c r="F466" s="9" t="s">
        <v>338</v>
      </c>
      <c r="G466" s="17">
        <v>0.86319444444444438</v>
      </c>
      <c r="H466" s="17">
        <v>0.92291666666666661</v>
      </c>
      <c r="I466" s="9">
        <v>11290</v>
      </c>
      <c r="J466" s="9">
        <v>4000</v>
      </c>
      <c r="K466" s="10">
        <f t="shared" si="15"/>
        <v>7290</v>
      </c>
      <c r="L466" s="10">
        <v>26461</v>
      </c>
      <c r="M466" s="11" t="s">
        <v>1208</v>
      </c>
      <c r="N466" s="12">
        <v>7290</v>
      </c>
      <c r="O466" s="13" t="s">
        <v>32</v>
      </c>
      <c r="P466" s="14"/>
    </row>
    <row r="467" spans="1:16" x14ac:dyDescent="0.25">
      <c r="A467" s="6"/>
      <c r="B467" s="7">
        <v>44240</v>
      </c>
      <c r="C467" s="8" t="s">
        <v>1316</v>
      </c>
      <c r="D467" s="8" t="s">
        <v>174</v>
      </c>
      <c r="E467" s="9" t="s">
        <v>628</v>
      </c>
      <c r="F467" s="9" t="s">
        <v>859</v>
      </c>
      <c r="G467" s="17">
        <v>0.87430555555555556</v>
      </c>
      <c r="H467" s="17">
        <v>0.8881944444444444</v>
      </c>
      <c r="I467" s="9">
        <v>13020</v>
      </c>
      <c r="J467" s="9">
        <v>9610</v>
      </c>
      <c r="K467" s="10">
        <f t="shared" ref="K467:K530" si="22">+I467-J467</f>
        <v>3410</v>
      </c>
      <c r="L467" s="10">
        <v>23383</v>
      </c>
      <c r="M467" s="11" t="s">
        <v>1208</v>
      </c>
      <c r="N467" s="12">
        <v>3</v>
      </c>
      <c r="O467" s="13" t="s">
        <v>855</v>
      </c>
      <c r="P467" s="14"/>
    </row>
    <row r="468" spans="1:16" x14ac:dyDescent="0.25">
      <c r="A468" s="6"/>
      <c r="B468" s="7">
        <v>44240</v>
      </c>
      <c r="C468" s="8" t="s">
        <v>1317</v>
      </c>
      <c r="D468" s="8" t="s">
        <v>1318</v>
      </c>
      <c r="E468" s="9" t="s">
        <v>1319</v>
      </c>
      <c r="F468" s="9" t="s">
        <v>338</v>
      </c>
      <c r="G468" s="17">
        <v>0.88194444444444453</v>
      </c>
      <c r="H468" s="17">
        <v>0.95624999999999993</v>
      </c>
      <c r="I468" s="9">
        <v>19470</v>
      </c>
      <c r="J468" s="9">
        <v>8000</v>
      </c>
      <c r="K468" s="10">
        <f t="shared" si="22"/>
        <v>11470</v>
      </c>
      <c r="L468" s="10">
        <v>26462</v>
      </c>
      <c r="M468" s="11" t="s">
        <v>1320</v>
      </c>
      <c r="N468" s="12">
        <v>11470</v>
      </c>
      <c r="O468" s="13" t="s">
        <v>32</v>
      </c>
      <c r="P468" s="14"/>
    </row>
    <row r="469" spans="1:16" x14ac:dyDescent="0.25">
      <c r="A469" s="6"/>
      <c r="B469" s="7">
        <v>44240</v>
      </c>
      <c r="C469" s="8" t="s">
        <v>1317</v>
      </c>
      <c r="D469" s="8" t="s">
        <v>1321</v>
      </c>
      <c r="E469" s="9" t="s">
        <v>1322</v>
      </c>
      <c r="F469" s="9" t="s">
        <v>338</v>
      </c>
      <c r="G469" s="17">
        <v>0.8833333333333333</v>
      </c>
      <c r="H469" s="17">
        <v>0.96527777777777779</v>
      </c>
      <c r="I469" s="9">
        <v>19790</v>
      </c>
      <c r="J469" s="9">
        <v>9410</v>
      </c>
      <c r="K469" s="10">
        <f t="shared" si="22"/>
        <v>10380</v>
      </c>
      <c r="L469" s="10">
        <v>26463</v>
      </c>
      <c r="M469" s="11" t="s">
        <v>1320</v>
      </c>
      <c r="N469" s="12">
        <v>10380</v>
      </c>
      <c r="O469" s="13" t="s">
        <v>32</v>
      </c>
      <c r="P469" s="14"/>
    </row>
    <row r="470" spans="1:16" x14ac:dyDescent="0.25">
      <c r="A470" s="6"/>
      <c r="B470" s="7">
        <v>44240</v>
      </c>
      <c r="C470" s="8" t="s">
        <v>1317</v>
      </c>
      <c r="D470" s="8" t="s">
        <v>1323</v>
      </c>
      <c r="E470" s="9" t="s">
        <v>1324</v>
      </c>
      <c r="F470" s="9" t="s">
        <v>338</v>
      </c>
      <c r="G470" s="17">
        <v>0.91180555555555554</v>
      </c>
      <c r="H470" s="17">
        <v>0.96805555555555556</v>
      </c>
      <c r="I470" s="9">
        <v>18750</v>
      </c>
      <c r="J470" s="9">
        <v>8060</v>
      </c>
      <c r="K470" s="10">
        <f t="shared" si="22"/>
        <v>10690</v>
      </c>
      <c r="L470" s="10">
        <v>26464</v>
      </c>
      <c r="M470" s="11" t="s">
        <v>1320</v>
      </c>
      <c r="N470" s="12">
        <v>10690</v>
      </c>
      <c r="O470" s="13" t="s">
        <v>32</v>
      </c>
      <c r="P470" s="14"/>
    </row>
    <row r="471" spans="1:16" x14ac:dyDescent="0.25">
      <c r="A471" s="6"/>
      <c r="B471" s="7">
        <v>44240</v>
      </c>
      <c r="C471" s="8" t="s">
        <v>1317</v>
      </c>
      <c r="D471" s="8" t="s">
        <v>1325</v>
      </c>
      <c r="E471" s="9" t="s">
        <v>1326</v>
      </c>
      <c r="F471" s="9" t="s">
        <v>338</v>
      </c>
      <c r="G471" s="17">
        <v>0.91805555555555562</v>
      </c>
      <c r="H471" s="17">
        <v>0.9770833333333333</v>
      </c>
      <c r="I471" s="9">
        <v>20770</v>
      </c>
      <c r="J471" s="9">
        <v>8260</v>
      </c>
      <c r="K471" s="10">
        <f t="shared" si="22"/>
        <v>12510</v>
      </c>
      <c r="L471" s="10">
        <v>26465</v>
      </c>
      <c r="M471" s="11" t="s">
        <v>1320</v>
      </c>
      <c r="N471" s="12">
        <v>12510</v>
      </c>
      <c r="O471" s="13" t="s">
        <v>32</v>
      </c>
      <c r="P471" s="14"/>
    </row>
    <row r="472" spans="1:16" x14ac:dyDescent="0.25">
      <c r="A472" s="6"/>
      <c r="B472" s="7">
        <v>44240</v>
      </c>
      <c r="C472" s="8" t="s">
        <v>1317</v>
      </c>
      <c r="D472" s="8" t="s">
        <v>1327</v>
      </c>
      <c r="E472" s="9" t="s">
        <v>1328</v>
      </c>
      <c r="F472" s="9" t="s">
        <v>338</v>
      </c>
      <c r="G472" s="17">
        <v>0.9194444444444444</v>
      </c>
      <c r="H472" s="17">
        <v>0.99444444444444446</v>
      </c>
      <c r="I472" s="9">
        <v>19380</v>
      </c>
      <c r="J472" s="9">
        <v>8030</v>
      </c>
      <c r="K472" s="10">
        <f t="shared" si="22"/>
        <v>11350</v>
      </c>
      <c r="L472" s="10">
        <v>26467</v>
      </c>
      <c r="M472" s="11" t="s">
        <v>1320</v>
      </c>
      <c r="N472" s="12">
        <v>11350</v>
      </c>
      <c r="O472" s="13" t="s">
        <v>32</v>
      </c>
      <c r="P472" s="14"/>
    </row>
    <row r="473" spans="1:16" x14ac:dyDescent="0.25">
      <c r="A473" s="6"/>
      <c r="B473" s="7">
        <v>44240</v>
      </c>
      <c r="C473" s="8" t="s">
        <v>422</v>
      </c>
      <c r="D473" s="8" t="s">
        <v>530</v>
      </c>
      <c r="E473" s="9" t="s">
        <v>699</v>
      </c>
      <c r="F473" s="9" t="s">
        <v>140</v>
      </c>
      <c r="G473" s="17">
        <v>0.93472222222222223</v>
      </c>
      <c r="H473" s="17">
        <v>3.1944444444444449E-2</v>
      </c>
      <c r="I473" s="9">
        <v>22120</v>
      </c>
      <c r="J473" s="9">
        <v>8240</v>
      </c>
      <c r="K473" s="10">
        <f t="shared" si="22"/>
        <v>13880</v>
      </c>
      <c r="L473" s="10">
        <v>1532</v>
      </c>
      <c r="M473" s="11" t="s">
        <v>48</v>
      </c>
      <c r="N473" s="12">
        <v>30485.1</v>
      </c>
      <c r="O473" s="13" t="s">
        <v>49</v>
      </c>
      <c r="P473" s="14"/>
    </row>
    <row r="474" spans="1:16" x14ac:dyDescent="0.25">
      <c r="A474" s="6"/>
      <c r="B474" s="7">
        <v>44240</v>
      </c>
      <c r="C474" s="8" t="s">
        <v>37</v>
      </c>
      <c r="D474" s="8" t="s">
        <v>1055</v>
      </c>
      <c r="E474" s="9" t="s">
        <v>967</v>
      </c>
      <c r="F474" s="9" t="s">
        <v>338</v>
      </c>
      <c r="G474" s="17">
        <v>0.93611111111111101</v>
      </c>
      <c r="H474" s="17">
        <v>2.7777777777777779E-3</v>
      </c>
      <c r="I474" s="9">
        <v>15770</v>
      </c>
      <c r="J474" s="9">
        <v>6440</v>
      </c>
      <c r="K474" s="10">
        <f t="shared" si="22"/>
        <v>9330</v>
      </c>
      <c r="L474" s="10">
        <v>26468</v>
      </c>
      <c r="M474" s="11" t="s">
        <v>1283</v>
      </c>
      <c r="N474" s="12">
        <v>9330</v>
      </c>
      <c r="O474" s="13" t="s">
        <v>32</v>
      </c>
      <c r="P474" s="14"/>
    </row>
    <row r="475" spans="1:16" x14ac:dyDescent="0.25">
      <c r="A475" s="6"/>
      <c r="B475" s="7">
        <v>44240</v>
      </c>
      <c r="C475" s="8" t="s">
        <v>37</v>
      </c>
      <c r="D475" s="8" t="s">
        <v>1282</v>
      </c>
      <c r="E475" s="9" t="s">
        <v>1002</v>
      </c>
      <c r="F475" s="9" t="s">
        <v>338</v>
      </c>
      <c r="G475" s="17">
        <v>0.93888888888888899</v>
      </c>
      <c r="H475" s="17">
        <v>6.9444444444444447E-4</v>
      </c>
      <c r="I475" s="9">
        <v>10595</v>
      </c>
      <c r="J475" s="9">
        <v>3940</v>
      </c>
      <c r="K475" s="10">
        <f t="shared" si="22"/>
        <v>6655</v>
      </c>
      <c r="L475" s="10">
        <v>26469</v>
      </c>
      <c r="M475" s="11" t="s">
        <v>1283</v>
      </c>
      <c r="N475" s="12">
        <v>6655</v>
      </c>
      <c r="O475" s="13" t="s">
        <v>32</v>
      </c>
      <c r="P475" s="14"/>
    </row>
    <row r="476" spans="1:16" x14ac:dyDescent="0.25">
      <c r="A476" s="6"/>
      <c r="B476" s="7">
        <v>44240</v>
      </c>
      <c r="C476" s="8" t="s">
        <v>1075</v>
      </c>
      <c r="D476" s="8" t="s">
        <v>1076</v>
      </c>
      <c r="E476" s="9" t="s">
        <v>220</v>
      </c>
      <c r="F476" s="9" t="s">
        <v>221</v>
      </c>
      <c r="G476" s="17">
        <v>0.94513888888888886</v>
      </c>
      <c r="H476" s="17">
        <v>0.1013888888888889</v>
      </c>
      <c r="I476" s="9">
        <v>19900</v>
      </c>
      <c r="J476" s="9">
        <v>9190</v>
      </c>
      <c r="K476" s="10">
        <f t="shared" si="22"/>
        <v>10710</v>
      </c>
      <c r="L476" s="10">
        <v>753</v>
      </c>
      <c r="M476" s="11" t="s">
        <v>1329</v>
      </c>
      <c r="N476" s="12">
        <v>10646</v>
      </c>
      <c r="O476" s="13" t="s">
        <v>32</v>
      </c>
      <c r="P476" s="14"/>
    </row>
    <row r="477" spans="1:16" x14ac:dyDescent="0.25">
      <c r="A477" s="6"/>
      <c r="B477" s="7">
        <v>44240</v>
      </c>
      <c r="C477" s="8" t="s">
        <v>962</v>
      </c>
      <c r="D477" s="8" t="s">
        <v>1205</v>
      </c>
      <c r="E477" s="9" t="s">
        <v>1206</v>
      </c>
      <c r="F477" s="9" t="s">
        <v>338</v>
      </c>
      <c r="G477" s="17">
        <v>0.96319444444444446</v>
      </c>
      <c r="H477" s="17">
        <v>0.98402777777777783</v>
      </c>
      <c r="I477" s="9">
        <v>8740</v>
      </c>
      <c r="J477" s="9">
        <v>6700</v>
      </c>
      <c r="K477" s="10">
        <f t="shared" si="22"/>
        <v>2040</v>
      </c>
      <c r="L477" s="10">
        <v>26466</v>
      </c>
      <c r="M477" s="11" t="s">
        <v>1330</v>
      </c>
      <c r="N477" s="12">
        <v>2040</v>
      </c>
      <c r="O477" s="13" t="s">
        <v>32</v>
      </c>
      <c r="P477" s="14"/>
    </row>
    <row r="478" spans="1:16" x14ac:dyDescent="0.25">
      <c r="A478" s="6"/>
      <c r="B478" s="7">
        <v>44240</v>
      </c>
      <c r="C478" s="8" t="s">
        <v>1317</v>
      </c>
      <c r="D478" s="8" t="s">
        <v>1331</v>
      </c>
      <c r="E478" s="9" t="s">
        <v>1332</v>
      </c>
      <c r="F478" s="9" t="s">
        <v>338</v>
      </c>
      <c r="G478" s="17">
        <v>0.98125000000000007</v>
      </c>
      <c r="H478" s="17">
        <v>4.5138888888888888E-2</v>
      </c>
      <c r="I478" s="9">
        <v>23550</v>
      </c>
      <c r="J478" s="9">
        <v>9390</v>
      </c>
      <c r="K478" s="10">
        <f t="shared" si="22"/>
        <v>14160</v>
      </c>
      <c r="L478" s="10">
        <v>26471</v>
      </c>
      <c r="M478" s="11" t="s">
        <v>1320</v>
      </c>
      <c r="N478" s="12">
        <v>14160</v>
      </c>
      <c r="O478" s="13" t="s">
        <v>32</v>
      </c>
      <c r="P478" s="14"/>
    </row>
    <row r="479" spans="1:16" x14ac:dyDescent="0.25">
      <c r="A479" s="6"/>
      <c r="B479" s="7">
        <v>44240</v>
      </c>
      <c r="C479" s="8" t="s">
        <v>1317</v>
      </c>
      <c r="D479" s="8" t="s">
        <v>1333</v>
      </c>
      <c r="E479" s="9" t="s">
        <v>1334</v>
      </c>
      <c r="F479" s="9" t="s">
        <v>338</v>
      </c>
      <c r="G479" s="17">
        <v>0.98611111111111116</v>
      </c>
      <c r="H479" s="17">
        <v>2.2916666666666669E-2</v>
      </c>
      <c r="I479" s="9">
        <v>15450</v>
      </c>
      <c r="J479" s="9">
        <v>7610</v>
      </c>
      <c r="K479" s="10">
        <f t="shared" si="22"/>
        <v>7840</v>
      </c>
      <c r="L479" s="10">
        <v>26470</v>
      </c>
      <c r="M479" s="11" t="s">
        <v>1320</v>
      </c>
      <c r="N479" s="12">
        <v>7840</v>
      </c>
      <c r="O479" s="13" t="s">
        <v>32</v>
      </c>
      <c r="P479" s="14"/>
    </row>
    <row r="480" spans="1:16" x14ac:dyDescent="0.25">
      <c r="A480" s="6"/>
      <c r="B480" s="7">
        <v>44240</v>
      </c>
      <c r="C480" s="8" t="s">
        <v>1317</v>
      </c>
      <c r="D480" s="8" t="s">
        <v>1335</v>
      </c>
      <c r="E480" s="9" t="s">
        <v>1336</v>
      </c>
      <c r="F480" s="9" t="s">
        <v>338</v>
      </c>
      <c r="G480" s="17">
        <v>0.98749999999999993</v>
      </c>
      <c r="H480" s="17">
        <v>5.486111111111111E-2</v>
      </c>
      <c r="I480" s="9">
        <v>21330</v>
      </c>
      <c r="J480" s="9">
        <v>9680</v>
      </c>
      <c r="K480" s="10">
        <f t="shared" si="22"/>
        <v>11650</v>
      </c>
      <c r="L480" s="10">
        <v>26472</v>
      </c>
      <c r="M480" s="11" t="s">
        <v>1320</v>
      </c>
      <c r="N480" s="12">
        <v>11650</v>
      </c>
      <c r="O480" s="13" t="s">
        <v>32</v>
      </c>
      <c r="P480" s="14"/>
    </row>
    <row r="481" spans="1:16" x14ac:dyDescent="0.25">
      <c r="A481" s="6"/>
      <c r="B481" s="7">
        <v>44240</v>
      </c>
      <c r="C481" s="8" t="s">
        <v>1317</v>
      </c>
      <c r="D481" s="8" t="s">
        <v>1337</v>
      </c>
      <c r="E481" s="9" t="s">
        <v>1338</v>
      </c>
      <c r="F481" s="9" t="s">
        <v>338</v>
      </c>
      <c r="G481" s="17">
        <v>0.98888888888888893</v>
      </c>
      <c r="H481" s="17">
        <v>7.7083333333333337E-2</v>
      </c>
      <c r="I481" s="9">
        <v>22590</v>
      </c>
      <c r="J481" s="9">
        <v>8550</v>
      </c>
      <c r="K481" s="10">
        <f t="shared" si="22"/>
        <v>14040</v>
      </c>
      <c r="L481" s="10">
        <v>26474</v>
      </c>
      <c r="M481" s="11" t="s">
        <v>1320</v>
      </c>
      <c r="N481" s="12">
        <v>14040</v>
      </c>
      <c r="O481" s="13" t="s">
        <v>32</v>
      </c>
      <c r="P481" s="14"/>
    </row>
    <row r="482" spans="1:16" x14ac:dyDescent="0.25">
      <c r="A482" s="6"/>
      <c r="B482" s="7">
        <v>44241</v>
      </c>
      <c r="C482" s="8" t="s">
        <v>37</v>
      </c>
      <c r="D482" s="8" t="s">
        <v>431</v>
      </c>
      <c r="E482" s="9" t="s">
        <v>39</v>
      </c>
      <c r="F482" s="9" t="s">
        <v>338</v>
      </c>
      <c r="G482" s="17">
        <v>3.3333333333333333E-2</v>
      </c>
      <c r="H482" s="17">
        <v>6.3194444444444442E-2</v>
      </c>
      <c r="I482" s="9">
        <v>12425</v>
      </c>
      <c r="J482" s="9">
        <v>6250</v>
      </c>
      <c r="K482" s="10">
        <f t="shared" si="22"/>
        <v>6175</v>
      </c>
      <c r="L482" s="10">
        <v>26473</v>
      </c>
      <c r="M482" s="11" t="s">
        <v>1339</v>
      </c>
      <c r="N482" s="12">
        <v>6175</v>
      </c>
      <c r="O482" s="13" t="s">
        <v>32</v>
      </c>
      <c r="P482" s="14"/>
    </row>
    <row r="483" spans="1:16" x14ac:dyDescent="0.25">
      <c r="A483" s="6"/>
      <c r="B483" s="7">
        <v>44241</v>
      </c>
      <c r="C483" s="8" t="s">
        <v>37</v>
      </c>
      <c r="D483" s="8" t="s">
        <v>1001</v>
      </c>
      <c r="E483" s="9" t="s">
        <v>1340</v>
      </c>
      <c r="F483" s="9" t="s">
        <v>338</v>
      </c>
      <c r="G483" s="17">
        <v>3.5416666666666666E-2</v>
      </c>
      <c r="H483" s="17">
        <v>9.2361111111111116E-2</v>
      </c>
      <c r="I483" s="9">
        <v>13490</v>
      </c>
      <c r="J483" s="9">
        <v>6330</v>
      </c>
      <c r="K483" s="10">
        <f t="shared" si="22"/>
        <v>7160</v>
      </c>
      <c r="L483" s="10">
        <v>26475</v>
      </c>
      <c r="M483" s="11" t="s">
        <v>1283</v>
      </c>
      <c r="N483" s="12">
        <v>7160</v>
      </c>
      <c r="O483" s="13" t="s">
        <v>32</v>
      </c>
      <c r="P483" s="14"/>
    </row>
    <row r="484" spans="1:16" x14ac:dyDescent="0.25">
      <c r="A484" s="6"/>
      <c r="B484" s="7">
        <v>44241</v>
      </c>
      <c r="C484" s="8" t="s">
        <v>1317</v>
      </c>
      <c r="D484" s="8" t="s">
        <v>1341</v>
      </c>
      <c r="E484" s="9" t="s">
        <v>1342</v>
      </c>
      <c r="F484" s="9" t="s">
        <v>338</v>
      </c>
      <c r="G484" s="17">
        <v>3.6805555555555557E-2</v>
      </c>
      <c r="H484" s="17">
        <v>9.5138888888888884E-2</v>
      </c>
      <c r="I484" s="9">
        <v>19870</v>
      </c>
      <c r="J484" s="9">
        <v>8330</v>
      </c>
      <c r="K484" s="10">
        <f t="shared" si="22"/>
        <v>11540</v>
      </c>
      <c r="L484" s="10">
        <v>26476</v>
      </c>
      <c r="M484" s="11" t="s">
        <v>1320</v>
      </c>
      <c r="N484" s="12">
        <v>11540</v>
      </c>
      <c r="O484" s="13" t="s">
        <v>32</v>
      </c>
      <c r="P484" s="14"/>
    </row>
    <row r="485" spans="1:16" x14ac:dyDescent="0.25">
      <c r="A485" s="6"/>
      <c r="B485" s="7">
        <v>44241</v>
      </c>
      <c r="C485" s="8" t="s">
        <v>1317</v>
      </c>
      <c r="D485" s="8" t="s">
        <v>1343</v>
      </c>
      <c r="E485" s="9" t="s">
        <v>1344</v>
      </c>
      <c r="F485" s="9" t="s">
        <v>338</v>
      </c>
      <c r="G485" s="17">
        <v>3.8194444444444441E-2</v>
      </c>
      <c r="H485" s="17">
        <v>0.1111111111111111</v>
      </c>
      <c r="I485" s="9">
        <v>20790</v>
      </c>
      <c r="J485" s="9">
        <v>8350</v>
      </c>
      <c r="K485" s="10">
        <f t="shared" si="22"/>
        <v>12440</v>
      </c>
      <c r="L485" s="10">
        <v>26477</v>
      </c>
      <c r="M485" s="11" t="s">
        <v>1320</v>
      </c>
      <c r="N485" s="12">
        <v>12440</v>
      </c>
      <c r="O485" s="13" t="s">
        <v>32</v>
      </c>
      <c r="P485" s="14"/>
    </row>
    <row r="486" spans="1:16" x14ac:dyDescent="0.25">
      <c r="A486" s="6"/>
      <c r="B486" s="7">
        <v>44241</v>
      </c>
      <c r="C486" s="8" t="s">
        <v>1317</v>
      </c>
      <c r="D486" s="8" t="s">
        <v>1345</v>
      </c>
      <c r="E486" s="9" t="s">
        <v>1346</v>
      </c>
      <c r="F486" s="9" t="s">
        <v>338</v>
      </c>
      <c r="G486" s="17">
        <v>7.4999999999999997E-2</v>
      </c>
      <c r="H486" s="17">
        <v>0.13055555555555556</v>
      </c>
      <c r="I486" s="9">
        <v>21170</v>
      </c>
      <c r="J486" s="9">
        <v>8600</v>
      </c>
      <c r="K486" s="10">
        <f t="shared" si="22"/>
        <v>12570</v>
      </c>
      <c r="L486" s="10">
        <v>26478</v>
      </c>
      <c r="M486" s="11" t="s">
        <v>1320</v>
      </c>
      <c r="N486" s="12">
        <v>12570</v>
      </c>
      <c r="O486" s="13" t="s">
        <v>32</v>
      </c>
      <c r="P486" s="14"/>
    </row>
    <row r="487" spans="1:16" x14ac:dyDescent="0.25">
      <c r="A487" s="6"/>
      <c r="B487" s="7">
        <v>44241</v>
      </c>
      <c r="C487" s="8" t="s">
        <v>1317</v>
      </c>
      <c r="D487" s="8" t="s">
        <v>1347</v>
      </c>
      <c r="E487" s="9" t="s">
        <v>1348</v>
      </c>
      <c r="F487" s="9" t="s">
        <v>338</v>
      </c>
      <c r="G487" s="17">
        <v>7.9166666666666663E-2</v>
      </c>
      <c r="H487" s="17">
        <v>0.14652777777777778</v>
      </c>
      <c r="I487" s="9">
        <v>21290</v>
      </c>
      <c r="J487" s="9">
        <v>8570</v>
      </c>
      <c r="K487" s="10">
        <f t="shared" si="22"/>
        <v>12720</v>
      </c>
      <c r="L487" s="10">
        <v>26479</v>
      </c>
      <c r="M487" s="11" t="s">
        <v>1320</v>
      </c>
      <c r="N487" s="12">
        <v>12720</v>
      </c>
      <c r="O487" s="13" t="s">
        <v>32</v>
      </c>
      <c r="P487" s="14"/>
    </row>
    <row r="488" spans="1:16" s="76" customFormat="1" x14ac:dyDescent="0.25">
      <c r="A488" s="66"/>
      <c r="B488" s="7">
        <v>44241</v>
      </c>
      <c r="C488" s="68" t="s">
        <v>1259</v>
      </c>
      <c r="D488" s="68" t="s">
        <v>464</v>
      </c>
      <c r="E488" s="69" t="s">
        <v>277</v>
      </c>
      <c r="F488" s="69" t="s">
        <v>128</v>
      </c>
      <c r="G488" s="70">
        <v>0.40763888888888888</v>
      </c>
      <c r="H488" s="70">
        <v>0.41111111111111115</v>
      </c>
      <c r="I488" s="69">
        <v>6020</v>
      </c>
      <c r="J488" s="69">
        <v>5590</v>
      </c>
      <c r="K488" s="71">
        <f t="shared" si="22"/>
        <v>430</v>
      </c>
      <c r="L488" s="71" t="s">
        <v>1207</v>
      </c>
      <c r="M488" s="72" t="s">
        <v>1350</v>
      </c>
      <c r="N488" s="73">
        <v>430</v>
      </c>
      <c r="O488" s="74" t="s">
        <v>32</v>
      </c>
      <c r="P488" s="75"/>
    </row>
    <row r="489" spans="1:16" x14ac:dyDescent="0.25">
      <c r="A489" s="6"/>
      <c r="B489" s="15">
        <v>44241</v>
      </c>
      <c r="C489" s="8" t="s">
        <v>1351</v>
      </c>
      <c r="D489" s="8" t="s">
        <v>243</v>
      </c>
      <c r="E489" s="9" t="s">
        <v>440</v>
      </c>
      <c r="F489" s="9" t="s">
        <v>1276</v>
      </c>
      <c r="G489" s="17">
        <v>0.47083333333333338</v>
      </c>
      <c r="H489" s="17">
        <v>0.47986111111111113</v>
      </c>
      <c r="I489" s="9">
        <v>39620</v>
      </c>
      <c r="J489" s="9">
        <v>15390</v>
      </c>
      <c r="K489" s="10">
        <f t="shared" si="22"/>
        <v>24230</v>
      </c>
      <c r="L489" s="10" t="s">
        <v>1352</v>
      </c>
      <c r="M489" s="11" t="s">
        <v>1041</v>
      </c>
      <c r="N489" s="12">
        <f>14.4+7.2</f>
        <v>21.6</v>
      </c>
      <c r="O489" s="13" t="s">
        <v>855</v>
      </c>
      <c r="P489" s="14"/>
    </row>
    <row r="490" spans="1:16" x14ac:dyDescent="0.25">
      <c r="A490" s="6"/>
      <c r="B490" s="7">
        <v>44241</v>
      </c>
      <c r="C490" s="8" t="s">
        <v>984</v>
      </c>
      <c r="D490" s="8" t="s">
        <v>465</v>
      </c>
      <c r="E490" s="9" t="s">
        <v>881</v>
      </c>
      <c r="F490" s="9" t="s">
        <v>491</v>
      </c>
      <c r="G490" s="17">
        <v>0.4777777777777778</v>
      </c>
      <c r="H490" s="17">
        <v>0.48749999999999999</v>
      </c>
      <c r="I490" s="9">
        <v>41190</v>
      </c>
      <c r="J490" s="9">
        <v>16670</v>
      </c>
      <c r="K490" s="10">
        <f t="shared" si="22"/>
        <v>24520</v>
      </c>
      <c r="L490" s="10">
        <v>23384</v>
      </c>
      <c r="M490" s="11" t="s">
        <v>1041</v>
      </c>
      <c r="N490" s="12">
        <v>21.6</v>
      </c>
      <c r="O490" s="13" t="s">
        <v>855</v>
      </c>
      <c r="P490" s="14"/>
    </row>
    <row r="491" spans="1:16" x14ac:dyDescent="0.25">
      <c r="A491" s="6"/>
      <c r="B491" s="7">
        <v>44241</v>
      </c>
      <c r="C491" s="8" t="s">
        <v>984</v>
      </c>
      <c r="D491" s="8" t="s">
        <v>143</v>
      </c>
      <c r="E491" s="9" t="s">
        <v>144</v>
      </c>
      <c r="F491" s="9" t="s">
        <v>626</v>
      </c>
      <c r="G491" s="17">
        <v>0.49583333333333335</v>
      </c>
      <c r="H491" s="17">
        <v>0.50277777777777777</v>
      </c>
      <c r="I491" s="9">
        <v>39960</v>
      </c>
      <c r="J491" s="9">
        <v>15630</v>
      </c>
      <c r="K491" s="10">
        <f t="shared" si="22"/>
        <v>24330</v>
      </c>
      <c r="L491" s="10">
        <v>23384</v>
      </c>
      <c r="M491" s="11" t="s">
        <v>1041</v>
      </c>
      <c r="N491" s="12">
        <v>21.6</v>
      </c>
      <c r="O491" s="13" t="s">
        <v>855</v>
      </c>
      <c r="P491" s="14"/>
    </row>
    <row r="492" spans="1:16" x14ac:dyDescent="0.25">
      <c r="A492" s="6"/>
      <c r="B492" s="7">
        <v>44241</v>
      </c>
      <c r="C492" s="8" t="s">
        <v>984</v>
      </c>
      <c r="D492" s="8" t="s">
        <v>284</v>
      </c>
      <c r="E492" s="9" t="s">
        <v>285</v>
      </c>
      <c r="F492" s="9" t="s">
        <v>286</v>
      </c>
      <c r="G492" s="17">
        <v>0.5083333333333333</v>
      </c>
      <c r="H492" s="17">
        <v>0.51388888888888895</v>
      </c>
      <c r="I492" s="9">
        <v>35710</v>
      </c>
      <c r="J492" s="9">
        <v>16250</v>
      </c>
      <c r="K492" s="10">
        <f t="shared" si="22"/>
        <v>19460</v>
      </c>
      <c r="L492" s="10">
        <v>23384</v>
      </c>
      <c r="M492" s="11" t="s">
        <v>1353</v>
      </c>
      <c r="N492" s="12">
        <v>17.399999999999999</v>
      </c>
      <c r="O492" s="13" t="s">
        <v>855</v>
      </c>
      <c r="P492" s="14"/>
    </row>
    <row r="493" spans="1:16" x14ac:dyDescent="0.25">
      <c r="A493" s="6"/>
      <c r="B493" s="7">
        <v>44241</v>
      </c>
      <c r="C493" s="8" t="s">
        <v>991</v>
      </c>
      <c r="D493" s="8" t="s">
        <v>928</v>
      </c>
      <c r="E493" s="9" t="s">
        <v>628</v>
      </c>
      <c r="F493" s="9" t="s">
        <v>859</v>
      </c>
      <c r="G493" s="17">
        <v>0.53819444444444442</v>
      </c>
      <c r="H493" s="17">
        <v>0.55902777777777779</v>
      </c>
      <c r="I493" s="9">
        <v>22520</v>
      </c>
      <c r="J493" s="9">
        <v>9610</v>
      </c>
      <c r="K493" s="10">
        <f t="shared" si="22"/>
        <v>12910</v>
      </c>
      <c r="L493" s="10">
        <v>23384</v>
      </c>
      <c r="M493" s="11" t="s">
        <v>1041</v>
      </c>
      <c r="N493" s="12">
        <v>12</v>
      </c>
      <c r="O493" s="13" t="s">
        <v>855</v>
      </c>
      <c r="P493" s="14"/>
    </row>
    <row r="494" spans="1:16" x14ac:dyDescent="0.25">
      <c r="A494" s="6"/>
      <c r="B494" s="7">
        <v>44241</v>
      </c>
      <c r="C494" s="8" t="s">
        <v>991</v>
      </c>
      <c r="D494" s="8" t="s">
        <v>198</v>
      </c>
      <c r="E494" s="9" t="s">
        <v>405</v>
      </c>
      <c r="F494" s="9" t="s">
        <v>161</v>
      </c>
      <c r="G494" s="17">
        <v>0.53888888888888886</v>
      </c>
      <c r="H494" s="17">
        <v>0.54652777777777783</v>
      </c>
      <c r="I494" s="9">
        <v>41220</v>
      </c>
      <c r="J494" s="9">
        <v>16600</v>
      </c>
      <c r="K494" s="10">
        <f t="shared" si="22"/>
        <v>24620</v>
      </c>
      <c r="L494" s="10">
        <v>23384</v>
      </c>
      <c r="M494" s="11" t="s">
        <v>1041</v>
      </c>
      <c r="N494" s="12">
        <v>21.6</v>
      </c>
      <c r="O494" s="13" t="s">
        <v>855</v>
      </c>
      <c r="P494" s="14"/>
    </row>
    <row r="495" spans="1:16" x14ac:dyDescent="0.25">
      <c r="A495" s="6"/>
      <c r="B495" s="7">
        <v>44241</v>
      </c>
      <c r="C495" s="8" t="s">
        <v>1107</v>
      </c>
      <c r="D495" s="8" t="s">
        <v>1354</v>
      </c>
      <c r="E495" s="9" t="s">
        <v>35</v>
      </c>
      <c r="F495" s="9" t="s">
        <v>338</v>
      </c>
      <c r="G495" s="17">
        <v>0.54166666666666663</v>
      </c>
      <c r="H495" s="17">
        <v>0.5625</v>
      </c>
      <c r="I495" s="9">
        <v>8860</v>
      </c>
      <c r="J495" s="9">
        <v>5480</v>
      </c>
      <c r="K495" s="10">
        <f t="shared" si="22"/>
        <v>3380</v>
      </c>
      <c r="L495" s="10">
        <v>98</v>
      </c>
      <c r="M495" s="11" t="s">
        <v>48</v>
      </c>
      <c r="N495" s="12">
        <v>8337</v>
      </c>
      <c r="O495" s="13" t="s">
        <v>49</v>
      </c>
      <c r="P495" s="14"/>
    </row>
    <row r="496" spans="1:16" x14ac:dyDescent="0.25">
      <c r="A496" s="6"/>
      <c r="B496" s="7">
        <v>44241</v>
      </c>
      <c r="C496" s="8" t="s">
        <v>991</v>
      </c>
      <c r="D496" s="8" t="s">
        <v>853</v>
      </c>
      <c r="E496" s="9" t="s">
        <v>51</v>
      </c>
      <c r="F496" s="9" t="s">
        <v>52</v>
      </c>
      <c r="G496" s="17">
        <v>0.5444444444444444</v>
      </c>
      <c r="H496" s="17">
        <v>0.55208333333333337</v>
      </c>
      <c r="I496" s="9">
        <v>39960</v>
      </c>
      <c r="J496" s="9">
        <v>15970</v>
      </c>
      <c r="K496" s="10">
        <f t="shared" si="22"/>
        <v>23990</v>
      </c>
      <c r="L496" s="10">
        <v>23386</v>
      </c>
      <c r="M496" s="11" t="s">
        <v>1041</v>
      </c>
      <c r="N496" s="12">
        <v>21.6</v>
      </c>
      <c r="O496" s="13" t="s">
        <v>855</v>
      </c>
      <c r="P496" s="14"/>
    </row>
    <row r="497" spans="1:16" x14ac:dyDescent="0.25">
      <c r="A497" s="6"/>
      <c r="B497" s="7">
        <v>44241</v>
      </c>
      <c r="C497" s="8" t="s">
        <v>991</v>
      </c>
      <c r="D497" s="8" t="s">
        <v>86</v>
      </c>
      <c r="E497" s="9" t="s">
        <v>87</v>
      </c>
      <c r="F497" s="9" t="s">
        <v>88</v>
      </c>
      <c r="G497" s="17">
        <v>0.55555555555555558</v>
      </c>
      <c r="H497" s="17">
        <v>0.56388888888888888</v>
      </c>
      <c r="I497" s="9">
        <v>41070</v>
      </c>
      <c r="J497" s="9">
        <v>18240</v>
      </c>
      <c r="K497" s="10">
        <f t="shared" si="22"/>
        <v>22830</v>
      </c>
      <c r="L497" s="10">
        <v>23386</v>
      </c>
      <c r="M497" s="11" t="s">
        <v>1041</v>
      </c>
      <c r="N497" s="12">
        <v>21.6</v>
      </c>
      <c r="O497" s="13" t="s">
        <v>855</v>
      </c>
      <c r="P497" s="14"/>
    </row>
    <row r="498" spans="1:16" x14ac:dyDescent="0.25">
      <c r="A498" s="6"/>
      <c r="B498" s="7">
        <v>44241</v>
      </c>
      <c r="C498" s="8" t="s">
        <v>991</v>
      </c>
      <c r="D498" s="8" t="s">
        <v>1355</v>
      </c>
      <c r="E498" s="9" t="s">
        <v>1048</v>
      </c>
      <c r="F498" s="9" t="s">
        <v>526</v>
      </c>
      <c r="G498" s="17">
        <v>0.55763888888888891</v>
      </c>
      <c r="H498" s="17">
        <v>0.57777777777777783</v>
      </c>
      <c r="I498" s="9">
        <v>39770</v>
      </c>
      <c r="J498" s="9">
        <v>16790</v>
      </c>
      <c r="K498" s="10">
        <f t="shared" si="22"/>
        <v>22980</v>
      </c>
      <c r="L498" s="10">
        <v>23386</v>
      </c>
      <c r="M498" s="11" t="s">
        <v>1041</v>
      </c>
      <c r="N498" s="12">
        <v>21.6</v>
      </c>
      <c r="O498" s="13" t="s">
        <v>855</v>
      </c>
      <c r="P498" s="14"/>
    </row>
    <row r="499" spans="1:16" x14ac:dyDescent="0.25">
      <c r="A499" s="6"/>
      <c r="B499" s="7">
        <v>44241</v>
      </c>
      <c r="C499" s="8" t="s">
        <v>991</v>
      </c>
      <c r="D499" s="8" t="s">
        <v>243</v>
      </c>
      <c r="E499" s="9" t="s">
        <v>440</v>
      </c>
      <c r="F499" s="9" t="s">
        <v>1276</v>
      </c>
      <c r="G499" s="17">
        <v>0.57152777777777775</v>
      </c>
      <c r="H499" s="17">
        <v>0.57916666666666672</v>
      </c>
      <c r="I499" s="9">
        <v>34970</v>
      </c>
      <c r="J499" s="9">
        <v>15420</v>
      </c>
      <c r="K499" s="10">
        <f t="shared" si="22"/>
        <v>19550</v>
      </c>
      <c r="L499" s="10">
        <v>23386</v>
      </c>
      <c r="M499" s="11" t="s">
        <v>1041</v>
      </c>
      <c r="N499" s="12">
        <v>15</v>
      </c>
      <c r="O499" s="13" t="s">
        <v>855</v>
      </c>
      <c r="P499" s="14"/>
    </row>
    <row r="500" spans="1:16" x14ac:dyDescent="0.25">
      <c r="A500" s="6"/>
      <c r="B500" s="7">
        <v>44241</v>
      </c>
      <c r="C500" s="8" t="s">
        <v>1065</v>
      </c>
      <c r="D500" s="8" t="s">
        <v>465</v>
      </c>
      <c r="E500" s="9" t="s">
        <v>881</v>
      </c>
      <c r="F500" s="9" t="s">
        <v>749</v>
      </c>
      <c r="G500" s="17">
        <v>0.58611111111111114</v>
      </c>
      <c r="H500" s="17">
        <v>0.59444444444444444</v>
      </c>
      <c r="I500" s="9">
        <v>39670</v>
      </c>
      <c r="J500" s="9">
        <v>16660</v>
      </c>
      <c r="K500" s="10">
        <f t="shared" si="22"/>
        <v>23010</v>
      </c>
      <c r="L500" s="10">
        <v>23387</v>
      </c>
      <c r="M500" s="11" t="s">
        <v>1041</v>
      </c>
      <c r="N500" s="12">
        <v>21.6</v>
      </c>
      <c r="O500" s="13" t="s">
        <v>855</v>
      </c>
      <c r="P500" s="14"/>
    </row>
    <row r="501" spans="1:16" x14ac:dyDescent="0.25">
      <c r="A501" s="6"/>
      <c r="B501" s="7">
        <v>44241</v>
      </c>
      <c r="C501" s="8" t="s">
        <v>1065</v>
      </c>
      <c r="D501" s="8" t="s">
        <v>143</v>
      </c>
      <c r="E501" s="9" t="s">
        <v>144</v>
      </c>
      <c r="F501" s="9" t="s">
        <v>626</v>
      </c>
      <c r="G501" s="17">
        <v>0.59166666666666667</v>
      </c>
      <c r="H501" s="17">
        <v>0.59722222222222221</v>
      </c>
      <c r="I501" s="9">
        <v>39020</v>
      </c>
      <c r="J501" s="9">
        <v>15620</v>
      </c>
      <c r="K501" s="10">
        <f t="shared" si="22"/>
        <v>23400</v>
      </c>
      <c r="L501" s="10">
        <v>23387</v>
      </c>
      <c r="M501" s="11" t="s">
        <v>1041</v>
      </c>
      <c r="N501" s="12">
        <v>21.6</v>
      </c>
      <c r="O501" s="13" t="s">
        <v>855</v>
      </c>
      <c r="P501" s="14"/>
    </row>
    <row r="502" spans="1:16" x14ac:dyDescent="0.25">
      <c r="A502" s="6"/>
      <c r="B502" s="7">
        <v>44241</v>
      </c>
      <c r="C502" s="8" t="s">
        <v>1065</v>
      </c>
      <c r="D502" s="8" t="s">
        <v>284</v>
      </c>
      <c r="E502" s="9" t="s">
        <v>285</v>
      </c>
      <c r="F502" s="9" t="s">
        <v>286</v>
      </c>
      <c r="G502" s="17">
        <v>0.59305555555555556</v>
      </c>
      <c r="H502" s="17">
        <v>0.60138888888888886</v>
      </c>
      <c r="I502" s="9">
        <v>39630</v>
      </c>
      <c r="J502" s="9">
        <v>16230</v>
      </c>
      <c r="K502" s="10">
        <f t="shared" si="22"/>
        <v>23400</v>
      </c>
      <c r="L502" s="10">
        <v>23387</v>
      </c>
      <c r="M502" s="11" t="s">
        <v>1041</v>
      </c>
      <c r="N502" s="12">
        <v>21.6</v>
      </c>
      <c r="O502" s="13" t="s">
        <v>855</v>
      </c>
      <c r="P502" s="14"/>
    </row>
    <row r="503" spans="1:16" x14ac:dyDescent="0.25">
      <c r="A503" s="6"/>
      <c r="B503" s="7">
        <v>44241</v>
      </c>
      <c r="C503" s="8" t="s">
        <v>1065</v>
      </c>
      <c r="D503" s="8" t="s">
        <v>928</v>
      </c>
      <c r="E503" s="9" t="s">
        <v>628</v>
      </c>
      <c r="F503" s="9" t="s">
        <v>859</v>
      </c>
      <c r="G503" s="17">
        <v>0.625</v>
      </c>
      <c r="H503" s="17">
        <v>0.62986111111111109</v>
      </c>
      <c r="I503" s="9">
        <v>22830</v>
      </c>
      <c r="J503" s="9">
        <v>9620</v>
      </c>
      <c r="K503" s="10">
        <f t="shared" si="22"/>
        <v>13210</v>
      </c>
      <c r="L503" s="10">
        <v>23387</v>
      </c>
      <c r="M503" s="11" t="s">
        <v>1041</v>
      </c>
      <c r="N503" s="12">
        <v>12</v>
      </c>
      <c r="O503" s="13" t="s">
        <v>855</v>
      </c>
      <c r="P503" s="14"/>
    </row>
    <row r="504" spans="1:16" x14ac:dyDescent="0.25">
      <c r="A504" s="6"/>
      <c r="B504" s="7">
        <v>44241</v>
      </c>
      <c r="C504" s="8" t="s">
        <v>1065</v>
      </c>
      <c r="D504" s="8" t="s">
        <v>198</v>
      </c>
      <c r="E504" s="9" t="s">
        <v>405</v>
      </c>
      <c r="F504" s="9" t="s">
        <v>161</v>
      </c>
      <c r="G504" s="17">
        <v>0.62638888888888888</v>
      </c>
      <c r="H504" s="17">
        <v>0.6333333333333333</v>
      </c>
      <c r="I504" s="9">
        <v>40160</v>
      </c>
      <c r="J504" s="9">
        <v>16580</v>
      </c>
      <c r="K504" s="10">
        <f t="shared" si="22"/>
        <v>23580</v>
      </c>
      <c r="L504" s="10">
        <v>23387</v>
      </c>
      <c r="M504" s="11" t="s">
        <v>1041</v>
      </c>
      <c r="N504" s="12">
        <v>21.6</v>
      </c>
      <c r="O504" s="13" t="s">
        <v>855</v>
      </c>
      <c r="P504" s="14"/>
    </row>
    <row r="505" spans="1:16" x14ac:dyDescent="0.25">
      <c r="A505" s="6"/>
      <c r="B505" s="7">
        <v>44241</v>
      </c>
      <c r="C505" s="8" t="s">
        <v>1065</v>
      </c>
      <c r="D505" s="8" t="s">
        <v>86</v>
      </c>
      <c r="E505" s="9" t="s">
        <v>87</v>
      </c>
      <c r="F505" s="9" t="s">
        <v>88</v>
      </c>
      <c r="G505" s="17">
        <v>0.64097222222222217</v>
      </c>
      <c r="H505" s="17">
        <v>0.66041666666666665</v>
      </c>
      <c r="I505" s="9">
        <v>44650</v>
      </c>
      <c r="J505" s="9">
        <v>18280</v>
      </c>
      <c r="K505" s="10">
        <f t="shared" si="22"/>
        <v>26370</v>
      </c>
      <c r="L505" s="10">
        <v>23387</v>
      </c>
      <c r="M505" s="11" t="s">
        <v>1041</v>
      </c>
      <c r="N505" s="12">
        <v>24</v>
      </c>
      <c r="O505" s="13" t="s">
        <v>855</v>
      </c>
      <c r="P505" s="14"/>
    </row>
    <row r="506" spans="1:16" x14ac:dyDescent="0.25">
      <c r="A506" s="6"/>
      <c r="B506" s="7">
        <v>44241</v>
      </c>
      <c r="C506" s="8" t="s">
        <v>1065</v>
      </c>
      <c r="D506" s="8" t="s">
        <v>853</v>
      </c>
      <c r="E506" s="9" t="s">
        <v>51</v>
      </c>
      <c r="F506" s="9" t="s">
        <v>52</v>
      </c>
      <c r="G506" s="17">
        <v>0.64722222222222225</v>
      </c>
      <c r="H506" s="17">
        <v>0.66805555555555562</v>
      </c>
      <c r="I506" s="9">
        <v>39940</v>
      </c>
      <c r="J506" s="9">
        <v>15910</v>
      </c>
      <c r="K506" s="10">
        <f t="shared" si="22"/>
        <v>24030</v>
      </c>
      <c r="L506" s="10">
        <v>23387</v>
      </c>
      <c r="M506" s="11" t="s">
        <v>1041</v>
      </c>
      <c r="N506" s="12">
        <v>21.6</v>
      </c>
      <c r="O506" s="13" t="s">
        <v>855</v>
      </c>
      <c r="P506" s="14"/>
    </row>
    <row r="507" spans="1:16" x14ac:dyDescent="0.25">
      <c r="A507" s="6"/>
      <c r="B507" s="7">
        <v>44241</v>
      </c>
      <c r="C507" s="8" t="s">
        <v>1065</v>
      </c>
      <c r="D507" s="8" t="s">
        <v>1355</v>
      </c>
      <c r="E507" s="9" t="s">
        <v>1048</v>
      </c>
      <c r="F507" s="9" t="s">
        <v>526</v>
      </c>
      <c r="G507" s="17">
        <v>0.65347222222222223</v>
      </c>
      <c r="H507" s="17">
        <v>0.67986111111111114</v>
      </c>
      <c r="I507" s="9">
        <v>39830</v>
      </c>
      <c r="J507" s="9">
        <v>16780</v>
      </c>
      <c r="K507" s="10">
        <f t="shared" si="22"/>
        <v>23050</v>
      </c>
      <c r="L507" s="10">
        <v>23387</v>
      </c>
      <c r="M507" s="11" t="s">
        <v>1356</v>
      </c>
      <c r="N507" s="12">
        <v>21.6</v>
      </c>
      <c r="O507" s="13" t="s">
        <v>855</v>
      </c>
      <c r="P507" s="14"/>
    </row>
    <row r="508" spans="1:16" x14ac:dyDescent="0.25">
      <c r="A508" s="6"/>
      <c r="B508" s="7">
        <v>44241</v>
      </c>
      <c r="C508" s="8" t="s">
        <v>1065</v>
      </c>
      <c r="D508" s="8" t="s">
        <v>243</v>
      </c>
      <c r="E508" s="9" t="s">
        <v>440</v>
      </c>
      <c r="F508" s="9" t="s">
        <v>1276</v>
      </c>
      <c r="G508" s="17">
        <v>0.65486111111111112</v>
      </c>
      <c r="H508" s="17">
        <v>0.67847222222222225</v>
      </c>
      <c r="I508" s="9">
        <v>39110</v>
      </c>
      <c r="J508" s="9">
        <v>15510</v>
      </c>
      <c r="K508" s="10">
        <f t="shared" si="22"/>
        <v>23600</v>
      </c>
      <c r="L508" s="10">
        <v>23387</v>
      </c>
      <c r="M508" s="11" t="s">
        <v>1356</v>
      </c>
      <c r="N508" s="12">
        <v>21.6</v>
      </c>
      <c r="O508" s="13" t="s">
        <v>855</v>
      </c>
      <c r="P508" s="14"/>
    </row>
    <row r="509" spans="1:16" x14ac:dyDescent="0.25">
      <c r="A509" s="6"/>
      <c r="B509" s="7">
        <v>44241</v>
      </c>
      <c r="C509" s="8" t="s">
        <v>1065</v>
      </c>
      <c r="D509" s="8" t="s">
        <v>465</v>
      </c>
      <c r="E509" s="9" t="s">
        <v>881</v>
      </c>
      <c r="F509" s="9" t="s">
        <v>749</v>
      </c>
      <c r="G509" s="17">
        <v>0.66527777777777775</v>
      </c>
      <c r="H509" s="17">
        <v>0.69444444444444453</v>
      </c>
      <c r="I509" s="9">
        <v>40510</v>
      </c>
      <c r="J509" s="9">
        <v>16620</v>
      </c>
      <c r="K509" s="10">
        <f t="shared" si="22"/>
        <v>23890</v>
      </c>
      <c r="L509" s="10">
        <v>23387</v>
      </c>
      <c r="M509" s="11" t="s">
        <v>1041</v>
      </c>
      <c r="N509" s="12">
        <v>21.6</v>
      </c>
      <c r="O509" s="13" t="s">
        <v>855</v>
      </c>
      <c r="P509" s="14"/>
    </row>
    <row r="510" spans="1:16" x14ac:dyDescent="0.25">
      <c r="A510" s="6"/>
      <c r="B510" s="7">
        <v>44241</v>
      </c>
      <c r="C510" s="8" t="s">
        <v>1065</v>
      </c>
      <c r="D510" s="8" t="s">
        <v>143</v>
      </c>
      <c r="E510" s="9" t="s">
        <v>144</v>
      </c>
      <c r="F510" s="9" t="s">
        <v>626</v>
      </c>
      <c r="G510" s="17">
        <v>0.67013888888888884</v>
      </c>
      <c r="H510" s="17">
        <v>0.70416666666666661</v>
      </c>
      <c r="I510" s="9">
        <v>39700</v>
      </c>
      <c r="J510" s="9">
        <v>15610</v>
      </c>
      <c r="K510" s="10">
        <f t="shared" si="22"/>
        <v>24090</v>
      </c>
      <c r="L510" s="10">
        <v>23387</v>
      </c>
      <c r="M510" s="11" t="s">
        <v>1041</v>
      </c>
      <c r="N510" s="12">
        <v>21.6</v>
      </c>
      <c r="O510" s="13" t="s">
        <v>855</v>
      </c>
      <c r="P510" s="14"/>
    </row>
    <row r="511" spans="1:16" x14ac:dyDescent="0.25">
      <c r="A511" s="6"/>
      <c r="B511" s="7">
        <v>44241</v>
      </c>
      <c r="C511" s="8" t="s">
        <v>1065</v>
      </c>
      <c r="D511" s="8" t="s">
        <v>284</v>
      </c>
      <c r="E511" s="9" t="s">
        <v>285</v>
      </c>
      <c r="F511" s="9" t="s">
        <v>286</v>
      </c>
      <c r="G511" s="17">
        <v>0.68819444444444444</v>
      </c>
      <c r="H511" s="17">
        <v>0.69930555555555562</v>
      </c>
      <c r="I511" s="9">
        <v>25590</v>
      </c>
      <c r="J511" s="9">
        <v>16250</v>
      </c>
      <c r="K511" s="10">
        <f t="shared" si="22"/>
        <v>9340</v>
      </c>
      <c r="L511" s="10">
        <v>23387</v>
      </c>
      <c r="M511" s="11" t="s">
        <v>1041</v>
      </c>
      <c r="N511" s="12">
        <v>7.8</v>
      </c>
      <c r="O511" s="13" t="s">
        <v>855</v>
      </c>
      <c r="P511" s="14"/>
    </row>
    <row r="512" spans="1:16" x14ac:dyDescent="0.25">
      <c r="A512" s="6"/>
      <c r="B512" s="7">
        <v>44241</v>
      </c>
      <c r="C512" s="8" t="s">
        <v>1083</v>
      </c>
      <c r="D512" s="8" t="s">
        <v>501</v>
      </c>
      <c r="E512" s="9" t="s">
        <v>1085</v>
      </c>
      <c r="F512" s="9" t="s">
        <v>1086</v>
      </c>
      <c r="G512" s="17">
        <v>0.69652777777777775</v>
      </c>
      <c r="H512" s="17">
        <v>0.53541666666666665</v>
      </c>
      <c r="I512" s="9">
        <v>11020</v>
      </c>
      <c r="J512" s="9">
        <v>6290</v>
      </c>
      <c r="K512" s="10">
        <f t="shared" si="22"/>
        <v>4730</v>
      </c>
      <c r="L512" s="10">
        <v>20176</v>
      </c>
      <c r="M512" s="11" t="s">
        <v>1087</v>
      </c>
      <c r="N512" s="12">
        <v>4730</v>
      </c>
      <c r="O512" s="13" t="s">
        <v>32</v>
      </c>
      <c r="P512" s="14" t="s">
        <v>1357</v>
      </c>
    </row>
    <row r="513" spans="1:17" s="76" customFormat="1" x14ac:dyDescent="0.25">
      <c r="A513" s="66"/>
      <c r="B513" s="7">
        <v>44241</v>
      </c>
      <c r="C513" s="68" t="s">
        <v>1259</v>
      </c>
      <c r="D513" s="68" t="s">
        <v>464</v>
      </c>
      <c r="E513" s="69" t="s">
        <v>277</v>
      </c>
      <c r="F513" s="69" t="s">
        <v>128</v>
      </c>
      <c r="G513" s="70">
        <v>0.71597222222222223</v>
      </c>
      <c r="H513" s="70">
        <v>0.72083333333333333</v>
      </c>
      <c r="I513" s="69">
        <v>6000</v>
      </c>
      <c r="J513" s="69">
        <v>5590</v>
      </c>
      <c r="K513" s="71">
        <f t="shared" ref="K513" si="23">+I513-J513</f>
        <v>410</v>
      </c>
      <c r="L513" s="71" t="s">
        <v>1349</v>
      </c>
      <c r="M513" s="72" t="s">
        <v>1358</v>
      </c>
      <c r="N513" s="73">
        <v>410</v>
      </c>
      <c r="O513" s="74" t="s">
        <v>32</v>
      </c>
      <c r="P513" s="75"/>
    </row>
    <row r="514" spans="1:17" x14ac:dyDescent="0.25">
      <c r="A514" s="6"/>
      <c r="B514" s="7">
        <v>44241</v>
      </c>
      <c r="C514" s="8" t="s">
        <v>1083</v>
      </c>
      <c r="D514" s="8" t="s">
        <v>1084</v>
      </c>
      <c r="E514" s="9" t="s">
        <v>1174</v>
      </c>
      <c r="F514" s="9" t="s">
        <v>503</v>
      </c>
      <c r="G514" s="17">
        <v>0.75486111111111109</v>
      </c>
      <c r="H514" s="17">
        <v>0.76458333333333339</v>
      </c>
      <c r="I514" s="9">
        <v>5870</v>
      </c>
      <c r="J514" s="9">
        <v>5380</v>
      </c>
      <c r="K514" s="10">
        <f t="shared" si="22"/>
        <v>490</v>
      </c>
      <c r="L514" s="10">
        <v>20177</v>
      </c>
      <c r="M514" s="11" t="s">
        <v>1091</v>
      </c>
      <c r="N514" s="12">
        <v>490</v>
      </c>
      <c r="O514" s="13" t="s">
        <v>32</v>
      </c>
      <c r="P514" s="14" t="s">
        <v>883</v>
      </c>
    </row>
    <row r="515" spans="1:17" x14ac:dyDescent="0.25">
      <c r="A515" s="6"/>
      <c r="B515" s="7">
        <v>44241</v>
      </c>
      <c r="C515" s="8" t="s">
        <v>973</v>
      </c>
      <c r="D515" s="8" t="s">
        <v>928</v>
      </c>
      <c r="E515" s="9" t="s">
        <v>628</v>
      </c>
      <c r="F515" s="9" t="s">
        <v>859</v>
      </c>
      <c r="G515" s="17">
        <v>0.94930555555555562</v>
      </c>
      <c r="H515" s="17">
        <v>0.95972222222222225</v>
      </c>
      <c r="I515" s="9">
        <v>11560</v>
      </c>
      <c r="J515" s="9">
        <v>9550</v>
      </c>
      <c r="K515" s="10">
        <f t="shared" si="22"/>
        <v>2010</v>
      </c>
      <c r="L515" s="10">
        <v>23388</v>
      </c>
      <c r="M515" s="11" t="s">
        <v>1359</v>
      </c>
      <c r="N515" s="12">
        <v>2010</v>
      </c>
      <c r="O515" s="13" t="s">
        <v>32</v>
      </c>
      <c r="P515" s="14" t="s">
        <v>992</v>
      </c>
      <c r="Q515" s="2"/>
    </row>
    <row r="516" spans="1:17" x14ac:dyDescent="0.25">
      <c r="A516" s="6"/>
      <c r="B516" s="7">
        <v>44241</v>
      </c>
      <c r="C516" s="8" t="s">
        <v>1075</v>
      </c>
      <c r="D516" s="8" t="s">
        <v>899</v>
      </c>
      <c r="E516" s="9" t="s">
        <v>490</v>
      </c>
      <c r="F516" s="9" t="s">
        <v>491</v>
      </c>
      <c r="G516" s="17">
        <v>0.97361111111111109</v>
      </c>
      <c r="H516" s="17">
        <v>0.99513888888888891</v>
      </c>
      <c r="I516" s="9">
        <v>40570</v>
      </c>
      <c r="J516" s="9">
        <v>19640</v>
      </c>
      <c r="K516" s="10">
        <f t="shared" si="22"/>
        <v>20930</v>
      </c>
      <c r="L516" s="10">
        <v>754</v>
      </c>
      <c r="M516" s="11" t="s">
        <v>1360</v>
      </c>
      <c r="N516" s="12">
        <v>20114</v>
      </c>
      <c r="O516" s="13" t="s">
        <v>32</v>
      </c>
      <c r="P516" s="14"/>
    </row>
    <row r="517" spans="1:17" x14ac:dyDescent="0.25">
      <c r="A517" s="6"/>
      <c r="B517" s="7">
        <v>44241</v>
      </c>
      <c r="C517" s="8" t="s">
        <v>37</v>
      </c>
      <c r="D517" s="8" t="s">
        <v>1001</v>
      </c>
      <c r="E517" s="9" t="s">
        <v>719</v>
      </c>
      <c r="F517" s="9" t="s">
        <v>338</v>
      </c>
      <c r="G517" s="17">
        <v>0.98263888888888884</v>
      </c>
      <c r="H517" s="17">
        <v>0.11875000000000001</v>
      </c>
      <c r="I517" s="9">
        <v>20855</v>
      </c>
      <c r="J517" s="9">
        <v>6250</v>
      </c>
      <c r="K517" s="10">
        <f t="shared" si="22"/>
        <v>14605</v>
      </c>
      <c r="L517" s="10">
        <v>26481</v>
      </c>
      <c r="M517" s="11" t="s">
        <v>1361</v>
      </c>
      <c r="N517" s="12">
        <v>14605</v>
      </c>
      <c r="O517" s="13" t="s">
        <v>32</v>
      </c>
      <c r="P517" s="14"/>
    </row>
    <row r="518" spans="1:17" x14ac:dyDescent="0.25">
      <c r="A518" s="6"/>
      <c r="B518" s="7">
        <v>44241</v>
      </c>
      <c r="C518" s="8" t="s">
        <v>37</v>
      </c>
      <c r="D518" s="8" t="s">
        <v>1282</v>
      </c>
      <c r="E518" s="9" t="s">
        <v>1002</v>
      </c>
      <c r="F518" s="9" t="s">
        <v>338</v>
      </c>
      <c r="G518" s="17">
        <v>0.98958333333333337</v>
      </c>
      <c r="H518" s="17">
        <v>9.0277777777777776E-2</v>
      </c>
      <c r="I518" s="9">
        <v>8350</v>
      </c>
      <c r="J518" s="9">
        <v>3870</v>
      </c>
      <c r="K518" s="10">
        <f t="shared" si="22"/>
        <v>4480</v>
      </c>
      <c r="L518" s="10">
        <v>26480</v>
      </c>
      <c r="M518" s="11" t="s">
        <v>1339</v>
      </c>
      <c r="N518" s="12">
        <v>4480</v>
      </c>
      <c r="O518" s="13" t="s">
        <v>32</v>
      </c>
      <c r="P518" s="14"/>
      <c r="Q518" s="1" t="s">
        <v>1041</v>
      </c>
    </row>
    <row r="519" spans="1:17" x14ac:dyDescent="0.25">
      <c r="A519" s="6"/>
      <c r="B519" s="7">
        <v>44241</v>
      </c>
      <c r="C519" s="8" t="s">
        <v>835</v>
      </c>
      <c r="D519" s="8" t="s">
        <v>255</v>
      </c>
      <c r="E519" s="9" t="s">
        <v>181</v>
      </c>
      <c r="F519" s="9" t="s">
        <v>338</v>
      </c>
      <c r="G519" s="17">
        <v>0.99305555555555547</v>
      </c>
      <c r="H519" s="17">
        <v>9.5138888888888884E-2</v>
      </c>
      <c r="I519" s="9">
        <v>9400</v>
      </c>
      <c r="J519" s="9">
        <v>4000</v>
      </c>
      <c r="K519" s="10">
        <f t="shared" si="22"/>
        <v>5400</v>
      </c>
      <c r="L519" s="10">
        <v>725</v>
      </c>
      <c r="M519" s="11" t="s">
        <v>48</v>
      </c>
      <c r="N519" s="12">
        <v>9880</v>
      </c>
      <c r="O519" s="13" t="s">
        <v>49</v>
      </c>
      <c r="P519" s="14"/>
    </row>
    <row r="520" spans="1:17" x14ac:dyDescent="0.25">
      <c r="A520" s="6"/>
      <c r="B520" s="7">
        <v>44242</v>
      </c>
      <c r="C520" s="8" t="s">
        <v>1083</v>
      </c>
      <c r="D520" s="8" t="s">
        <v>928</v>
      </c>
      <c r="E520" s="9" t="s">
        <v>628</v>
      </c>
      <c r="F520" s="9" t="s">
        <v>859</v>
      </c>
      <c r="G520" s="17">
        <v>2.0833333333333333E-3</v>
      </c>
      <c r="H520" s="17">
        <v>9.0277777777777787E-3</v>
      </c>
      <c r="I520" s="9">
        <v>14590</v>
      </c>
      <c r="J520" s="9">
        <v>9530</v>
      </c>
      <c r="K520" s="10">
        <f t="shared" si="22"/>
        <v>5060</v>
      </c>
      <c r="L520" s="10">
        <v>24189</v>
      </c>
      <c r="M520" s="11" t="s">
        <v>1041</v>
      </c>
      <c r="N520" s="12">
        <v>5060</v>
      </c>
      <c r="O520" s="13" t="s">
        <v>32</v>
      </c>
      <c r="P520" s="14" t="s">
        <v>979</v>
      </c>
    </row>
    <row r="521" spans="1:17" x14ac:dyDescent="0.25">
      <c r="A521" s="6"/>
      <c r="B521" s="15">
        <v>44242</v>
      </c>
      <c r="C521" s="8" t="s">
        <v>1362</v>
      </c>
      <c r="D521" s="8" t="s">
        <v>1363</v>
      </c>
      <c r="E521" s="9" t="s">
        <v>1364</v>
      </c>
      <c r="F521" s="9" t="s">
        <v>338</v>
      </c>
      <c r="G521" s="17">
        <v>0.40208333333333335</v>
      </c>
      <c r="H521" s="17">
        <v>0.42083333333333334</v>
      </c>
      <c r="I521" s="9">
        <v>3970</v>
      </c>
      <c r="J521" s="9">
        <v>1850</v>
      </c>
      <c r="K521" s="10">
        <f t="shared" si="22"/>
        <v>2120</v>
      </c>
      <c r="L521" s="10">
        <v>26482</v>
      </c>
      <c r="M521" s="11" t="s">
        <v>1041</v>
      </c>
      <c r="N521" s="12">
        <v>2120</v>
      </c>
      <c r="O521" s="13" t="s">
        <v>32</v>
      </c>
      <c r="P521" s="14"/>
    </row>
    <row r="522" spans="1:17" x14ac:dyDescent="0.25">
      <c r="A522" s="6"/>
      <c r="B522" s="7">
        <v>44242</v>
      </c>
      <c r="C522" s="8" t="s">
        <v>985</v>
      </c>
      <c r="D522" s="8" t="s">
        <v>928</v>
      </c>
      <c r="E522" s="9" t="s">
        <v>628</v>
      </c>
      <c r="F522" s="9" t="s">
        <v>859</v>
      </c>
      <c r="G522" s="17">
        <v>0.45763888888888887</v>
      </c>
      <c r="H522" s="17">
        <v>0.46458333333333335</v>
      </c>
      <c r="I522" s="9">
        <v>10400</v>
      </c>
      <c r="J522" s="9">
        <v>9610</v>
      </c>
      <c r="K522" s="10">
        <f t="shared" si="22"/>
        <v>790</v>
      </c>
      <c r="L522" s="10">
        <v>23390</v>
      </c>
      <c r="M522" s="11" t="s">
        <v>1041</v>
      </c>
      <c r="N522" s="12">
        <v>790</v>
      </c>
      <c r="O522" s="13" t="s">
        <v>32</v>
      </c>
      <c r="P522" s="14" t="s">
        <v>883</v>
      </c>
    </row>
    <row r="523" spans="1:17" x14ac:dyDescent="0.25">
      <c r="A523" s="6"/>
      <c r="B523" s="7">
        <v>44242</v>
      </c>
      <c r="C523" s="8" t="s">
        <v>1365</v>
      </c>
      <c r="D523" s="8" t="s">
        <v>299</v>
      </c>
      <c r="E523" s="9" t="s">
        <v>813</v>
      </c>
      <c r="F523" s="9" t="s">
        <v>814</v>
      </c>
      <c r="G523" s="17">
        <v>0.46319444444444446</v>
      </c>
      <c r="H523" s="17">
        <v>0.46875</v>
      </c>
      <c r="I523" s="9">
        <v>41330</v>
      </c>
      <c r="J523" s="9">
        <v>16640</v>
      </c>
      <c r="K523" s="10">
        <f t="shared" si="22"/>
        <v>24690</v>
      </c>
      <c r="L523" s="10">
        <v>23389</v>
      </c>
      <c r="M523" s="11" t="s">
        <v>1041</v>
      </c>
      <c r="N523" s="12">
        <v>21.6</v>
      </c>
      <c r="O523" s="13" t="s">
        <v>855</v>
      </c>
      <c r="P523" s="14"/>
    </row>
    <row r="524" spans="1:17" x14ac:dyDescent="0.25">
      <c r="A524" s="6"/>
      <c r="B524" s="7">
        <v>44242</v>
      </c>
      <c r="C524" s="8" t="s">
        <v>1366</v>
      </c>
      <c r="D524" s="8" t="s">
        <v>1367</v>
      </c>
      <c r="E524" s="9" t="s">
        <v>1368</v>
      </c>
      <c r="F524" s="9" t="s">
        <v>338</v>
      </c>
      <c r="G524" s="17">
        <v>0.46736111111111112</v>
      </c>
      <c r="H524" s="17">
        <v>0.47847222222222219</v>
      </c>
      <c r="I524" s="9">
        <v>10970</v>
      </c>
      <c r="J524" s="9">
        <v>10610</v>
      </c>
      <c r="K524" s="10">
        <f t="shared" si="22"/>
        <v>360</v>
      </c>
      <c r="L524" s="10">
        <v>26483</v>
      </c>
      <c r="M524" s="11" t="s">
        <v>1041</v>
      </c>
      <c r="N524" s="12">
        <v>360</v>
      </c>
      <c r="O524" s="13" t="s">
        <v>32</v>
      </c>
      <c r="P524" s="14"/>
    </row>
    <row r="525" spans="1:17" x14ac:dyDescent="0.25">
      <c r="A525" s="6"/>
      <c r="B525" s="7">
        <v>44242</v>
      </c>
      <c r="C525" s="8" t="s">
        <v>1365</v>
      </c>
      <c r="D525" s="8" t="s">
        <v>284</v>
      </c>
      <c r="E525" s="9" t="s">
        <v>285</v>
      </c>
      <c r="F525" s="9" t="s">
        <v>286</v>
      </c>
      <c r="G525" s="17">
        <v>0.4680555555555555</v>
      </c>
      <c r="H525" s="17">
        <v>0.47430555555555554</v>
      </c>
      <c r="I525" s="9">
        <v>42160</v>
      </c>
      <c r="J525" s="9">
        <v>16410</v>
      </c>
      <c r="K525" s="10">
        <f t="shared" si="22"/>
        <v>25750</v>
      </c>
      <c r="L525" s="10">
        <v>23389</v>
      </c>
      <c r="M525" s="11" t="s">
        <v>1041</v>
      </c>
      <c r="N525" s="12">
        <v>21.6</v>
      </c>
      <c r="O525" s="13" t="s">
        <v>855</v>
      </c>
      <c r="P525" s="14"/>
    </row>
    <row r="526" spans="1:17" x14ac:dyDescent="0.25">
      <c r="A526" s="6"/>
      <c r="B526" s="7">
        <v>44242</v>
      </c>
      <c r="C526" s="8" t="s">
        <v>1365</v>
      </c>
      <c r="D526" s="8" t="s">
        <v>86</v>
      </c>
      <c r="E526" s="9" t="s">
        <v>87</v>
      </c>
      <c r="F526" s="9" t="s">
        <v>88</v>
      </c>
      <c r="G526" s="17">
        <v>0.48194444444444445</v>
      </c>
      <c r="H526" s="17">
        <v>0.4993055555555555</v>
      </c>
      <c r="I526" s="9">
        <v>42970</v>
      </c>
      <c r="J526" s="9">
        <v>18200</v>
      </c>
      <c r="K526" s="10">
        <f t="shared" si="22"/>
        <v>24770</v>
      </c>
      <c r="L526" s="10">
        <v>23389</v>
      </c>
      <c r="M526" s="11" t="s">
        <v>1041</v>
      </c>
      <c r="N526" s="12">
        <v>21.6</v>
      </c>
      <c r="O526" s="13" t="s">
        <v>855</v>
      </c>
      <c r="P526" s="14"/>
    </row>
    <row r="527" spans="1:17" x14ac:dyDescent="0.25">
      <c r="A527" s="6"/>
      <c r="B527" s="7">
        <v>44242</v>
      </c>
      <c r="C527" s="8" t="s">
        <v>1365</v>
      </c>
      <c r="D527" s="8" t="s">
        <v>243</v>
      </c>
      <c r="E527" s="9" t="s">
        <v>440</v>
      </c>
      <c r="F527" s="9" t="s">
        <v>1276</v>
      </c>
      <c r="G527" s="17">
        <v>0.49513888888888885</v>
      </c>
      <c r="H527" s="17">
        <v>0.51180555555555551</v>
      </c>
      <c r="I527" s="9">
        <v>36880</v>
      </c>
      <c r="J527" s="9">
        <v>15370</v>
      </c>
      <c r="K527" s="10">
        <f t="shared" si="22"/>
        <v>21510</v>
      </c>
      <c r="L527" s="10">
        <v>23389</v>
      </c>
      <c r="M527" s="11" t="s">
        <v>1041</v>
      </c>
      <c r="N527" s="12">
        <v>19.2</v>
      </c>
      <c r="O527" s="13" t="s">
        <v>855</v>
      </c>
      <c r="P527" s="14"/>
    </row>
    <row r="528" spans="1:17" x14ac:dyDescent="0.25">
      <c r="A528" s="6"/>
      <c r="B528" s="7">
        <v>44242</v>
      </c>
      <c r="C528" s="8" t="s">
        <v>1365</v>
      </c>
      <c r="D528" s="8" t="s">
        <v>198</v>
      </c>
      <c r="E528" s="9" t="s">
        <v>405</v>
      </c>
      <c r="F528" s="9" t="s">
        <v>161</v>
      </c>
      <c r="G528" s="17">
        <v>0.50277777777777777</v>
      </c>
      <c r="H528" s="17">
        <v>0.51874999999999993</v>
      </c>
      <c r="I528" s="9">
        <v>40890</v>
      </c>
      <c r="J528" s="9">
        <v>16560</v>
      </c>
      <c r="K528" s="10">
        <f t="shared" si="22"/>
        <v>24330</v>
      </c>
      <c r="L528" s="10">
        <v>23389</v>
      </c>
      <c r="M528" s="11" t="s">
        <v>1041</v>
      </c>
      <c r="N528" s="12">
        <v>19.2</v>
      </c>
      <c r="O528" s="13" t="s">
        <v>855</v>
      </c>
      <c r="P528" s="14"/>
    </row>
    <row r="529" spans="1:25" x14ac:dyDescent="0.25">
      <c r="A529" s="6"/>
      <c r="B529" s="7">
        <v>44242</v>
      </c>
      <c r="C529" s="8" t="s">
        <v>1365</v>
      </c>
      <c r="D529" s="8" t="s">
        <v>465</v>
      </c>
      <c r="E529" s="9" t="s">
        <v>881</v>
      </c>
      <c r="F529" s="9" t="s">
        <v>749</v>
      </c>
      <c r="G529" s="17">
        <v>0.53402777777777777</v>
      </c>
      <c r="H529" s="17">
        <v>0.55902777777777779</v>
      </c>
      <c r="I529" s="9">
        <v>40140</v>
      </c>
      <c r="J529" s="9">
        <v>16610</v>
      </c>
      <c r="K529" s="10">
        <f t="shared" si="22"/>
        <v>23530</v>
      </c>
      <c r="L529" s="10">
        <v>23389</v>
      </c>
      <c r="M529" s="11" t="s">
        <v>1041</v>
      </c>
      <c r="N529" s="12">
        <v>21.6</v>
      </c>
      <c r="O529" s="13" t="s">
        <v>855</v>
      </c>
      <c r="P529" s="14"/>
    </row>
    <row r="530" spans="1:25" x14ac:dyDescent="0.25">
      <c r="A530" s="6"/>
      <c r="B530" s="7">
        <v>44242</v>
      </c>
      <c r="C530" s="8" t="s">
        <v>1369</v>
      </c>
      <c r="D530" s="8" t="s">
        <v>299</v>
      </c>
      <c r="E530" s="9" t="s">
        <v>813</v>
      </c>
      <c r="F530" s="9" t="s">
        <v>814</v>
      </c>
      <c r="G530" s="17">
        <v>0.5395833333333333</v>
      </c>
      <c r="H530" s="17">
        <v>0.55763888888888891</v>
      </c>
      <c r="I530" s="9">
        <v>40960</v>
      </c>
      <c r="J530" s="9">
        <v>16620</v>
      </c>
      <c r="K530" s="10">
        <f t="shared" si="22"/>
        <v>24340</v>
      </c>
      <c r="L530" s="10">
        <v>23391</v>
      </c>
      <c r="M530" s="11" t="s">
        <v>1041</v>
      </c>
      <c r="N530" s="12">
        <v>19.2</v>
      </c>
      <c r="O530" s="13" t="s">
        <v>855</v>
      </c>
      <c r="P530" s="14"/>
    </row>
    <row r="531" spans="1:25" x14ac:dyDescent="0.25">
      <c r="A531" s="6"/>
      <c r="B531" s="7">
        <v>44242</v>
      </c>
      <c r="C531" s="8" t="s">
        <v>1370</v>
      </c>
      <c r="D531" s="8" t="s">
        <v>284</v>
      </c>
      <c r="E531" s="9" t="s">
        <v>285</v>
      </c>
      <c r="F531" s="9" t="s">
        <v>286</v>
      </c>
      <c r="G531" s="17">
        <v>0.55625000000000002</v>
      </c>
      <c r="H531" s="17">
        <v>0.5625</v>
      </c>
      <c r="I531" s="9">
        <v>39720</v>
      </c>
      <c r="J531" s="9">
        <v>16370</v>
      </c>
      <c r="K531" s="10">
        <f t="shared" ref="K531:K595" si="24">+I531-J531</f>
        <v>23350</v>
      </c>
      <c r="L531" s="10" t="s">
        <v>1371</v>
      </c>
      <c r="M531" s="11" t="s">
        <v>1041</v>
      </c>
      <c r="N531" s="12">
        <f>14.4+7.2</f>
        <v>21.6</v>
      </c>
      <c r="O531" s="13" t="s">
        <v>855</v>
      </c>
      <c r="P531" s="14"/>
    </row>
    <row r="532" spans="1:25" x14ac:dyDescent="0.25">
      <c r="A532" s="6"/>
      <c r="B532" s="7">
        <v>44242</v>
      </c>
      <c r="C532" s="8" t="s">
        <v>1372</v>
      </c>
      <c r="D532" s="8" t="s">
        <v>928</v>
      </c>
      <c r="E532" s="9" t="s">
        <v>628</v>
      </c>
      <c r="F532" s="9" t="s">
        <v>859</v>
      </c>
      <c r="G532" s="17">
        <v>0.55694444444444446</v>
      </c>
      <c r="H532" s="17">
        <v>0.56666666666666665</v>
      </c>
      <c r="I532" s="9">
        <v>14990</v>
      </c>
      <c r="J532" s="9">
        <v>9710</v>
      </c>
      <c r="K532" s="10">
        <f t="shared" si="24"/>
        <v>5280</v>
      </c>
      <c r="L532" s="10">
        <v>23392</v>
      </c>
      <c r="M532" s="11" t="s">
        <v>1041</v>
      </c>
      <c r="N532" s="12">
        <v>4.8</v>
      </c>
      <c r="O532" s="13" t="s">
        <v>855</v>
      </c>
      <c r="P532" s="14"/>
    </row>
    <row r="533" spans="1:25" x14ac:dyDescent="0.25">
      <c r="A533" s="6"/>
      <c r="B533" s="7">
        <v>44242</v>
      </c>
      <c r="C533" s="8" t="s">
        <v>1075</v>
      </c>
      <c r="D533" s="8" t="s">
        <v>1076</v>
      </c>
      <c r="E533" s="9" t="s">
        <v>220</v>
      </c>
      <c r="F533" s="9" t="s">
        <v>221</v>
      </c>
      <c r="G533" s="17">
        <v>0.61388888888888882</v>
      </c>
      <c r="H533" s="17">
        <v>0.68888888888888899</v>
      </c>
      <c r="I533" s="9">
        <v>20810</v>
      </c>
      <c r="J533" s="9">
        <v>9150</v>
      </c>
      <c r="K533" s="10">
        <f t="shared" si="24"/>
        <v>11660</v>
      </c>
      <c r="L533" s="10">
        <v>755</v>
      </c>
      <c r="M533" s="11" t="s">
        <v>1373</v>
      </c>
      <c r="N533" s="12">
        <v>11652</v>
      </c>
      <c r="O533" s="13" t="s">
        <v>32</v>
      </c>
      <c r="P533" s="14"/>
    </row>
    <row r="534" spans="1:25" x14ac:dyDescent="0.25">
      <c r="A534" s="6"/>
      <c r="B534" s="7">
        <v>44242</v>
      </c>
      <c r="C534" s="8" t="s">
        <v>962</v>
      </c>
      <c r="D534" s="8" t="s">
        <v>1205</v>
      </c>
      <c r="E534" s="9" t="s">
        <v>1206</v>
      </c>
      <c r="F534" s="9" t="s">
        <v>338</v>
      </c>
      <c r="G534" s="17">
        <v>0.62361111111111112</v>
      </c>
      <c r="H534" s="17">
        <v>0.65625</v>
      </c>
      <c r="I534" s="9">
        <v>11030</v>
      </c>
      <c r="J534" s="9">
        <v>6940</v>
      </c>
      <c r="K534" s="10">
        <f t="shared" si="24"/>
        <v>4090</v>
      </c>
      <c r="L534" s="10">
        <v>26484</v>
      </c>
      <c r="M534" s="11" t="s">
        <v>1041</v>
      </c>
      <c r="N534" s="12">
        <v>4090</v>
      </c>
      <c r="O534" s="13" t="s">
        <v>32</v>
      </c>
      <c r="P534" s="14"/>
    </row>
    <row r="535" spans="1:25" x14ac:dyDescent="0.25">
      <c r="A535" s="6"/>
      <c r="B535" s="7">
        <v>44242</v>
      </c>
      <c r="C535" s="8" t="s">
        <v>962</v>
      </c>
      <c r="D535" s="8" t="s">
        <v>1205</v>
      </c>
      <c r="E535" s="9" t="s">
        <v>1206</v>
      </c>
      <c r="F535" s="9" t="s">
        <v>338</v>
      </c>
      <c r="G535" s="17">
        <v>0.65694444444444444</v>
      </c>
      <c r="H535" s="17">
        <v>0.6743055555555556</v>
      </c>
      <c r="I535" s="9">
        <v>6930</v>
      </c>
      <c r="J535" s="9">
        <v>6680</v>
      </c>
      <c r="K535" s="10">
        <f t="shared" si="24"/>
        <v>250</v>
      </c>
      <c r="L535" s="10">
        <v>26485</v>
      </c>
      <c r="M535" s="11" t="s">
        <v>1374</v>
      </c>
      <c r="N535" s="12">
        <v>250</v>
      </c>
      <c r="O535" s="13" t="s">
        <v>32</v>
      </c>
      <c r="P535" s="14"/>
    </row>
    <row r="536" spans="1:25" x14ac:dyDescent="0.25">
      <c r="A536" s="6"/>
      <c r="B536" s="7">
        <v>44242</v>
      </c>
      <c r="C536" s="8" t="s">
        <v>1375</v>
      </c>
      <c r="D536" s="8" t="s">
        <v>1376</v>
      </c>
      <c r="E536" s="9" t="s">
        <v>1377</v>
      </c>
      <c r="F536" s="9" t="s">
        <v>338</v>
      </c>
      <c r="G536" s="17">
        <v>0.74305555555555547</v>
      </c>
      <c r="H536" s="17">
        <v>0.75694444444444453</v>
      </c>
      <c r="I536" s="9">
        <v>11600</v>
      </c>
      <c r="J536" s="9">
        <v>10760</v>
      </c>
      <c r="K536" s="10">
        <f t="shared" si="24"/>
        <v>840</v>
      </c>
      <c r="L536" s="10">
        <v>26486</v>
      </c>
      <c r="M536" s="11" t="s">
        <v>1378</v>
      </c>
      <c r="N536" s="12">
        <v>840</v>
      </c>
      <c r="O536" s="13" t="s">
        <v>32</v>
      </c>
      <c r="P536" s="14"/>
    </row>
    <row r="537" spans="1:25" x14ac:dyDescent="0.25">
      <c r="A537" s="6"/>
      <c r="B537" s="7">
        <v>44242</v>
      </c>
      <c r="C537" s="8" t="s">
        <v>962</v>
      </c>
      <c r="D537" s="8" t="s">
        <v>1230</v>
      </c>
      <c r="E537" s="9" t="s">
        <v>1315</v>
      </c>
      <c r="F537" s="9" t="s">
        <v>338</v>
      </c>
      <c r="G537" s="17">
        <v>0.81597222222222221</v>
      </c>
      <c r="H537" s="17">
        <v>0.89166666666666661</v>
      </c>
      <c r="I537" s="9">
        <v>11240</v>
      </c>
      <c r="J537" s="9">
        <v>4030</v>
      </c>
      <c r="K537" s="10">
        <f t="shared" si="24"/>
        <v>7210</v>
      </c>
      <c r="L537" s="10">
        <v>26487</v>
      </c>
      <c r="M537" s="11" t="s">
        <v>966</v>
      </c>
      <c r="N537" s="12">
        <v>7210</v>
      </c>
      <c r="O537" s="13" t="s">
        <v>32</v>
      </c>
      <c r="P537" s="14"/>
    </row>
    <row r="538" spans="1:25" x14ac:dyDescent="0.25">
      <c r="A538" s="6"/>
      <c r="B538" s="7">
        <v>44242</v>
      </c>
      <c r="C538" s="8" t="s">
        <v>962</v>
      </c>
      <c r="D538" s="8" t="s">
        <v>1205</v>
      </c>
      <c r="E538" s="9" t="s">
        <v>1206</v>
      </c>
      <c r="F538" s="9" t="s">
        <v>338</v>
      </c>
      <c r="G538" s="17">
        <v>0.93055555555555547</v>
      </c>
      <c r="H538" s="17">
        <v>0.97361111111111109</v>
      </c>
      <c r="I538" s="9">
        <v>15270</v>
      </c>
      <c r="J538" s="9">
        <v>6690</v>
      </c>
      <c r="K538" s="10">
        <f t="shared" si="24"/>
        <v>8580</v>
      </c>
      <c r="L538" s="10">
        <v>26488</v>
      </c>
      <c r="M538" s="11" t="s">
        <v>966</v>
      </c>
      <c r="N538" s="12">
        <v>8580</v>
      </c>
      <c r="O538" s="13" t="s">
        <v>32</v>
      </c>
      <c r="P538" s="14"/>
    </row>
    <row r="539" spans="1:25" x14ac:dyDescent="0.25">
      <c r="A539" s="6"/>
      <c r="B539" s="7">
        <v>44242</v>
      </c>
      <c r="C539" s="8" t="s">
        <v>422</v>
      </c>
      <c r="D539" s="8" t="s">
        <v>530</v>
      </c>
      <c r="E539" s="9" t="s">
        <v>699</v>
      </c>
      <c r="F539" s="9" t="s">
        <v>140</v>
      </c>
      <c r="G539" s="17">
        <v>0.94097222222222221</v>
      </c>
      <c r="H539" s="17">
        <v>0.99375000000000002</v>
      </c>
      <c r="I539" s="9">
        <v>22780</v>
      </c>
      <c r="J539" s="9">
        <v>8260</v>
      </c>
      <c r="K539" s="10">
        <f t="shared" si="24"/>
        <v>14520</v>
      </c>
      <c r="L539" s="10">
        <v>1536</v>
      </c>
      <c r="M539" s="11" t="s">
        <v>48</v>
      </c>
      <c r="N539" s="12">
        <v>28544.6</v>
      </c>
      <c r="O539" s="13" t="s">
        <v>49</v>
      </c>
      <c r="P539" s="14"/>
    </row>
    <row r="540" spans="1:25" x14ac:dyDescent="0.25">
      <c r="A540" s="6"/>
      <c r="B540" s="7">
        <v>44242</v>
      </c>
      <c r="C540" s="8" t="s">
        <v>37</v>
      </c>
      <c r="D540" s="8" t="s">
        <v>122</v>
      </c>
      <c r="E540" s="9" t="s">
        <v>967</v>
      </c>
      <c r="F540" s="9" t="s">
        <v>36</v>
      </c>
      <c r="G540" s="17">
        <v>0.96875</v>
      </c>
      <c r="H540" s="17">
        <v>1.0416666666666666E-2</v>
      </c>
      <c r="I540" s="9">
        <v>22925</v>
      </c>
      <c r="J540" s="9">
        <v>6410</v>
      </c>
      <c r="K540" s="10">
        <f t="shared" si="24"/>
        <v>16515</v>
      </c>
      <c r="L540" s="10">
        <v>26489</v>
      </c>
      <c r="M540" s="11" t="s">
        <v>1379</v>
      </c>
      <c r="N540" s="12">
        <v>16515</v>
      </c>
      <c r="O540" s="13" t="s">
        <v>32</v>
      </c>
      <c r="P540" s="14"/>
    </row>
    <row r="541" spans="1:25" x14ac:dyDescent="0.25">
      <c r="A541" s="6"/>
      <c r="B541" s="7">
        <v>44243</v>
      </c>
      <c r="C541" s="8" t="s">
        <v>871</v>
      </c>
      <c r="D541" s="8" t="s">
        <v>86</v>
      </c>
      <c r="E541" s="9" t="s">
        <v>87</v>
      </c>
      <c r="F541" s="9" t="s">
        <v>88</v>
      </c>
      <c r="G541" s="17">
        <v>0.14652777777777778</v>
      </c>
      <c r="H541" s="17">
        <v>0.15833333333333333</v>
      </c>
      <c r="I541" s="9">
        <v>26870</v>
      </c>
      <c r="J541" s="9">
        <v>17230</v>
      </c>
      <c r="K541" s="10">
        <f t="shared" si="24"/>
        <v>9640</v>
      </c>
      <c r="L541" s="10">
        <v>757</v>
      </c>
      <c r="M541" s="11" t="s">
        <v>257</v>
      </c>
      <c r="N541" s="12">
        <v>9293</v>
      </c>
      <c r="O541" s="13" t="s">
        <v>32</v>
      </c>
      <c r="P541" s="14"/>
      <c r="V541" s="1">
        <v>0</v>
      </c>
    </row>
    <row r="542" spans="1:25" x14ac:dyDescent="0.25">
      <c r="A542" s="6"/>
      <c r="B542" s="15">
        <v>44243</v>
      </c>
      <c r="C542" s="8" t="s">
        <v>971</v>
      </c>
      <c r="D542" s="8" t="s">
        <v>174</v>
      </c>
      <c r="E542" s="9" t="s">
        <v>110</v>
      </c>
      <c r="F542" s="9" t="s">
        <v>111</v>
      </c>
      <c r="G542" s="17">
        <v>0.27152777777777776</v>
      </c>
      <c r="H542" s="17">
        <v>0.42083333333333334</v>
      </c>
      <c r="I542" s="9">
        <v>11630</v>
      </c>
      <c r="J542" s="9">
        <v>6510</v>
      </c>
      <c r="K542" s="10">
        <f t="shared" si="24"/>
        <v>5120</v>
      </c>
      <c r="L542" s="10">
        <v>99</v>
      </c>
      <c r="M542" s="11" t="s">
        <v>48</v>
      </c>
      <c r="N542" s="12">
        <v>11694</v>
      </c>
      <c r="O542" s="13" t="s">
        <v>49</v>
      </c>
      <c r="P542" s="14"/>
      <c r="V542" s="1">
        <v>14350</v>
      </c>
      <c r="X542" s="1">
        <v>0</v>
      </c>
    </row>
    <row r="543" spans="1:25" x14ac:dyDescent="0.25">
      <c r="A543" s="6"/>
      <c r="B543" s="7">
        <v>44243</v>
      </c>
      <c r="C543" s="8" t="s">
        <v>1245</v>
      </c>
      <c r="D543" s="8" t="s">
        <v>1246</v>
      </c>
      <c r="E543" s="9" t="s">
        <v>1185</v>
      </c>
      <c r="F543" s="9" t="s">
        <v>36</v>
      </c>
      <c r="G543" s="17">
        <v>0.36805555555555558</v>
      </c>
      <c r="H543" s="17">
        <v>0.47847222222222219</v>
      </c>
      <c r="I543" s="9">
        <v>17850</v>
      </c>
      <c r="J543" s="9">
        <v>48780</v>
      </c>
      <c r="K543" s="10">
        <f t="shared" si="24"/>
        <v>-30930</v>
      </c>
      <c r="L543" s="10">
        <v>5783</v>
      </c>
      <c r="M543" s="11" t="s">
        <v>53</v>
      </c>
      <c r="N543" s="12">
        <v>600</v>
      </c>
      <c r="O543" s="13" t="s">
        <v>1099</v>
      </c>
      <c r="P543" s="14" t="s">
        <v>1381</v>
      </c>
      <c r="Q543" s="1">
        <v>30</v>
      </c>
      <c r="R543" s="1">
        <v>600</v>
      </c>
      <c r="X543" s="1">
        <v>40110</v>
      </c>
    </row>
    <row r="544" spans="1:25" x14ac:dyDescent="0.25">
      <c r="A544" s="6"/>
      <c r="B544" s="7">
        <v>44243</v>
      </c>
      <c r="C544" s="8" t="s">
        <v>1081</v>
      </c>
      <c r="D544" s="8" t="s">
        <v>928</v>
      </c>
      <c r="E544" s="9" t="s">
        <v>628</v>
      </c>
      <c r="F544" s="9" t="s">
        <v>859</v>
      </c>
      <c r="G544" s="17">
        <v>0.43541666666666662</v>
      </c>
      <c r="H544" s="17">
        <v>0.4458333333333333</v>
      </c>
      <c r="I544" s="9">
        <v>19780</v>
      </c>
      <c r="J544" s="9">
        <v>9690</v>
      </c>
      <c r="K544" s="10">
        <f t="shared" si="24"/>
        <v>10090</v>
      </c>
      <c r="L544" s="10">
        <v>23393</v>
      </c>
      <c r="M544" s="11" t="s">
        <v>1041</v>
      </c>
      <c r="N544" s="12">
        <v>9.6</v>
      </c>
      <c r="O544" s="13" t="s">
        <v>855</v>
      </c>
      <c r="P544" s="14"/>
      <c r="R544" s="1">
        <v>30060</v>
      </c>
      <c r="X544" s="1">
        <v>14350</v>
      </c>
      <c r="Y544" s="25">
        <v>35.776614310645726</v>
      </c>
    </row>
    <row r="545" spans="1:27" x14ac:dyDescent="0.25">
      <c r="A545" s="6"/>
      <c r="B545" s="7">
        <v>44243</v>
      </c>
      <c r="C545" s="8" t="s">
        <v>1382</v>
      </c>
      <c r="D545" s="8" t="s">
        <v>1380</v>
      </c>
      <c r="E545" s="9" t="s">
        <v>104</v>
      </c>
      <c r="F545" s="9" t="s">
        <v>36</v>
      </c>
      <c r="G545" s="17">
        <v>0.4381944444444445</v>
      </c>
      <c r="H545" s="17">
        <v>0.53819444444444442</v>
      </c>
      <c r="I545" s="9">
        <v>16820</v>
      </c>
      <c r="J545" s="9">
        <v>48000</v>
      </c>
      <c r="K545" s="10">
        <f t="shared" si="24"/>
        <v>-31180</v>
      </c>
      <c r="L545" s="10">
        <v>5784</v>
      </c>
      <c r="M545" s="11" t="s">
        <v>53</v>
      </c>
      <c r="N545" s="12">
        <v>600</v>
      </c>
      <c r="O545" s="13" t="s">
        <v>1099</v>
      </c>
      <c r="P545" s="14"/>
      <c r="R545" s="1">
        <v>30930</v>
      </c>
      <c r="W545" s="1">
        <v>2576</v>
      </c>
      <c r="X545" s="1">
        <v>25760</v>
      </c>
      <c r="Y545" s="25">
        <v>64.223385689354274</v>
      </c>
      <c r="AA545" s="1">
        <v>2576</v>
      </c>
    </row>
    <row r="546" spans="1:27" x14ac:dyDescent="0.25">
      <c r="A546" s="6"/>
      <c r="B546" s="7">
        <v>44243</v>
      </c>
      <c r="C546" s="8" t="s">
        <v>1081</v>
      </c>
      <c r="D546" s="8" t="s">
        <v>243</v>
      </c>
      <c r="E546" s="9" t="s">
        <v>440</v>
      </c>
      <c r="F546" s="9" t="s">
        <v>1276</v>
      </c>
      <c r="G546" s="17">
        <v>0.44375000000000003</v>
      </c>
      <c r="H546" s="17">
        <v>0.4548611111111111</v>
      </c>
      <c r="I546" s="9">
        <v>38740</v>
      </c>
      <c r="J546" s="9">
        <v>15390</v>
      </c>
      <c r="K546" s="10">
        <f t="shared" si="24"/>
        <v>23350</v>
      </c>
      <c r="L546" s="10">
        <v>23393</v>
      </c>
      <c r="M546" s="11" t="s">
        <v>1041</v>
      </c>
      <c r="N546" s="12">
        <v>21.6</v>
      </c>
      <c r="O546" s="13" t="s">
        <v>855</v>
      </c>
      <c r="P546" s="14"/>
      <c r="R546" s="1">
        <f>+R545-R544</f>
        <v>870</v>
      </c>
      <c r="X546" s="1">
        <v>40110</v>
      </c>
      <c r="Y546" s="25">
        <v>100</v>
      </c>
      <c r="AA546" s="1" t="s">
        <v>22</v>
      </c>
    </row>
    <row r="547" spans="1:27" x14ac:dyDescent="0.25">
      <c r="A547" s="6"/>
      <c r="B547" s="7">
        <v>44243</v>
      </c>
      <c r="C547" s="8" t="s">
        <v>1081</v>
      </c>
      <c r="D547" s="8" t="s">
        <v>143</v>
      </c>
      <c r="E547" s="9" t="s">
        <v>144</v>
      </c>
      <c r="F547" s="9" t="s">
        <v>626</v>
      </c>
      <c r="G547" s="17">
        <v>0.45277777777777778</v>
      </c>
      <c r="H547" s="17">
        <v>0.46319444444444446</v>
      </c>
      <c r="I547" s="9">
        <v>38690</v>
      </c>
      <c r="J547" s="9">
        <v>15610</v>
      </c>
      <c r="K547" s="10">
        <f t="shared" si="24"/>
        <v>23080</v>
      </c>
      <c r="L547" s="10">
        <v>23393</v>
      </c>
      <c r="M547" s="11" t="s">
        <v>1041</v>
      </c>
      <c r="N547" s="12">
        <v>21.6</v>
      </c>
      <c r="O547" s="13" t="s">
        <v>855</v>
      </c>
      <c r="P547" s="14"/>
    </row>
    <row r="548" spans="1:27" x14ac:dyDescent="0.25">
      <c r="A548" s="6"/>
      <c r="B548" s="7">
        <v>44243</v>
      </c>
      <c r="C548" s="8" t="s">
        <v>1081</v>
      </c>
      <c r="D548" s="8" t="s">
        <v>299</v>
      </c>
      <c r="E548" s="9" t="s">
        <v>813</v>
      </c>
      <c r="F548" s="9" t="s">
        <v>814</v>
      </c>
      <c r="G548" s="17">
        <v>0.45902777777777781</v>
      </c>
      <c r="H548" s="17">
        <v>0.46736111111111112</v>
      </c>
      <c r="I548" s="9">
        <v>40370</v>
      </c>
      <c r="J548" s="9">
        <v>17540</v>
      </c>
      <c r="K548" s="10">
        <f t="shared" si="24"/>
        <v>22830</v>
      </c>
      <c r="L548" s="10">
        <v>23393</v>
      </c>
      <c r="M548" s="11" t="s">
        <v>1041</v>
      </c>
      <c r="N548" s="12">
        <v>21.6</v>
      </c>
      <c r="O548" s="13" t="s">
        <v>855</v>
      </c>
      <c r="P548" s="14"/>
      <c r="R548" s="1">
        <v>31180</v>
      </c>
      <c r="S548" s="1">
        <f>+R548-30080</f>
        <v>1100</v>
      </c>
    </row>
    <row r="549" spans="1:27" x14ac:dyDescent="0.25">
      <c r="A549" s="6"/>
      <c r="B549" s="7">
        <v>44243</v>
      </c>
      <c r="C549" s="8" t="s">
        <v>1081</v>
      </c>
      <c r="D549" s="8" t="s">
        <v>853</v>
      </c>
      <c r="E549" s="9" t="s">
        <v>51</v>
      </c>
      <c r="F549" s="9" t="s">
        <v>52</v>
      </c>
      <c r="G549" s="17">
        <v>0.46875</v>
      </c>
      <c r="H549" s="17">
        <v>0.47500000000000003</v>
      </c>
      <c r="I549" s="9">
        <v>39140</v>
      </c>
      <c r="J549" s="9">
        <v>15920</v>
      </c>
      <c r="K549" s="10">
        <f t="shared" si="24"/>
        <v>23220</v>
      </c>
      <c r="L549" s="10">
        <v>23393</v>
      </c>
      <c r="M549" s="11" t="s">
        <v>1041</v>
      </c>
      <c r="N549" s="12">
        <v>21.6</v>
      </c>
      <c r="O549" s="13" t="s">
        <v>855</v>
      </c>
      <c r="P549" s="14"/>
      <c r="Y549" s="25" t="e">
        <v>#DIV/0!</v>
      </c>
      <c r="Z549" s="1" t="s">
        <v>23</v>
      </c>
    </row>
    <row r="550" spans="1:27" x14ac:dyDescent="0.25">
      <c r="A550" s="6"/>
      <c r="B550" s="7">
        <v>44243</v>
      </c>
      <c r="C550" s="8" t="s">
        <v>1081</v>
      </c>
      <c r="D550" s="8" t="s">
        <v>284</v>
      </c>
      <c r="E550" s="9" t="s">
        <v>285</v>
      </c>
      <c r="F550" s="9" t="s">
        <v>286</v>
      </c>
      <c r="G550" s="17">
        <v>0.48472222222222222</v>
      </c>
      <c r="H550" s="17">
        <v>0.49513888888888885</v>
      </c>
      <c r="I550" s="9">
        <v>39660</v>
      </c>
      <c r="J550" s="9">
        <v>16360</v>
      </c>
      <c r="K550" s="10">
        <f t="shared" si="24"/>
        <v>23300</v>
      </c>
      <c r="L550" s="10">
        <v>23393</v>
      </c>
      <c r="M550" s="11" t="s">
        <v>1041</v>
      </c>
      <c r="N550" s="12">
        <v>21.6</v>
      </c>
      <c r="O550" s="13" t="s">
        <v>855</v>
      </c>
      <c r="P550" s="14"/>
      <c r="Y550" s="25" t="e">
        <v>#DIV/0!</v>
      </c>
      <c r="Z550" s="1" t="s">
        <v>24</v>
      </c>
    </row>
    <row r="551" spans="1:27" x14ac:dyDescent="0.25">
      <c r="A551" s="6"/>
      <c r="B551" s="7">
        <v>44243</v>
      </c>
      <c r="C551" s="8" t="s">
        <v>1081</v>
      </c>
      <c r="D551" s="8" t="s">
        <v>465</v>
      </c>
      <c r="E551" s="9" t="s">
        <v>881</v>
      </c>
      <c r="F551" s="9" t="s">
        <v>749</v>
      </c>
      <c r="G551" s="17">
        <v>0.49652777777777773</v>
      </c>
      <c r="H551" s="17">
        <v>0.50416666666666665</v>
      </c>
      <c r="I551" s="9">
        <v>39110</v>
      </c>
      <c r="J551" s="9">
        <v>16720</v>
      </c>
      <c r="K551" s="10">
        <f t="shared" si="24"/>
        <v>22390</v>
      </c>
      <c r="L551" s="10">
        <v>23393</v>
      </c>
      <c r="M551" s="11" t="s">
        <v>1041</v>
      </c>
      <c r="N551" s="12">
        <v>21.6</v>
      </c>
      <c r="O551" s="13" t="s">
        <v>855</v>
      </c>
      <c r="P551" s="14"/>
      <c r="Y551" s="25" t="e">
        <v>#DIV/0!</v>
      </c>
      <c r="Z551" s="1" t="s">
        <v>25</v>
      </c>
      <c r="AA551" s="1">
        <v>100</v>
      </c>
    </row>
    <row r="552" spans="1:27" x14ac:dyDescent="0.25">
      <c r="A552" s="6"/>
      <c r="B552" s="7">
        <v>44243</v>
      </c>
      <c r="C552" s="8" t="s">
        <v>1081</v>
      </c>
      <c r="D552" s="8" t="s">
        <v>1355</v>
      </c>
      <c r="E552" s="9" t="s">
        <v>1048</v>
      </c>
      <c r="F552" s="9" t="s">
        <v>526</v>
      </c>
      <c r="G552" s="17">
        <v>0.50694444444444442</v>
      </c>
      <c r="H552" s="17">
        <v>0.51527777777777783</v>
      </c>
      <c r="I552" s="9">
        <v>39700</v>
      </c>
      <c r="J552" s="9">
        <v>16760</v>
      </c>
      <c r="K552" s="10">
        <f t="shared" si="24"/>
        <v>22940</v>
      </c>
      <c r="L552" s="10">
        <v>23393</v>
      </c>
      <c r="M552" s="11" t="s">
        <v>1041</v>
      </c>
      <c r="N552" s="12">
        <v>21.6</v>
      </c>
      <c r="O552" s="13" t="s">
        <v>855</v>
      </c>
      <c r="P552" s="14"/>
      <c r="U552" s="25"/>
    </row>
    <row r="553" spans="1:27" x14ac:dyDescent="0.25">
      <c r="A553" s="6"/>
      <c r="B553" s="7">
        <v>44243</v>
      </c>
      <c r="C553" s="8" t="s">
        <v>835</v>
      </c>
      <c r="D553" s="8" t="s">
        <v>617</v>
      </c>
      <c r="E553" s="9" t="s">
        <v>35</v>
      </c>
      <c r="F553" s="9" t="s">
        <v>36</v>
      </c>
      <c r="G553" s="17">
        <v>0.51250000000000007</v>
      </c>
      <c r="H553" s="17">
        <v>0.53472222222222221</v>
      </c>
      <c r="I553" s="9">
        <v>10290</v>
      </c>
      <c r="J553" s="9">
        <v>5370</v>
      </c>
      <c r="K553" s="10">
        <f t="shared" si="24"/>
        <v>4920</v>
      </c>
      <c r="L553" s="10">
        <v>726</v>
      </c>
      <c r="M553" s="11" t="s">
        <v>48</v>
      </c>
      <c r="N553" s="12">
        <v>12938</v>
      </c>
      <c r="O553" s="13" t="s">
        <v>49</v>
      </c>
      <c r="P553" s="14"/>
      <c r="U553" s="25"/>
    </row>
    <row r="554" spans="1:27" x14ac:dyDescent="0.25">
      <c r="A554" s="6"/>
      <c r="B554" s="7">
        <v>44243</v>
      </c>
      <c r="C554" s="8" t="s">
        <v>1081</v>
      </c>
      <c r="D554" s="8" t="s">
        <v>198</v>
      </c>
      <c r="E554" s="9" t="s">
        <v>405</v>
      </c>
      <c r="F554" s="9" t="s">
        <v>161</v>
      </c>
      <c r="G554" s="17">
        <v>0.51388888888888895</v>
      </c>
      <c r="H554" s="17">
        <v>0.52152777777777781</v>
      </c>
      <c r="I554" s="9">
        <v>34020</v>
      </c>
      <c r="J554" s="9">
        <v>16540</v>
      </c>
      <c r="K554" s="10">
        <f t="shared" si="24"/>
        <v>17480</v>
      </c>
      <c r="L554" s="10">
        <v>23393</v>
      </c>
      <c r="M554" s="11" t="s">
        <v>1041</v>
      </c>
      <c r="N554" s="12">
        <v>16.2</v>
      </c>
      <c r="O554" s="13" t="s">
        <v>855</v>
      </c>
      <c r="P554" s="14"/>
      <c r="U554" s="25"/>
    </row>
    <row r="555" spans="1:27" x14ac:dyDescent="0.25">
      <c r="A555" s="6"/>
      <c r="B555" s="7">
        <v>44243</v>
      </c>
      <c r="C555" s="8" t="s">
        <v>1382</v>
      </c>
      <c r="D555" s="8" t="s">
        <v>878</v>
      </c>
      <c r="E555" s="9" t="s">
        <v>102</v>
      </c>
      <c r="F555" s="9" t="s">
        <v>36</v>
      </c>
      <c r="G555" s="17">
        <v>0.53402777777777777</v>
      </c>
      <c r="H555" s="17">
        <v>0.67638888888888893</v>
      </c>
      <c r="I555" s="9">
        <v>16040</v>
      </c>
      <c r="J555" s="9">
        <v>47280</v>
      </c>
      <c r="K555" s="10">
        <f t="shared" si="24"/>
        <v>-31240</v>
      </c>
      <c r="L555" s="10">
        <v>5785</v>
      </c>
      <c r="M555" s="11" t="s">
        <v>53</v>
      </c>
      <c r="N555" s="12">
        <v>600</v>
      </c>
      <c r="O555" s="13" t="s">
        <v>1099</v>
      </c>
      <c r="P555" s="14" t="s">
        <v>1392</v>
      </c>
    </row>
    <row r="556" spans="1:27" x14ac:dyDescent="0.25">
      <c r="A556" s="6"/>
      <c r="B556" s="7">
        <v>44243</v>
      </c>
      <c r="C556" s="8" t="s">
        <v>1062</v>
      </c>
      <c r="D556" s="8" t="s">
        <v>928</v>
      </c>
      <c r="E556" s="9" t="s">
        <v>628</v>
      </c>
      <c r="F556" s="9" t="s">
        <v>859</v>
      </c>
      <c r="G556" s="17">
        <v>0.53611111111111109</v>
      </c>
      <c r="H556" s="17">
        <v>0.54305555555555551</v>
      </c>
      <c r="I556" s="9">
        <v>19650</v>
      </c>
      <c r="J556" s="9">
        <v>9680</v>
      </c>
      <c r="K556" s="10">
        <f t="shared" si="24"/>
        <v>9970</v>
      </c>
      <c r="L556" s="10">
        <v>23394</v>
      </c>
      <c r="M556" s="11" t="s">
        <v>1383</v>
      </c>
      <c r="N556" s="12">
        <v>9.6</v>
      </c>
      <c r="O556" s="13" t="s">
        <v>855</v>
      </c>
      <c r="P556" s="14"/>
    </row>
    <row r="557" spans="1:27" x14ac:dyDescent="0.25">
      <c r="A557" s="6"/>
      <c r="B557" s="7">
        <v>44243</v>
      </c>
      <c r="C557" s="8" t="s">
        <v>1062</v>
      </c>
      <c r="D557" s="8" t="s">
        <v>243</v>
      </c>
      <c r="E557" s="9" t="s">
        <v>440</v>
      </c>
      <c r="F557" s="9" t="s">
        <v>1276</v>
      </c>
      <c r="G557" s="17">
        <v>0.54097222222222219</v>
      </c>
      <c r="H557" s="17">
        <v>0.55277777777777781</v>
      </c>
      <c r="I557" s="9">
        <v>37760</v>
      </c>
      <c r="J557" s="9">
        <v>15410</v>
      </c>
      <c r="K557" s="10">
        <f t="shared" si="24"/>
        <v>22350</v>
      </c>
      <c r="L557" s="10">
        <v>23394</v>
      </c>
      <c r="M557" s="11" t="s">
        <v>1383</v>
      </c>
      <c r="N557" s="12">
        <v>21.6</v>
      </c>
      <c r="O557" s="13" t="s">
        <v>855</v>
      </c>
      <c r="P557" s="14"/>
    </row>
    <row r="558" spans="1:27" x14ac:dyDescent="0.25">
      <c r="A558" s="6"/>
      <c r="B558" s="7">
        <v>44243</v>
      </c>
      <c r="C558" s="8" t="s">
        <v>1062</v>
      </c>
      <c r="D558" s="8" t="s">
        <v>143</v>
      </c>
      <c r="E558" s="9" t="s">
        <v>144</v>
      </c>
      <c r="F558" s="9" t="s">
        <v>626</v>
      </c>
      <c r="G558" s="17">
        <v>0.54583333333333328</v>
      </c>
      <c r="H558" s="17">
        <v>0.55902777777777779</v>
      </c>
      <c r="I558" s="9">
        <v>38290</v>
      </c>
      <c r="J558" s="9">
        <v>15580</v>
      </c>
      <c r="K558" s="10">
        <f t="shared" si="24"/>
        <v>22710</v>
      </c>
      <c r="L558" s="10">
        <v>23394</v>
      </c>
      <c r="M558" s="11" t="s">
        <v>1383</v>
      </c>
      <c r="N558" s="12">
        <v>21.6</v>
      </c>
      <c r="O558" s="13" t="s">
        <v>855</v>
      </c>
      <c r="P558" s="14"/>
    </row>
    <row r="559" spans="1:27" x14ac:dyDescent="0.25">
      <c r="A559" s="6"/>
      <c r="B559" s="7">
        <v>44243</v>
      </c>
      <c r="C559" s="8" t="s">
        <v>1375</v>
      </c>
      <c r="D559" s="8" t="s">
        <v>1384</v>
      </c>
      <c r="E559" s="9" t="s">
        <v>1385</v>
      </c>
      <c r="F559" s="9" t="s">
        <v>36</v>
      </c>
      <c r="G559" s="17">
        <v>0.56458333333333333</v>
      </c>
      <c r="H559" s="17">
        <v>0.57152777777777775</v>
      </c>
      <c r="I559" s="9">
        <v>10990</v>
      </c>
      <c r="J559" s="9">
        <v>10260</v>
      </c>
      <c r="K559" s="10">
        <f t="shared" si="24"/>
        <v>730</v>
      </c>
      <c r="L559" s="10">
        <v>26490</v>
      </c>
      <c r="M559" s="11" t="s">
        <v>1041</v>
      </c>
      <c r="N559" s="12">
        <v>730</v>
      </c>
      <c r="O559" s="13" t="s">
        <v>32</v>
      </c>
      <c r="P559" s="14"/>
      <c r="Y559" s="1">
        <v>0</v>
      </c>
    </row>
    <row r="560" spans="1:27" x14ac:dyDescent="0.25">
      <c r="A560" s="7"/>
      <c r="B560" s="7">
        <v>44243</v>
      </c>
      <c r="C560" s="8" t="s">
        <v>1062</v>
      </c>
      <c r="D560" s="8" t="s">
        <v>299</v>
      </c>
      <c r="E560" s="9" t="s">
        <v>813</v>
      </c>
      <c r="F560" s="9" t="s">
        <v>814</v>
      </c>
      <c r="G560" s="17">
        <v>0.56666666666666665</v>
      </c>
      <c r="H560" s="17">
        <v>0.58472222222222225</v>
      </c>
      <c r="I560" s="9">
        <v>32940</v>
      </c>
      <c r="J560" s="9">
        <v>17510</v>
      </c>
      <c r="K560" s="10">
        <f t="shared" si="24"/>
        <v>15430</v>
      </c>
      <c r="L560" s="10">
        <v>23394</v>
      </c>
      <c r="M560" s="11" t="s">
        <v>1383</v>
      </c>
      <c r="N560" s="12">
        <v>14.4</v>
      </c>
      <c r="O560" s="13" t="s">
        <v>855</v>
      </c>
      <c r="P560" s="14"/>
    </row>
    <row r="561" spans="1:23" x14ac:dyDescent="0.25">
      <c r="A561" s="7"/>
      <c r="B561" s="7">
        <v>44243</v>
      </c>
      <c r="C561" s="8" t="s">
        <v>1386</v>
      </c>
      <c r="D561" s="8" t="s">
        <v>143</v>
      </c>
      <c r="E561" s="9" t="s">
        <v>144</v>
      </c>
      <c r="F561" s="9" t="s">
        <v>626</v>
      </c>
      <c r="G561" s="17">
        <v>0.58124999999999993</v>
      </c>
      <c r="H561" s="17">
        <v>0.65486111111111112</v>
      </c>
      <c r="I561" s="9">
        <v>15770</v>
      </c>
      <c r="J561" s="9">
        <v>37960</v>
      </c>
      <c r="K561" s="10">
        <f t="shared" si="24"/>
        <v>-22190</v>
      </c>
      <c r="L561" s="10">
        <v>15577</v>
      </c>
      <c r="M561" s="11" t="s">
        <v>638</v>
      </c>
      <c r="N561" s="12">
        <v>840</v>
      </c>
      <c r="O561" s="13" t="s">
        <v>1099</v>
      </c>
      <c r="P561" s="14"/>
    </row>
    <row r="562" spans="1:23" x14ac:dyDescent="0.25">
      <c r="A562" s="7"/>
      <c r="B562" s="7">
        <v>44243</v>
      </c>
      <c r="C562" s="8" t="s">
        <v>1387</v>
      </c>
      <c r="D562" s="8" t="s">
        <v>853</v>
      </c>
      <c r="E562" s="9" t="s">
        <v>51</v>
      </c>
      <c r="F562" s="9" t="s">
        <v>52</v>
      </c>
      <c r="G562" s="17">
        <v>0.60069444444444442</v>
      </c>
      <c r="H562" s="17">
        <v>0.60902777777777783</v>
      </c>
      <c r="I562" s="9">
        <v>37570</v>
      </c>
      <c r="J562" s="9">
        <v>15800</v>
      </c>
      <c r="K562" s="10">
        <f t="shared" si="24"/>
        <v>21770</v>
      </c>
      <c r="L562" s="10" t="s">
        <v>1389</v>
      </c>
      <c r="M562" s="11" t="s">
        <v>1388</v>
      </c>
      <c r="N562" s="12">
        <f>4.2+16.8</f>
        <v>21</v>
      </c>
      <c r="O562" s="13" t="s">
        <v>855</v>
      </c>
      <c r="P562" s="14"/>
      <c r="U562" s="1">
        <v>0.25</v>
      </c>
      <c r="W562" s="1">
        <v>0.5</v>
      </c>
    </row>
    <row r="563" spans="1:23" x14ac:dyDescent="0.25">
      <c r="A563" s="7"/>
      <c r="B563" s="7">
        <v>44243</v>
      </c>
      <c r="C563" s="8" t="s">
        <v>1042</v>
      </c>
      <c r="D563" s="8" t="s">
        <v>284</v>
      </c>
      <c r="E563" s="9" t="s">
        <v>285</v>
      </c>
      <c r="F563" s="9" t="s">
        <v>286</v>
      </c>
      <c r="G563" s="17">
        <v>0.60833333333333328</v>
      </c>
      <c r="H563" s="17">
        <v>0.62361111111111112</v>
      </c>
      <c r="I563" s="9">
        <v>38920</v>
      </c>
      <c r="J563" s="9">
        <v>16340</v>
      </c>
      <c r="K563" s="10">
        <f t="shared" si="24"/>
        <v>22580</v>
      </c>
      <c r="L563" s="10">
        <v>23396</v>
      </c>
      <c r="M563" s="11" t="s">
        <v>1041</v>
      </c>
      <c r="N563" s="12">
        <v>21.6</v>
      </c>
      <c r="O563" s="13" t="s">
        <v>855</v>
      </c>
      <c r="P563" s="14"/>
    </row>
    <row r="564" spans="1:23" x14ac:dyDescent="0.25">
      <c r="A564" s="7"/>
      <c r="B564" s="7">
        <v>44243</v>
      </c>
      <c r="C564" s="8" t="s">
        <v>1042</v>
      </c>
      <c r="D564" s="8" t="s">
        <v>465</v>
      </c>
      <c r="E564" s="9" t="s">
        <v>881</v>
      </c>
      <c r="F564" s="9" t="s">
        <v>749</v>
      </c>
      <c r="G564" s="17">
        <v>0.62013888888888891</v>
      </c>
      <c r="H564" s="17">
        <v>0.63055555555555554</v>
      </c>
      <c r="I564" s="9">
        <v>39380</v>
      </c>
      <c r="J564" s="9">
        <v>16580</v>
      </c>
      <c r="K564" s="10">
        <f t="shared" si="24"/>
        <v>22800</v>
      </c>
      <c r="L564" s="10">
        <v>23396</v>
      </c>
      <c r="M564" s="11" t="s">
        <v>1041</v>
      </c>
      <c r="N564" s="12">
        <v>21.6</v>
      </c>
      <c r="O564" s="13" t="s">
        <v>855</v>
      </c>
      <c r="P564" s="14"/>
    </row>
    <row r="565" spans="1:23" x14ac:dyDescent="0.25">
      <c r="A565" s="7"/>
      <c r="B565" s="7">
        <v>44243</v>
      </c>
      <c r="C565" s="8" t="s">
        <v>1042</v>
      </c>
      <c r="D565" s="8" t="s">
        <v>1355</v>
      </c>
      <c r="E565" s="9" t="s">
        <v>1048</v>
      </c>
      <c r="F565" s="9" t="s">
        <v>526</v>
      </c>
      <c r="G565" s="17">
        <v>0.62777777777777777</v>
      </c>
      <c r="H565" s="17">
        <v>0.65</v>
      </c>
      <c r="I565" s="9">
        <v>39340</v>
      </c>
      <c r="J565" s="9">
        <v>16750</v>
      </c>
      <c r="K565" s="10">
        <f t="shared" si="24"/>
        <v>22590</v>
      </c>
      <c r="L565" s="10">
        <v>23396</v>
      </c>
      <c r="M565" s="11" t="s">
        <v>1041</v>
      </c>
      <c r="N565" s="12">
        <v>21.6</v>
      </c>
      <c r="O565" s="13" t="s">
        <v>855</v>
      </c>
      <c r="P565" s="14"/>
    </row>
    <row r="566" spans="1:23" x14ac:dyDescent="0.25">
      <c r="A566" s="7"/>
      <c r="B566" s="7">
        <v>44243</v>
      </c>
      <c r="C566" s="8" t="s">
        <v>1042</v>
      </c>
      <c r="D566" s="8" t="s">
        <v>928</v>
      </c>
      <c r="E566" s="9" t="s">
        <v>628</v>
      </c>
      <c r="F566" s="9" t="s">
        <v>859</v>
      </c>
      <c r="G566" s="17">
        <v>0.63750000000000007</v>
      </c>
      <c r="H566" s="17">
        <v>0.6694444444444444</v>
      </c>
      <c r="I566" s="9">
        <v>14460</v>
      </c>
      <c r="J566" s="9">
        <v>9700</v>
      </c>
      <c r="K566" s="10">
        <f t="shared" si="24"/>
        <v>4760</v>
      </c>
      <c r="L566" s="10">
        <v>23396</v>
      </c>
      <c r="M566" s="11" t="s">
        <v>1041</v>
      </c>
      <c r="N566" s="12">
        <v>4.2</v>
      </c>
      <c r="O566" s="13" t="s">
        <v>855</v>
      </c>
      <c r="P566" s="14"/>
    </row>
    <row r="567" spans="1:23" x14ac:dyDescent="0.25">
      <c r="A567" s="7"/>
      <c r="B567" s="7">
        <v>44243</v>
      </c>
      <c r="C567" s="8" t="s">
        <v>1042</v>
      </c>
      <c r="D567" s="8" t="s">
        <v>198</v>
      </c>
      <c r="E567" s="9" t="s">
        <v>405</v>
      </c>
      <c r="F567" s="9" t="s">
        <v>161</v>
      </c>
      <c r="G567" s="17">
        <v>0.63958333333333328</v>
      </c>
      <c r="H567" s="17">
        <v>0.68472222222222223</v>
      </c>
      <c r="I567" s="9">
        <v>36850</v>
      </c>
      <c r="J567" s="9">
        <v>16530</v>
      </c>
      <c r="K567" s="10">
        <f t="shared" si="24"/>
        <v>20320</v>
      </c>
      <c r="L567" s="10">
        <v>23396</v>
      </c>
      <c r="M567" s="11" t="s">
        <v>1041</v>
      </c>
      <c r="N567" s="12">
        <v>19.2</v>
      </c>
      <c r="O567" s="13" t="s">
        <v>855</v>
      </c>
      <c r="P567" s="14"/>
    </row>
    <row r="568" spans="1:23" x14ac:dyDescent="0.25">
      <c r="A568" s="7"/>
      <c r="B568" s="7">
        <v>44243</v>
      </c>
      <c r="C568" s="8" t="s">
        <v>1390</v>
      </c>
      <c r="D568" s="8" t="s">
        <v>243</v>
      </c>
      <c r="E568" s="9" t="s">
        <v>440</v>
      </c>
      <c r="F568" s="9" t="s">
        <v>1276</v>
      </c>
      <c r="G568" s="17">
        <v>0.65138888888888891</v>
      </c>
      <c r="H568" s="17">
        <v>0.66805555555555562</v>
      </c>
      <c r="I568" s="9">
        <v>22660</v>
      </c>
      <c r="J568" s="9">
        <v>15350</v>
      </c>
      <c r="K568" s="10">
        <f t="shared" si="24"/>
        <v>7310</v>
      </c>
      <c r="L568" s="10">
        <v>23397</v>
      </c>
      <c r="M568" s="11" t="s">
        <v>1041</v>
      </c>
      <c r="N568" s="12">
        <v>4.8</v>
      </c>
      <c r="O568" s="13" t="s">
        <v>855</v>
      </c>
      <c r="P568" s="14"/>
    </row>
    <row r="569" spans="1:23" x14ac:dyDescent="0.25">
      <c r="A569" s="7"/>
      <c r="B569" s="7">
        <v>44243</v>
      </c>
      <c r="C569" s="8" t="s">
        <v>1391</v>
      </c>
      <c r="D569" s="8" t="s">
        <v>1355</v>
      </c>
      <c r="E569" s="9" t="s">
        <v>1048</v>
      </c>
      <c r="F569" s="9" t="s">
        <v>526</v>
      </c>
      <c r="G569" s="17">
        <v>0.66736111111111107</v>
      </c>
      <c r="H569" s="17">
        <v>0.4152777777777778</v>
      </c>
      <c r="I569" s="9">
        <v>16820</v>
      </c>
      <c r="J569" s="9">
        <v>51980</v>
      </c>
      <c r="K569" s="10">
        <f t="shared" si="24"/>
        <v>-35160</v>
      </c>
      <c r="L569" s="10">
        <v>5786</v>
      </c>
      <c r="M569" s="11" t="s">
        <v>53</v>
      </c>
      <c r="N569" s="12">
        <v>700</v>
      </c>
      <c r="O569" s="13" t="s">
        <v>1099</v>
      </c>
      <c r="P569" s="14"/>
    </row>
    <row r="570" spans="1:23" x14ac:dyDescent="0.25">
      <c r="A570" s="7"/>
      <c r="B570" s="7">
        <v>44243</v>
      </c>
      <c r="C570" s="8" t="s">
        <v>1366</v>
      </c>
      <c r="D570" s="8" t="s">
        <v>1393</v>
      </c>
      <c r="E570" s="9" t="s">
        <v>1394</v>
      </c>
      <c r="F570" s="9" t="s">
        <v>36</v>
      </c>
      <c r="G570" s="17">
        <v>0.76527777777777783</v>
      </c>
      <c r="H570" s="17">
        <v>0.78333333333333333</v>
      </c>
      <c r="I570" s="9">
        <v>10090</v>
      </c>
      <c r="J570" s="9">
        <v>9090</v>
      </c>
      <c r="K570" s="10">
        <f t="shared" si="24"/>
        <v>1000</v>
      </c>
      <c r="L570" s="10">
        <v>26491</v>
      </c>
      <c r="M570" s="11" t="s">
        <v>1378</v>
      </c>
      <c r="N570" s="12">
        <v>1000</v>
      </c>
      <c r="O570" s="13" t="s">
        <v>32</v>
      </c>
      <c r="P570" s="14"/>
      <c r="Q570" s="1">
        <v>31240</v>
      </c>
      <c r="R570" s="1">
        <f>+Q570-30060</f>
        <v>1180</v>
      </c>
    </row>
    <row r="571" spans="1:23" x14ac:dyDescent="0.25">
      <c r="A571" s="7"/>
      <c r="B571" s="7">
        <v>44243</v>
      </c>
      <c r="C571" s="8" t="s">
        <v>962</v>
      </c>
      <c r="D571" s="8" t="s">
        <v>1205</v>
      </c>
      <c r="E571" s="9" t="s">
        <v>1206</v>
      </c>
      <c r="F571" s="9" t="s">
        <v>338</v>
      </c>
      <c r="G571" s="17">
        <v>0.77916666666666667</v>
      </c>
      <c r="H571" s="17">
        <v>0.80972222222222223</v>
      </c>
      <c r="I571" s="9">
        <v>9390</v>
      </c>
      <c r="J571" s="9">
        <v>6660</v>
      </c>
      <c r="K571" s="10">
        <f t="shared" si="24"/>
        <v>2730</v>
      </c>
      <c r="L571" s="10">
        <v>26492</v>
      </c>
      <c r="M571" s="11" t="s">
        <v>1041</v>
      </c>
      <c r="N571" s="12">
        <v>2730</v>
      </c>
      <c r="O571" s="13" t="s">
        <v>32</v>
      </c>
      <c r="P571" s="14"/>
    </row>
    <row r="572" spans="1:23" x14ac:dyDescent="0.25">
      <c r="A572" s="7"/>
      <c r="B572" s="7">
        <v>44243</v>
      </c>
      <c r="C572" s="8" t="s">
        <v>941</v>
      </c>
      <c r="D572" s="8" t="s">
        <v>243</v>
      </c>
      <c r="E572" s="9" t="s">
        <v>440</v>
      </c>
      <c r="F572" s="9" t="s">
        <v>1276</v>
      </c>
      <c r="G572" s="17">
        <v>0.78125</v>
      </c>
      <c r="H572" s="17">
        <v>0.7895833333333333</v>
      </c>
      <c r="I572" s="9">
        <v>21970</v>
      </c>
      <c r="J572" s="9">
        <v>15330</v>
      </c>
      <c r="K572" s="10">
        <f t="shared" si="24"/>
        <v>6640</v>
      </c>
      <c r="L572" s="10">
        <v>23398</v>
      </c>
      <c r="M572" s="11" t="s">
        <v>1378</v>
      </c>
      <c r="N572" s="12">
        <v>6</v>
      </c>
      <c r="O572" s="13" t="s">
        <v>855</v>
      </c>
      <c r="P572" s="14"/>
    </row>
    <row r="573" spans="1:23" x14ac:dyDescent="0.25">
      <c r="A573" s="7"/>
      <c r="B573" s="7">
        <v>44243</v>
      </c>
      <c r="C573" s="8" t="s">
        <v>962</v>
      </c>
      <c r="D573" s="8" t="s">
        <v>1230</v>
      </c>
      <c r="E573" s="9" t="s">
        <v>1315</v>
      </c>
      <c r="F573" s="9" t="s">
        <v>338</v>
      </c>
      <c r="G573" s="17">
        <v>0.82986111111111116</v>
      </c>
      <c r="H573" s="17">
        <v>0.92083333333333339</v>
      </c>
      <c r="I573" s="9">
        <v>11690</v>
      </c>
      <c r="J573" s="9">
        <v>4030</v>
      </c>
      <c r="K573" s="10">
        <f t="shared" ref="K573" si="25">+I573-J573</f>
        <v>7660</v>
      </c>
      <c r="L573" s="10">
        <v>26493</v>
      </c>
      <c r="M573" s="11" t="s">
        <v>966</v>
      </c>
      <c r="N573" s="12">
        <v>7660</v>
      </c>
      <c r="O573" s="13" t="s">
        <v>32</v>
      </c>
      <c r="P573" s="14"/>
    </row>
    <row r="574" spans="1:23" x14ac:dyDescent="0.25">
      <c r="A574" s="7"/>
      <c r="B574" s="7">
        <v>44243</v>
      </c>
      <c r="C574" s="68" t="s">
        <v>1395</v>
      </c>
      <c r="D574" s="68" t="s">
        <v>1396</v>
      </c>
      <c r="E574" s="69" t="s">
        <v>277</v>
      </c>
      <c r="F574" s="69" t="s">
        <v>128</v>
      </c>
      <c r="G574" s="70">
        <v>0.83819444444444446</v>
      </c>
      <c r="H574" s="70">
        <v>0.8534722222222223</v>
      </c>
      <c r="I574" s="69">
        <v>6950</v>
      </c>
      <c r="J574" s="69">
        <v>5590</v>
      </c>
      <c r="K574" s="71">
        <f t="shared" si="24"/>
        <v>1360</v>
      </c>
      <c r="L574" s="71">
        <v>755</v>
      </c>
      <c r="M574" s="72" t="s">
        <v>1397</v>
      </c>
      <c r="N574" s="73">
        <v>1360</v>
      </c>
      <c r="O574" s="74" t="s">
        <v>32</v>
      </c>
      <c r="P574" s="75"/>
    </row>
    <row r="575" spans="1:23" x14ac:dyDescent="0.25">
      <c r="A575" s="7"/>
      <c r="B575" s="7">
        <v>44243</v>
      </c>
      <c r="C575" s="8" t="s">
        <v>962</v>
      </c>
      <c r="D575" s="8" t="s">
        <v>928</v>
      </c>
      <c r="E575" s="9" t="s">
        <v>628</v>
      </c>
      <c r="F575" s="9" t="s">
        <v>859</v>
      </c>
      <c r="G575" s="17">
        <v>0.8618055555555556</v>
      </c>
      <c r="H575" s="17">
        <v>0.87013888888888891</v>
      </c>
      <c r="I575" s="9">
        <v>19640</v>
      </c>
      <c r="J575" s="9">
        <v>9640</v>
      </c>
      <c r="K575" s="10">
        <f t="shared" si="24"/>
        <v>10000</v>
      </c>
      <c r="L575" s="10">
        <v>26494</v>
      </c>
      <c r="M575" s="11" t="s">
        <v>966</v>
      </c>
      <c r="N575" s="12">
        <v>10000</v>
      </c>
      <c r="O575" s="13" t="s">
        <v>32</v>
      </c>
      <c r="P575" s="14"/>
    </row>
    <row r="576" spans="1:23" x14ac:dyDescent="0.25">
      <c r="A576" s="7"/>
      <c r="B576" s="7">
        <v>44243</v>
      </c>
      <c r="C576" s="8" t="s">
        <v>1398</v>
      </c>
      <c r="D576" s="8" t="s">
        <v>530</v>
      </c>
      <c r="E576" s="9" t="s">
        <v>699</v>
      </c>
      <c r="F576" s="9" t="s">
        <v>140</v>
      </c>
      <c r="G576" s="17">
        <v>0.87847222222222221</v>
      </c>
      <c r="H576" s="17">
        <v>0.9145833333333333</v>
      </c>
      <c r="I576" s="9">
        <v>20070</v>
      </c>
      <c r="J576" s="9">
        <v>8250</v>
      </c>
      <c r="K576" s="10">
        <f t="shared" si="24"/>
        <v>11820</v>
      </c>
      <c r="L576" s="10" t="s">
        <v>1399</v>
      </c>
      <c r="M576" s="11" t="s">
        <v>48</v>
      </c>
      <c r="N576" s="12">
        <v>22013.9</v>
      </c>
      <c r="O576" s="13" t="s">
        <v>49</v>
      </c>
      <c r="P576" s="14"/>
    </row>
    <row r="577" spans="1:16" x14ac:dyDescent="0.25">
      <c r="A577" s="6"/>
      <c r="B577" s="7">
        <v>44243</v>
      </c>
      <c r="C577" s="8" t="s">
        <v>962</v>
      </c>
      <c r="D577" s="8" t="s">
        <v>1205</v>
      </c>
      <c r="E577" s="9" t="s">
        <v>1206</v>
      </c>
      <c r="F577" s="9" t="s">
        <v>338</v>
      </c>
      <c r="G577" s="17">
        <v>0.91319444444444453</v>
      </c>
      <c r="H577" s="17">
        <v>0.94374999999999998</v>
      </c>
      <c r="I577" s="9">
        <v>15340</v>
      </c>
      <c r="J577" s="9">
        <v>6660</v>
      </c>
      <c r="K577" s="10">
        <f t="shared" si="24"/>
        <v>8680</v>
      </c>
      <c r="L577" s="10">
        <v>26495</v>
      </c>
      <c r="M577" s="11" t="s">
        <v>966</v>
      </c>
      <c r="N577" s="12">
        <v>8680</v>
      </c>
      <c r="O577" s="13" t="s">
        <v>32</v>
      </c>
      <c r="P577" s="14"/>
    </row>
    <row r="578" spans="1:16" x14ac:dyDescent="0.25">
      <c r="A578" s="6"/>
      <c r="B578" s="7">
        <v>44243</v>
      </c>
      <c r="C578" s="8" t="s">
        <v>1290</v>
      </c>
      <c r="D578" s="8" t="s">
        <v>928</v>
      </c>
      <c r="E578" s="9" t="s">
        <v>628</v>
      </c>
      <c r="F578" s="9" t="s">
        <v>859</v>
      </c>
      <c r="G578" s="17">
        <v>0.96458333333333324</v>
      </c>
      <c r="H578" s="17">
        <v>0.97569444444444453</v>
      </c>
      <c r="I578" s="9">
        <v>11970</v>
      </c>
      <c r="J578" s="9">
        <v>9640</v>
      </c>
      <c r="K578" s="10">
        <f t="shared" si="24"/>
        <v>2330</v>
      </c>
      <c r="L578" s="10">
        <v>23399</v>
      </c>
      <c r="M578" s="11" t="s">
        <v>1400</v>
      </c>
      <c r="N578" s="12">
        <v>2330</v>
      </c>
      <c r="O578" s="13" t="s">
        <v>32</v>
      </c>
      <c r="P578" s="14" t="s">
        <v>992</v>
      </c>
    </row>
    <row r="579" spans="1:16" x14ac:dyDescent="0.25">
      <c r="A579" s="6"/>
      <c r="B579" s="7">
        <v>44243</v>
      </c>
      <c r="C579" s="8" t="s">
        <v>37</v>
      </c>
      <c r="D579" s="8" t="s">
        <v>122</v>
      </c>
      <c r="E579" s="9" t="s">
        <v>967</v>
      </c>
      <c r="F579" s="9" t="s">
        <v>36</v>
      </c>
      <c r="G579" s="17">
        <v>0.98958333333333337</v>
      </c>
      <c r="H579" s="17">
        <v>2.4999999999999998E-2</v>
      </c>
      <c r="I579" s="9">
        <v>22285</v>
      </c>
      <c r="J579" s="9">
        <v>6460</v>
      </c>
      <c r="K579" s="10">
        <f t="shared" si="24"/>
        <v>15825</v>
      </c>
      <c r="L579" s="10">
        <v>26496</v>
      </c>
      <c r="M579" s="11" t="s">
        <v>1379</v>
      </c>
      <c r="N579" s="12">
        <v>15825</v>
      </c>
      <c r="O579" s="13" t="s">
        <v>32</v>
      </c>
      <c r="P579" s="14"/>
    </row>
    <row r="580" spans="1:16" x14ac:dyDescent="0.25">
      <c r="A580" s="6"/>
      <c r="B580" s="7">
        <v>44244</v>
      </c>
      <c r="C580" s="8" t="s">
        <v>971</v>
      </c>
      <c r="D580" s="8" t="s">
        <v>174</v>
      </c>
      <c r="E580" s="9" t="s">
        <v>110</v>
      </c>
      <c r="F580" s="9" t="s">
        <v>111</v>
      </c>
      <c r="G580" s="17">
        <v>1.7361111111111112E-2</v>
      </c>
      <c r="H580" s="17">
        <v>4.5138888888888888E-2</v>
      </c>
      <c r="I580" s="9">
        <v>8750</v>
      </c>
      <c r="J580" s="9">
        <v>6440</v>
      </c>
      <c r="K580" s="10">
        <f t="shared" ref="K580" si="26">+I580-J580</f>
        <v>2310</v>
      </c>
      <c r="L580" s="10">
        <v>100</v>
      </c>
      <c r="M580" s="11" t="s">
        <v>48</v>
      </c>
      <c r="N580" s="12">
        <v>5092</v>
      </c>
      <c r="O580" s="13" t="s">
        <v>49</v>
      </c>
      <c r="P580" s="14"/>
    </row>
    <row r="581" spans="1:16" x14ac:dyDescent="0.25">
      <c r="A581" s="6"/>
      <c r="B581" s="7">
        <v>44244</v>
      </c>
      <c r="C581" s="8" t="s">
        <v>871</v>
      </c>
      <c r="D581" s="8" t="s">
        <v>86</v>
      </c>
      <c r="E581" s="9" t="s">
        <v>87</v>
      </c>
      <c r="F581" s="9" t="s">
        <v>88</v>
      </c>
      <c r="G581" s="17">
        <v>0.12847222222222224</v>
      </c>
      <c r="H581" s="17">
        <v>0.13402777777777777</v>
      </c>
      <c r="I581" s="9">
        <v>27250</v>
      </c>
      <c r="J581" s="9">
        <v>17280</v>
      </c>
      <c r="K581" s="10">
        <f t="shared" si="24"/>
        <v>9970</v>
      </c>
      <c r="L581" s="10">
        <v>758</v>
      </c>
      <c r="M581" s="11" t="s">
        <v>1401</v>
      </c>
      <c r="N581" s="12">
        <v>10645</v>
      </c>
      <c r="O581" s="13" t="s">
        <v>32</v>
      </c>
      <c r="P581" s="14"/>
    </row>
    <row r="582" spans="1:16" x14ac:dyDescent="0.25">
      <c r="A582" s="6"/>
      <c r="B582" s="7">
        <v>44244</v>
      </c>
      <c r="C582" s="8" t="s">
        <v>1083</v>
      </c>
      <c r="D582" s="8" t="s">
        <v>501</v>
      </c>
      <c r="E582" s="9" t="s">
        <v>1174</v>
      </c>
      <c r="F582" s="9" t="s">
        <v>503</v>
      </c>
      <c r="G582" s="17">
        <v>0.42708333333333331</v>
      </c>
      <c r="H582" s="17">
        <v>0.43888888888888888</v>
      </c>
      <c r="I582" s="9">
        <v>7030</v>
      </c>
      <c r="J582" s="9">
        <v>5230</v>
      </c>
      <c r="K582" s="10">
        <f t="shared" si="24"/>
        <v>1800</v>
      </c>
      <c r="L582" s="10">
        <v>4368</v>
      </c>
      <c r="M582" s="11" t="s">
        <v>1402</v>
      </c>
      <c r="N582" s="12">
        <v>1800</v>
      </c>
      <c r="O582" s="13" t="s">
        <v>32</v>
      </c>
      <c r="P582" s="14"/>
    </row>
    <row r="583" spans="1:16" x14ac:dyDescent="0.25">
      <c r="A583" s="6"/>
      <c r="B583" s="15">
        <v>44244</v>
      </c>
      <c r="C583" s="8" t="s">
        <v>1403</v>
      </c>
      <c r="D583" s="8" t="s">
        <v>928</v>
      </c>
      <c r="E583" s="9" t="s">
        <v>628</v>
      </c>
      <c r="F583" s="9" t="s">
        <v>859</v>
      </c>
      <c r="G583" s="17">
        <v>0.4368055555555555</v>
      </c>
      <c r="H583" s="17">
        <v>0.45</v>
      </c>
      <c r="I583" s="9">
        <v>23190</v>
      </c>
      <c r="J583" s="9">
        <v>9630</v>
      </c>
      <c r="K583" s="10">
        <f t="shared" si="24"/>
        <v>13560</v>
      </c>
      <c r="L583" s="10">
        <v>23400</v>
      </c>
      <c r="M583" s="11" t="s">
        <v>1041</v>
      </c>
      <c r="N583" s="12">
        <v>12</v>
      </c>
      <c r="O583" s="13" t="s">
        <v>855</v>
      </c>
      <c r="P583" s="14"/>
    </row>
    <row r="584" spans="1:16" x14ac:dyDescent="0.25">
      <c r="A584" s="6"/>
      <c r="B584" s="7">
        <v>44244</v>
      </c>
      <c r="C584" s="8" t="s">
        <v>1403</v>
      </c>
      <c r="D584" s="8" t="s">
        <v>299</v>
      </c>
      <c r="E584" s="9" t="s">
        <v>813</v>
      </c>
      <c r="F584" s="9" t="s">
        <v>814</v>
      </c>
      <c r="G584" s="17">
        <v>0.44791666666666669</v>
      </c>
      <c r="H584" s="17">
        <v>0.46180555555555558</v>
      </c>
      <c r="I584" s="9">
        <v>41830</v>
      </c>
      <c r="J584" s="9">
        <v>17520</v>
      </c>
      <c r="K584" s="10">
        <f t="shared" si="24"/>
        <v>24310</v>
      </c>
      <c r="L584" s="10">
        <v>23400</v>
      </c>
      <c r="M584" s="11" t="s">
        <v>1041</v>
      </c>
      <c r="N584" s="12">
        <v>21.6</v>
      </c>
      <c r="O584" s="13" t="s">
        <v>855</v>
      </c>
      <c r="P584" s="14"/>
    </row>
    <row r="585" spans="1:16" x14ac:dyDescent="0.25">
      <c r="A585" s="6"/>
      <c r="B585" s="7">
        <v>44244</v>
      </c>
      <c r="C585" s="8" t="s">
        <v>164</v>
      </c>
      <c r="D585" s="8" t="s">
        <v>465</v>
      </c>
      <c r="E585" s="9" t="s">
        <v>881</v>
      </c>
      <c r="F585" s="9" t="s">
        <v>749</v>
      </c>
      <c r="G585" s="17">
        <v>0.4694444444444445</v>
      </c>
      <c r="H585" s="17">
        <v>0.48888888888888887</v>
      </c>
      <c r="I585" s="9">
        <v>41670</v>
      </c>
      <c r="J585" s="9">
        <v>16660</v>
      </c>
      <c r="K585" s="10">
        <f t="shared" si="24"/>
        <v>25010</v>
      </c>
      <c r="L585" s="10">
        <v>15603</v>
      </c>
      <c r="M585" s="11" t="s">
        <v>398</v>
      </c>
      <c r="N585" s="12">
        <v>504</v>
      </c>
      <c r="O585" s="13" t="s">
        <v>1099</v>
      </c>
      <c r="P585" s="14"/>
    </row>
    <row r="586" spans="1:16" x14ac:dyDescent="0.25">
      <c r="A586" s="6"/>
      <c r="B586" s="7">
        <v>44244</v>
      </c>
      <c r="C586" s="8" t="s">
        <v>1404</v>
      </c>
      <c r="D586" s="8" t="s">
        <v>853</v>
      </c>
      <c r="E586" s="9" t="s">
        <v>51</v>
      </c>
      <c r="F586" s="9" t="s">
        <v>52</v>
      </c>
      <c r="G586" s="17">
        <v>0.48125000000000001</v>
      </c>
      <c r="H586" s="17">
        <v>0.48749999999999999</v>
      </c>
      <c r="I586" s="9">
        <v>38780</v>
      </c>
      <c r="J586" s="9">
        <v>15990</v>
      </c>
      <c r="K586" s="10">
        <f t="shared" si="24"/>
        <v>22790</v>
      </c>
      <c r="L586" s="10" t="s">
        <v>1405</v>
      </c>
      <c r="M586" s="11" t="s">
        <v>1041</v>
      </c>
      <c r="N586" s="12">
        <f>9.6+12</f>
        <v>21.6</v>
      </c>
      <c r="O586" s="13" t="s">
        <v>855</v>
      </c>
      <c r="P586" s="14"/>
    </row>
    <row r="587" spans="1:16" x14ac:dyDescent="0.25">
      <c r="A587" s="6"/>
      <c r="B587" s="7">
        <v>44244</v>
      </c>
      <c r="C587" s="8" t="s">
        <v>164</v>
      </c>
      <c r="D587" s="8" t="s">
        <v>465</v>
      </c>
      <c r="E587" s="9" t="s">
        <v>881</v>
      </c>
      <c r="F587" s="9" t="s">
        <v>749</v>
      </c>
      <c r="G587" s="17">
        <v>0.48958333333333331</v>
      </c>
      <c r="H587" s="17">
        <v>0.51388888888888895</v>
      </c>
      <c r="I587" s="9">
        <v>16660</v>
      </c>
      <c r="J587" s="9">
        <v>41990</v>
      </c>
      <c r="K587" s="10">
        <f t="shared" si="24"/>
        <v>-25330</v>
      </c>
      <c r="L587" s="10">
        <v>15569</v>
      </c>
      <c r="M587" s="11" t="s">
        <v>166</v>
      </c>
      <c r="N587" s="12">
        <v>504</v>
      </c>
      <c r="O587" s="13" t="s">
        <v>1099</v>
      </c>
      <c r="P587" s="14"/>
    </row>
    <row r="588" spans="1:16" x14ac:dyDescent="0.25">
      <c r="A588" s="6"/>
      <c r="B588" s="7">
        <v>44244</v>
      </c>
      <c r="C588" s="8" t="s">
        <v>1065</v>
      </c>
      <c r="D588" s="8" t="s">
        <v>284</v>
      </c>
      <c r="E588" s="9" t="s">
        <v>285</v>
      </c>
      <c r="F588" s="9" t="s">
        <v>286</v>
      </c>
      <c r="G588" s="17">
        <v>0.4909722222222222</v>
      </c>
      <c r="H588" s="17">
        <v>0.49722222222222223</v>
      </c>
      <c r="I588" s="9">
        <v>39060</v>
      </c>
      <c r="J588" s="9">
        <v>16330</v>
      </c>
      <c r="K588" s="10">
        <f t="shared" si="24"/>
        <v>22730</v>
      </c>
      <c r="L588" s="10">
        <v>23401</v>
      </c>
      <c r="M588" s="11" t="s">
        <v>1041</v>
      </c>
      <c r="N588" s="12">
        <v>21.6</v>
      </c>
      <c r="O588" s="13" t="s">
        <v>855</v>
      </c>
      <c r="P588" s="14"/>
    </row>
    <row r="589" spans="1:16" x14ac:dyDescent="0.25">
      <c r="A589" s="6"/>
      <c r="B589" s="7">
        <v>44244</v>
      </c>
      <c r="C589" s="8" t="s">
        <v>1065</v>
      </c>
      <c r="D589" s="8" t="s">
        <v>198</v>
      </c>
      <c r="E589" s="9" t="s">
        <v>405</v>
      </c>
      <c r="F589" s="9" t="s">
        <v>161</v>
      </c>
      <c r="G589" s="17">
        <v>0.5</v>
      </c>
      <c r="H589" s="17">
        <v>0.5083333333333333</v>
      </c>
      <c r="I589" s="9">
        <v>39700</v>
      </c>
      <c r="J589" s="9">
        <v>16520</v>
      </c>
      <c r="K589" s="10">
        <f t="shared" si="24"/>
        <v>23180</v>
      </c>
      <c r="L589" s="10">
        <v>23401</v>
      </c>
      <c r="M589" s="11" t="s">
        <v>1041</v>
      </c>
      <c r="N589" s="12">
        <v>21.6</v>
      </c>
      <c r="O589" s="13" t="s">
        <v>855</v>
      </c>
      <c r="P589" s="14"/>
    </row>
    <row r="590" spans="1:16" x14ac:dyDescent="0.25">
      <c r="A590" s="6"/>
      <c r="B590" s="7">
        <v>44244</v>
      </c>
      <c r="C590" s="8" t="s">
        <v>1083</v>
      </c>
      <c r="D590" s="8" t="s">
        <v>501</v>
      </c>
      <c r="E590" s="9" t="s">
        <v>1174</v>
      </c>
      <c r="F590" s="9" t="s">
        <v>503</v>
      </c>
      <c r="G590" s="17">
        <v>0.51666666666666672</v>
      </c>
      <c r="H590" s="17">
        <v>0.5444444444444444</v>
      </c>
      <c r="I590" s="9">
        <v>6700</v>
      </c>
      <c r="J590" s="9">
        <v>5230</v>
      </c>
      <c r="K590" s="10">
        <f t="shared" si="24"/>
        <v>1470</v>
      </c>
      <c r="L590" s="10">
        <v>4371</v>
      </c>
      <c r="M590" s="11" t="s">
        <v>1406</v>
      </c>
      <c r="N590" s="12"/>
      <c r="O590" s="13" t="s">
        <v>32</v>
      </c>
      <c r="P590" s="14"/>
    </row>
    <row r="591" spans="1:16" x14ac:dyDescent="0.25">
      <c r="A591" s="6"/>
      <c r="B591" s="7">
        <v>44244</v>
      </c>
      <c r="C591" s="8" t="s">
        <v>1065</v>
      </c>
      <c r="D591" s="8" t="s">
        <v>899</v>
      </c>
      <c r="E591" s="9" t="s">
        <v>490</v>
      </c>
      <c r="F591" s="9" t="s">
        <v>491</v>
      </c>
      <c r="G591" s="17">
        <v>0.52083333333333337</v>
      </c>
      <c r="H591" s="17">
        <v>0.54583333333333328</v>
      </c>
      <c r="I591" s="9">
        <v>39970</v>
      </c>
      <c r="J591" s="9">
        <v>15930</v>
      </c>
      <c r="K591" s="10">
        <f t="shared" si="24"/>
        <v>24040</v>
      </c>
      <c r="L591" s="10">
        <v>23401</v>
      </c>
      <c r="M591" s="11" t="s">
        <v>1041</v>
      </c>
      <c r="N591" s="12">
        <v>21.6</v>
      </c>
      <c r="O591" s="13" t="s">
        <v>855</v>
      </c>
      <c r="P591" s="14"/>
    </row>
    <row r="592" spans="1:16" x14ac:dyDescent="0.25">
      <c r="A592" s="6"/>
      <c r="B592" s="7">
        <v>44244</v>
      </c>
      <c r="C592" s="8" t="s">
        <v>1407</v>
      </c>
      <c r="D592" s="8" t="s">
        <v>1408</v>
      </c>
      <c r="E592" s="9" t="s">
        <v>1409</v>
      </c>
      <c r="F592" s="9" t="s">
        <v>36</v>
      </c>
      <c r="G592" s="17">
        <v>0.54999999999999993</v>
      </c>
      <c r="H592" s="17">
        <v>0.72916666666666663</v>
      </c>
      <c r="I592" s="9">
        <v>14740</v>
      </c>
      <c r="J592" s="9">
        <v>45690</v>
      </c>
      <c r="K592" s="10">
        <f t="shared" si="24"/>
        <v>-30950</v>
      </c>
      <c r="L592" s="10">
        <v>5787</v>
      </c>
      <c r="M592" s="11" t="s">
        <v>53</v>
      </c>
      <c r="N592" s="12">
        <v>600</v>
      </c>
      <c r="O592" s="13" t="s">
        <v>1099</v>
      </c>
      <c r="P592" s="14" t="s">
        <v>1419</v>
      </c>
    </row>
    <row r="593" spans="1:16" x14ac:dyDescent="0.25">
      <c r="A593" s="6"/>
      <c r="B593" s="7">
        <v>44244</v>
      </c>
      <c r="C593" s="8" t="s">
        <v>606</v>
      </c>
      <c r="D593" s="8" t="s">
        <v>1219</v>
      </c>
      <c r="E593" s="9" t="s">
        <v>1220</v>
      </c>
      <c r="F593" s="9" t="s">
        <v>36</v>
      </c>
      <c r="G593" s="17">
        <v>0.56180555555555556</v>
      </c>
      <c r="H593" s="17">
        <v>0.62847222222222221</v>
      </c>
      <c r="I593" s="9">
        <v>54180</v>
      </c>
      <c r="J593" s="9">
        <v>18750</v>
      </c>
      <c r="K593" s="10">
        <f t="shared" si="24"/>
        <v>35430</v>
      </c>
      <c r="L593" s="10">
        <v>921</v>
      </c>
      <c r="M593" s="11" t="s">
        <v>306</v>
      </c>
      <c r="N593" s="12">
        <v>10000</v>
      </c>
      <c r="O593" s="13" t="s">
        <v>84</v>
      </c>
      <c r="P593" s="14"/>
    </row>
    <row r="594" spans="1:16" x14ac:dyDescent="0.25">
      <c r="A594" s="6"/>
      <c r="B594" s="7">
        <v>44244</v>
      </c>
      <c r="C594" s="8" t="s">
        <v>950</v>
      </c>
      <c r="D594" s="8" t="s">
        <v>243</v>
      </c>
      <c r="E594" s="9" t="s">
        <v>440</v>
      </c>
      <c r="F594" s="9" t="s">
        <v>1276</v>
      </c>
      <c r="G594" s="17">
        <v>0.57777777777777783</v>
      </c>
      <c r="H594" s="17">
        <v>0.5854166666666667</v>
      </c>
      <c r="I594" s="9">
        <v>39060</v>
      </c>
      <c r="J594" s="9">
        <v>15320</v>
      </c>
      <c r="K594" s="10">
        <f t="shared" si="24"/>
        <v>23740</v>
      </c>
      <c r="L594" s="10">
        <v>23402</v>
      </c>
      <c r="M594" s="11" t="s">
        <v>1041</v>
      </c>
      <c r="N594" s="12">
        <v>21.6</v>
      </c>
      <c r="O594" s="13" t="s">
        <v>855</v>
      </c>
      <c r="P594" s="14"/>
    </row>
    <row r="595" spans="1:16" x14ac:dyDescent="0.25">
      <c r="A595" s="6"/>
      <c r="B595" s="7">
        <v>44244</v>
      </c>
      <c r="C595" s="8" t="s">
        <v>164</v>
      </c>
      <c r="D595" s="8" t="s">
        <v>198</v>
      </c>
      <c r="E595" s="9" t="s">
        <v>405</v>
      </c>
      <c r="F595" s="9" t="s">
        <v>161</v>
      </c>
      <c r="G595" s="17">
        <v>0.5805555555555556</v>
      </c>
      <c r="H595" s="17">
        <v>0.65</v>
      </c>
      <c r="I595" s="9">
        <v>17730</v>
      </c>
      <c r="J595" s="9">
        <v>43050</v>
      </c>
      <c r="K595" s="10">
        <f t="shared" si="24"/>
        <v>-25320</v>
      </c>
      <c r="L595" s="10">
        <v>15570</v>
      </c>
      <c r="M595" s="11" t="s">
        <v>166</v>
      </c>
      <c r="N595" s="12">
        <v>504</v>
      </c>
      <c r="O595" s="13" t="s">
        <v>1099</v>
      </c>
      <c r="P595" s="14"/>
    </row>
    <row r="596" spans="1:16" x14ac:dyDescent="0.25">
      <c r="A596" s="6"/>
      <c r="B596" s="7">
        <v>44244</v>
      </c>
      <c r="C596" s="8" t="s">
        <v>962</v>
      </c>
      <c r="D596" s="8" t="s">
        <v>1205</v>
      </c>
      <c r="E596" s="9" t="s">
        <v>1206</v>
      </c>
      <c r="F596" s="9" t="s">
        <v>36</v>
      </c>
      <c r="G596" s="17">
        <v>0.60486111111111118</v>
      </c>
      <c r="H596" s="17">
        <v>0.64722222222222225</v>
      </c>
      <c r="I596" s="9">
        <v>16090</v>
      </c>
      <c r="J596" s="9">
        <v>6650</v>
      </c>
      <c r="K596" s="10">
        <f t="shared" ref="K596:K659" si="27">+I596-J596</f>
        <v>9440</v>
      </c>
      <c r="L596" s="10">
        <v>26502</v>
      </c>
      <c r="M596" s="11" t="s">
        <v>1208</v>
      </c>
      <c r="N596" s="12">
        <v>9440</v>
      </c>
      <c r="O596" s="13" t="s">
        <v>32</v>
      </c>
      <c r="P596" s="14"/>
    </row>
    <row r="597" spans="1:16" x14ac:dyDescent="0.25">
      <c r="A597" s="6"/>
      <c r="B597" s="7">
        <v>44244</v>
      </c>
      <c r="C597" s="8" t="s">
        <v>1286</v>
      </c>
      <c r="D597" s="8" t="s">
        <v>186</v>
      </c>
      <c r="E597" s="9" t="s">
        <v>1410</v>
      </c>
      <c r="F597" s="9" t="s">
        <v>36</v>
      </c>
      <c r="G597" s="17">
        <v>0.61458333333333337</v>
      </c>
      <c r="H597" s="17">
        <v>0.62152777777777779</v>
      </c>
      <c r="I597" s="9">
        <v>4690</v>
      </c>
      <c r="J597" s="9">
        <v>4030</v>
      </c>
      <c r="K597" s="10">
        <f t="shared" si="27"/>
        <v>660</v>
      </c>
      <c r="L597" s="10">
        <v>14024</v>
      </c>
      <c r="M597" s="11" t="s">
        <v>940</v>
      </c>
      <c r="N597" s="12">
        <v>5318</v>
      </c>
      <c r="O597" s="13" t="s">
        <v>1099</v>
      </c>
      <c r="P597" s="14"/>
    </row>
    <row r="598" spans="1:16" x14ac:dyDescent="0.25">
      <c r="A598" s="6"/>
      <c r="B598" s="7">
        <v>44244</v>
      </c>
      <c r="C598" s="8" t="s">
        <v>991</v>
      </c>
      <c r="D598" s="8" t="s">
        <v>299</v>
      </c>
      <c r="E598" s="9" t="s">
        <v>813</v>
      </c>
      <c r="F598" s="9" t="s">
        <v>814</v>
      </c>
      <c r="G598" s="17">
        <v>0.6166666666666667</v>
      </c>
      <c r="H598" s="17">
        <v>0.625</v>
      </c>
      <c r="I598" s="9">
        <v>40060</v>
      </c>
      <c r="J598" s="9">
        <v>17480</v>
      </c>
      <c r="K598" s="10">
        <f t="shared" si="27"/>
        <v>22580</v>
      </c>
      <c r="L598" s="10">
        <v>23403</v>
      </c>
      <c r="M598" s="11" t="s">
        <v>1041</v>
      </c>
      <c r="N598" s="12">
        <v>21.6</v>
      </c>
      <c r="O598" s="13" t="s">
        <v>855</v>
      </c>
      <c r="P598" s="14"/>
    </row>
    <row r="599" spans="1:16" x14ac:dyDescent="0.25">
      <c r="A599" s="6"/>
      <c r="B599" s="7">
        <v>44244</v>
      </c>
      <c r="C599" s="8" t="s">
        <v>164</v>
      </c>
      <c r="D599" s="8" t="s">
        <v>465</v>
      </c>
      <c r="E599" s="9" t="s">
        <v>881</v>
      </c>
      <c r="F599" s="9" t="s">
        <v>749</v>
      </c>
      <c r="G599" s="17">
        <v>0.61944444444444446</v>
      </c>
      <c r="H599" s="17">
        <v>0.64444444444444449</v>
      </c>
      <c r="I599" s="9">
        <v>16660</v>
      </c>
      <c r="J599" s="9">
        <v>41960</v>
      </c>
      <c r="K599" s="10">
        <f t="shared" si="27"/>
        <v>-25300</v>
      </c>
      <c r="L599" s="10">
        <v>15571</v>
      </c>
      <c r="M599" s="11" t="s">
        <v>166</v>
      </c>
      <c r="N599" s="12">
        <v>504</v>
      </c>
      <c r="O599" s="13" t="s">
        <v>1099</v>
      </c>
      <c r="P599" s="14"/>
    </row>
    <row r="600" spans="1:16" x14ac:dyDescent="0.25">
      <c r="A600" s="6"/>
      <c r="B600" s="7">
        <v>44244</v>
      </c>
      <c r="C600" s="8" t="s">
        <v>1298</v>
      </c>
      <c r="D600" s="8" t="s">
        <v>1411</v>
      </c>
      <c r="E600" s="9" t="s">
        <v>1412</v>
      </c>
      <c r="F600" s="9" t="s">
        <v>36</v>
      </c>
      <c r="G600" s="17">
        <v>0.62708333333333333</v>
      </c>
      <c r="H600" s="17">
        <v>0.65277777777777779</v>
      </c>
      <c r="I600" s="9">
        <v>6350</v>
      </c>
      <c r="J600" s="9">
        <v>5390</v>
      </c>
      <c r="K600" s="10">
        <f t="shared" si="27"/>
        <v>960</v>
      </c>
      <c r="L600" s="10">
        <v>34093</v>
      </c>
      <c r="M600" s="11" t="s">
        <v>940</v>
      </c>
      <c r="N600" s="12">
        <v>8269</v>
      </c>
      <c r="O600" s="13" t="s">
        <v>1099</v>
      </c>
      <c r="P600" s="14"/>
    </row>
    <row r="601" spans="1:16" x14ac:dyDescent="0.25">
      <c r="A601" s="6"/>
      <c r="B601" s="7">
        <v>44244</v>
      </c>
      <c r="C601" s="8" t="s">
        <v>606</v>
      </c>
      <c r="D601" s="8" t="s">
        <v>1130</v>
      </c>
      <c r="E601" s="9" t="s">
        <v>1131</v>
      </c>
      <c r="F601" s="9" t="s">
        <v>36</v>
      </c>
      <c r="G601" s="17">
        <v>0.63402777777777775</v>
      </c>
      <c r="H601" s="17">
        <v>0.69374999999999998</v>
      </c>
      <c r="I601" s="9">
        <v>55570</v>
      </c>
      <c r="J601" s="9">
        <v>20200</v>
      </c>
      <c r="K601" s="10">
        <f t="shared" si="27"/>
        <v>35370</v>
      </c>
      <c r="L601" s="10">
        <v>920</v>
      </c>
      <c r="M601" s="11" t="s">
        <v>306</v>
      </c>
      <c r="N601" s="12">
        <v>10000</v>
      </c>
      <c r="O601" s="13" t="s">
        <v>84</v>
      </c>
      <c r="P601" s="14"/>
    </row>
    <row r="602" spans="1:16" x14ac:dyDescent="0.25">
      <c r="A602" s="6"/>
      <c r="B602" s="7">
        <v>44244</v>
      </c>
      <c r="C602" s="8" t="s">
        <v>1413</v>
      </c>
      <c r="D602" s="8" t="s">
        <v>853</v>
      </c>
      <c r="E602" s="9" t="s">
        <v>51</v>
      </c>
      <c r="F602" s="9" t="s">
        <v>52</v>
      </c>
      <c r="G602" s="17">
        <v>0.64652777777777781</v>
      </c>
      <c r="H602" s="17">
        <v>0.65416666666666667</v>
      </c>
      <c r="I602" s="9">
        <v>38890</v>
      </c>
      <c r="J602" s="9">
        <v>15810</v>
      </c>
      <c r="K602" s="10">
        <f t="shared" si="27"/>
        <v>23080</v>
      </c>
      <c r="L602" s="10" t="s">
        <v>1414</v>
      </c>
      <c r="M602" s="11" t="s">
        <v>1041</v>
      </c>
      <c r="N602" s="12">
        <f>14.4+7.8</f>
        <v>22.2</v>
      </c>
      <c r="O602" s="13" t="s">
        <v>855</v>
      </c>
      <c r="P602" s="14"/>
    </row>
    <row r="603" spans="1:16" x14ac:dyDescent="0.25">
      <c r="A603" s="6"/>
      <c r="B603" s="7">
        <v>44244</v>
      </c>
      <c r="C603" s="8" t="s">
        <v>1386</v>
      </c>
      <c r="D603" s="8" t="s">
        <v>143</v>
      </c>
      <c r="E603" s="9" t="s">
        <v>144</v>
      </c>
      <c r="F603" s="9" t="s">
        <v>626</v>
      </c>
      <c r="G603" s="17">
        <v>0.6777777777777777</v>
      </c>
      <c r="H603" s="17">
        <v>0.71458333333333324</v>
      </c>
      <c r="I603" s="9">
        <v>38200</v>
      </c>
      <c r="J603" s="9">
        <v>15750</v>
      </c>
      <c r="K603" s="10">
        <f t="shared" si="27"/>
        <v>22450</v>
      </c>
      <c r="L603" s="10">
        <v>4933</v>
      </c>
      <c r="M603" s="11" t="s">
        <v>898</v>
      </c>
      <c r="N603" s="12">
        <v>840</v>
      </c>
      <c r="O603" s="13" t="s">
        <v>1099</v>
      </c>
      <c r="P603" s="14"/>
    </row>
    <row r="604" spans="1:16" x14ac:dyDescent="0.25">
      <c r="A604" s="6"/>
      <c r="B604" s="7">
        <v>44244</v>
      </c>
      <c r="C604" s="8" t="s">
        <v>1415</v>
      </c>
      <c r="D604" s="8" t="s">
        <v>284</v>
      </c>
      <c r="E604" s="9" t="s">
        <v>285</v>
      </c>
      <c r="F604" s="9" t="s">
        <v>286</v>
      </c>
      <c r="G604" s="17">
        <v>0.68263888888888891</v>
      </c>
      <c r="H604" s="17">
        <v>0.6958333333333333</v>
      </c>
      <c r="I604" s="9">
        <v>38860</v>
      </c>
      <c r="J604" s="9">
        <v>16330</v>
      </c>
      <c r="K604" s="10">
        <f t="shared" si="27"/>
        <v>22530</v>
      </c>
      <c r="L604" s="10" t="s">
        <v>1416</v>
      </c>
      <c r="M604" s="11" t="s">
        <v>1041</v>
      </c>
      <c r="N604" s="12">
        <f>14.4+8.4</f>
        <v>22.8</v>
      </c>
      <c r="O604" s="13" t="s">
        <v>855</v>
      </c>
      <c r="P604" s="14"/>
    </row>
    <row r="605" spans="1:16" x14ac:dyDescent="0.25">
      <c r="A605" s="6"/>
      <c r="B605" s="7">
        <v>44244</v>
      </c>
      <c r="C605" s="8" t="s">
        <v>1417</v>
      </c>
      <c r="D605" s="8" t="s">
        <v>928</v>
      </c>
      <c r="E605" s="9" t="s">
        <v>628</v>
      </c>
      <c r="F605" s="9" t="s">
        <v>859</v>
      </c>
      <c r="G605" s="17">
        <v>0.68402777777777779</v>
      </c>
      <c r="H605" s="17">
        <v>0.69166666666666676</v>
      </c>
      <c r="I605" s="9">
        <v>15180</v>
      </c>
      <c r="J605" s="9">
        <v>9630</v>
      </c>
      <c r="K605" s="10">
        <f t="shared" si="27"/>
        <v>5550</v>
      </c>
      <c r="L605" s="10">
        <v>23405</v>
      </c>
      <c r="M605" s="11" t="s">
        <v>1041</v>
      </c>
      <c r="N605" s="12">
        <v>5.4</v>
      </c>
      <c r="O605" s="13" t="s">
        <v>855</v>
      </c>
      <c r="P605" s="14"/>
    </row>
    <row r="606" spans="1:16" x14ac:dyDescent="0.25">
      <c r="A606" s="6"/>
      <c r="B606" s="7">
        <v>44244</v>
      </c>
      <c r="C606" s="8" t="s">
        <v>962</v>
      </c>
      <c r="D606" s="8" t="s">
        <v>1230</v>
      </c>
      <c r="E606" s="9" t="s">
        <v>1315</v>
      </c>
      <c r="F606" s="9" t="s">
        <v>36</v>
      </c>
      <c r="G606" s="17">
        <v>0.68888888888888899</v>
      </c>
      <c r="H606" s="17">
        <v>0.73125000000000007</v>
      </c>
      <c r="I606" s="9">
        <v>6350</v>
      </c>
      <c r="J606" s="9">
        <v>4020</v>
      </c>
      <c r="K606" s="10">
        <f t="shared" si="27"/>
        <v>2330</v>
      </c>
      <c r="L606" s="10">
        <v>26498</v>
      </c>
      <c r="M606" s="11" t="s">
        <v>1208</v>
      </c>
      <c r="N606" s="12">
        <v>2330</v>
      </c>
      <c r="O606" s="13" t="s">
        <v>32</v>
      </c>
      <c r="P606" s="14"/>
    </row>
    <row r="607" spans="1:16" x14ac:dyDescent="0.25">
      <c r="A607" s="6"/>
      <c r="B607" s="7">
        <v>44244</v>
      </c>
      <c r="C607" s="8" t="s">
        <v>1083</v>
      </c>
      <c r="D607" s="8" t="s">
        <v>1084</v>
      </c>
      <c r="E607" s="9" t="s">
        <v>1174</v>
      </c>
      <c r="F607" s="9" t="s">
        <v>503</v>
      </c>
      <c r="G607" s="17">
        <v>0.70347222222222217</v>
      </c>
      <c r="H607" s="17">
        <v>0.72083333333333333</v>
      </c>
      <c r="I607" s="9">
        <v>7220</v>
      </c>
      <c r="J607" s="9">
        <v>5230</v>
      </c>
      <c r="K607" s="10">
        <f t="shared" ref="K607" si="28">+I607-J607</f>
        <v>1990</v>
      </c>
      <c r="L607" s="10">
        <v>4373</v>
      </c>
      <c r="M607" s="11" t="s">
        <v>1418</v>
      </c>
      <c r="N607" s="12">
        <v>1990</v>
      </c>
      <c r="O607" s="13" t="s">
        <v>32</v>
      </c>
      <c r="P607" s="14"/>
    </row>
    <row r="608" spans="1:16" x14ac:dyDescent="0.25">
      <c r="A608" s="6"/>
      <c r="B608" s="7">
        <v>44244</v>
      </c>
      <c r="C608" s="8" t="s">
        <v>1083</v>
      </c>
      <c r="D608" s="8" t="s">
        <v>1084</v>
      </c>
      <c r="E608" s="9" t="s">
        <v>1420</v>
      </c>
      <c r="F608" s="9" t="s">
        <v>1125</v>
      </c>
      <c r="G608" s="17">
        <v>0.78680555555555554</v>
      </c>
      <c r="H608" s="17">
        <v>0.84444444444444444</v>
      </c>
      <c r="I608" s="9">
        <v>9330</v>
      </c>
      <c r="J608" s="9">
        <v>6480</v>
      </c>
      <c r="K608" s="10">
        <f t="shared" si="27"/>
        <v>2850</v>
      </c>
      <c r="L608" s="10">
        <v>20178</v>
      </c>
      <c r="M608" s="11" t="s">
        <v>1087</v>
      </c>
      <c r="N608" s="12">
        <v>2850</v>
      </c>
      <c r="O608" s="13" t="s">
        <v>32</v>
      </c>
      <c r="P608" s="14" t="s">
        <v>1088</v>
      </c>
    </row>
    <row r="609" spans="1:18" x14ac:dyDescent="0.25">
      <c r="A609" s="6"/>
      <c r="B609" s="7">
        <v>44244</v>
      </c>
      <c r="C609" s="8" t="s">
        <v>208</v>
      </c>
      <c r="D609" s="8" t="s">
        <v>853</v>
      </c>
      <c r="E609" s="9" t="s">
        <v>51</v>
      </c>
      <c r="F609" s="9" t="s">
        <v>52</v>
      </c>
      <c r="G609" s="17">
        <v>0.83194444444444438</v>
      </c>
      <c r="H609" s="17">
        <v>0.35486111111111113</v>
      </c>
      <c r="I609" s="9">
        <v>37090</v>
      </c>
      <c r="J609" s="9">
        <v>16960</v>
      </c>
      <c r="K609" s="10">
        <f t="shared" si="27"/>
        <v>20130</v>
      </c>
      <c r="L609" s="10">
        <v>40513</v>
      </c>
      <c r="M609" s="11" t="s">
        <v>212</v>
      </c>
      <c r="N609" s="12">
        <v>19950</v>
      </c>
      <c r="O609" s="13" t="s">
        <v>32</v>
      </c>
      <c r="P609" s="14"/>
    </row>
    <row r="610" spans="1:18" x14ac:dyDescent="0.25">
      <c r="A610" s="6"/>
      <c r="B610" s="7">
        <v>44244</v>
      </c>
      <c r="C610" s="8" t="s">
        <v>328</v>
      </c>
      <c r="D610" s="8" t="s">
        <v>530</v>
      </c>
      <c r="E610" s="9" t="s">
        <v>699</v>
      </c>
      <c r="F610" s="9" t="s">
        <v>140</v>
      </c>
      <c r="G610" s="17">
        <v>0.84027777777777779</v>
      </c>
      <c r="H610" s="17">
        <v>0.87708333333333333</v>
      </c>
      <c r="I610" s="9">
        <v>13290</v>
      </c>
      <c r="J610" s="9">
        <v>8280</v>
      </c>
      <c r="K610" s="10">
        <f t="shared" si="27"/>
        <v>5010</v>
      </c>
      <c r="L610" s="10">
        <v>1539</v>
      </c>
      <c r="M610" s="11" t="s">
        <v>48</v>
      </c>
      <c r="N610" s="12">
        <v>5010</v>
      </c>
      <c r="O610" s="13" t="s">
        <v>32</v>
      </c>
      <c r="P610" s="14"/>
    </row>
    <row r="611" spans="1:18" x14ac:dyDescent="0.25">
      <c r="A611" s="6"/>
      <c r="B611" s="7">
        <v>44244</v>
      </c>
      <c r="C611" s="8" t="s">
        <v>962</v>
      </c>
      <c r="D611" s="8" t="s">
        <v>1205</v>
      </c>
      <c r="E611" s="9" t="s">
        <v>1206</v>
      </c>
      <c r="F611" s="9" t="s">
        <v>36</v>
      </c>
      <c r="G611" s="17">
        <v>0.87916666666666676</v>
      </c>
      <c r="H611" s="17">
        <v>0.91666666666666663</v>
      </c>
      <c r="I611" s="9">
        <v>15140</v>
      </c>
      <c r="J611" s="9">
        <v>6640</v>
      </c>
      <c r="K611" s="10">
        <f t="shared" si="27"/>
        <v>8500</v>
      </c>
      <c r="L611" s="10">
        <v>26499</v>
      </c>
      <c r="M611" s="11" t="s">
        <v>1208</v>
      </c>
      <c r="N611" s="12">
        <v>8500</v>
      </c>
      <c r="O611" s="13" t="s">
        <v>32</v>
      </c>
      <c r="P611" s="14"/>
    </row>
    <row r="612" spans="1:18" x14ac:dyDescent="0.25">
      <c r="A612" s="6"/>
      <c r="B612" s="7">
        <v>44244</v>
      </c>
      <c r="C612" s="8" t="s">
        <v>962</v>
      </c>
      <c r="D612" s="8" t="s">
        <v>1230</v>
      </c>
      <c r="E612" s="9" t="s">
        <v>1315</v>
      </c>
      <c r="F612" s="9" t="s">
        <v>36</v>
      </c>
      <c r="G612" s="17">
        <v>0.9243055555555556</v>
      </c>
      <c r="H612" s="17">
        <v>0.9770833333333333</v>
      </c>
      <c r="I612" s="9">
        <v>7840</v>
      </c>
      <c r="J612" s="9">
        <v>4020</v>
      </c>
      <c r="K612" s="10">
        <f t="shared" si="27"/>
        <v>3820</v>
      </c>
      <c r="L612" s="10">
        <v>26500</v>
      </c>
      <c r="M612" s="11" t="s">
        <v>966</v>
      </c>
      <c r="N612" s="12">
        <v>3820</v>
      </c>
      <c r="O612" s="13" t="s">
        <v>32</v>
      </c>
      <c r="P612" s="14"/>
    </row>
    <row r="613" spans="1:18" x14ac:dyDescent="0.25">
      <c r="A613" s="6"/>
      <c r="B613" s="7">
        <v>44244</v>
      </c>
      <c r="C613" s="8" t="s">
        <v>37</v>
      </c>
      <c r="D613" s="8" t="s">
        <v>122</v>
      </c>
      <c r="E613" s="9" t="s">
        <v>967</v>
      </c>
      <c r="F613" s="9" t="s">
        <v>36</v>
      </c>
      <c r="G613" s="17">
        <v>0.9472222222222223</v>
      </c>
      <c r="H613" s="17">
        <v>0.97013888888888899</v>
      </c>
      <c r="I613" s="9">
        <v>16055</v>
      </c>
      <c r="J613" s="9">
        <v>6400</v>
      </c>
      <c r="K613" s="10">
        <f t="shared" si="27"/>
        <v>9655</v>
      </c>
      <c r="L613" s="10">
        <v>26501</v>
      </c>
      <c r="M613" s="11" t="s">
        <v>1379</v>
      </c>
      <c r="N613" s="12">
        <v>9655</v>
      </c>
      <c r="O613" s="13" t="s">
        <v>32</v>
      </c>
      <c r="P613" s="14"/>
    </row>
    <row r="614" spans="1:18" x14ac:dyDescent="0.25">
      <c r="A614" s="6"/>
      <c r="B614" s="7">
        <v>44245</v>
      </c>
      <c r="C614" s="8" t="s">
        <v>366</v>
      </c>
      <c r="D614" s="8" t="s">
        <v>1424</v>
      </c>
      <c r="E614" s="9" t="s">
        <v>1421</v>
      </c>
      <c r="F614" s="9" t="s">
        <v>36</v>
      </c>
      <c r="G614" s="17">
        <v>2.7777777777777776E-2</v>
      </c>
      <c r="H614" s="17">
        <v>0.125</v>
      </c>
      <c r="I614" s="9">
        <v>19760</v>
      </c>
      <c r="J614" s="9">
        <v>8550</v>
      </c>
      <c r="K614" s="10">
        <f t="shared" si="27"/>
        <v>11210</v>
      </c>
      <c r="L614" s="10" t="s">
        <v>1422</v>
      </c>
      <c r="M614" s="11" t="s">
        <v>1423</v>
      </c>
      <c r="N614" s="12">
        <v>11544</v>
      </c>
      <c r="O614" s="13" t="s">
        <v>32</v>
      </c>
      <c r="P614" s="14"/>
    </row>
    <row r="615" spans="1:18" x14ac:dyDescent="0.25">
      <c r="A615" s="6"/>
      <c r="B615" s="7">
        <v>44245</v>
      </c>
      <c r="C615" s="8" t="s">
        <v>871</v>
      </c>
      <c r="D615" s="8" t="s">
        <v>86</v>
      </c>
      <c r="E615" s="9" t="s">
        <v>87</v>
      </c>
      <c r="F615" s="9" t="s">
        <v>88</v>
      </c>
      <c r="G615" s="17">
        <v>0.12708333333333333</v>
      </c>
      <c r="H615" s="17">
        <v>0.13402777777777777</v>
      </c>
      <c r="I615" s="9">
        <v>27310</v>
      </c>
      <c r="J615" s="9">
        <v>17040</v>
      </c>
      <c r="K615" s="10">
        <f t="shared" si="27"/>
        <v>10270</v>
      </c>
      <c r="L615" s="10">
        <v>759</v>
      </c>
      <c r="M615" s="11" t="s">
        <v>1401</v>
      </c>
      <c r="N615" s="12">
        <v>108551</v>
      </c>
      <c r="O615" s="13" t="s">
        <v>32</v>
      </c>
      <c r="P615" s="14"/>
      <c r="R615" s="1">
        <v>30950</v>
      </c>
    </row>
    <row r="616" spans="1:18" x14ac:dyDescent="0.25">
      <c r="A616" s="6"/>
      <c r="B616" s="15">
        <v>44245</v>
      </c>
      <c r="C616" s="8" t="s">
        <v>971</v>
      </c>
      <c r="D616" s="8" t="s">
        <v>174</v>
      </c>
      <c r="E616" s="9" t="s">
        <v>110</v>
      </c>
      <c r="F616" s="9" t="s">
        <v>111</v>
      </c>
      <c r="G616" s="17">
        <v>0.34583333333333338</v>
      </c>
      <c r="H616" s="17">
        <v>0.46249999999999997</v>
      </c>
      <c r="I616" s="9">
        <v>13760</v>
      </c>
      <c r="J616" s="9">
        <v>6470</v>
      </c>
      <c r="K616" s="10">
        <f t="shared" si="27"/>
        <v>7290</v>
      </c>
      <c r="L616" s="10">
        <v>101</v>
      </c>
      <c r="M616" s="11" t="s">
        <v>48</v>
      </c>
      <c r="N616" s="12">
        <v>16451</v>
      </c>
      <c r="O616" s="13" t="s">
        <v>49</v>
      </c>
      <c r="P616" s="14"/>
      <c r="R616" s="1">
        <f>+R615-30090</f>
        <v>860</v>
      </c>
    </row>
    <row r="617" spans="1:18" x14ac:dyDescent="0.25">
      <c r="A617" s="6"/>
      <c r="B617" s="7">
        <v>44245</v>
      </c>
      <c r="C617" s="8" t="s">
        <v>98</v>
      </c>
      <c r="D617" s="8" t="s">
        <v>917</v>
      </c>
      <c r="E617" s="9" t="s">
        <v>918</v>
      </c>
      <c r="F617" s="9" t="s">
        <v>36</v>
      </c>
      <c r="G617" s="17">
        <v>0.34930555555555554</v>
      </c>
      <c r="H617" s="17">
        <v>0.4548611111111111</v>
      </c>
      <c r="I617" s="9">
        <v>16620</v>
      </c>
      <c r="J617" s="9">
        <v>47570</v>
      </c>
      <c r="K617" s="10">
        <f t="shared" si="27"/>
        <v>-30950</v>
      </c>
      <c r="L617" s="10">
        <v>5788</v>
      </c>
      <c r="M617" s="11" t="s">
        <v>53</v>
      </c>
      <c r="N617" s="12">
        <v>600</v>
      </c>
      <c r="O617" s="13" t="s">
        <v>1099</v>
      </c>
      <c r="P617" s="14" t="s">
        <v>1381</v>
      </c>
      <c r="R617" s="1">
        <v>30950</v>
      </c>
    </row>
    <row r="618" spans="1:18" x14ac:dyDescent="0.25">
      <c r="A618" s="6"/>
      <c r="B618" s="7">
        <v>44245</v>
      </c>
      <c r="C618" s="8" t="s">
        <v>164</v>
      </c>
      <c r="D618" s="8" t="s">
        <v>465</v>
      </c>
      <c r="E618" s="9" t="s">
        <v>881</v>
      </c>
      <c r="F618" s="9" t="s">
        <v>749</v>
      </c>
      <c r="G618" s="17">
        <v>0.37847222222222227</v>
      </c>
      <c r="H618" s="17">
        <v>0.37847222222222227</v>
      </c>
      <c r="I618" s="9">
        <v>49280</v>
      </c>
      <c r="J618" s="9">
        <v>16630</v>
      </c>
      <c r="K618" s="10">
        <f t="shared" si="27"/>
        <v>32650</v>
      </c>
      <c r="L618" s="10">
        <v>15605</v>
      </c>
      <c r="M618" s="11" t="s">
        <v>398</v>
      </c>
      <c r="N618" s="12">
        <v>645</v>
      </c>
      <c r="O618" s="13" t="s">
        <v>1099</v>
      </c>
      <c r="P618" s="14"/>
      <c r="R618" s="1">
        <f>+R617-30080</f>
        <v>870</v>
      </c>
    </row>
    <row r="619" spans="1:18" x14ac:dyDescent="0.25">
      <c r="A619" s="6"/>
      <c r="B619" s="7">
        <v>44245</v>
      </c>
      <c r="C619" s="8" t="s">
        <v>164</v>
      </c>
      <c r="D619" s="8" t="s">
        <v>143</v>
      </c>
      <c r="E619" s="9" t="s">
        <v>144</v>
      </c>
      <c r="F619" s="9" t="s">
        <v>626</v>
      </c>
      <c r="G619" s="17">
        <v>0.39861111111111108</v>
      </c>
      <c r="H619" s="17">
        <v>0.44305555555555554</v>
      </c>
      <c r="I619" s="9">
        <v>16970</v>
      </c>
      <c r="J619" s="9">
        <v>42920</v>
      </c>
      <c r="K619" s="10">
        <f t="shared" si="27"/>
        <v>-25950</v>
      </c>
      <c r="L619" s="10">
        <v>15572</v>
      </c>
      <c r="M619" s="11" t="s">
        <v>166</v>
      </c>
      <c r="N619" s="12">
        <v>514</v>
      </c>
      <c r="O619" s="13" t="s">
        <v>1099</v>
      </c>
      <c r="P619" s="14"/>
    </row>
    <row r="620" spans="1:18" x14ac:dyDescent="0.25">
      <c r="A620" s="6"/>
      <c r="B620" s="7">
        <v>44245</v>
      </c>
      <c r="C620" s="8" t="s">
        <v>164</v>
      </c>
      <c r="D620" s="8" t="s">
        <v>465</v>
      </c>
      <c r="E620" s="9" t="s">
        <v>881</v>
      </c>
      <c r="F620" s="9" t="s">
        <v>749</v>
      </c>
      <c r="G620" s="17">
        <v>0.41388888888888892</v>
      </c>
      <c r="H620" s="17">
        <v>0.47152777777777777</v>
      </c>
      <c r="I620" s="9">
        <v>17470</v>
      </c>
      <c r="J620" s="9">
        <v>41910</v>
      </c>
      <c r="K620" s="10">
        <f t="shared" si="27"/>
        <v>-24440</v>
      </c>
      <c r="L620" s="10">
        <v>15573</v>
      </c>
      <c r="M620" s="11" t="s">
        <v>166</v>
      </c>
      <c r="N620" s="12">
        <v>504</v>
      </c>
      <c r="O620" s="13" t="s">
        <v>1099</v>
      </c>
      <c r="P620" s="14"/>
    </row>
    <row r="621" spans="1:18" x14ac:dyDescent="0.25">
      <c r="A621" s="6"/>
      <c r="B621" s="7">
        <v>44245</v>
      </c>
      <c r="C621" s="8" t="s">
        <v>1067</v>
      </c>
      <c r="D621" s="8" t="s">
        <v>928</v>
      </c>
      <c r="E621" s="9" t="s">
        <v>628</v>
      </c>
      <c r="F621" s="9" t="s">
        <v>859</v>
      </c>
      <c r="G621" s="17">
        <v>0.44722222222222219</v>
      </c>
      <c r="H621" s="17">
        <v>0.45902777777777781</v>
      </c>
      <c r="I621" s="9">
        <v>22230</v>
      </c>
      <c r="J621" s="9">
        <v>9700</v>
      </c>
      <c r="K621" s="10">
        <f t="shared" si="27"/>
        <v>12530</v>
      </c>
      <c r="L621" s="10">
        <v>23406</v>
      </c>
      <c r="M621" s="11" t="s">
        <v>1041</v>
      </c>
      <c r="N621" s="12">
        <v>12</v>
      </c>
      <c r="O621" s="13" t="s">
        <v>855</v>
      </c>
      <c r="P621" s="14"/>
    </row>
    <row r="622" spans="1:18" x14ac:dyDescent="0.25">
      <c r="A622" s="6"/>
      <c r="B622" s="7">
        <v>44245</v>
      </c>
      <c r="C622" s="8" t="s">
        <v>1426</v>
      </c>
      <c r="D622" s="8" t="s">
        <v>299</v>
      </c>
      <c r="E622" s="9" t="s">
        <v>813</v>
      </c>
      <c r="F622" s="9" t="s">
        <v>814</v>
      </c>
      <c r="G622" s="17">
        <v>0.47361111111111115</v>
      </c>
      <c r="H622" s="17">
        <v>0.48194444444444445</v>
      </c>
      <c r="I622" s="9">
        <v>38920</v>
      </c>
      <c r="J622" s="9">
        <v>17500</v>
      </c>
      <c r="K622" s="10">
        <f t="shared" si="27"/>
        <v>21420</v>
      </c>
      <c r="L622" s="10" t="s">
        <v>1425</v>
      </c>
      <c r="M622" s="11" t="s">
        <v>1041</v>
      </c>
      <c r="N622" s="12">
        <f>10.8+9.6</f>
        <v>20.399999999999999</v>
      </c>
      <c r="O622" s="13" t="s">
        <v>855</v>
      </c>
      <c r="P622" s="14"/>
    </row>
    <row r="623" spans="1:18" x14ac:dyDescent="0.25">
      <c r="A623" s="6"/>
      <c r="B623" s="7">
        <v>44245</v>
      </c>
      <c r="C623" s="8" t="s">
        <v>984</v>
      </c>
      <c r="D623" s="8" t="s">
        <v>284</v>
      </c>
      <c r="E623" s="9" t="s">
        <v>285</v>
      </c>
      <c r="F623" s="9" t="s">
        <v>286</v>
      </c>
      <c r="G623" s="17">
        <v>0.4861111111111111</v>
      </c>
      <c r="H623" s="17">
        <v>0.49444444444444446</v>
      </c>
      <c r="I623" s="9">
        <v>37710</v>
      </c>
      <c r="J623" s="9">
        <v>16320</v>
      </c>
      <c r="K623" s="10">
        <f t="shared" si="27"/>
        <v>21390</v>
      </c>
      <c r="L623" s="10">
        <v>23408</v>
      </c>
      <c r="M623" s="11" t="s">
        <v>1041</v>
      </c>
      <c r="N623" s="12">
        <v>21.6</v>
      </c>
      <c r="O623" s="13" t="s">
        <v>855</v>
      </c>
      <c r="P623" s="14"/>
    </row>
    <row r="624" spans="1:18" x14ac:dyDescent="0.25">
      <c r="A624" s="6"/>
      <c r="B624" s="7">
        <v>44245</v>
      </c>
      <c r="C624" s="8" t="s">
        <v>984</v>
      </c>
      <c r="D624" s="8" t="s">
        <v>899</v>
      </c>
      <c r="E624" s="9" t="s">
        <v>490</v>
      </c>
      <c r="F624" s="9" t="s">
        <v>491</v>
      </c>
      <c r="G624" s="17">
        <v>0.49583333333333335</v>
      </c>
      <c r="H624" s="17">
        <v>0.50763888888888886</v>
      </c>
      <c r="I624" s="9">
        <v>37390</v>
      </c>
      <c r="J624" s="9">
        <v>15910</v>
      </c>
      <c r="K624" s="10">
        <f t="shared" si="27"/>
        <v>21480</v>
      </c>
      <c r="L624" s="10">
        <v>23408</v>
      </c>
      <c r="M624" s="11" t="s">
        <v>1041</v>
      </c>
      <c r="N624" s="12">
        <v>21.6</v>
      </c>
      <c r="O624" s="13" t="s">
        <v>855</v>
      </c>
      <c r="P624" s="14"/>
    </row>
    <row r="625" spans="1:17" x14ac:dyDescent="0.25">
      <c r="A625" s="6"/>
      <c r="B625" s="7">
        <v>44245</v>
      </c>
      <c r="C625" s="8" t="s">
        <v>984</v>
      </c>
      <c r="D625" s="8" t="s">
        <v>243</v>
      </c>
      <c r="E625" s="9" t="s">
        <v>440</v>
      </c>
      <c r="F625" s="9" t="s">
        <v>1276</v>
      </c>
      <c r="G625" s="17">
        <v>0.50138888888888888</v>
      </c>
      <c r="H625" s="17">
        <v>0.52361111111111114</v>
      </c>
      <c r="I625" s="9">
        <v>36820</v>
      </c>
      <c r="J625" s="9">
        <v>15280</v>
      </c>
      <c r="K625" s="10">
        <f t="shared" si="27"/>
        <v>21540</v>
      </c>
      <c r="L625" s="10">
        <v>23408</v>
      </c>
      <c r="M625" s="11" t="s">
        <v>1041</v>
      </c>
      <c r="N625" s="12">
        <v>21.6</v>
      </c>
      <c r="O625" s="13" t="s">
        <v>855</v>
      </c>
      <c r="P625" s="14"/>
    </row>
    <row r="626" spans="1:17" x14ac:dyDescent="0.25">
      <c r="A626" s="6"/>
      <c r="B626" s="7">
        <v>44245</v>
      </c>
      <c r="C626" s="8" t="s">
        <v>984</v>
      </c>
      <c r="D626" s="8" t="s">
        <v>198</v>
      </c>
      <c r="E626" s="9" t="s">
        <v>405</v>
      </c>
      <c r="F626" s="9" t="s">
        <v>161</v>
      </c>
      <c r="G626" s="17">
        <v>0.50555555555555554</v>
      </c>
      <c r="H626" s="17">
        <v>0.51944444444444449</v>
      </c>
      <c r="I626" s="9">
        <v>38370</v>
      </c>
      <c r="J626" s="9">
        <v>16660</v>
      </c>
      <c r="K626" s="10">
        <f t="shared" si="27"/>
        <v>21710</v>
      </c>
      <c r="L626" s="10">
        <v>23408</v>
      </c>
      <c r="M626" s="11" t="s">
        <v>1041</v>
      </c>
      <c r="N626" s="12">
        <v>21.6</v>
      </c>
      <c r="O626" s="13" t="s">
        <v>855</v>
      </c>
      <c r="P626" s="14"/>
    </row>
    <row r="627" spans="1:17" x14ac:dyDescent="0.25">
      <c r="A627" s="6"/>
      <c r="B627" s="7">
        <v>44245</v>
      </c>
      <c r="C627" s="8" t="s">
        <v>984</v>
      </c>
      <c r="D627" s="8" t="s">
        <v>853</v>
      </c>
      <c r="E627" s="9" t="s">
        <v>51</v>
      </c>
      <c r="F627" s="9" t="s">
        <v>52</v>
      </c>
      <c r="G627" s="17">
        <v>0.51597222222222217</v>
      </c>
      <c r="H627" s="17">
        <v>0.52152777777777781</v>
      </c>
      <c r="I627" s="9">
        <v>40130</v>
      </c>
      <c r="J627" s="9">
        <v>16070</v>
      </c>
      <c r="K627" s="10">
        <f t="shared" si="27"/>
        <v>24060</v>
      </c>
      <c r="L627" s="10">
        <v>23408</v>
      </c>
      <c r="M627" s="11" t="s">
        <v>1041</v>
      </c>
      <c r="N627" s="12">
        <v>21.6</v>
      </c>
      <c r="O627" s="13" t="s">
        <v>855</v>
      </c>
      <c r="P627" s="14"/>
    </row>
    <row r="628" spans="1:17" x14ac:dyDescent="0.25">
      <c r="A628" s="6"/>
      <c r="B628" s="7">
        <v>44245</v>
      </c>
      <c r="C628" s="8" t="s">
        <v>984</v>
      </c>
      <c r="D628" s="8" t="s">
        <v>1355</v>
      </c>
      <c r="E628" s="9" t="s">
        <v>1048</v>
      </c>
      <c r="F628" s="9" t="s">
        <v>526</v>
      </c>
      <c r="G628" s="17">
        <v>0.53194444444444444</v>
      </c>
      <c r="H628" s="17">
        <v>0.5444444444444444</v>
      </c>
      <c r="I628" s="9">
        <v>36980</v>
      </c>
      <c r="J628" s="9">
        <v>16410</v>
      </c>
      <c r="K628" s="10">
        <f t="shared" si="27"/>
        <v>20570</v>
      </c>
      <c r="L628" s="10">
        <v>23408</v>
      </c>
      <c r="M628" s="11" t="s">
        <v>1041</v>
      </c>
      <c r="N628" s="12">
        <v>21.6</v>
      </c>
      <c r="O628" s="13" t="s">
        <v>855</v>
      </c>
      <c r="P628" s="14"/>
    </row>
    <row r="629" spans="1:17" x14ac:dyDescent="0.25">
      <c r="A629" s="6"/>
      <c r="B629" s="7">
        <v>44245</v>
      </c>
      <c r="C629" s="8" t="s">
        <v>164</v>
      </c>
      <c r="D629" s="8" t="s">
        <v>465</v>
      </c>
      <c r="E629" s="9" t="s">
        <v>881</v>
      </c>
      <c r="F629" s="9" t="s">
        <v>749</v>
      </c>
      <c r="G629" s="17">
        <v>0.53402777777777777</v>
      </c>
      <c r="H629" s="17">
        <v>0.59236111111111112</v>
      </c>
      <c r="I629" s="9">
        <v>16700</v>
      </c>
      <c r="J629" s="9">
        <v>41500</v>
      </c>
      <c r="K629" s="10">
        <f t="shared" si="27"/>
        <v>-24800</v>
      </c>
      <c r="L629" s="10">
        <v>15574</v>
      </c>
      <c r="M629" s="11" t="s">
        <v>166</v>
      </c>
      <c r="N629" s="12">
        <v>495</v>
      </c>
      <c r="O629" s="13" t="s">
        <v>1099</v>
      </c>
      <c r="P629" s="14"/>
    </row>
    <row r="630" spans="1:17" x14ac:dyDescent="0.25">
      <c r="A630" s="6"/>
      <c r="B630" s="7">
        <v>44245</v>
      </c>
      <c r="C630" s="8" t="s">
        <v>606</v>
      </c>
      <c r="D630" s="8" t="s">
        <v>1427</v>
      </c>
      <c r="E630" s="9" t="s">
        <v>636</v>
      </c>
      <c r="F630" s="9" t="s">
        <v>36</v>
      </c>
      <c r="G630" s="17">
        <v>0.53611111111111109</v>
      </c>
      <c r="H630" s="17">
        <v>0.60763888888888895</v>
      </c>
      <c r="I630" s="9">
        <v>54670</v>
      </c>
      <c r="J630" s="9">
        <v>19360</v>
      </c>
      <c r="K630" s="10">
        <f t="shared" si="27"/>
        <v>35310</v>
      </c>
      <c r="L630" s="10">
        <v>924</v>
      </c>
      <c r="M630" s="11" t="s">
        <v>306</v>
      </c>
      <c r="N630" s="12">
        <v>10000</v>
      </c>
      <c r="O630" s="13" t="s">
        <v>84</v>
      </c>
      <c r="P630" s="14"/>
    </row>
    <row r="631" spans="1:17" x14ac:dyDescent="0.25">
      <c r="A631" s="6"/>
      <c r="B631" s="7">
        <v>44245</v>
      </c>
      <c r="C631" s="8" t="s">
        <v>984</v>
      </c>
      <c r="D631" s="8" t="s">
        <v>928</v>
      </c>
      <c r="E631" s="9" t="s">
        <v>628</v>
      </c>
      <c r="F631" s="9" t="s">
        <v>859</v>
      </c>
      <c r="G631" s="17">
        <v>0.53749999999999998</v>
      </c>
      <c r="H631" s="17">
        <v>0.54791666666666672</v>
      </c>
      <c r="I631" s="9">
        <v>21360</v>
      </c>
      <c r="J631" s="9">
        <v>9690</v>
      </c>
      <c r="K631" s="10">
        <f t="shared" si="27"/>
        <v>11670</v>
      </c>
      <c r="L631" s="10">
        <v>23408</v>
      </c>
      <c r="M631" s="11" t="s">
        <v>1041</v>
      </c>
      <c r="N631" s="12">
        <v>12</v>
      </c>
      <c r="O631" s="13" t="s">
        <v>855</v>
      </c>
      <c r="P631" s="14"/>
    </row>
    <row r="632" spans="1:17" x14ac:dyDescent="0.25">
      <c r="A632" s="6"/>
      <c r="B632" s="7">
        <v>44245</v>
      </c>
      <c r="C632" s="8" t="s">
        <v>164</v>
      </c>
      <c r="D632" s="8" t="s">
        <v>143</v>
      </c>
      <c r="E632" s="9" t="s">
        <v>144</v>
      </c>
      <c r="F632" s="9" t="s">
        <v>626</v>
      </c>
      <c r="G632" s="17">
        <v>0.56458333333333333</v>
      </c>
      <c r="H632" s="17">
        <v>0.61458333333333337</v>
      </c>
      <c r="I632" s="9">
        <v>17190</v>
      </c>
      <c r="J632" s="9">
        <v>42430</v>
      </c>
      <c r="K632" s="10">
        <f t="shared" si="27"/>
        <v>-25240</v>
      </c>
      <c r="L632" s="10">
        <v>15575</v>
      </c>
      <c r="M632" s="11" t="s">
        <v>166</v>
      </c>
      <c r="N632" s="12">
        <v>504</v>
      </c>
      <c r="O632" s="13" t="s">
        <v>1099</v>
      </c>
      <c r="P632" s="14"/>
    </row>
    <row r="633" spans="1:17" x14ac:dyDescent="0.25">
      <c r="A633" s="6"/>
      <c r="B633" s="7">
        <v>44245</v>
      </c>
      <c r="C633" s="8" t="s">
        <v>1428</v>
      </c>
      <c r="D633" s="8" t="s">
        <v>299</v>
      </c>
      <c r="E633" s="9" t="s">
        <v>813</v>
      </c>
      <c r="F633" s="9" t="s">
        <v>814</v>
      </c>
      <c r="G633" s="17">
        <v>0.5708333333333333</v>
      </c>
      <c r="H633" s="17">
        <v>0.57638888888888895</v>
      </c>
      <c r="I633" s="9">
        <v>39380</v>
      </c>
      <c r="J633" s="9">
        <v>17490</v>
      </c>
      <c r="K633" s="10">
        <f t="shared" si="27"/>
        <v>21890</v>
      </c>
      <c r="L633" s="10" t="s">
        <v>1429</v>
      </c>
      <c r="M633" s="11" t="s">
        <v>1041</v>
      </c>
      <c r="N633" s="12">
        <f>6.6+14.4</f>
        <v>21</v>
      </c>
      <c r="O633" s="13" t="s">
        <v>855</v>
      </c>
      <c r="P633" s="14"/>
    </row>
    <row r="634" spans="1:17" x14ac:dyDescent="0.25">
      <c r="A634" s="6"/>
      <c r="B634" s="7">
        <v>44245</v>
      </c>
      <c r="C634" s="8" t="s">
        <v>1065</v>
      </c>
      <c r="D634" s="8" t="s">
        <v>284</v>
      </c>
      <c r="E634" s="9" t="s">
        <v>285</v>
      </c>
      <c r="F634" s="9" t="s">
        <v>286</v>
      </c>
      <c r="G634" s="17">
        <v>0.57916666666666672</v>
      </c>
      <c r="H634" s="17">
        <v>0.5854166666666667</v>
      </c>
      <c r="I634" s="9">
        <v>40860</v>
      </c>
      <c r="J634" s="9">
        <v>16300</v>
      </c>
      <c r="K634" s="10">
        <f t="shared" si="27"/>
        <v>24560</v>
      </c>
      <c r="L634" s="10">
        <v>23409</v>
      </c>
      <c r="M634" s="11" t="s">
        <v>1041</v>
      </c>
      <c r="N634" s="12">
        <v>21.6</v>
      </c>
      <c r="O634" s="13" t="s">
        <v>855</v>
      </c>
      <c r="P634" s="14"/>
    </row>
    <row r="635" spans="1:17" x14ac:dyDescent="0.25">
      <c r="A635" s="6"/>
      <c r="B635" s="7">
        <v>44245</v>
      </c>
      <c r="C635" s="8" t="s">
        <v>1065</v>
      </c>
      <c r="D635" s="8" t="s">
        <v>899</v>
      </c>
      <c r="E635" s="9" t="s">
        <v>490</v>
      </c>
      <c r="F635" s="9" t="s">
        <v>491</v>
      </c>
      <c r="G635" s="17">
        <v>0.58402777777777781</v>
      </c>
      <c r="H635" s="17">
        <v>0.60347222222222219</v>
      </c>
      <c r="I635" s="9">
        <v>39580</v>
      </c>
      <c r="J635" s="9">
        <v>15900</v>
      </c>
      <c r="K635" s="10">
        <f t="shared" si="27"/>
        <v>23680</v>
      </c>
      <c r="L635" s="10">
        <v>23409</v>
      </c>
      <c r="M635" s="11" t="s">
        <v>1041</v>
      </c>
      <c r="N635" s="12">
        <v>21.6</v>
      </c>
      <c r="O635" s="13" t="s">
        <v>855</v>
      </c>
      <c r="P635" s="14"/>
    </row>
    <row r="636" spans="1:17" x14ac:dyDescent="0.25">
      <c r="A636" s="6"/>
      <c r="B636" s="7">
        <v>44245</v>
      </c>
      <c r="C636" s="8" t="s">
        <v>1065</v>
      </c>
      <c r="D636" s="8" t="s">
        <v>198</v>
      </c>
      <c r="E636" s="9" t="s">
        <v>405</v>
      </c>
      <c r="F636" s="9" t="s">
        <v>161</v>
      </c>
      <c r="G636" s="17">
        <v>0.59166666666666667</v>
      </c>
      <c r="H636" s="17">
        <v>0.59861111111111109</v>
      </c>
      <c r="I636" s="9">
        <v>40170</v>
      </c>
      <c r="J636" s="9">
        <v>16660</v>
      </c>
      <c r="K636" s="10">
        <f t="shared" si="27"/>
        <v>23510</v>
      </c>
      <c r="L636" s="10">
        <v>23409</v>
      </c>
      <c r="M636" s="11" t="s">
        <v>1041</v>
      </c>
      <c r="N636" s="12">
        <v>21.6</v>
      </c>
      <c r="O636" s="13" t="s">
        <v>855</v>
      </c>
      <c r="P636" s="14"/>
    </row>
    <row r="637" spans="1:17" x14ac:dyDescent="0.25">
      <c r="A637" s="6"/>
      <c r="B637" s="7">
        <v>44245</v>
      </c>
      <c r="C637" s="68" t="s">
        <v>1259</v>
      </c>
      <c r="D637" s="8" t="s">
        <v>464</v>
      </c>
      <c r="E637" s="9" t="s">
        <v>277</v>
      </c>
      <c r="F637" s="9" t="s">
        <v>128</v>
      </c>
      <c r="G637" s="17">
        <v>0.59583333333333333</v>
      </c>
      <c r="H637" s="17">
        <v>0.61944444444444446</v>
      </c>
      <c r="I637" s="9">
        <v>6380</v>
      </c>
      <c r="J637" s="9">
        <v>5590</v>
      </c>
      <c r="K637" s="10">
        <f t="shared" ref="K637" si="29">+I637-J637</f>
        <v>790</v>
      </c>
      <c r="L637" s="10" t="s">
        <v>1422</v>
      </c>
      <c r="M637" s="72" t="s">
        <v>1430</v>
      </c>
      <c r="N637" s="12">
        <v>790</v>
      </c>
      <c r="O637" s="13" t="s">
        <v>32</v>
      </c>
      <c r="P637" s="14"/>
    </row>
    <row r="638" spans="1:17" x14ac:dyDescent="0.25">
      <c r="A638" s="6"/>
      <c r="B638" s="7">
        <v>44245</v>
      </c>
      <c r="C638" s="8" t="s">
        <v>1065</v>
      </c>
      <c r="D638" s="8" t="s">
        <v>853</v>
      </c>
      <c r="E638" s="9" t="s">
        <v>51</v>
      </c>
      <c r="F638" s="9" t="s">
        <v>52</v>
      </c>
      <c r="G638" s="17">
        <v>0.60138888888888886</v>
      </c>
      <c r="H638" s="17">
        <v>0.6118055555555556</v>
      </c>
      <c r="I638" s="9">
        <v>40010</v>
      </c>
      <c r="J638" s="9">
        <v>15980</v>
      </c>
      <c r="K638" s="10">
        <f t="shared" si="27"/>
        <v>24030</v>
      </c>
      <c r="L638" s="10">
        <v>23409</v>
      </c>
      <c r="M638" s="11" t="s">
        <v>1041</v>
      </c>
      <c r="N638" s="12">
        <v>21.6</v>
      </c>
      <c r="O638" s="13" t="s">
        <v>855</v>
      </c>
      <c r="P638" s="14"/>
    </row>
    <row r="639" spans="1:17" x14ac:dyDescent="0.25">
      <c r="A639" s="6"/>
      <c r="B639" s="7">
        <v>44245</v>
      </c>
      <c r="C639" s="8" t="s">
        <v>1065</v>
      </c>
      <c r="D639" s="8" t="s">
        <v>1355</v>
      </c>
      <c r="E639" s="9" t="s">
        <v>1048</v>
      </c>
      <c r="F639" s="9" t="s">
        <v>526</v>
      </c>
      <c r="G639" s="17">
        <v>0.6166666666666667</v>
      </c>
      <c r="H639" s="17">
        <v>0.62638888888888888</v>
      </c>
      <c r="I639" s="9">
        <v>40490</v>
      </c>
      <c r="J639" s="9">
        <v>16380</v>
      </c>
      <c r="K639" s="10">
        <f t="shared" si="27"/>
        <v>24110</v>
      </c>
      <c r="L639" s="10">
        <v>23409</v>
      </c>
      <c r="M639" s="11" t="s">
        <v>1041</v>
      </c>
      <c r="N639" s="12">
        <v>21.6</v>
      </c>
      <c r="O639" s="13" t="s">
        <v>855</v>
      </c>
      <c r="P639" s="14"/>
      <c r="Q639" s="2"/>
    </row>
    <row r="640" spans="1:17" x14ac:dyDescent="0.25">
      <c r="A640" s="6"/>
      <c r="B640" s="7">
        <v>44245</v>
      </c>
      <c r="C640" s="8" t="s">
        <v>606</v>
      </c>
      <c r="D640" s="8" t="s">
        <v>746</v>
      </c>
      <c r="E640" s="9" t="s">
        <v>747</v>
      </c>
      <c r="F640" s="9" t="s">
        <v>36</v>
      </c>
      <c r="G640" s="17">
        <v>0.61736111111111114</v>
      </c>
      <c r="H640" s="17">
        <v>0.67638888888888893</v>
      </c>
      <c r="I640" s="9">
        <v>52840</v>
      </c>
      <c r="J640" s="9">
        <v>17500</v>
      </c>
      <c r="K640" s="10">
        <f t="shared" si="27"/>
        <v>35340</v>
      </c>
      <c r="L640" s="10">
        <v>925</v>
      </c>
      <c r="M640" s="11" t="s">
        <v>306</v>
      </c>
      <c r="N640" s="12">
        <v>10000</v>
      </c>
      <c r="O640" s="13" t="s">
        <v>84</v>
      </c>
      <c r="P640" s="14"/>
    </row>
    <row r="641" spans="1:16" x14ac:dyDescent="0.25">
      <c r="A641" s="6"/>
      <c r="B641" s="7">
        <v>44245</v>
      </c>
      <c r="C641" s="8" t="s">
        <v>1065</v>
      </c>
      <c r="D641" s="8" t="s">
        <v>928</v>
      </c>
      <c r="E641" s="9" t="s">
        <v>628</v>
      </c>
      <c r="F641" s="9" t="s">
        <v>859</v>
      </c>
      <c r="G641" s="17">
        <v>0.62986111111111109</v>
      </c>
      <c r="H641" s="17">
        <v>0.6381944444444444</v>
      </c>
      <c r="I641" s="9">
        <v>23140</v>
      </c>
      <c r="J641" s="9">
        <v>9690</v>
      </c>
      <c r="K641" s="10">
        <f t="shared" si="27"/>
        <v>13450</v>
      </c>
      <c r="L641" s="10">
        <v>23409</v>
      </c>
      <c r="M641" s="11" t="s">
        <v>1041</v>
      </c>
      <c r="N641" s="12">
        <v>12</v>
      </c>
      <c r="O641" s="13" t="s">
        <v>855</v>
      </c>
      <c r="P641" s="14"/>
    </row>
    <row r="642" spans="1:16" x14ac:dyDescent="0.25">
      <c r="A642" s="6"/>
      <c r="B642" s="7">
        <v>44245</v>
      </c>
      <c r="C642" s="8" t="s">
        <v>1065</v>
      </c>
      <c r="D642" s="8" t="s">
        <v>299</v>
      </c>
      <c r="E642" s="9" t="s">
        <v>813</v>
      </c>
      <c r="F642" s="9" t="s">
        <v>814</v>
      </c>
      <c r="G642" s="17">
        <v>0.64236111111111105</v>
      </c>
      <c r="H642" s="17">
        <v>0.66597222222222219</v>
      </c>
      <c r="I642" s="9">
        <v>40780</v>
      </c>
      <c r="J642" s="9">
        <v>17460</v>
      </c>
      <c r="K642" s="10">
        <f t="shared" si="27"/>
        <v>23320</v>
      </c>
      <c r="L642" s="10">
        <v>23409</v>
      </c>
      <c r="M642" s="11" t="s">
        <v>1041</v>
      </c>
      <c r="N642" s="12">
        <v>21.6</v>
      </c>
      <c r="O642" s="13" t="s">
        <v>855</v>
      </c>
      <c r="P642" s="14"/>
    </row>
    <row r="643" spans="1:16" x14ac:dyDescent="0.25">
      <c r="A643" s="6"/>
      <c r="B643" s="7">
        <v>44245</v>
      </c>
      <c r="C643" s="8" t="s">
        <v>1065</v>
      </c>
      <c r="D643" s="8" t="s">
        <v>284</v>
      </c>
      <c r="E643" s="9" t="s">
        <v>285</v>
      </c>
      <c r="F643" s="9" t="s">
        <v>286</v>
      </c>
      <c r="G643" s="17">
        <v>0.65625</v>
      </c>
      <c r="H643" s="17">
        <v>0.70694444444444438</v>
      </c>
      <c r="I643" s="9">
        <v>39390</v>
      </c>
      <c r="J643" s="9">
        <v>16280</v>
      </c>
      <c r="K643" s="10">
        <f t="shared" si="27"/>
        <v>23110</v>
      </c>
      <c r="L643" s="10">
        <v>23409</v>
      </c>
      <c r="M643" s="11" t="s">
        <v>1041</v>
      </c>
      <c r="N643" s="12">
        <v>21.6</v>
      </c>
      <c r="O643" s="13" t="s">
        <v>855</v>
      </c>
      <c r="P643" s="14"/>
    </row>
    <row r="644" spans="1:16" x14ac:dyDescent="0.25">
      <c r="A644" s="6"/>
      <c r="B644" s="7">
        <v>44245</v>
      </c>
      <c r="C644" s="8" t="s">
        <v>164</v>
      </c>
      <c r="D644" s="8" t="s">
        <v>465</v>
      </c>
      <c r="E644" s="9" t="s">
        <v>881</v>
      </c>
      <c r="F644" s="9" t="s">
        <v>749</v>
      </c>
      <c r="G644" s="17">
        <v>0.65763888888888888</v>
      </c>
      <c r="H644" s="17">
        <v>0.67986111111111114</v>
      </c>
      <c r="I644" s="9">
        <v>16700</v>
      </c>
      <c r="J644" s="9">
        <v>41930</v>
      </c>
      <c r="K644" s="10">
        <f t="shared" si="27"/>
        <v>-25230</v>
      </c>
      <c r="L644" s="10">
        <v>15576</v>
      </c>
      <c r="M644" s="11" t="s">
        <v>166</v>
      </c>
      <c r="N644" s="12">
        <v>504</v>
      </c>
      <c r="O644" s="13" t="s">
        <v>1099</v>
      </c>
      <c r="P644" s="14"/>
    </row>
    <row r="645" spans="1:16" x14ac:dyDescent="0.25">
      <c r="A645" s="6"/>
      <c r="B645" s="7">
        <v>44245</v>
      </c>
      <c r="C645" s="8" t="s">
        <v>1065</v>
      </c>
      <c r="D645" s="8" t="s">
        <v>899</v>
      </c>
      <c r="E645" s="9" t="s">
        <v>490</v>
      </c>
      <c r="F645" s="9" t="s">
        <v>491</v>
      </c>
      <c r="G645" s="17">
        <v>0.66388888888888886</v>
      </c>
      <c r="H645" s="17">
        <v>0.7284722222222223</v>
      </c>
      <c r="I645" s="9">
        <v>39660</v>
      </c>
      <c r="J645" s="9">
        <v>15880</v>
      </c>
      <c r="K645" s="10">
        <f t="shared" si="27"/>
        <v>23780</v>
      </c>
      <c r="L645" s="10">
        <v>23409</v>
      </c>
      <c r="M645" s="11" t="s">
        <v>1041</v>
      </c>
      <c r="N645" s="12">
        <v>21.6</v>
      </c>
      <c r="O645" s="13" t="s">
        <v>855</v>
      </c>
      <c r="P645" s="14"/>
    </row>
    <row r="646" spans="1:16" x14ac:dyDescent="0.25">
      <c r="A646" s="6"/>
      <c r="B646" s="7">
        <v>44245</v>
      </c>
      <c r="C646" s="8" t="s">
        <v>1065</v>
      </c>
      <c r="D646" s="8" t="s">
        <v>243</v>
      </c>
      <c r="E646" s="9" t="s">
        <v>440</v>
      </c>
      <c r="F646" s="9" t="s">
        <v>1276</v>
      </c>
      <c r="G646" s="17">
        <v>0.6743055555555556</v>
      </c>
      <c r="H646" s="17">
        <v>0.71875</v>
      </c>
      <c r="I646" s="9">
        <v>38710</v>
      </c>
      <c r="J646" s="9">
        <v>15410</v>
      </c>
      <c r="K646" s="10">
        <f t="shared" si="27"/>
        <v>23300</v>
      </c>
      <c r="L646" s="10">
        <v>23409</v>
      </c>
      <c r="M646" s="11" t="s">
        <v>1041</v>
      </c>
      <c r="N646" s="12">
        <v>21.6</v>
      </c>
      <c r="O646" s="13" t="s">
        <v>855</v>
      </c>
      <c r="P646" s="14"/>
    </row>
    <row r="647" spans="1:16" x14ac:dyDescent="0.25">
      <c r="A647" s="6"/>
      <c r="B647" s="7">
        <v>44245</v>
      </c>
      <c r="C647" s="8" t="s">
        <v>1065</v>
      </c>
      <c r="D647" s="8" t="s">
        <v>198</v>
      </c>
      <c r="E647" s="9" t="s">
        <v>405</v>
      </c>
      <c r="F647" s="9" t="s">
        <v>161</v>
      </c>
      <c r="G647" s="17">
        <v>0.68125000000000002</v>
      </c>
      <c r="H647" s="17">
        <v>0.74930555555555556</v>
      </c>
      <c r="I647" s="9">
        <v>29620</v>
      </c>
      <c r="J647" s="9">
        <v>16630</v>
      </c>
      <c r="K647" s="10">
        <f t="shared" si="27"/>
        <v>12990</v>
      </c>
      <c r="L647" s="10">
        <v>23409</v>
      </c>
      <c r="M647" s="11" t="s">
        <v>1041</v>
      </c>
      <c r="N647" s="12">
        <v>12</v>
      </c>
      <c r="O647" s="13" t="s">
        <v>855</v>
      </c>
      <c r="P647" s="14"/>
    </row>
    <row r="648" spans="1:16" x14ac:dyDescent="0.25">
      <c r="A648" s="6"/>
      <c r="B648" s="7">
        <v>44245</v>
      </c>
      <c r="C648" s="8" t="s">
        <v>85</v>
      </c>
      <c r="D648" s="8" t="s">
        <v>465</v>
      </c>
      <c r="E648" s="9" t="s">
        <v>881</v>
      </c>
      <c r="F648" s="9" t="s">
        <v>749</v>
      </c>
      <c r="G648" s="17">
        <v>0.73958333333333337</v>
      </c>
      <c r="H648" s="17">
        <v>0.81666666666666676</v>
      </c>
      <c r="I648" s="9">
        <v>15390</v>
      </c>
      <c r="J648" s="9">
        <v>38590</v>
      </c>
      <c r="K648" s="10">
        <f t="shared" si="27"/>
        <v>-23200</v>
      </c>
      <c r="L648" s="10">
        <v>5790</v>
      </c>
      <c r="M648" s="11" t="s">
        <v>861</v>
      </c>
      <c r="N648" s="12">
        <v>23200</v>
      </c>
      <c r="O648" s="13" t="s">
        <v>32</v>
      </c>
      <c r="P648" s="14" t="s">
        <v>468</v>
      </c>
    </row>
    <row r="649" spans="1:16" x14ac:dyDescent="0.25">
      <c r="A649" s="6"/>
      <c r="B649" s="7">
        <v>44245</v>
      </c>
      <c r="C649" s="8" t="s">
        <v>1083</v>
      </c>
      <c r="D649" s="8" t="s">
        <v>1084</v>
      </c>
      <c r="E649" s="9" t="s">
        <v>1420</v>
      </c>
      <c r="F649" s="9" t="s">
        <v>1125</v>
      </c>
      <c r="G649" s="17">
        <v>0.74305555555555547</v>
      </c>
      <c r="H649" s="17">
        <v>0.7895833333333333</v>
      </c>
      <c r="I649" s="9">
        <v>8790</v>
      </c>
      <c r="J649" s="9">
        <v>6260</v>
      </c>
      <c r="K649" s="10">
        <f t="shared" si="27"/>
        <v>2530</v>
      </c>
      <c r="L649" s="10">
        <v>20179</v>
      </c>
      <c r="M649" s="11" t="s">
        <v>1087</v>
      </c>
      <c r="N649" s="12">
        <v>2530</v>
      </c>
      <c r="O649" s="13" t="s">
        <v>32</v>
      </c>
      <c r="P649" s="14" t="s">
        <v>1088</v>
      </c>
    </row>
    <row r="650" spans="1:16" x14ac:dyDescent="0.25">
      <c r="A650" s="6"/>
      <c r="B650" s="7">
        <v>44245</v>
      </c>
      <c r="C650" s="8" t="s">
        <v>1431</v>
      </c>
      <c r="D650" s="8" t="s">
        <v>853</v>
      </c>
      <c r="E650" s="9" t="s">
        <v>51</v>
      </c>
      <c r="F650" s="9" t="s">
        <v>52</v>
      </c>
      <c r="G650" s="17">
        <v>0.77361111111111114</v>
      </c>
      <c r="H650" s="17">
        <v>0.78125</v>
      </c>
      <c r="I650" s="9">
        <v>37685</v>
      </c>
      <c r="J650" s="9">
        <v>15950</v>
      </c>
      <c r="K650" s="10">
        <f t="shared" si="27"/>
        <v>21735</v>
      </c>
      <c r="L650" s="10">
        <v>23410</v>
      </c>
      <c r="M650" s="11" t="s">
        <v>1041</v>
      </c>
      <c r="N650" s="12">
        <v>21735</v>
      </c>
      <c r="O650" s="13" t="s">
        <v>32</v>
      </c>
      <c r="P650" s="14" t="s">
        <v>989</v>
      </c>
    </row>
    <row r="651" spans="1:16" x14ac:dyDescent="0.25">
      <c r="A651" s="6"/>
      <c r="B651" s="7">
        <v>44245</v>
      </c>
      <c r="C651" s="8" t="s">
        <v>1431</v>
      </c>
      <c r="D651" s="8" t="s">
        <v>1355</v>
      </c>
      <c r="E651" s="9" t="s">
        <v>1048</v>
      </c>
      <c r="F651" s="9" t="s">
        <v>526</v>
      </c>
      <c r="G651" s="17">
        <v>0.80069444444444438</v>
      </c>
      <c r="H651" s="17">
        <v>0.80625000000000002</v>
      </c>
      <c r="I651" s="9">
        <v>35720</v>
      </c>
      <c r="J651" s="9">
        <v>16390</v>
      </c>
      <c r="K651" s="10">
        <f t="shared" si="27"/>
        <v>19330</v>
      </c>
      <c r="L651" s="10">
        <v>23410</v>
      </c>
      <c r="M651" s="11" t="s">
        <v>1041</v>
      </c>
      <c r="N651" s="12">
        <v>19330</v>
      </c>
      <c r="O651" s="13" t="s">
        <v>32</v>
      </c>
      <c r="P651" s="14" t="s">
        <v>1071</v>
      </c>
    </row>
    <row r="652" spans="1:16" x14ac:dyDescent="0.25">
      <c r="A652" s="6"/>
      <c r="B652" s="7">
        <v>44245</v>
      </c>
      <c r="C652" s="8" t="s">
        <v>1083</v>
      </c>
      <c r="D652" s="8" t="s">
        <v>1084</v>
      </c>
      <c r="E652" s="9" t="s">
        <v>1174</v>
      </c>
      <c r="F652" s="9" t="s">
        <v>503</v>
      </c>
      <c r="G652" s="17">
        <v>0.83263888888888893</v>
      </c>
      <c r="H652" s="17">
        <v>0.84236111111111101</v>
      </c>
      <c r="I652" s="9">
        <v>6110</v>
      </c>
      <c r="J652" s="9">
        <v>5380</v>
      </c>
      <c r="K652" s="10">
        <f t="shared" si="27"/>
        <v>730</v>
      </c>
      <c r="L652" s="10">
        <v>20180</v>
      </c>
      <c r="M652" s="11" t="s">
        <v>1091</v>
      </c>
      <c r="N652" s="12">
        <v>730</v>
      </c>
      <c r="O652" s="13" t="s">
        <v>32</v>
      </c>
      <c r="P652" s="14" t="s">
        <v>883</v>
      </c>
    </row>
    <row r="653" spans="1:16" x14ac:dyDescent="0.25">
      <c r="A653" s="6"/>
      <c r="B653" s="7">
        <v>44245</v>
      </c>
      <c r="C653" s="8" t="s">
        <v>1431</v>
      </c>
      <c r="D653" s="8" t="s">
        <v>198</v>
      </c>
      <c r="E653" s="9" t="s">
        <v>405</v>
      </c>
      <c r="F653" s="9" t="s">
        <v>161</v>
      </c>
      <c r="G653" s="17">
        <v>0.84375</v>
      </c>
      <c r="H653" s="17">
        <v>0.85069444444444453</v>
      </c>
      <c r="I653" s="9">
        <v>29155</v>
      </c>
      <c r="J653" s="9">
        <v>16650</v>
      </c>
      <c r="K653" s="10">
        <f t="shared" si="27"/>
        <v>12505</v>
      </c>
      <c r="L653" s="10">
        <v>23410</v>
      </c>
      <c r="M653" s="11" t="s">
        <v>1041</v>
      </c>
      <c r="N653" s="12">
        <v>12505</v>
      </c>
      <c r="O653" s="13" t="s">
        <v>32</v>
      </c>
      <c r="P653" s="14" t="s">
        <v>1066</v>
      </c>
    </row>
    <row r="654" spans="1:16" x14ac:dyDescent="0.25">
      <c r="A654" s="6"/>
      <c r="B654" s="7">
        <v>44245</v>
      </c>
      <c r="C654" s="8" t="s">
        <v>208</v>
      </c>
      <c r="D654" s="8" t="s">
        <v>299</v>
      </c>
      <c r="E654" s="9" t="s">
        <v>813</v>
      </c>
      <c r="F654" s="9" t="s">
        <v>814</v>
      </c>
      <c r="G654" s="17">
        <v>0.84930555555555554</v>
      </c>
      <c r="H654" s="17">
        <v>0.41250000000000003</v>
      </c>
      <c r="I654" s="9">
        <v>40550</v>
      </c>
      <c r="J654" s="9">
        <v>16970</v>
      </c>
      <c r="K654" s="10">
        <f t="shared" si="27"/>
        <v>23580</v>
      </c>
      <c r="L654" s="10">
        <v>40550</v>
      </c>
      <c r="M654" s="11" t="s">
        <v>212</v>
      </c>
      <c r="N654" s="12">
        <v>23630</v>
      </c>
      <c r="O654" s="13" t="s">
        <v>32</v>
      </c>
      <c r="P654" s="14"/>
    </row>
    <row r="655" spans="1:16" x14ac:dyDescent="0.25">
      <c r="A655" s="6"/>
      <c r="B655" s="7">
        <v>44245</v>
      </c>
      <c r="C655" s="8" t="s">
        <v>962</v>
      </c>
      <c r="D655" s="8" t="s">
        <v>1205</v>
      </c>
      <c r="E655" s="9" t="s">
        <v>1206</v>
      </c>
      <c r="F655" s="9" t="s">
        <v>36</v>
      </c>
      <c r="G655" s="17">
        <v>0.86319444444444438</v>
      </c>
      <c r="H655" s="17">
        <v>0.90902777777777777</v>
      </c>
      <c r="I655" s="9">
        <v>14980</v>
      </c>
      <c r="J655" s="9">
        <v>6640</v>
      </c>
      <c r="K655" s="10">
        <f t="shared" si="27"/>
        <v>8340</v>
      </c>
      <c r="L655" s="10">
        <v>26503</v>
      </c>
      <c r="M655" s="11" t="s">
        <v>966</v>
      </c>
      <c r="N655" s="12">
        <v>8340</v>
      </c>
      <c r="O655" s="13" t="s">
        <v>32</v>
      </c>
      <c r="P655" s="14"/>
    </row>
    <row r="656" spans="1:16" x14ac:dyDescent="0.25">
      <c r="A656" s="6"/>
      <c r="B656" s="7">
        <v>44245</v>
      </c>
      <c r="C656" s="8" t="s">
        <v>962</v>
      </c>
      <c r="D656" s="8" t="s">
        <v>1230</v>
      </c>
      <c r="E656" s="9" t="s">
        <v>1315</v>
      </c>
      <c r="F656" s="9" t="s">
        <v>36</v>
      </c>
      <c r="G656" s="17">
        <v>0.89027777777777783</v>
      </c>
      <c r="H656" s="17">
        <v>0.92569444444444438</v>
      </c>
      <c r="I656" s="9">
        <v>6370</v>
      </c>
      <c r="J656" s="9">
        <v>4010</v>
      </c>
      <c r="K656" s="10">
        <f t="shared" ref="K656" si="30">+I656-J656</f>
        <v>2360</v>
      </c>
      <c r="L656" s="10">
        <v>26504</v>
      </c>
      <c r="M656" s="11" t="s">
        <v>966</v>
      </c>
      <c r="N656" s="12">
        <v>2360</v>
      </c>
      <c r="O656" s="13" t="s">
        <v>32</v>
      </c>
      <c r="P656" s="14"/>
    </row>
    <row r="657" spans="1:16" x14ac:dyDescent="0.25">
      <c r="A657" s="6"/>
      <c r="B657" s="7">
        <v>44245</v>
      </c>
      <c r="C657" s="8" t="s">
        <v>1290</v>
      </c>
      <c r="D657" s="8" t="s">
        <v>465</v>
      </c>
      <c r="E657" s="9" t="s">
        <v>490</v>
      </c>
      <c r="F657" s="9" t="s">
        <v>491</v>
      </c>
      <c r="G657" s="17">
        <v>0.89861111111111114</v>
      </c>
      <c r="H657" s="17">
        <v>0.91249999999999998</v>
      </c>
      <c r="I657" s="9">
        <v>40000</v>
      </c>
      <c r="J657" s="9">
        <v>15880</v>
      </c>
      <c r="K657" s="10">
        <f t="shared" si="27"/>
        <v>24120</v>
      </c>
      <c r="L657" s="10">
        <v>23411</v>
      </c>
      <c r="M657" s="11" t="s">
        <v>1041</v>
      </c>
      <c r="N657" s="12">
        <v>21.6</v>
      </c>
      <c r="O657" s="13" t="s">
        <v>855</v>
      </c>
      <c r="P657" s="14"/>
    </row>
    <row r="658" spans="1:16" x14ac:dyDescent="0.25">
      <c r="A658" s="6"/>
      <c r="B658" s="7">
        <v>44245</v>
      </c>
      <c r="C658" s="8" t="s">
        <v>1290</v>
      </c>
      <c r="D658" s="8" t="s">
        <v>198</v>
      </c>
      <c r="E658" s="9" t="s">
        <v>405</v>
      </c>
      <c r="F658" s="9" t="s">
        <v>161</v>
      </c>
      <c r="G658" s="17">
        <v>0.9</v>
      </c>
      <c r="H658" s="17">
        <v>0.91736111111111107</v>
      </c>
      <c r="I658" s="9">
        <v>41050</v>
      </c>
      <c r="J658" s="9">
        <v>16630</v>
      </c>
      <c r="K658" s="10">
        <f t="shared" si="27"/>
        <v>24420</v>
      </c>
      <c r="L658" s="10">
        <v>23411</v>
      </c>
      <c r="M658" s="11" t="s">
        <v>1041</v>
      </c>
      <c r="N658" s="12">
        <v>21.6</v>
      </c>
      <c r="O658" s="13" t="s">
        <v>855</v>
      </c>
      <c r="P658" s="14"/>
    </row>
    <row r="659" spans="1:16" x14ac:dyDescent="0.25">
      <c r="A659" s="6"/>
      <c r="B659" s="7">
        <v>44245</v>
      </c>
      <c r="C659" s="8" t="s">
        <v>1290</v>
      </c>
      <c r="D659" s="8" t="s">
        <v>928</v>
      </c>
      <c r="E659" s="9" t="s">
        <v>628</v>
      </c>
      <c r="F659" s="9" t="s">
        <v>859</v>
      </c>
      <c r="G659" s="17">
        <v>0.91111111111111109</v>
      </c>
      <c r="H659" s="17">
        <v>0.92152777777777783</v>
      </c>
      <c r="I659" s="9">
        <v>20170</v>
      </c>
      <c r="J659" s="9">
        <v>9650</v>
      </c>
      <c r="K659" s="10">
        <f t="shared" si="27"/>
        <v>10520</v>
      </c>
      <c r="L659" s="10">
        <v>23411</v>
      </c>
      <c r="M659" s="11" t="s">
        <v>1041</v>
      </c>
      <c r="N659" s="12">
        <v>9.6</v>
      </c>
      <c r="O659" s="13" t="s">
        <v>855</v>
      </c>
      <c r="P659" s="14"/>
    </row>
    <row r="660" spans="1:16" x14ac:dyDescent="0.25">
      <c r="A660" s="6"/>
      <c r="B660" s="7">
        <v>44245</v>
      </c>
      <c r="C660" s="8" t="s">
        <v>1290</v>
      </c>
      <c r="D660" s="8" t="s">
        <v>243</v>
      </c>
      <c r="E660" s="9" t="s">
        <v>285</v>
      </c>
      <c r="F660" s="9" t="s">
        <v>286</v>
      </c>
      <c r="G660" s="17">
        <v>0.93055555555555547</v>
      </c>
      <c r="H660" s="17">
        <v>0.93472222222222223</v>
      </c>
      <c r="I660" s="9">
        <v>31610</v>
      </c>
      <c r="J660" s="9">
        <v>16300</v>
      </c>
      <c r="K660" s="10">
        <f t="shared" ref="K660:K723" si="31">+I660-J660</f>
        <v>15310</v>
      </c>
      <c r="L660" s="10">
        <v>23411</v>
      </c>
      <c r="M660" s="11" t="s">
        <v>1041</v>
      </c>
      <c r="N660" s="12">
        <v>14.16</v>
      </c>
      <c r="O660" s="13" t="s">
        <v>855</v>
      </c>
      <c r="P660" s="14"/>
    </row>
    <row r="661" spans="1:16" x14ac:dyDescent="0.25">
      <c r="A661" s="6"/>
      <c r="B661" s="7">
        <v>44245</v>
      </c>
      <c r="C661" s="8" t="s">
        <v>1432</v>
      </c>
      <c r="D661" s="8" t="s">
        <v>1433</v>
      </c>
      <c r="E661" s="9" t="s">
        <v>1434</v>
      </c>
      <c r="F661" s="9" t="s">
        <v>154</v>
      </c>
      <c r="G661" s="17">
        <v>0.9590277777777777</v>
      </c>
      <c r="H661" s="17">
        <v>1.3888888888888889E-3</v>
      </c>
      <c r="I661" s="9">
        <v>16390</v>
      </c>
      <c r="J661" s="9">
        <v>5640</v>
      </c>
      <c r="K661" s="10">
        <f t="shared" si="31"/>
        <v>10750</v>
      </c>
      <c r="L661" s="10">
        <v>26505</v>
      </c>
      <c r="M661" s="11" t="s">
        <v>1041</v>
      </c>
      <c r="N661" s="12">
        <v>10750</v>
      </c>
      <c r="O661" s="13" t="s">
        <v>32</v>
      </c>
      <c r="P661" s="14"/>
    </row>
    <row r="662" spans="1:16" x14ac:dyDescent="0.25">
      <c r="A662" s="6"/>
      <c r="B662" s="7">
        <v>44245</v>
      </c>
      <c r="C662" s="8" t="s">
        <v>37</v>
      </c>
      <c r="D662" s="8" t="s">
        <v>122</v>
      </c>
      <c r="E662" s="9" t="s">
        <v>967</v>
      </c>
      <c r="F662" s="9" t="s">
        <v>36</v>
      </c>
      <c r="G662" s="17">
        <v>0.97430555555555554</v>
      </c>
      <c r="H662" s="17">
        <v>5.6250000000000001E-2</v>
      </c>
      <c r="I662" s="9">
        <v>18640</v>
      </c>
      <c r="J662" s="9">
        <v>6420</v>
      </c>
      <c r="K662" s="10">
        <f t="shared" si="31"/>
        <v>12220</v>
      </c>
      <c r="L662" s="10">
        <v>26506</v>
      </c>
      <c r="M662" s="11" t="s">
        <v>1379</v>
      </c>
      <c r="N662" s="12">
        <v>12220</v>
      </c>
      <c r="O662" s="13" t="s">
        <v>32</v>
      </c>
      <c r="P662" s="14"/>
    </row>
    <row r="663" spans="1:16" x14ac:dyDescent="0.25">
      <c r="A663" s="6"/>
      <c r="B663" s="7">
        <v>44245</v>
      </c>
      <c r="C663" s="8" t="s">
        <v>1435</v>
      </c>
      <c r="D663" s="8" t="s">
        <v>530</v>
      </c>
      <c r="E663" s="9" t="s">
        <v>699</v>
      </c>
      <c r="F663" s="9" t="s">
        <v>140</v>
      </c>
      <c r="G663" s="17">
        <v>0.99097222222222225</v>
      </c>
      <c r="H663" s="17">
        <v>2.2916666666666669E-2</v>
      </c>
      <c r="I663" s="9">
        <v>18700</v>
      </c>
      <c r="J663" s="9">
        <v>8380</v>
      </c>
      <c r="K663" s="10">
        <f t="shared" si="31"/>
        <v>10320</v>
      </c>
      <c r="L663" s="10" t="s">
        <v>1436</v>
      </c>
      <c r="M663" s="11" t="s">
        <v>1437</v>
      </c>
      <c r="N663" s="12">
        <v>19589.599999999999</v>
      </c>
      <c r="O663" s="13" t="s">
        <v>49</v>
      </c>
      <c r="P663" s="14"/>
    </row>
    <row r="664" spans="1:16" x14ac:dyDescent="0.25">
      <c r="A664" s="6"/>
      <c r="B664" s="7">
        <v>44246</v>
      </c>
      <c r="C664" s="8" t="s">
        <v>971</v>
      </c>
      <c r="D664" s="8" t="s">
        <v>174</v>
      </c>
      <c r="E664" s="9" t="s">
        <v>110</v>
      </c>
      <c r="F664" s="9" t="s">
        <v>111</v>
      </c>
      <c r="G664" s="17">
        <v>0.21458333333333335</v>
      </c>
      <c r="H664" s="17">
        <v>0.24791666666666667</v>
      </c>
      <c r="I664" s="9">
        <v>10750</v>
      </c>
      <c r="J664" s="9">
        <v>6510</v>
      </c>
      <c r="K664" s="10">
        <f t="shared" si="31"/>
        <v>4240</v>
      </c>
      <c r="L664" s="10">
        <v>102</v>
      </c>
      <c r="M664" s="11" t="s">
        <v>1437</v>
      </c>
      <c r="N664" s="12">
        <v>8864</v>
      </c>
      <c r="O664" s="13" t="s">
        <v>49</v>
      </c>
      <c r="P664" s="14"/>
    </row>
    <row r="665" spans="1:16" x14ac:dyDescent="0.25">
      <c r="A665" s="6"/>
      <c r="B665" s="7">
        <v>44246</v>
      </c>
      <c r="C665" s="8" t="s">
        <v>871</v>
      </c>
      <c r="D665" s="8" t="s">
        <v>86</v>
      </c>
      <c r="E665" s="9" t="s">
        <v>87</v>
      </c>
      <c r="F665" s="9" t="s">
        <v>88</v>
      </c>
      <c r="G665" s="17">
        <v>0.22847222222222222</v>
      </c>
      <c r="H665" s="17">
        <v>0.24027777777777778</v>
      </c>
      <c r="I665" s="9">
        <v>31910</v>
      </c>
      <c r="J665" s="9">
        <v>17250</v>
      </c>
      <c r="K665" s="10">
        <f t="shared" si="31"/>
        <v>14660</v>
      </c>
      <c r="L665" s="10">
        <v>760</v>
      </c>
      <c r="M665" s="11" t="s">
        <v>1401</v>
      </c>
      <c r="N665" s="12">
        <v>15010</v>
      </c>
      <c r="O665" s="13" t="s">
        <v>32</v>
      </c>
      <c r="P665" s="14"/>
    </row>
    <row r="666" spans="1:16" x14ac:dyDescent="0.25">
      <c r="A666" s="6"/>
      <c r="B666" s="15">
        <v>44246</v>
      </c>
      <c r="C666" s="8" t="s">
        <v>991</v>
      </c>
      <c r="D666" s="8" t="s">
        <v>928</v>
      </c>
      <c r="E666" s="9" t="s">
        <v>628</v>
      </c>
      <c r="F666" s="9" t="s">
        <v>859</v>
      </c>
      <c r="G666" s="17">
        <v>0.45416666666666666</v>
      </c>
      <c r="H666" s="17">
        <v>0.46527777777777773</v>
      </c>
      <c r="I666" s="9">
        <v>22580</v>
      </c>
      <c r="J666" s="9">
        <v>9640</v>
      </c>
      <c r="K666" s="10">
        <f t="shared" si="31"/>
        <v>12940</v>
      </c>
      <c r="L666" s="10">
        <v>23412</v>
      </c>
      <c r="M666" s="11" t="s">
        <v>1438</v>
      </c>
      <c r="N666" s="12">
        <v>12</v>
      </c>
      <c r="O666" s="13" t="s">
        <v>855</v>
      </c>
      <c r="P666" s="14"/>
    </row>
    <row r="667" spans="1:16" x14ac:dyDescent="0.25">
      <c r="A667" s="7"/>
      <c r="B667" s="7">
        <v>44246</v>
      </c>
      <c r="C667" s="8" t="s">
        <v>991</v>
      </c>
      <c r="D667" s="8" t="s">
        <v>1355</v>
      </c>
      <c r="E667" s="9" t="s">
        <v>1048</v>
      </c>
      <c r="F667" s="9" t="s">
        <v>526</v>
      </c>
      <c r="G667" s="17">
        <v>0.46180555555555558</v>
      </c>
      <c r="H667" s="17">
        <v>0.46736111111111112</v>
      </c>
      <c r="I667" s="9">
        <v>39490</v>
      </c>
      <c r="J667" s="9">
        <v>16370</v>
      </c>
      <c r="K667" s="10">
        <f t="shared" si="31"/>
        <v>23120</v>
      </c>
      <c r="L667" s="10">
        <v>23412</v>
      </c>
      <c r="M667" s="11" t="s">
        <v>1041</v>
      </c>
      <c r="N667" s="12">
        <v>21.6</v>
      </c>
      <c r="O667" s="13" t="s">
        <v>855</v>
      </c>
      <c r="P667" s="14"/>
    </row>
    <row r="668" spans="1:16" x14ac:dyDescent="0.25">
      <c r="A668" s="7"/>
      <c r="B668" s="7">
        <v>44246</v>
      </c>
      <c r="C668" s="8" t="s">
        <v>991</v>
      </c>
      <c r="D668" s="8" t="s">
        <v>899</v>
      </c>
      <c r="E668" s="9" t="s">
        <v>490</v>
      </c>
      <c r="F668" s="9" t="s">
        <v>491</v>
      </c>
      <c r="G668" s="17">
        <v>0.47222222222222227</v>
      </c>
      <c r="H668" s="17">
        <v>0.48194444444444445</v>
      </c>
      <c r="I668" s="9">
        <v>40150</v>
      </c>
      <c r="J668" s="9">
        <v>15860</v>
      </c>
      <c r="K668" s="10">
        <f t="shared" si="31"/>
        <v>24290</v>
      </c>
      <c r="L668" s="10">
        <v>23412</v>
      </c>
      <c r="M668" s="11" t="s">
        <v>1041</v>
      </c>
      <c r="N668" s="12">
        <v>21.6</v>
      </c>
      <c r="O668" s="13" t="s">
        <v>855</v>
      </c>
      <c r="P668" s="14"/>
    </row>
    <row r="669" spans="1:16" x14ac:dyDescent="0.25">
      <c r="A669" s="7"/>
      <c r="B669" s="7">
        <v>44246</v>
      </c>
      <c r="C669" s="8" t="s">
        <v>991</v>
      </c>
      <c r="D669" s="8" t="s">
        <v>853</v>
      </c>
      <c r="E669" s="9" t="s">
        <v>51</v>
      </c>
      <c r="F669" s="9" t="s">
        <v>52</v>
      </c>
      <c r="G669" s="17">
        <v>0.48958333333333331</v>
      </c>
      <c r="H669" s="17">
        <v>0.51180555555555551</v>
      </c>
      <c r="I669" s="9">
        <v>38880</v>
      </c>
      <c r="J669" s="9">
        <v>15950</v>
      </c>
      <c r="K669" s="10">
        <f>+I669-J669</f>
        <v>22930</v>
      </c>
      <c r="L669" s="10">
        <v>23412</v>
      </c>
      <c r="M669" s="11" t="s">
        <v>1041</v>
      </c>
      <c r="N669" s="12">
        <v>21.6</v>
      </c>
      <c r="O669" s="13" t="s">
        <v>855</v>
      </c>
      <c r="P669" s="14"/>
    </row>
    <row r="670" spans="1:16" x14ac:dyDescent="0.25">
      <c r="A670" s="7"/>
      <c r="B670" s="7">
        <v>44246</v>
      </c>
      <c r="C670" s="8" t="s">
        <v>991</v>
      </c>
      <c r="D670" s="8" t="s">
        <v>243</v>
      </c>
      <c r="E670" s="9" t="s">
        <v>440</v>
      </c>
      <c r="F670" s="9" t="s">
        <v>1276</v>
      </c>
      <c r="G670" s="17">
        <v>0.49444444444444446</v>
      </c>
      <c r="H670" s="17">
        <v>0.50763888888888886</v>
      </c>
      <c r="I670" s="9">
        <v>34720</v>
      </c>
      <c r="J670" s="9">
        <v>15390</v>
      </c>
      <c r="K670" s="10">
        <f t="shared" si="31"/>
        <v>19330</v>
      </c>
      <c r="L670" s="10">
        <v>23412</v>
      </c>
      <c r="M670" s="11" t="s">
        <v>1041</v>
      </c>
      <c r="N670" s="12">
        <v>18.600000000000001</v>
      </c>
      <c r="O670" s="13" t="s">
        <v>855</v>
      </c>
      <c r="P670" s="14"/>
    </row>
    <row r="671" spans="1:16" x14ac:dyDescent="0.25">
      <c r="A671" s="7"/>
      <c r="B671" s="7">
        <v>44246</v>
      </c>
      <c r="C671" s="8" t="s">
        <v>164</v>
      </c>
      <c r="D671" s="8" t="s">
        <v>284</v>
      </c>
      <c r="E671" s="9" t="s">
        <v>285</v>
      </c>
      <c r="F671" s="9" t="s">
        <v>286</v>
      </c>
      <c r="G671" s="17">
        <v>0.50069444444444444</v>
      </c>
      <c r="H671" s="17">
        <v>0.52361111111111114</v>
      </c>
      <c r="I671" s="9">
        <v>16240</v>
      </c>
      <c r="J671" s="9">
        <v>41790</v>
      </c>
      <c r="K671" s="10">
        <f t="shared" si="31"/>
        <v>-25550</v>
      </c>
      <c r="L671" s="10">
        <v>15577</v>
      </c>
      <c r="M671" s="11" t="s">
        <v>166</v>
      </c>
      <c r="N671" s="12">
        <v>504</v>
      </c>
      <c r="O671" s="13" t="s">
        <v>1099</v>
      </c>
      <c r="P671" s="14"/>
    </row>
    <row r="672" spans="1:16" x14ac:dyDescent="0.25">
      <c r="A672" s="7"/>
      <c r="B672" s="7">
        <v>44246</v>
      </c>
      <c r="C672" s="8" t="s">
        <v>962</v>
      </c>
      <c r="D672" s="8" t="s">
        <v>1205</v>
      </c>
      <c r="E672" s="9" t="s">
        <v>1206</v>
      </c>
      <c r="F672" s="9" t="s">
        <v>36</v>
      </c>
      <c r="G672" s="17">
        <v>0.53472222222222221</v>
      </c>
      <c r="H672" s="17">
        <v>0.57500000000000007</v>
      </c>
      <c r="I672" s="9">
        <v>12120</v>
      </c>
      <c r="J672" s="9">
        <v>6670</v>
      </c>
      <c r="K672" s="10">
        <f t="shared" si="31"/>
        <v>5450</v>
      </c>
      <c r="L672" s="10">
        <v>26507</v>
      </c>
      <c r="M672" s="11" t="s">
        <v>1208</v>
      </c>
      <c r="N672" s="12">
        <v>5450</v>
      </c>
      <c r="O672" s="13" t="s">
        <v>32</v>
      </c>
      <c r="P672" s="14"/>
    </row>
    <row r="673" spans="1:37" x14ac:dyDescent="0.25">
      <c r="A673" s="7"/>
      <c r="B673" s="7">
        <v>44246</v>
      </c>
      <c r="C673" s="8" t="s">
        <v>1070</v>
      </c>
      <c r="D673" s="8" t="s">
        <v>299</v>
      </c>
      <c r="E673" s="9" t="s">
        <v>813</v>
      </c>
      <c r="F673" s="9" t="s">
        <v>814</v>
      </c>
      <c r="G673" s="17">
        <v>0.53611111111111109</v>
      </c>
      <c r="H673" s="17">
        <v>0.55138888888888882</v>
      </c>
      <c r="I673" s="9">
        <v>39250</v>
      </c>
      <c r="J673" s="9">
        <v>15390</v>
      </c>
      <c r="K673" s="10">
        <f t="shared" si="31"/>
        <v>23860</v>
      </c>
      <c r="L673" s="10">
        <v>23413</v>
      </c>
      <c r="M673" s="11" t="s">
        <v>1041</v>
      </c>
      <c r="N673" s="12">
        <v>21.6</v>
      </c>
      <c r="O673" s="13" t="s">
        <v>855</v>
      </c>
      <c r="P673" s="14"/>
    </row>
    <row r="674" spans="1:37" x14ac:dyDescent="0.25">
      <c r="A674" s="7"/>
      <c r="B674" s="7">
        <v>44246</v>
      </c>
      <c r="C674" s="8" t="s">
        <v>208</v>
      </c>
      <c r="D674" s="8" t="s">
        <v>143</v>
      </c>
      <c r="E674" s="9" t="s">
        <v>144</v>
      </c>
      <c r="F674" s="9" t="s">
        <v>626</v>
      </c>
      <c r="G674" s="17">
        <v>0.5444444444444444</v>
      </c>
      <c r="H674" s="17">
        <v>0.55347222222222225</v>
      </c>
      <c r="I674" s="9">
        <v>37390</v>
      </c>
      <c r="J674" s="9">
        <v>17740</v>
      </c>
      <c r="K674" s="10">
        <f t="shared" si="31"/>
        <v>19650</v>
      </c>
      <c r="L674" s="10">
        <v>4800</v>
      </c>
      <c r="M674" s="11" t="s">
        <v>442</v>
      </c>
      <c r="N674" s="12">
        <v>19760</v>
      </c>
      <c r="O674" s="13" t="s">
        <v>32</v>
      </c>
      <c r="P674" s="14"/>
    </row>
    <row r="675" spans="1:37" x14ac:dyDescent="0.25">
      <c r="A675" s="6"/>
      <c r="B675" s="7">
        <v>44246</v>
      </c>
      <c r="C675" s="8" t="s">
        <v>1065</v>
      </c>
      <c r="D675" s="8" t="s">
        <v>928</v>
      </c>
      <c r="E675" s="9" t="s">
        <v>628</v>
      </c>
      <c r="F675" s="9" t="s">
        <v>859</v>
      </c>
      <c r="G675" s="17">
        <v>0.54999999999999993</v>
      </c>
      <c r="H675" s="17">
        <v>0.56111111111111112</v>
      </c>
      <c r="I675" s="9">
        <v>21800</v>
      </c>
      <c r="J675" s="9">
        <v>9640</v>
      </c>
      <c r="K675" s="10">
        <f t="shared" si="31"/>
        <v>12160</v>
      </c>
      <c r="L675" s="10">
        <v>23414</v>
      </c>
      <c r="M675" s="11" t="s">
        <v>1041</v>
      </c>
      <c r="N675" s="12">
        <v>12</v>
      </c>
      <c r="O675" s="13" t="s">
        <v>855</v>
      </c>
      <c r="P675" s="14"/>
    </row>
    <row r="676" spans="1:37" x14ac:dyDescent="0.25">
      <c r="A676" s="6"/>
      <c r="B676" s="7">
        <v>44246</v>
      </c>
      <c r="C676" s="8" t="s">
        <v>1065</v>
      </c>
      <c r="D676" s="8" t="s">
        <v>1355</v>
      </c>
      <c r="E676" s="9" t="s">
        <v>1048</v>
      </c>
      <c r="F676" s="9" t="s">
        <v>526</v>
      </c>
      <c r="G676" s="17">
        <v>0.55555555555555558</v>
      </c>
      <c r="H676" s="17">
        <v>0.56597222222222221</v>
      </c>
      <c r="I676" s="9">
        <v>36950</v>
      </c>
      <c r="J676" s="9">
        <v>16370</v>
      </c>
      <c r="K676" s="10">
        <f t="shared" si="31"/>
        <v>20580</v>
      </c>
      <c r="L676" s="10">
        <v>23414</v>
      </c>
      <c r="M676" s="11" t="s">
        <v>1041</v>
      </c>
      <c r="N676" s="12">
        <v>21.6</v>
      </c>
      <c r="O676" s="13" t="s">
        <v>855</v>
      </c>
      <c r="P676" s="14"/>
    </row>
    <row r="677" spans="1:37" x14ac:dyDescent="0.25">
      <c r="A677" s="6"/>
      <c r="B677" s="7">
        <v>44246</v>
      </c>
      <c r="C677" s="8" t="s">
        <v>1439</v>
      </c>
      <c r="D677" s="8" t="s">
        <v>198</v>
      </c>
      <c r="E677" s="9" t="s">
        <v>405</v>
      </c>
      <c r="F677" s="9" t="s">
        <v>161</v>
      </c>
      <c r="G677" s="17">
        <v>0.55972222222222223</v>
      </c>
      <c r="H677" s="17">
        <v>0.57013888888888886</v>
      </c>
      <c r="I677" s="9">
        <v>41520</v>
      </c>
      <c r="J677" s="9">
        <v>16570</v>
      </c>
      <c r="K677" s="10">
        <f t="shared" si="31"/>
        <v>24950</v>
      </c>
      <c r="L677" s="10" t="s">
        <v>1440</v>
      </c>
      <c r="M677" s="11" t="s">
        <v>1041</v>
      </c>
      <c r="N677" s="12">
        <f>13.2+9.6</f>
        <v>22.799999999999997</v>
      </c>
      <c r="O677" s="13" t="s">
        <v>855</v>
      </c>
      <c r="P677" s="14"/>
    </row>
    <row r="678" spans="1:37" x14ac:dyDescent="0.25">
      <c r="A678" s="6"/>
      <c r="B678" s="7">
        <v>44246</v>
      </c>
      <c r="C678" s="8" t="s">
        <v>1065</v>
      </c>
      <c r="D678" s="8" t="s">
        <v>899</v>
      </c>
      <c r="E678" s="9" t="s">
        <v>490</v>
      </c>
      <c r="F678" s="9" t="s">
        <v>491</v>
      </c>
      <c r="G678" s="17">
        <v>0.56736111111111109</v>
      </c>
      <c r="H678" s="17">
        <v>0.57638888888888895</v>
      </c>
      <c r="I678" s="9">
        <v>39340</v>
      </c>
      <c r="J678" s="9">
        <v>15840</v>
      </c>
      <c r="K678" s="10">
        <f t="shared" si="31"/>
        <v>23500</v>
      </c>
      <c r="L678" s="10">
        <v>23414</v>
      </c>
      <c r="M678" s="11" t="s">
        <v>1041</v>
      </c>
      <c r="N678" s="12">
        <v>21.6</v>
      </c>
      <c r="O678" s="13" t="s">
        <v>855</v>
      </c>
      <c r="P678" s="14"/>
      <c r="AG678" s="25"/>
      <c r="AH678" s="25"/>
      <c r="AI678" s="25"/>
      <c r="AJ678" s="25"/>
      <c r="AK678" s="25"/>
    </row>
    <row r="679" spans="1:37" x14ac:dyDescent="0.25">
      <c r="A679" s="6"/>
      <c r="B679" s="7">
        <v>44246</v>
      </c>
      <c r="C679" s="8" t="s">
        <v>164</v>
      </c>
      <c r="D679" s="8" t="s">
        <v>284</v>
      </c>
      <c r="E679" s="9" t="s">
        <v>285</v>
      </c>
      <c r="F679" s="9" t="s">
        <v>286</v>
      </c>
      <c r="G679" s="17">
        <v>0.57847222222222217</v>
      </c>
      <c r="H679" s="17">
        <v>0.59722222222222221</v>
      </c>
      <c r="I679" s="9">
        <v>16270</v>
      </c>
      <c r="J679" s="9">
        <v>41720</v>
      </c>
      <c r="K679" s="10">
        <f t="shared" si="31"/>
        <v>-25450</v>
      </c>
      <c r="L679" s="10">
        <v>15578</v>
      </c>
      <c r="M679" s="11" t="s">
        <v>166</v>
      </c>
      <c r="N679" s="12">
        <v>504</v>
      </c>
      <c r="O679" s="13" t="s">
        <v>1099</v>
      </c>
      <c r="P679" s="14"/>
    </row>
    <row r="680" spans="1:37" x14ac:dyDescent="0.25">
      <c r="A680" s="6"/>
      <c r="B680" s="7">
        <v>44246</v>
      </c>
      <c r="C680" s="8" t="s">
        <v>1065</v>
      </c>
      <c r="D680" s="8" t="s">
        <v>853</v>
      </c>
      <c r="E680" s="9" t="s">
        <v>51</v>
      </c>
      <c r="F680" s="9" t="s">
        <v>52</v>
      </c>
      <c r="G680" s="17">
        <v>0.58819444444444446</v>
      </c>
      <c r="H680" s="17">
        <v>0.59513888888888888</v>
      </c>
      <c r="I680" s="9">
        <v>39390</v>
      </c>
      <c r="J680" s="9">
        <v>16030</v>
      </c>
      <c r="K680" s="10">
        <f t="shared" si="31"/>
        <v>23360</v>
      </c>
      <c r="L680" s="10">
        <v>23414</v>
      </c>
      <c r="M680" s="11" t="s">
        <v>1041</v>
      </c>
      <c r="N680" s="12">
        <v>21.6</v>
      </c>
      <c r="O680" s="13" t="s">
        <v>855</v>
      </c>
      <c r="P680" s="14"/>
    </row>
    <row r="681" spans="1:37" x14ac:dyDescent="0.25">
      <c r="A681" s="6"/>
      <c r="B681" s="7">
        <v>44246</v>
      </c>
      <c r="C681" s="8" t="s">
        <v>606</v>
      </c>
      <c r="D681" s="8" t="s">
        <v>895</v>
      </c>
      <c r="E681" s="9" t="s">
        <v>636</v>
      </c>
      <c r="F681" s="9" t="s">
        <v>154</v>
      </c>
      <c r="G681" s="17">
        <v>0.58888888888888891</v>
      </c>
      <c r="H681" s="17">
        <v>0.65208333333333335</v>
      </c>
      <c r="I681" s="9">
        <v>54730</v>
      </c>
      <c r="J681" s="9">
        <v>19520</v>
      </c>
      <c r="K681" s="10">
        <f t="shared" si="31"/>
        <v>35210</v>
      </c>
      <c r="L681" s="10">
        <v>928</v>
      </c>
      <c r="M681" s="11" t="s">
        <v>306</v>
      </c>
      <c r="N681" s="12">
        <v>10000</v>
      </c>
      <c r="O681" s="13" t="s">
        <v>84</v>
      </c>
      <c r="P681" s="14"/>
    </row>
    <row r="682" spans="1:37" x14ac:dyDescent="0.25">
      <c r="A682" s="6"/>
      <c r="B682" s="7">
        <v>44246</v>
      </c>
      <c r="C682" s="8" t="s">
        <v>1065</v>
      </c>
      <c r="D682" s="8" t="s">
        <v>243</v>
      </c>
      <c r="E682" s="9" t="s">
        <v>440</v>
      </c>
      <c r="F682" s="9" t="s">
        <v>1276</v>
      </c>
      <c r="G682" s="17">
        <v>0.59027777777777779</v>
      </c>
      <c r="H682" s="17">
        <v>0.59930555555555554</v>
      </c>
      <c r="I682" s="9">
        <v>38850</v>
      </c>
      <c r="J682" s="9">
        <v>15430</v>
      </c>
      <c r="K682" s="10">
        <f t="shared" si="31"/>
        <v>23420</v>
      </c>
      <c r="L682" s="10">
        <v>23414</v>
      </c>
      <c r="M682" s="11" t="s">
        <v>1041</v>
      </c>
      <c r="N682" s="12">
        <v>21.6</v>
      </c>
      <c r="O682" s="13" t="s">
        <v>855</v>
      </c>
      <c r="P682" s="14"/>
    </row>
    <row r="683" spans="1:37" x14ac:dyDescent="0.25">
      <c r="A683" s="6"/>
      <c r="B683" s="7">
        <v>44246</v>
      </c>
      <c r="C683" s="8" t="s">
        <v>1065</v>
      </c>
      <c r="D683" s="8" t="s">
        <v>299</v>
      </c>
      <c r="E683" s="9" t="s">
        <v>813</v>
      </c>
      <c r="F683" s="9" t="s">
        <v>814</v>
      </c>
      <c r="G683" s="17">
        <v>0.60902777777777783</v>
      </c>
      <c r="H683" s="17">
        <v>0.61388888888888882</v>
      </c>
      <c r="I683" s="9">
        <v>38860</v>
      </c>
      <c r="J683" s="9">
        <v>15390</v>
      </c>
      <c r="K683" s="10">
        <f t="shared" si="31"/>
        <v>23470</v>
      </c>
      <c r="L683" s="10">
        <v>23414</v>
      </c>
      <c r="M683" s="11" t="s">
        <v>1041</v>
      </c>
      <c r="N683" s="12">
        <v>21.6</v>
      </c>
      <c r="O683" s="13" t="s">
        <v>855</v>
      </c>
      <c r="P683" s="14"/>
    </row>
    <row r="684" spans="1:37" x14ac:dyDescent="0.25">
      <c r="A684" s="6"/>
      <c r="B684" s="7">
        <v>44246</v>
      </c>
      <c r="C684" s="8" t="s">
        <v>1075</v>
      </c>
      <c r="D684" s="8" t="s">
        <v>1076</v>
      </c>
      <c r="E684" s="9" t="s">
        <v>220</v>
      </c>
      <c r="F684" s="9" t="s">
        <v>221</v>
      </c>
      <c r="G684" s="17">
        <v>0.62152777777777779</v>
      </c>
      <c r="H684" s="17">
        <v>0.73819444444444438</v>
      </c>
      <c r="I684" s="9">
        <v>18370</v>
      </c>
      <c r="J684" s="9">
        <v>9160</v>
      </c>
      <c r="K684" s="10">
        <f t="shared" si="31"/>
        <v>9210</v>
      </c>
      <c r="L684" s="10">
        <v>6934</v>
      </c>
      <c r="M684" s="11" t="s">
        <v>1373</v>
      </c>
      <c r="N684" s="12">
        <v>9483</v>
      </c>
      <c r="O684" s="13" t="s">
        <v>32</v>
      </c>
      <c r="P684" s="14"/>
    </row>
    <row r="685" spans="1:37" x14ac:dyDescent="0.25">
      <c r="A685" s="6"/>
      <c r="B685" s="7">
        <v>44246</v>
      </c>
      <c r="C685" s="8" t="s">
        <v>1386</v>
      </c>
      <c r="D685" s="8" t="s">
        <v>1190</v>
      </c>
      <c r="E685" s="9" t="s">
        <v>1191</v>
      </c>
      <c r="F685" s="9" t="s">
        <v>154</v>
      </c>
      <c r="G685" s="17">
        <v>0.62708333333333333</v>
      </c>
      <c r="H685" s="17">
        <v>0.67152777777777783</v>
      </c>
      <c r="I685" s="9">
        <v>39510</v>
      </c>
      <c r="J685" s="9">
        <v>17290</v>
      </c>
      <c r="K685" s="10">
        <f t="shared" si="31"/>
        <v>22220</v>
      </c>
      <c r="L685" s="10">
        <v>4935</v>
      </c>
      <c r="M685" s="11" t="s">
        <v>898</v>
      </c>
      <c r="N685" s="12">
        <v>840</v>
      </c>
      <c r="O685" s="13" t="s">
        <v>1099</v>
      </c>
      <c r="P685" s="14" t="s">
        <v>322</v>
      </c>
    </row>
    <row r="686" spans="1:37" x14ac:dyDescent="0.25">
      <c r="A686" s="6"/>
      <c r="B686" s="7">
        <v>44246</v>
      </c>
      <c r="C686" s="8" t="s">
        <v>1065</v>
      </c>
      <c r="D686" s="8" t="s">
        <v>1355</v>
      </c>
      <c r="E686" s="9" t="s">
        <v>1048</v>
      </c>
      <c r="F686" s="9" t="s">
        <v>526</v>
      </c>
      <c r="G686" s="17">
        <v>0.62916666666666665</v>
      </c>
      <c r="H686" s="17">
        <v>0.63472222222222219</v>
      </c>
      <c r="I686" s="9">
        <v>36130</v>
      </c>
      <c r="J686" s="9">
        <v>16340</v>
      </c>
      <c r="K686" s="10">
        <f t="shared" si="31"/>
        <v>19790</v>
      </c>
      <c r="L686" s="10">
        <v>23414</v>
      </c>
      <c r="M686" s="11" t="s">
        <v>1041</v>
      </c>
      <c r="N686" s="12">
        <v>18.600000000000001</v>
      </c>
      <c r="O686" s="13" t="s">
        <v>855</v>
      </c>
      <c r="P686" s="14"/>
    </row>
    <row r="687" spans="1:37" x14ac:dyDescent="0.25">
      <c r="A687" s="6"/>
      <c r="B687" s="7">
        <v>44246</v>
      </c>
      <c r="C687" s="8" t="s">
        <v>1446</v>
      </c>
      <c r="D687" s="8" t="s">
        <v>1441</v>
      </c>
      <c r="E687" s="9" t="s">
        <v>1110</v>
      </c>
      <c r="F687" s="9" t="s">
        <v>154</v>
      </c>
      <c r="G687" s="17">
        <v>0.64236111111111105</v>
      </c>
      <c r="H687" s="17">
        <v>0.72361111111111109</v>
      </c>
      <c r="I687" s="9">
        <v>4000</v>
      </c>
      <c r="J687" s="9">
        <v>6060</v>
      </c>
      <c r="K687" s="10">
        <f t="shared" si="31"/>
        <v>-2060</v>
      </c>
      <c r="L687" s="10">
        <v>15658</v>
      </c>
      <c r="M687" s="11" t="s">
        <v>1448</v>
      </c>
      <c r="N687" s="12">
        <v>2060</v>
      </c>
      <c r="O687" s="13" t="s">
        <v>32</v>
      </c>
      <c r="P687" s="14"/>
    </row>
    <row r="688" spans="1:37" x14ac:dyDescent="0.25">
      <c r="A688" s="6"/>
      <c r="B688" s="7">
        <v>44246</v>
      </c>
      <c r="C688" s="8" t="s">
        <v>164</v>
      </c>
      <c r="D688" s="8" t="s">
        <v>284</v>
      </c>
      <c r="E688" s="9" t="s">
        <v>285</v>
      </c>
      <c r="F688" s="9" t="s">
        <v>286</v>
      </c>
      <c r="G688" s="17">
        <v>0.64374999999999993</v>
      </c>
      <c r="H688" s="17">
        <v>0.67847222222222225</v>
      </c>
      <c r="I688" s="9">
        <v>16410</v>
      </c>
      <c r="J688" s="9">
        <v>41680</v>
      </c>
      <c r="K688" s="10">
        <f t="shared" si="31"/>
        <v>-25270</v>
      </c>
      <c r="L688" s="10">
        <v>15579</v>
      </c>
      <c r="M688" s="11" t="s">
        <v>166</v>
      </c>
      <c r="N688" s="12">
        <v>504</v>
      </c>
      <c r="O688" s="13" t="s">
        <v>1099</v>
      </c>
      <c r="P688" s="14"/>
    </row>
    <row r="689" spans="1:16" x14ac:dyDescent="0.25">
      <c r="A689" s="6"/>
      <c r="B689" s="7">
        <v>44246</v>
      </c>
      <c r="C689" s="8" t="s">
        <v>1442</v>
      </c>
      <c r="D689" s="8" t="s">
        <v>465</v>
      </c>
      <c r="E689" s="9" t="s">
        <v>881</v>
      </c>
      <c r="F689" s="9" t="s">
        <v>749</v>
      </c>
      <c r="G689" s="17">
        <v>0.64930555555555558</v>
      </c>
      <c r="H689" s="17">
        <v>0.72916666666666663</v>
      </c>
      <c r="I689" s="9">
        <v>16490</v>
      </c>
      <c r="J689" s="9">
        <v>15360</v>
      </c>
      <c r="K689" s="10">
        <f t="shared" si="31"/>
        <v>1130</v>
      </c>
      <c r="L689" s="10" t="s">
        <v>196</v>
      </c>
      <c r="M689" s="11" t="s">
        <v>1443</v>
      </c>
      <c r="N689" s="12">
        <v>1130</v>
      </c>
      <c r="O689" s="13" t="s">
        <v>32</v>
      </c>
      <c r="P689" s="14"/>
    </row>
    <row r="690" spans="1:16" x14ac:dyDescent="0.25">
      <c r="A690" s="7"/>
      <c r="B690" s="7">
        <v>44246</v>
      </c>
      <c r="C690" s="8" t="s">
        <v>1386</v>
      </c>
      <c r="D690" s="8" t="s">
        <v>1164</v>
      </c>
      <c r="E690" s="9" t="s">
        <v>1165</v>
      </c>
      <c r="F690" s="9" t="s">
        <v>154</v>
      </c>
      <c r="G690" s="17">
        <v>0.67499999999999993</v>
      </c>
      <c r="H690" s="17">
        <v>0.72152777777777777</v>
      </c>
      <c r="I690" s="9">
        <v>42920</v>
      </c>
      <c r="J690" s="9">
        <v>17310</v>
      </c>
      <c r="K690" s="10">
        <f t="shared" si="31"/>
        <v>25610</v>
      </c>
      <c r="L690" s="10">
        <v>4934</v>
      </c>
      <c r="M690" s="11" t="s">
        <v>898</v>
      </c>
      <c r="N690" s="12">
        <v>840</v>
      </c>
      <c r="O690" s="13" t="s">
        <v>1099</v>
      </c>
      <c r="P690" s="14" t="s">
        <v>322</v>
      </c>
    </row>
    <row r="691" spans="1:16" x14ac:dyDescent="0.25">
      <c r="A691" s="7"/>
      <c r="B691" s="7">
        <v>44246</v>
      </c>
      <c r="C691" s="8" t="s">
        <v>1444</v>
      </c>
      <c r="D691" s="8" t="s">
        <v>198</v>
      </c>
      <c r="E691" s="9" t="s">
        <v>405</v>
      </c>
      <c r="F691" s="9" t="s">
        <v>161</v>
      </c>
      <c r="G691" s="17">
        <v>0.67708333333333337</v>
      </c>
      <c r="H691" s="17">
        <v>0.69097222222222221</v>
      </c>
      <c r="I691" s="9">
        <v>30030</v>
      </c>
      <c r="J691" s="9">
        <v>16570</v>
      </c>
      <c r="K691" s="10">
        <f t="shared" si="31"/>
        <v>13460</v>
      </c>
      <c r="L691" s="10">
        <v>23415</v>
      </c>
      <c r="M691" s="11" t="s">
        <v>1041</v>
      </c>
      <c r="N691" s="12">
        <v>12</v>
      </c>
      <c r="O691" s="13" t="s">
        <v>855</v>
      </c>
      <c r="P691" s="14"/>
    </row>
    <row r="692" spans="1:16" x14ac:dyDescent="0.25">
      <c r="A692" s="7"/>
      <c r="B692" s="7">
        <v>44246</v>
      </c>
      <c r="C692" s="8" t="s">
        <v>1386</v>
      </c>
      <c r="D692" s="8" t="s">
        <v>935</v>
      </c>
      <c r="E692" s="9" t="s">
        <v>473</v>
      </c>
      <c r="F692" s="9" t="s">
        <v>154</v>
      </c>
      <c r="G692" s="17">
        <v>0.69374999999999998</v>
      </c>
      <c r="H692" s="17">
        <v>0.77569444444444446</v>
      </c>
      <c r="I692" s="9">
        <v>39400</v>
      </c>
      <c r="J692" s="9">
        <v>16830</v>
      </c>
      <c r="K692" s="10">
        <f t="shared" si="31"/>
        <v>22570</v>
      </c>
      <c r="L692" s="10">
        <v>4937</v>
      </c>
      <c r="M692" s="11" t="s">
        <v>898</v>
      </c>
      <c r="N692" s="12">
        <v>840</v>
      </c>
      <c r="O692" s="13" t="s">
        <v>1099</v>
      </c>
      <c r="P692" s="14"/>
    </row>
    <row r="693" spans="1:16" x14ac:dyDescent="0.25">
      <c r="A693" s="7"/>
      <c r="B693" s="7">
        <v>44246</v>
      </c>
      <c r="C693" s="8" t="s">
        <v>1036</v>
      </c>
      <c r="D693" s="8" t="s">
        <v>899</v>
      </c>
      <c r="E693" s="9" t="s">
        <v>490</v>
      </c>
      <c r="F693" s="9" t="s">
        <v>491</v>
      </c>
      <c r="G693" s="17">
        <v>0.70347222222222217</v>
      </c>
      <c r="H693" s="17">
        <v>0.70972222222222225</v>
      </c>
      <c r="I693" s="9">
        <v>36850</v>
      </c>
      <c r="J693" s="9">
        <v>15830</v>
      </c>
      <c r="K693" s="10">
        <f t="shared" si="31"/>
        <v>21020</v>
      </c>
      <c r="L693" s="10" t="s">
        <v>1445</v>
      </c>
      <c r="M693" s="11" t="s">
        <v>1041</v>
      </c>
      <c r="N693" s="12">
        <f>13.2+6</f>
        <v>19.2</v>
      </c>
      <c r="O693" s="13" t="s">
        <v>855</v>
      </c>
      <c r="P693" s="14"/>
    </row>
    <row r="694" spans="1:16" x14ac:dyDescent="0.25">
      <c r="A694" s="7"/>
      <c r="B694" s="7">
        <v>44246</v>
      </c>
      <c r="C694" s="8" t="s">
        <v>1386</v>
      </c>
      <c r="D694" s="8" t="s">
        <v>1164</v>
      </c>
      <c r="E694" s="9" t="s">
        <v>1165</v>
      </c>
      <c r="F694" s="9" t="s">
        <v>154</v>
      </c>
      <c r="G694" s="17">
        <v>0.72152777777777777</v>
      </c>
      <c r="H694" s="17">
        <v>0.79722222222222217</v>
      </c>
      <c r="I694" s="9">
        <v>17320</v>
      </c>
      <c r="J694" s="9">
        <v>39670</v>
      </c>
      <c r="K694" s="10">
        <f t="shared" si="31"/>
        <v>-22350</v>
      </c>
      <c r="L694" s="10">
        <v>15580</v>
      </c>
      <c r="M694" s="11" t="s">
        <v>638</v>
      </c>
      <c r="N694" s="12">
        <v>844</v>
      </c>
      <c r="O694" s="13" t="s">
        <v>1099</v>
      </c>
      <c r="P694" s="14"/>
    </row>
    <row r="695" spans="1:16" x14ac:dyDescent="0.25">
      <c r="A695" s="7"/>
      <c r="B695" s="7">
        <v>44246</v>
      </c>
      <c r="C695" s="8" t="s">
        <v>289</v>
      </c>
      <c r="D695" s="8" t="s">
        <v>1447</v>
      </c>
      <c r="E695" s="9" t="s">
        <v>1449</v>
      </c>
      <c r="F695" s="9" t="s">
        <v>154</v>
      </c>
      <c r="G695" s="17">
        <v>0.7270833333333333</v>
      </c>
      <c r="H695" s="17">
        <v>0.84583333333333333</v>
      </c>
      <c r="I695" s="9">
        <v>8110</v>
      </c>
      <c r="J695" s="9">
        <v>3630</v>
      </c>
      <c r="K695" s="10">
        <f t="shared" si="31"/>
        <v>4480</v>
      </c>
      <c r="L695" s="10">
        <v>26508</v>
      </c>
      <c r="M695" s="11" t="s">
        <v>1339</v>
      </c>
      <c r="N695" s="12">
        <v>4480</v>
      </c>
      <c r="O695" s="13" t="s">
        <v>32</v>
      </c>
      <c r="P695" s="14"/>
    </row>
    <row r="696" spans="1:16" x14ac:dyDescent="0.25">
      <c r="A696" s="7"/>
      <c r="B696" s="7">
        <v>44246</v>
      </c>
      <c r="C696" s="8" t="s">
        <v>208</v>
      </c>
      <c r="D696" s="8" t="s">
        <v>143</v>
      </c>
      <c r="E696" s="9" t="s">
        <v>144</v>
      </c>
      <c r="F696" s="9" t="s">
        <v>626</v>
      </c>
      <c r="G696" s="17">
        <v>0.75347222222222221</v>
      </c>
      <c r="H696" s="17">
        <v>0.77361111111111114</v>
      </c>
      <c r="I696" s="9">
        <v>43320</v>
      </c>
      <c r="J696" s="9">
        <v>17660</v>
      </c>
      <c r="K696" s="10">
        <f t="shared" si="31"/>
        <v>25660</v>
      </c>
      <c r="L696" s="10">
        <v>4801</v>
      </c>
      <c r="M696" s="11" t="s">
        <v>1450</v>
      </c>
      <c r="N696" s="12">
        <v>25690</v>
      </c>
      <c r="O696" s="13" t="s">
        <v>32</v>
      </c>
      <c r="P696" s="14"/>
    </row>
    <row r="697" spans="1:16" x14ac:dyDescent="0.25">
      <c r="A697" s="7"/>
      <c r="B697" s="7">
        <v>44246</v>
      </c>
      <c r="C697" s="8" t="s">
        <v>1451</v>
      </c>
      <c r="D697" s="8" t="s">
        <v>1452</v>
      </c>
      <c r="E697" s="9" t="s">
        <v>1453</v>
      </c>
      <c r="F697" s="9" t="s">
        <v>1454</v>
      </c>
      <c r="G697" s="17">
        <v>0.75486111111111109</v>
      </c>
      <c r="H697" s="17">
        <v>0.81736111111111109</v>
      </c>
      <c r="I697" s="9">
        <v>51900</v>
      </c>
      <c r="J697" s="9">
        <v>16570</v>
      </c>
      <c r="K697" s="10">
        <f t="shared" si="31"/>
        <v>35330</v>
      </c>
      <c r="L697" s="10">
        <v>929</v>
      </c>
      <c r="M697" s="11" t="s">
        <v>306</v>
      </c>
      <c r="N697" s="12">
        <v>10000</v>
      </c>
      <c r="O697" s="13" t="s">
        <v>84</v>
      </c>
      <c r="P697" s="14"/>
    </row>
    <row r="698" spans="1:16" x14ac:dyDescent="0.25">
      <c r="A698" s="7"/>
      <c r="B698" s="7">
        <v>44246</v>
      </c>
      <c r="C698" s="8" t="s">
        <v>1011</v>
      </c>
      <c r="D698" s="8" t="s">
        <v>299</v>
      </c>
      <c r="E698" s="9" t="s">
        <v>813</v>
      </c>
      <c r="F698" s="9" t="s">
        <v>814</v>
      </c>
      <c r="G698" s="17">
        <v>0.76388888888888884</v>
      </c>
      <c r="H698" s="17">
        <v>0.77847222222222223</v>
      </c>
      <c r="I698" s="9">
        <v>31600</v>
      </c>
      <c r="J698" s="9">
        <v>15360</v>
      </c>
      <c r="K698" s="10">
        <f t="shared" si="31"/>
        <v>16240</v>
      </c>
      <c r="L698" s="10">
        <v>23419</v>
      </c>
      <c r="M698" s="11" t="s">
        <v>965</v>
      </c>
      <c r="N698" s="12">
        <v>16.2</v>
      </c>
      <c r="O698" s="13" t="s">
        <v>855</v>
      </c>
      <c r="P698" s="14"/>
    </row>
    <row r="699" spans="1:16" x14ac:dyDescent="0.25">
      <c r="A699" s="7"/>
      <c r="B699" s="7">
        <v>44246</v>
      </c>
      <c r="C699" s="8" t="s">
        <v>1455</v>
      </c>
      <c r="D699" s="8" t="s">
        <v>530</v>
      </c>
      <c r="E699" s="9" t="s">
        <v>699</v>
      </c>
      <c r="F699" s="9" t="s">
        <v>140</v>
      </c>
      <c r="G699" s="17">
        <v>0.77083333333333337</v>
      </c>
      <c r="H699" s="17">
        <v>0.8305555555555556</v>
      </c>
      <c r="I699" s="9">
        <v>11110</v>
      </c>
      <c r="J699" s="9">
        <v>8250</v>
      </c>
      <c r="K699" s="10">
        <f t="shared" si="31"/>
        <v>2860</v>
      </c>
      <c r="L699" s="10" t="s">
        <v>1456</v>
      </c>
      <c r="M699" s="11" t="s">
        <v>1437</v>
      </c>
      <c r="N699" s="12">
        <v>11994</v>
      </c>
      <c r="O699" s="13" t="s">
        <v>49</v>
      </c>
      <c r="P699" s="14"/>
    </row>
    <row r="700" spans="1:16" x14ac:dyDescent="0.25">
      <c r="A700" s="7"/>
      <c r="B700" s="7">
        <v>44246</v>
      </c>
      <c r="C700" s="8" t="s">
        <v>1457</v>
      </c>
      <c r="D700" s="8" t="s">
        <v>243</v>
      </c>
      <c r="E700" s="9" t="s">
        <v>440</v>
      </c>
      <c r="F700" s="9" t="s">
        <v>1276</v>
      </c>
      <c r="G700" s="17">
        <v>0.77708333333333324</v>
      </c>
      <c r="H700" s="17">
        <v>0.78680555555555554</v>
      </c>
      <c r="I700" s="9">
        <v>29160</v>
      </c>
      <c r="J700" s="9">
        <v>15380</v>
      </c>
      <c r="K700" s="10">
        <f t="shared" si="31"/>
        <v>13780</v>
      </c>
      <c r="L700" s="10">
        <v>23418</v>
      </c>
      <c r="M700" s="11" t="s">
        <v>1041</v>
      </c>
      <c r="N700" s="12">
        <v>12</v>
      </c>
      <c r="O700" s="13" t="s">
        <v>855</v>
      </c>
      <c r="P700" s="14"/>
    </row>
    <row r="701" spans="1:16" x14ac:dyDescent="0.25">
      <c r="A701" s="7"/>
      <c r="B701" s="7">
        <v>44246</v>
      </c>
      <c r="C701" s="8" t="s">
        <v>208</v>
      </c>
      <c r="D701" s="8" t="s">
        <v>853</v>
      </c>
      <c r="E701" s="9" t="s">
        <v>51</v>
      </c>
      <c r="F701" s="9" t="s">
        <v>52</v>
      </c>
      <c r="G701" s="17">
        <v>0.83819444444444446</v>
      </c>
      <c r="H701" s="17">
        <v>0.35694444444444445</v>
      </c>
      <c r="I701" s="9">
        <v>42770</v>
      </c>
      <c r="J701" s="9">
        <v>16890</v>
      </c>
      <c r="K701" s="10">
        <f t="shared" si="31"/>
        <v>25880</v>
      </c>
      <c r="L701" s="10">
        <v>40582</v>
      </c>
      <c r="M701" s="11" t="s">
        <v>212</v>
      </c>
      <c r="N701" s="12">
        <v>26040</v>
      </c>
      <c r="O701" s="13" t="s">
        <v>32</v>
      </c>
      <c r="P701" s="14"/>
    </row>
    <row r="702" spans="1:16" x14ac:dyDescent="0.25">
      <c r="A702" s="7"/>
      <c r="B702" s="7">
        <v>44246</v>
      </c>
      <c r="C702" s="8" t="s">
        <v>208</v>
      </c>
      <c r="D702" s="8" t="s">
        <v>143</v>
      </c>
      <c r="E702" s="9" t="s">
        <v>144</v>
      </c>
      <c r="F702" s="9" t="s">
        <v>626</v>
      </c>
      <c r="G702" s="17">
        <v>0.88750000000000007</v>
      </c>
      <c r="H702" s="17">
        <v>0.89444444444444438</v>
      </c>
      <c r="I702" s="9">
        <v>34500</v>
      </c>
      <c r="J702" s="9">
        <v>17630</v>
      </c>
      <c r="K702" s="10">
        <f t="shared" si="31"/>
        <v>16870</v>
      </c>
      <c r="L702" s="10">
        <v>4802</v>
      </c>
      <c r="M702" s="11" t="s">
        <v>1450</v>
      </c>
      <c r="N702" s="12">
        <v>16880</v>
      </c>
      <c r="O702" s="13" t="s">
        <v>32</v>
      </c>
      <c r="P702" s="14"/>
    </row>
    <row r="703" spans="1:16" x14ac:dyDescent="0.25">
      <c r="A703" s="7"/>
      <c r="B703" s="7">
        <v>44246</v>
      </c>
      <c r="C703" s="8" t="s">
        <v>1458</v>
      </c>
      <c r="D703" s="8" t="s">
        <v>928</v>
      </c>
      <c r="E703" s="9" t="s">
        <v>628</v>
      </c>
      <c r="F703" s="9" t="s">
        <v>859</v>
      </c>
      <c r="G703" s="17">
        <v>0.92291666666666661</v>
      </c>
      <c r="H703" s="17">
        <v>0.92986111111111114</v>
      </c>
      <c r="I703" s="9">
        <v>16465</v>
      </c>
      <c r="J703" s="9">
        <v>9680</v>
      </c>
      <c r="K703" s="10">
        <f t="shared" si="31"/>
        <v>6785</v>
      </c>
      <c r="L703" s="10">
        <v>23420</v>
      </c>
      <c r="M703" s="11" t="s">
        <v>1459</v>
      </c>
      <c r="N703" s="12">
        <v>6785</v>
      </c>
      <c r="O703" s="13" t="s">
        <v>32</v>
      </c>
      <c r="P703" s="14" t="s">
        <v>1460</v>
      </c>
    </row>
    <row r="704" spans="1:16" x14ac:dyDescent="0.25">
      <c r="A704" s="7"/>
      <c r="B704" s="7">
        <v>44246</v>
      </c>
      <c r="C704" s="8" t="s">
        <v>962</v>
      </c>
      <c r="D704" s="8" t="s">
        <v>1205</v>
      </c>
      <c r="E704" s="9" t="s">
        <v>1206</v>
      </c>
      <c r="F704" s="9" t="s">
        <v>36</v>
      </c>
      <c r="G704" s="17">
        <v>0.92638888888888893</v>
      </c>
      <c r="H704" s="17">
        <v>0.95138888888888884</v>
      </c>
      <c r="I704" s="9">
        <v>16240</v>
      </c>
      <c r="J704" s="9">
        <v>10760</v>
      </c>
      <c r="K704" s="10">
        <f t="shared" si="31"/>
        <v>5480</v>
      </c>
      <c r="L704" s="10">
        <v>26509</v>
      </c>
      <c r="M704" s="11" t="s">
        <v>1461</v>
      </c>
      <c r="N704" s="12">
        <v>5480</v>
      </c>
      <c r="O704" s="13" t="s">
        <v>32</v>
      </c>
      <c r="P704" s="14"/>
    </row>
    <row r="705" spans="1:16" x14ac:dyDescent="0.25">
      <c r="A705" s="7"/>
      <c r="B705" s="7">
        <v>44246</v>
      </c>
      <c r="C705" s="8" t="s">
        <v>962</v>
      </c>
      <c r="D705" s="8" t="s">
        <v>1205</v>
      </c>
      <c r="E705" s="9" t="s">
        <v>1206</v>
      </c>
      <c r="F705" s="9" t="s">
        <v>36</v>
      </c>
      <c r="G705" s="17">
        <v>0.95208333333333339</v>
      </c>
      <c r="H705" s="17">
        <v>0.97569444444444453</v>
      </c>
      <c r="I705" s="9">
        <v>10770</v>
      </c>
      <c r="J705" s="9">
        <v>6690</v>
      </c>
      <c r="K705" s="10">
        <f t="shared" si="31"/>
        <v>4080</v>
      </c>
      <c r="L705" s="10">
        <v>26510</v>
      </c>
      <c r="M705" s="11" t="s">
        <v>1041</v>
      </c>
      <c r="N705" s="12">
        <v>4080</v>
      </c>
      <c r="O705" s="13" t="s">
        <v>32</v>
      </c>
      <c r="P705" s="14"/>
    </row>
    <row r="706" spans="1:16" x14ac:dyDescent="0.25">
      <c r="A706" s="6"/>
      <c r="B706" s="7">
        <v>44246</v>
      </c>
      <c r="C706" s="8" t="s">
        <v>1432</v>
      </c>
      <c r="D706" s="8" t="s">
        <v>1433</v>
      </c>
      <c r="E706" s="9" t="s">
        <v>1434</v>
      </c>
      <c r="F706" s="9" t="s">
        <v>154</v>
      </c>
      <c r="G706" s="17">
        <v>0.9555555555555556</v>
      </c>
      <c r="H706" s="17">
        <v>1.6666666666666666E-2</v>
      </c>
      <c r="I706" s="9">
        <v>16540</v>
      </c>
      <c r="J706" s="9">
        <v>5580</v>
      </c>
      <c r="K706" s="10">
        <f t="shared" si="31"/>
        <v>10960</v>
      </c>
      <c r="L706" s="10">
        <v>26511</v>
      </c>
      <c r="M706" s="11" t="s">
        <v>1041</v>
      </c>
      <c r="N706" s="12">
        <v>10960</v>
      </c>
      <c r="O706" s="13" t="s">
        <v>32</v>
      </c>
      <c r="P706" s="14"/>
    </row>
    <row r="707" spans="1:16" x14ac:dyDescent="0.25">
      <c r="A707" s="6"/>
      <c r="B707" s="7">
        <v>44246</v>
      </c>
      <c r="C707" s="8" t="s">
        <v>1462</v>
      </c>
      <c r="D707" s="8" t="s">
        <v>928</v>
      </c>
      <c r="E707" s="9" t="s">
        <v>628</v>
      </c>
      <c r="F707" s="9" t="s">
        <v>859</v>
      </c>
      <c r="G707" s="17">
        <v>0.97361111111111109</v>
      </c>
      <c r="H707" s="17">
        <v>0.98333333333333339</v>
      </c>
      <c r="I707" s="9">
        <v>10340</v>
      </c>
      <c r="J707" s="9">
        <v>9580</v>
      </c>
      <c r="K707" s="10">
        <f t="shared" si="31"/>
        <v>760</v>
      </c>
      <c r="L707" s="10">
        <v>23421</v>
      </c>
      <c r="M707" s="11" t="s">
        <v>1041</v>
      </c>
      <c r="N707" s="12">
        <v>760</v>
      </c>
      <c r="O707" s="13" t="s">
        <v>32</v>
      </c>
      <c r="P707" s="14" t="s">
        <v>883</v>
      </c>
    </row>
    <row r="708" spans="1:16" x14ac:dyDescent="0.25">
      <c r="A708" s="6"/>
      <c r="B708" s="7">
        <v>44246</v>
      </c>
      <c r="C708" s="8" t="s">
        <v>37</v>
      </c>
      <c r="D708" s="8" t="s">
        <v>122</v>
      </c>
      <c r="E708" s="9" t="s">
        <v>967</v>
      </c>
      <c r="F708" s="9" t="s">
        <v>36</v>
      </c>
      <c r="G708" s="17">
        <v>0.98055555555555562</v>
      </c>
      <c r="H708" s="17">
        <v>4.5138888888888888E-2</v>
      </c>
      <c r="I708" s="9">
        <v>20870</v>
      </c>
      <c r="J708" s="9">
        <v>6300</v>
      </c>
      <c r="K708" s="10">
        <f t="shared" ref="K708:K709" si="32">+I708-J708</f>
        <v>14570</v>
      </c>
      <c r="L708" s="10">
        <v>26512</v>
      </c>
      <c r="M708" s="11" t="s">
        <v>1379</v>
      </c>
      <c r="N708" s="12">
        <v>14570</v>
      </c>
      <c r="O708" s="13" t="s">
        <v>32</v>
      </c>
      <c r="P708" s="14"/>
    </row>
    <row r="709" spans="1:16" x14ac:dyDescent="0.25">
      <c r="A709" s="6"/>
      <c r="B709" s="7">
        <v>44247</v>
      </c>
      <c r="C709" s="8" t="s">
        <v>366</v>
      </c>
      <c r="D709" s="8" t="s">
        <v>1464</v>
      </c>
      <c r="E709" s="9" t="s">
        <v>1421</v>
      </c>
      <c r="F709" s="9" t="s">
        <v>36</v>
      </c>
      <c r="G709" s="17">
        <v>7.7777777777777779E-2</v>
      </c>
      <c r="H709" s="17">
        <v>0.19444444444444445</v>
      </c>
      <c r="I709" s="9">
        <v>20450</v>
      </c>
      <c r="J709" s="9">
        <v>8330</v>
      </c>
      <c r="K709" s="10">
        <f t="shared" si="32"/>
        <v>12120</v>
      </c>
      <c r="L709" s="10" t="s">
        <v>1463</v>
      </c>
      <c r="M709" s="11" t="s">
        <v>1423</v>
      </c>
      <c r="N709" s="12">
        <v>12454</v>
      </c>
      <c r="O709" s="13" t="s">
        <v>32</v>
      </c>
      <c r="P709" s="14"/>
    </row>
    <row r="710" spans="1:16" x14ac:dyDescent="0.25">
      <c r="A710" s="6"/>
      <c r="B710" s="7">
        <v>44247</v>
      </c>
      <c r="C710" s="8" t="s">
        <v>871</v>
      </c>
      <c r="D710" s="8" t="s">
        <v>86</v>
      </c>
      <c r="E710" s="9" t="s">
        <v>87</v>
      </c>
      <c r="F710" s="9" t="s">
        <v>88</v>
      </c>
      <c r="G710" s="17">
        <v>0.1673611111111111</v>
      </c>
      <c r="H710" s="17">
        <v>0.21249999999999999</v>
      </c>
      <c r="I710" s="9">
        <v>30610</v>
      </c>
      <c r="J710" s="9">
        <v>17160</v>
      </c>
      <c r="K710" s="10">
        <f t="shared" si="31"/>
        <v>13450</v>
      </c>
      <c r="L710" s="10">
        <v>762</v>
      </c>
      <c r="M710" s="11" t="s">
        <v>442</v>
      </c>
      <c r="N710" s="12">
        <v>13447</v>
      </c>
      <c r="O710" s="13" t="s">
        <v>32</v>
      </c>
      <c r="P710" s="14"/>
    </row>
    <row r="711" spans="1:16" x14ac:dyDescent="0.25">
      <c r="A711" s="6"/>
      <c r="B711" s="7">
        <v>44247</v>
      </c>
      <c r="C711" s="8" t="s">
        <v>971</v>
      </c>
      <c r="D711" s="8" t="s">
        <v>174</v>
      </c>
      <c r="E711" s="9" t="s">
        <v>110</v>
      </c>
      <c r="F711" s="9" t="s">
        <v>111</v>
      </c>
      <c r="G711" s="17">
        <v>0.2298611111111111</v>
      </c>
      <c r="H711" s="17">
        <v>0.25763888888888892</v>
      </c>
      <c r="I711" s="9">
        <v>9670</v>
      </c>
      <c r="J711" s="9">
        <v>6370</v>
      </c>
      <c r="K711" s="10">
        <f t="shared" si="31"/>
        <v>3300</v>
      </c>
      <c r="L711" s="10">
        <v>103</v>
      </c>
      <c r="M711" s="11" t="s">
        <v>1465</v>
      </c>
      <c r="N711" s="12">
        <v>7936</v>
      </c>
      <c r="O711" s="13" t="s">
        <v>49</v>
      </c>
      <c r="P711" s="14"/>
    </row>
    <row r="712" spans="1:16" x14ac:dyDescent="0.25">
      <c r="A712" s="6"/>
      <c r="B712" s="7">
        <v>44247</v>
      </c>
      <c r="C712" s="68" t="s">
        <v>1259</v>
      </c>
      <c r="D712" s="8" t="s">
        <v>602</v>
      </c>
      <c r="E712" s="9" t="s">
        <v>277</v>
      </c>
      <c r="F712" s="9" t="s">
        <v>128</v>
      </c>
      <c r="G712" s="17">
        <v>0.34166666666666662</v>
      </c>
      <c r="H712" s="17">
        <v>0.34375</v>
      </c>
      <c r="I712" s="9">
        <v>6350</v>
      </c>
      <c r="J712" s="9">
        <v>5590</v>
      </c>
      <c r="K712" s="10">
        <f t="shared" si="31"/>
        <v>760</v>
      </c>
      <c r="L712" s="10" t="s">
        <v>1463</v>
      </c>
      <c r="M712" s="72" t="s">
        <v>1466</v>
      </c>
      <c r="N712" s="12">
        <v>760</v>
      </c>
      <c r="O712" s="13" t="s">
        <v>32</v>
      </c>
      <c r="P712" s="14"/>
    </row>
    <row r="713" spans="1:16" x14ac:dyDescent="0.25">
      <c r="A713" s="6"/>
      <c r="B713" s="15">
        <v>44247</v>
      </c>
      <c r="C713" s="8" t="s">
        <v>164</v>
      </c>
      <c r="D713" s="8" t="s">
        <v>1284</v>
      </c>
      <c r="E713" s="9" t="s">
        <v>1285</v>
      </c>
      <c r="F713" s="9" t="s">
        <v>36</v>
      </c>
      <c r="G713" s="17">
        <v>0.37361111111111112</v>
      </c>
      <c r="H713" s="17">
        <v>0.39652777777777781</v>
      </c>
      <c r="I713" s="9">
        <v>18310</v>
      </c>
      <c r="J713" s="9">
        <v>43610</v>
      </c>
      <c r="K713" s="10">
        <f t="shared" si="31"/>
        <v>-25300</v>
      </c>
      <c r="L713" s="10">
        <v>15581</v>
      </c>
      <c r="M713" s="11" t="s">
        <v>166</v>
      </c>
      <c r="N713" s="12">
        <v>504</v>
      </c>
      <c r="O713" s="13" t="s">
        <v>1099</v>
      </c>
      <c r="P713" s="14"/>
    </row>
    <row r="714" spans="1:16" x14ac:dyDescent="0.25">
      <c r="A714" s="6"/>
      <c r="B714" s="7">
        <v>44247</v>
      </c>
      <c r="C714" s="8" t="s">
        <v>208</v>
      </c>
      <c r="D714" s="8" t="s">
        <v>143</v>
      </c>
      <c r="E714" s="9" t="s">
        <v>144</v>
      </c>
      <c r="F714" s="9" t="s">
        <v>626</v>
      </c>
      <c r="G714" s="17">
        <v>0.37847222222222227</v>
      </c>
      <c r="H714" s="17">
        <v>0.38750000000000001</v>
      </c>
      <c r="I714" s="9">
        <v>39080</v>
      </c>
      <c r="J714" s="9">
        <v>17600</v>
      </c>
      <c r="K714" s="10">
        <f t="shared" si="31"/>
        <v>21480</v>
      </c>
      <c r="L714" s="10">
        <v>40565</v>
      </c>
      <c r="M714" s="11" t="s">
        <v>442</v>
      </c>
      <c r="N714" s="12">
        <v>21490</v>
      </c>
      <c r="O714" s="13" t="s">
        <v>32</v>
      </c>
      <c r="P714" s="14"/>
    </row>
    <row r="715" spans="1:16" x14ac:dyDescent="0.25">
      <c r="A715" s="6"/>
      <c r="B715" s="7">
        <v>44247</v>
      </c>
      <c r="C715" s="8" t="s">
        <v>973</v>
      </c>
      <c r="D715" s="8" t="s">
        <v>243</v>
      </c>
      <c r="E715" s="9" t="s">
        <v>440</v>
      </c>
      <c r="F715" s="9" t="s">
        <v>1276</v>
      </c>
      <c r="G715" s="17">
        <v>0.3979166666666667</v>
      </c>
      <c r="H715" s="17">
        <v>0.4152777777777778</v>
      </c>
      <c r="I715" s="9">
        <v>39990</v>
      </c>
      <c r="J715" s="9">
        <v>15320</v>
      </c>
      <c r="K715" s="10">
        <f t="shared" si="31"/>
        <v>24670</v>
      </c>
      <c r="L715" s="10">
        <v>23422</v>
      </c>
      <c r="M715" s="11" t="s">
        <v>1467</v>
      </c>
      <c r="N715" s="12">
        <v>21.6</v>
      </c>
      <c r="O715" s="13" t="s">
        <v>855</v>
      </c>
      <c r="P715" s="14"/>
    </row>
    <row r="716" spans="1:16" x14ac:dyDescent="0.25">
      <c r="A716" s="6"/>
      <c r="B716" s="7">
        <v>44247</v>
      </c>
      <c r="C716" s="8" t="s">
        <v>164</v>
      </c>
      <c r="D716" s="8" t="s">
        <v>143</v>
      </c>
      <c r="E716" s="9" t="s">
        <v>144</v>
      </c>
      <c r="F716" s="9" t="s">
        <v>626</v>
      </c>
      <c r="G716" s="17">
        <v>0.40902777777777777</v>
      </c>
      <c r="H716" s="17">
        <v>0.43402777777777773</v>
      </c>
      <c r="I716" s="9">
        <v>16380</v>
      </c>
      <c r="J716" s="9">
        <v>41680</v>
      </c>
      <c r="K716" s="10">
        <f t="shared" si="31"/>
        <v>-25300</v>
      </c>
      <c r="L716" s="10">
        <v>15582</v>
      </c>
      <c r="M716" s="11" t="s">
        <v>166</v>
      </c>
      <c r="N716" s="12">
        <v>504</v>
      </c>
      <c r="O716" s="13" t="s">
        <v>1099</v>
      </c>
      <c r="P716" s="14"/>
    </row>
    <row r="717" spans="1:16" x14ac:dyDescent="0.25">
      <c r="A717" s="6"/>
      <c r="B717" s="7">
        <v>44247</v>
      </c>
      <c r="C717" s="8" t="s">
        <v>1468</v>
      </c>
      <c r="D717" s="8" t="s">
        <v>284</v>
      </c>
      <c r="E717" s="9" t="s">
        <v>285</v>
      </c>
      <c r="F717" s="9" t="s">
        <v>286</v>
      </c>
      <c r="G717" s="17">
        <v>0.44375000000000003</v>
      </c>
      <c r="H717" s="17">
        <v>0.45208333333333334</v>
      </c>
      <c r="I717" s="9">
        <v>41900</v>
      </c>
      <c r="J717" s="9">
        <v>16240</v>
      </c>
      <c r="K717" s="10">
        <f t="shared" si="31"/>
        <v>25660</v>
      </c>
      <c r="L717" s="10" t="s">
        <v>1469</v>
      </c>
      <c r="M717" s="11" t="s">
        <v>1467</v>
      </c>
      <c r="N717" s="12">
        <f>6.6+14.4</f>
        <v>21</v>
      </c>
      <c r="O717" s="13" t="s">
        <v>855</v>
      </c>
      <c r="P717" s="14"/>
    </row>
    <row r="718" spans="1:16" x14ac:dyDescent="0.25">
      <c r="A718" s="6"/>
      <c r="B718" s="7">
        <v>44247</v>
      </c>
      <c r="C718" s="8" t="s">
        <v>984</v>
      </c>
      <c r="D718" s="8" t="s">
        <v>465</v>
      </c>
      <c r="E718" s="9" t="s">
        <v>881</v>
      </c>
      <c r="F718" s="9" t="s">
        <v>749</v>
      </c>
      <c r="G718" s="17">
        <v>0.44513888888888892</v>
      </c>
      <c r="H718" s="17">
        <v>0.45416666666666666</v>
      </c>
      <c r="I718" s="9">
        <v>41110</v>
      </c>
      <c r="J718" s="9">
        <v>16840</v>
      </c>
      <c r="K718" s="10">
        <f t="shared" si="31"/>
        <v>24270</v>
      </c>
      <c r="L718" s="10">
        <v>23423</v>
      </c>
      <c r="M718" s="11" t="s">
        <v>1041</v>
      </c>
      <c r="N718" s="12">
        <v>19.2</v>
      </c>
      <c r="O718" s="13" t="s">
        <v>855</v>
      </c>
      <c r="P718" s="14"/>
    </row>
    <row r="719" spans="1:16" x14ac:dyDescent="0.25">
      <c r="A719" s="6"/>
      <c r="B719" s="7">
        <v>44247</v>
      </c>
      <c r="C719" s="8" t="s">
        <v>984</v>
      </c>
      <c r="D719" s="8" t="s">
        <v>853</v>
      </c>
      <c r="E719" s="9" t="s">
        <v>51</v>
      </c>
      <c r="F719" s="9" t="s">
        <v>52</v>
      </c>
      <c r="G719" s="17">
        <v>0.4513888888888889</v>
      </c>
      <c r="H719" s="17">
        <v>0.45902777777777781</v>
      </c>
      <c r="I719" s="9">
        <v>36410</v>
      </c>
      <c r="J719" s="9">
        <v>16060</v>
      </c>
      <c r="K719" s="10">
        <f t="shared" si="31"/>
        <v>20350</v>
      </c>
      <c r="L719" s="10">
        <v>23423</v>
      </c>
      <c r="M719" s="11" t="s">
        <v>1041</v>
      </c>
      <c r="N719" s="12">
        <v>16.8</v>
      </c>
      <c r="O719" s="13" t="s">
        <v>855</v>
      </c>
      <c r="P719" s="14"/>
    </row>
    <row r="720" spans="1:16" x14ac:dyDescent="0.25">
      <c r="A720" s="6"/>
      <c r="B720" s="7">
        <v>44247</v>
      </c>
      <c r="C720" s="8" t="s">
        <v>164</v>
      </c>
      <c r="D720" s="8" t="s">
        <v>1284</v>
      </c>
      <c r="E720" s="9" t="s">
        <v>1285</v>
      </c>
      <c r="F720" s="9" t="s">
        <v>36</v>
      </c>
      <c r="G720" s="17">
        <v>0.45347222222222222</v>
      </c>
      <c r="H720" s="17">
        <v>0.47847222222222219</v>
      </c>
      <c r="I720" s="9">
        <v>18320</v>
      </c>
      <c r="J720" s="9">
        <v>43660</v>
      </c>
      <c r="K720" s="10">
        <f t="shared" si="31"/>
        <v>-25340</v>
      </c>
      <c r="L720" s="10">
        <v>15583</v>
      </c>
      <c r="M720" s="11" t="s">
        <v>166</v>
      </c>
      <c r="N720" s="12">
        <v>504</v>
      </c>
      <c r="O720" s="13" t="s">
        <v>1099</v>
      </c>
      <c r="P720" s="14"/>
    </row>
    <row r="721" spans="1:17" x14ac:dyDescent="0.25">
      <c r="A721" s="6"/>
      <c r="B721" s="7">
        <v>44247</v>
      </c>
      <c r="C721" s="8" t="s">
        <v>1403</v>
      </c>
      <c r="D721" s="8" t="s">
        <v>928</v>
      </c>
      <c r="E721" s="9" t="s">
        <v>628</v>
      </c>
      <c r="F721" s="9" t="s">
        <v>859</v>
      </c>
      <c r="G721" s="17">
        <v>0.46180555555555558</v>
      </c>
      <c r="H721" s="17">
        <v>0.47013888888888888</v>
      </c>
      <c r="I721" s="9">
        <v>23240</v>
      </c>
      <c r="J721" s="9">
        <v>9610</v>
      </c>
      <c r="K721" s="10">
        <f t="shared" si="31"/>
        <v>13630</v>
      </c>
      <c r="L721" s="10">
        <v>23424</v>
      </c>
      <c r="M721" s="11" t="s">
        <v>1041</v>
      </c>
      <c r="N721" s="12">
        <v>12</v>
      </c>
      <c r="O721" s="13" t="s">
        <v>855</v>
      </c>
      <c r="P721" s="14"/>
    </row>
    <row r="722" spans="1:17" x14ac:dyDescent="0.25">
      <c r="A722" s="6"/>
      <c r="B722" s="7">
        <v>44247</v>
      </c>
      <c r="C722" s="8" t="s">
        <v>1403</v>
      </c>
      <c r="D722" s="8" t="s">
        <v>1355</v>
      </c>
      <c r="E722" s="9" t="s">
        <v>1048</v>
      </c>
      <c r="F722" s="9" t="s">
        <v>526</v>
      </c>
      <c r="G722" s="17">
        <v>0.4770833333333333</v>
      </c>
      <c r="H722" s="17">
        <v>0.48402777777777778</v>
      </c>
      <c r="I722" s="9">
        <v>41160</v>
      </c>
      <c r="J722" s="9">
        <v>16860</v>
      </c>
      <c r="K722" s="10">
        <f t="shared" si="31"/>
        <v>24300</v>
      </c>
      <c r="L722" s="10">
        <v>23424</v>
      </c>
      <c r="M722" s="11" t="s">
        <v>1041</v>
      </c>
      <c r="N722" s="12">
        <v>21.6</v>
      </c>
      <c r="O722" s="13" t="s">
        <v>855</v>
      </c>
      <c r="P722" s="14"/>
      <c r="Q722" s="2"/>
    </row>
    <row r="723" spans="1:17" x14ac:dyDescent="0.25">
      <c r="A723" s="6"/>
      <c r="B723" s="7">
        <v>44247</v>
      </c>
      <c r="C723" s="8" t="s">
        <v>164</v>
      </c>
      <c r="D723" s="8" t="s">
        <v>143</v>
      </c>
      <c r="E723" s="9" t="s">
        <v>144</v>
      </c>
      <c r="F723" s="9" t="s">
        <v>626</v>
      </c>
      <c r="G723" s="17">
        <v>0.4916666666666667</v>
      </c>
      <c r="H723" s="17">
        <v>0.51458333333333328</v>
      </c>
      <c r="I723" s="9">
        <v>16420</v>
      </c>
      <c r="J723" s="9">
        <v>42170</v>
      </c>
      <c r="K723" s="10">
        <f t="shared" si="31"/>
        <v>-25750</v>
      </c>
      <c r="L723" s="10">
        <v>15584</v>
      </c>
      <c r="M723" s="11" t="s">
        <v>166</v>
      </c>
      <c r="N723" s="12">
        <v>511</v>
      </c>
      <c r="O723" s="13" t="s">
        <v>1099</v>
      </c>
      <c r="P723" s="14"/>
    </row>
    <row r="724" spans="1:17" x14ac:dyDescent="0.25">
      <c r="A724" s="6"/>
      <c r="B724" s="7">
        <v>44247</v>
      </c>
      <c r="C724" s="8" t="s">
        <v>1470</v>
      </c>
      <c r="D724" s="8" t="s">
        <v>198</v>
      </c>
      <c r="E724" s="9" t="s">
        <v>405</v>
      </c>
      <c r="F724" s="9" t="s">
        <v>161</v>
      </c>
      <c r="G724" s="17">
        <v>0.49791666666666662</v>
      </c>
      <c r="H724" s="17">
        <v>0.50277777777777777</v>
      </c>
      <c r="I724" s="9">
        <v>42470</v>
      </c>
      <c r="J724" s="9">
        <v>16540</v>
      </c>
      <c r="K724" s="10">
        <f t="shared" ref="K724:K787" si="33">+I724-J724</f>
        <v>25930</v>
      </c>
      <c r="L724" s="10" t="s">
        <v>1471</v>
      </c>
      <c r="M724" s="11" t="s">
        <v>1041</v>
      </c>
      <c r="N724" s="12">
        <f>16.8+6</f>
        <v>22.8</v>
      </c>
      <c r="O724" s="13" t="s">
        <v>855</v>
      </c>
      <c r="P724" s="14"/>
    </row>
    <row r="725" spans="1:17" x14ac:dyDescent="0.25">
      <c r="A725" s="6"/>
      <c r="B725" s="7">
        <v>44247</v>
      </c>
      <c r="C725" s="8" t="s">
        <v>1070</v>
      </c>
      <c r="D725" s="8" t="s">
        <v>243</v>
      </c>
      <c r="E725" s="9" t="s">
        <v>440</v>
      </c>
      <c r="F725" s="9" t="s">
        <v>1276</v>
      </c>
      <c r="G725" s="17">
        <v>0.51111111111111118</v>
      </c>
      <c r="H725" s="17">
        <v>0.51666666666666672</v>
      </c>
      <c r="I725" s="9">
        <v>41970</v>
      </c>
      <c r="J725" s="9">
        <v>15330</v>
      </c>
      <c r="K725" s="10">
        <f t="shared" si="33"/>
        <v>26640</v>
      </c>
      <c r="L725" s="10">
        <v>23425</v>
      </c>
      <c r="M725" s="11" t="s">
        <v>1041</v>
      </c>
      <c r="N725" s="12">
        <v>23.4</v>
      </c>
      <c r="O725" s="13" t="s">
        <v>855</v>
      </c>
      <c r="P725" s="14"/>
    </row>
    <row r="726" spans="1:17" x14ac:dyDescent="0.25">
      <c r="A726" s="6"/>
      <c r="B726" s="7">
        <v>44247</v>
      </c>
      <c r="C726" s="8" t="s">
        <v>962</v>
      </c>
      <c r="D726" s="8" t="s">
        <v>1205</v>
      </c>
      <c r="E726" s="9" t="s">
        <v>1206</v>
      </c>
      <c r="F726" s="9" t="s">
        <v>36</v>
      </c>
      <c r="G726" s="17">
        <v>0.54999999999999993</v>
      </c>
      <c r="H726" s="17">
        <v>0.62013888888888891</v>
      </c>
      <c r="I726" s="9">
        <v>12990</v>
      </c>
      <c r="J726" s="9">
        <v>9640</v>
      </c>
      <c r="K726" s="10">
        <f t="shared" si="33"/>
        <v>3350</v>
      </c>
      <c r="L726" s="10">
        <v>26513</v>
      </c>
      <c r="M726" s="11" t="s">
        <v>1041</v>
      </c>
      <c r="N726" s="12">
        <v>3350</v>
      </c>
      <c r="O726" s="13" t="s">
        <v>32</v>
      </c>
      <c r="P726" s="14"/>
    </row>
    <row r="727" spans="1:17" x14ac:dyDescent="0.25">
      <c r="A727" s="6"/>
      <c r="B727" s="7">
        <v>44247</v>
      </c>
      <c r="C727" s="8" t="s">
        <v>164</v>
      </c>
      <c r="D727" s="8" t="s">
        <v>1284</v>
      </c>
      <c r="E727" s="9" t="s">
        <v>1285</v>
      </c>
      <c r="F727" s="9" t="s">
        <v>36</v>
      </c>
      <c r="G727" s="17">
        <v>0.55138888888888882</v>
      </c>
      <c r="H727" s="17">
        <v>0.57430555555555551</v>
      </c>
      <c r="I727" s="9">
        <v>18310</v>
      </c>
      <c r="J727" s="9">
        <v>43630</v>
      </c>
      <c r="K727" s="10">
        <f t="shared" si="33"/>
        <v>-25320</v>
      </c>
      <c r="L727" s="10">
        <v>15585</v>
      </c>
      <c r="M727" s="11" t="s">
        <v>166</v>
      </c>
      <c r="N727" s="12">
        <v>504</v>
      </c>
      <c r="O727" s="13" t="s">
        <v>1099</v>
      </c>
      <c r="P727" s="14"/>
    </row>
    <row r="728" spans="1:17" x14ac:dyDescent="0.25">
      <c r="A728" s="6"/>
      <c r="B728" s="7">
        <v>44247</v>
      </c>
      <c r="C728" s="8" t="s">
        <v>1472</v>
      </c>
      <c r="D728" s="8" t="s">
        <v>899</v>
      </c>
      <c r="E728" s="9" t="s">
        <v>490</v>
      </c>
      <c r="F728" s="9" t="s">
        <v>491</v>
      </c>
      <c r="G728" s="17">
        <v>0.55208333333333337</v>
      </c>
      <c r="H728" s="17">
        <v>0.56736111111111109</v>
      </c>
      <c r="I728" s="9">
        <v>36950</v>
      </c>
      <c r="J728" s="9">
        <v>15810</v>
      </c>
      <c r="K728" s="10">
        <f t="shared" si="33"/>
        <v>21140</v>
      </c>
      <c r="L728" s="10" t="s">
        <v>1473</v>
      </c>
      <c r="M728" s="11" t="s">
        <v>1474</v>
      </c>
      <c r="N728" s="12">
        <f>10.2+8.4</f>
        <v>18.600000000000001</v>
      </c>
      <c r="O728" s="13" t="s">
        <v>855</v>
      </c>
      <c r="P728" s="14"/>
    </row>
    <row r="729" spans="1:17" x14ac:dyDescent="0.25">
      <c r="A729" s="6"/>
      <c r="B729" s="7">
        <v>44247</v>
      </c>
      <c r="C729" s="8" t="s">
        <v>991</v>
      </c>
      <c r="D729" s="8" t="s">
        <v>284</v>
      </c>
      <c r="E729" s="9" t="s">
        <v>285</v>
      </c>
      <c r="F729" s="9" t="s">
        <v>286</v>
      </c>
      <c r="G729" s="17">
        <v>0.55625000000000002</v>
      </c>
      <c r="H729" s="17">
        <v>0.56597222222222221</v>
      </c>
      <c r="I729" s="9">
        <v>42150</v>
      </c>
      <c r="J729" s="9">
        <v>16240</v>
      </c>
      <c r="K729" s="10">
        <f t="shared" si="33"/>
        <v>25910</v>
      </c>
      <c r="L729" s="10">
        <v>23428</v>
      </c>
      <c r="M729" s="11" t="s">
        <v>1041</v>
      </c>
      <c r="N729" s="12">
        <v>24</v>
      </c>
      <c r="O729" s="13" t="s">
        <v>855</v>
      </c>
      <c r="P729" s="14"/>
    </row>
    <row r="730" spans="1:17" x14ac:dyDescent="0.25">
      <c r="A730" s="6"/>
      <c r="B730" s="7">
        <v>44247</v>
      </c>
      <c r="C730" s="8" t="s">
        <v>991</v>
      </c>
      <c r="D730" s="8" t="s">
        <v>465</v>
      </c>
      <c r="E730" s="9" t="s">
        <v>881</v>
      </c>
      <c r="F730" s="9" t="s">
        <v>749</v>
      </c>
      <c r="G730" s="17">
        <v>0.5625</v>
      </c>
      <c r="H730" s="17">
        <v>0.5708333333333333</v>
      </c>
      <c r="I730" s="9">
        <v>40580</v>
      </c>
      <c r="J730" s="9">
        <v>16880</v>
      </c>
      <c r="K730" s="10">
        <f t="shared" si="33"/>
        <v>23700</v>
      </c>
      <c r="L730" s="10">
        <v>23428</v>
      </c>
      <c r="M730" s="11" t="s">
        <v>1041</v>
      </c>
      <c r="N730" s="12">
        <v>21.6</v>
      </c>
      <c r="O730" s="13" t="s">
        <v>855</v>
      </c>
      <c r="P730" s="14"/>
    </row>
    <row r="731" spans="1:17" x14ac:dyDescent="0.25">
      <c r="A731" s="6"/>
      <c r="B731" s="7">
        <v>44247</v>
      </c>
      <c r="C731" s="8" t="s">
        <v>991</v>
      </c>
      <c r="D731" s="8" t="s">
        <v>853</v>
      </c>
      <c r="E731" s="9" t="s">
        <v>51</v>
      </c>
      <c r="F731" s="9" t="s">
        <v>52</v>
      </c>
      <c r="G731" s="17">
        <v>0.56805555555555554</v>
      </c>
      <c r="H731" s="17">
        <v>0.57222222222222219</v>
      </c>
      <c r="I731" s="9">
        <v>40340</v>
      </c>
      <c r="J731" s="9">
        <v>15970</v>
      </c>
      <c r="K731" s="10">
        <f t="shared" si="33"/>
        <v>24370</v>
      </c>
      <c r="L731" s="10">
        <v>23428</v>
      </c>
      <c r="M731" s="11" t="s">
        <v>1041</v>
      </c>
      <c r="N731" s="12">
        <v>21.6</v>
      </c>
      <c r="O731" s="13" t="s">
        <v>855</v>
      </c>
      <c r="P731" s="14"/>
      <c r="Q731" s="1">
        <f>5*2.4</f>
        <v>12</v>
      </c>
    </row>
    <row r="732" spans="1:17" x14ac:dyDescent="0.25">
      <c r="A732" s="6"/>
      <c r="B732" s="7">
        <v>44247</v>
      </c>
      <c r="C732" s="8" t="s">
        <v>991</v>
      </c>
      <c r="D732" s="8" t="s">
        <v>928</v>
      </c>
      <c r="E732" s="9" t="s">
        <v>628</v>
      </c>
      <c r="F732" s="9" t="s">
        <v>859</v>
      </c>
      <c r="G732" s="17">
        <v>0.56944444444444442</v>
      </c>
      <c r="H732" s="17">
        <v>0.57847222222222217</v>
      </c>
      <c r="I732" s="9">
        <v>23260</v>
      </c>
      <c r="J732" s="9">
        <v>9600</v>
      </c>
      <c r="K732" s="10">
        <f t="shared" si="33"/>
        <v>13660</v>
      </c>
      <c r="L732" s="10">
        <v>23428</v>
      </c>
      <c r="M732" s="11" t="s">
        <v>1041</v>
      </c>
      <c r="N732" s="12">
        <v>12</v>
      </c>
      <c r="O732" s="13" t="s">
        <v>855</v>
      </c>
      <c r="P732" s="14"/>
    </row>
    <row r="733" spans="1:17" x14ac:dyDescent="0.25">
      <c r="A733" s="6"/>
      <c r="B733" s="7">
        <v>44247</v>
      </c>
      <c r="C733" s="8" t="s">
        <v>991</v>
      </c>
      <c r="D733" s="8" t="s">
        <v>1355</v>
      </c>
      <c r="E733" s="9" t="s">
        <v>1048</v>
      </c>
      <c r="F733" s="9" t="s">
        <v>526</v>
      </c>
      <c r="G733" s="17">
        <v>0.5756944444444444</v>
      </c>
      <c r="H733" s="17">
        <v>0.58333333333333337</v>
      </c>
      <c r="I733" s="9">
        <v>38500</v>
      </c>
      <c r="J733" s="9">
        <v>16830</v>
      </c>
      <c r="K733" s="10">
        <f t="shared" si="33"/>
        <v>21670</v>
      </c>
      <c r="L733" s="10">
        <v>23428</v>
      </c>
      <c r="M733" s="11" t="s">
        <v>1041</v>
      </c>
      <c r="N733" s="12">
        <v>19.2</v>
      </c>
      <c r="O733" s="13" t="s">
        <v>855</v>
      </c>
      <c r="P733" s="14"/>
    </row>
    <row r="734" spans="1:17" x14ac:dyDescent="0.25">
      <c r="A734" s="6"/>
      <c r="B734" s="7">
        <v>44247</v>
      </c>
      <c r="C734" s="8" t="s">
        <v>164</v>
      </c>
      <c r="D734" s="8" t="s">
        <v>143</v>
      </c>
      <c r="E734" s="9" t="s">
        <v>144</v>
      </c>
      <c r="F734" s="9" t="s">
        <v>626</v>
      </c>
      <c r="G734" s="17">
        <v>0.57708333333333328</v>
      </c>
      <c r="H734" s="17">
        <v>0.6</v>
      </c>
      <c r="I734" s="9">
        <v>16380</v>
      </c>
      <c r="J734" s="9">
        <v>41710</v>
      </c>
      <c r="K734" s="10">
        <f t="shared" si="33"/>
        <v>-25330</v>
      </c>
      <c r="L734" s="10">
        <v>15586</v>
      </c>
      <c r="M734" s="11" t="s">
        <v>166</v>
      </c>
      <c r="N734" s="12">
        <v>504</v>
      </c>
      <c r="O734" s="13" t="s">
        <v>1099</v>
      </c>
      <c r="P734" s="14"/>
    </row>
    <row r="735" spans="1:17" x14ac:dyDescent="0.25">
      <c r="A735" s="6"/>
      <c r="B735" s="7">
        <v>44247</v>
      </c>
      <c r="C735" s="8" t="s">
        <v>991</v>
      </c>
      <c r="D735" s="8" t="s">
        <v>198</v>
      </c>
      <c r="E735" s="9" t="s">
        <v>405</v>
      </c>
      <c r="F735" s="9" t="s">
        <v>161</v>
      </c>
      <c r="G735" s="17">
        <v>0.58680555555555558</v>
      </c>
      <c r="H735" s="17">
        <v>0.59166666666666667</v>
      </c>
      <c r="I735" s="9">
        <v>40240</v>
      </c>
      <c r="J735" s="9">
        <v>16540</v>
      </c>
      <c r="K735" s="10">
        <f t="shared" si="33"/>
        <v>23700</v>
      </c>
      <c r="L735" s="10">
        <v>23428</v>
      </c>
      <c r="M735" s="11" t="s">
        <v>1041</v>
      </c>
      <c r="N735" s="12">
        <v>21.6</v>
      </c>
      <c r="O735" s="13" t="s">
        <v>855</v>
      </c>
      <c r="P735" s="14"/>
    </row>
    <row r="736" spans="1:17" x14ac:dyDescent="0.25">
      <c r="A736" s="6"/>
      <c r="B736" s="7">
        <v>44247</v>
      </c>
      <c r="C736" s="8" t="s">
        <v>991</v>
      </c>
      <c r="D736" s="8" t="s">
        <v>243</v>
      </c>
      <c r="E736" s="9" t="s">
        <v>440</v>
      </c>
      <c r="F736" s="9" t="s">
        <v>1276</v>
      </c>
      <c r="G736" s="17">
        <v>0.59791666666666665</v>
      </c>
      <c r="H736" s="17">
        <v>0.62638888888888888</v>
      </c>
      <c r="I736" s="9">
        <v>38200</v>
      </c>
      <c r="J736" s="9">
        <v>15310</v>
      </c>
      <c r="K736" s="10">
        <f t="shared" si="33"/>
        <v>22890</v>
      </c>
      <c r="L736" s="10">
        <v>23428</v>
      </c>
      <c r="M736" s="11" t="s">
        <v>1041</v>
      </c>
      <c r="N736" s="12">
        <v>20.399999999999999</v>
      </c>
      <c r="O736" s="13" t="s">
        <v>855</v>
      </c>
      <c r="P736" s="14"/>
    </row>
    <row r="737" spans="1:16" x14ac:dyDescent="0.25">
      <c r="A737" s="6"/>
      <c r="B737" s="7">
        <v>44247</v>
      </c>
      <c r="C737" s="8" t="s">
        <v>962</v>
      </c>
      <c r="D737" s="8" t="s">
        <v>1205</v>
      </c>
      <c r="E737" s="9" t="s">
        <v>1206</v>
      </c>
      <c r="F737" s="9" t="s">
        <v>36</v>
      </c>
      <c r="G737" s="17">
        <v>0.62013888888888891</v>
      </c>
      <c r="H737" s="17">
        <v>0.64374999999999993</v>
      </c>
      <c r="I737" s="9">
        <v>9640</v>
      </c>
      <c r="J737" s="9">
        <v>6690</v>
      </c>
      <c r="K737" s="10">
        <f t="shared" si="33"/>
        <v>2950</v>
      </c>
      <c r="L737" s="10">
        <v>26514</v>
      </c>
      <c r="M737" s="11" t="s">
        <v>1208</v>
      </c>
      <c r="N737" s="12">
        <v>2950</v>
      </c>
      <c r="O737" s="13" t="s">
        <v>32</v>
      </c>
      <c r="P737" s="14"/>
    </row>
    <row r="738" spans="1:16" x14ac:dyDescent="0.25">
      <c r="A738" s="6"/>
      <c r="B738" s="7">
        <v>44247</v>
      </c>
      <c r="C738" s="8" t="s">
        <v>164</v>
      </c>
      <c r="D738" s="8" t="s">
        <v>1284</v>
      </c>
      <c r="E738" s="9" t="s">
        <v>1285</v>
      </c>
      <c r="F738" s="9" t="s">
        <v>36</v>
      </c>
      <c r="G738" s="17">
        <v>0.63541666666666663</v>
      </c>
      <c r="H738" s="17">
        <v>0.65763888888888888</v>
      </c>
      <c r="I738" s="9">
        <v>18330</v>
      </c>
      <c r="J738" s="9">
        <v>43580</v>
      </c>
      <c r="K738" s="10">
        <f t="shared" si="33"/>
        <v>-25250</v>
      </c>
      <c r="L738" s="10">
        <v>15588</v>
      </c>
      <c r="M738" s="11" t="s">
        <v>166</v>
      </c>
      <c r="N738" s="12">
        <v>504</v>
      </c>
      <c r="O738" s="13" t="s">
        <v>1099</v>
      </c>
      <c r="P738" s="14"/>
    </row>
    <row r="739" spans="1:16" x14ac:dyDescent="0.25">
      <c r="A739" s="6"/>
      <c r="B739" s="7">
        <v>44247</v>
      </c>
      <c r="C739" s="68" t="s">
        <v>1259</v>
      </c>
      <c r="D739" s="8" t="s">
        <v>464</v>
      </c>
      <c r="E739" s="9" t="s">
        <v>277</v>
      </c>
      <c r="F739" s="9" t="s">
        <v>128</v>
      </c>
      <c r="G739" s="17">
        <v>0.63888888888888895</v>
      </c>
      <c r="H739" s="17">
        <v>0.64652777777777781</v>
      </c>
      <c r="I739" s="9">
        <v>5720</v>
      </c>
      <c r="J739" s="9">
        <v>5600</v>
      </c>
      <c r="K739" s="10">
        <f t="shared" si="33"/>
        <v>120</v>
      </c>
      <c r="L739" s="10" t="s">
        <v>1463</v>
      </c>
      <c r="M739" s="72" t="s">
        <v>1466</v>
      </c>
      <c r="N739" s="12">
        <v>120</v>
      </c>
      <c r="O739" s="13" t="s">
        <v>32</v>
      </c>
      <c r="P739" s="14"/>
    </row>
    <row r="740" spans="1:16" x14ac:dyDescent="0.25">
      <c r="A740" s="6"/>
      <c r="B740" s="7">
        <v>44247</v>
      </c>
      <c r="C740" s="8" t="s">
        <v>1186</v>
      </c>
      <c r="D740" s="8" t="s">
        <v>899</v>
      </c>
      <c r="E740" s="9" t="s">
        <v>490</v>
      </c>
      <c r="F740" s="9" t="s">
        <v>491</v>
      </c>
      <c r="G740" s="17">
        <v>0.64027777777777783</v>
      </c>
      <c r="H740" s="17">
        <v>0.64930555555555558</v>
      </c>
      <c r="I740" s="9">
        <v>39830</v>
      </c>
      <c r="J740" s="9">
        <v>15800</v>
      </c>
      <c r="K740" s="10">
        <f t="shared" si="33"/>
        <v>24030</v>
      </c>
      <c r="L740" s="10">
        <v>23429</v>
      </c>
      <c r="M740" s="11" t="s">
        <v>1474</v>
      </c>
      <c r="N740" s="12">
        <v>21.6</v>
      </c>
      <c r="O740" s="13" t="s">
        <v>855</v>
      </c>
      <c r="P740" s="14"/>
    </row>
    <row r="741" spans="1:16" x14ac:dyDescent="0.25">
      <c r="A741" s="6"/>
      <c r="B741" s="7">
        <v>44247</v>
      </c>
      <c r="C741" s="8" t="s">
        <v>1075</v>
      </c>
      <c r="D741" s="8" t="s">
        <v>1076</v>
      </c>
      <c r="E741" s="9" t="s">
        <v>220</v>
      </c>
      <c r="F741" s="9" t="s">
        <v>221</v>
      </c>
      <c r="G741" s="17">
        <v>0.64166666666666672</v>
      </c>
      <c r="H741" s="17">
        <v>18.309999999999999</v>
      </c>
      <c r="I741" s="9">
        <v>17390</v>
      </c>
      <c r="J741" s="9">
        <v>9050</v>
      </c>
      <c r="K741" s="10">
        <f t="shared" si="33"/>
        <v>8340</v>
      </c>
      <c r="L741" s="10">
        <v>763</v>
      </c>
      <c r="M741" s="11" t="s">
        <v>1373</v>
      </c>
      <c r="N741" s="12">
        <v>8203</v>
      </c>
      <c r="O741" s="13" t="s">
        <v>32</v>
      </c>
      <c r="P741" s="14"/>
    </row>
    <row r="742" spans="1:16" x14ac:dyDescent="0.25">
      <c r="A742" s="6"/>
      <c r="B742" s="7">
        <v>44247</v>
      </c>
      <c r="C742" s="8" t="s">
        <v>130</v>
      </c>
      <c r="D742" s="8" t="s">
        <v>935</v>
      </c>
      <c r="E742" s="9" t="s">
        <v>473</v>
      </c>
      <c r="F742" s="9" t="s">
        <v>36</v>
      </c>
      <c r="G742" s="17">
        <v>0.6479166666666667</v>
      </c>
      <c r="H742" s="17">
        <v>0.71736111111111101</v>
      </c>
      <c r="I742" s="9">
        <v>38780</v>
      </c>
      <c r="J742" s="9">
        <v>16810</v>
      </c>
      <c r="K742" s="10">
        <f t="shared" si="33"/>
        <v>21970</v>
      </c>
      <c r="L742" s="10">
        <v>4940</v>
      </c>
      <c r="M742" s="11" t="s">
        <v>1475</v>
      </c>
      <c r="N742" s="12">
        <v>755</v>
      </c>
      <c r="O742" s="13" t="s">
        <v>1099</v>
      </c>
      <c r="P742" s="14"/>
    </row>
    <row r="743" spans="1:16" x14ac:dyDescent="0.25">
      <c r="A743" s="6"/>
      <c r="B743" s="7">
        <v>44247</v>
      </c>
      <c r="C743" s="8" t="s">
        <v>164</v>
      </c>
      <c r="D743" s="8" t="s">
        <v>143</v>
      </c>
      <c r="E743" s="9" t="s">
        <v>144</v>
      </c>
      <c r="F743" s="9" t="s">
        <v>626</v>
      </c>
      <c r="G743" s="17">
        <v>0.65347222222222223</v>
      </c>
      <c r="H743" s="17">
        <v>0.67499999999999993</v>
      </c>
      <c r="I743" s="9">
        <v>16400</v>
      </c>
      <c r="J743" s="9">
        <v>41680</v>
      </c>
      <c r="K743" s="10">
        <f t="shared" si="33"/>
        <v>-25280</v>
      </c>
      <c r="L743" s="10">
        <v>15589</v>
      </c>
      <c r="M743" s="11" t="s">
        <v>166</v>
      </c>
      <c r="N743" s="12">
        <v>504</v>
      </c>
      <c r="O743" s="13" t="s">
        <v>1099</v>
      </c>
      <c r="P743" s="14"/>
    </row>
    <row r="744" spans="1:16" x14ac:dyDescent="0.25">
      <c r="A744" s="6"/>
      <c r="B744" s="7">
        <v>44247</v>
      </c>
      <c r="C744" s="8" t="s">
        <v>1186</v>
      </c>
      <c r="D744" s="8" t="s">
        <v>284</v>
      </c>
      <c r="E744" s="9" t="s">
        <v>285</v>
      </c>
      <c r="F744" s="9" t="s">
        <v>286</v>
      </c>
      <c r="G744" s="17">
        <v>0.65972222222222221</v>
      </c>
      <c r="H744" s="17">
        <v>0.6694444444444444</v>
      </c>
      <c r="I744" s="9">
        <v>40170</v>
      </c>
      <c r="J744" s="9">
        <v>16230</v>
      </c>
      <c r="K744" s="10">
        <f t="shared" si="33"/>
        <v>23940</v>
      </c>
      <c r="L744" s="10">
        <v>23429</v>
      </c>
      <c r="M744" s="11" t="s">
        <v>1474</v>
      </c>
      <c r="N744" s="12">
        <v>21.6</v>
      </c>
      <c r="O744" s="13" t="s">
        <v>855</v>
      </c>
      <c r="P744" s="14"/>
    </row>
    <row r="745" spans="1:16" x14ac:dyDescent="0.25">
      <c r="A745" s="6"/>
      <c r="B745" s="7">
        <v>44247</v>
      </c>
      <c r="C745" s="8" t="s">
        <v>1476</v>
      </c>
      <c r="D745" s="8" t="s">
        <v>928</v>
      </c>
      <c r="E745" s="9" t="s">
        <v>628</v>
      </c>
      <c r="F745" s="9" t="s">
        <v>859</v>
      </c>
      <c r="G745" s="17">
        <v>0.67152777777777783</v>
      </c>
      <c r="H745" s="17">
        <v>0.67708333333333337</v>
      </c>
      <c r="I745" s="9">
        <v>12830</v>
      </c>
      <c r="J745" s="9">
        <v>9690</v>
      </c>
      <c r="K745" s="10">
        <f t="shared" si="33"/>
        <v>3140</v>
      </c>
      <c r="L745" s="10">
        <v>23431</v>
      </c>
      <c r="M745" s="11" t="s">
        <v>1359</v>
      </c>
      <c r="N745" s="12">
        <v>3140</v>
      </c>
      <c r="O745" s="13" t="s">
        <v>32</v>
      </c>
      <c r="P745" s="14" t="s">
        <v>1477</v>
      </c>
    </row>
    <row r="746" spans="1:16" x14ac:dyDescent="0.25">
      <c r="A746" s="6"/>
      <c r="B746" s="7">
        <v>44247</v>
      </c>
      <c r="C746" s="8" t="s">
        <v>1478</v>
      </c>
      <c r="D746" s="8" t="s">
        <v>853</v>
      </c>
      <c r="E746" s="9" t="s">
        <v>51</v>
      </c>
      <c r="F746" s="9" t="s">
        <v>52</v>
      </c>
      <c r="G746" s="17">
        <v>0.69097222222222221</v>
      </c>
      <c r="H746" s="17">
        <v>0.69930555555555562</v>
      </c>
      <c r="I746" s="9">
        <v>40670</v>
      </c>
      <c r="J746" s="9">
        <v>15890</v>
      </c>
      <c r="K746" s="10">
        <f t="shared" si="33"/>
        <v>24780</v>
      </c>
      <c r="L746" s="10" t="s">
        <v>1483</v>
      </c>
      <c r="M746" s="11" t="s">
        <v>1474</v>
      </c>
      <c r="N746" s="12">
        <f>2.4+4.2+14.4</f>
        <v>21</v>
      </c>
      <c r="O746" s="13" t="s">
        <v>855</v>
      </c>
      <c r="P746" s="14"/>
    </row>
    <row r="747" spans="1:16" x14ac:dyDescent="0.25">
      <c r="A747" s="6"/>
      <c r="B747" s="7">
        <v>44247</v>
      </c>
      <c r="C747" s="8" t="s">
        <v>1479</v>
      </c>
      <c r="D747" s="8" t="s">
        <v>299</v>
      </c>
      <c r="E747" s="9" t="s">
        <v>813</v>
      </c>
      <c r="F747" s="9" t="s">
        <v>814</v>
      </c>
      <c r="G747" s="17">
        <v>0.69861111111111107</v>
      </c>
      <c r="H747" s="17"/>
      <c r="I747" s="9">
        <v>17980</v>
      </c>
      <c r="J747" s="9"/>
      <c r="K747" s="10">
        <f t="shared" si="33"/>
        <v>17980</v>
      </c>
      <c r="L747" s="10">
        <v>90</v>
      </c>
      <c r="M747" s="11" t="s">
        <v>1480</v>
      </c>
      <c r="N747" s="12">
        <v>40</v>
      </c>
      <c r="O747" s="13" t="s">
        <v>80</v>
      </c>
      <c r="P747" s="14"/>
    </row>
    <row r="748" spans="1:16" x14ac:dyDescent="0.25">
      <c r="A748" s="6"/>
      <c r="B748" s="7">
        <v>44247</v>
      </c>
      <c r="C748" s="8" t="s">
        <v>1481</v>
      </c>
      <c r="D748" s="8" t="s">
        <v>465</v>
      </c>
      <c r="E748" s="9" t="s">
        <v>881</v>
      </c>
      <c r="F748" s="9" t="s">
        <v>749</v>
      </c>
      <c r="G748" s="17">
        <v>0.72638888888888886</v>
      </c>
      <c r="H748" s="17">
        <v>0.7416666666666667</v>
      </c>
      <c r="I748" s="9">
        <v>27170</v>
      </c>
      <c r="J748" s="9">
        <v>16790</v>
      </c>
      <c r="K748" s="10">
        <f t="shared" si="33"/>
        <v>10380</v>
      </c>
      <c r="L748" s="10">
        <v>23435</v>
      </c>
      <c r="M748" s="11" t="s">
        <v>1474</v>
      </c>
      <c r="N748" s="12">
        <v>9</v>
      </c>
      <c r="O748" s="13" t="s">
        <v>855</v>
      </c>
      <c r="P748" s="14"/>
    </row>
    <row r="749" spans="1:16" x14ac:dyDescent="0.25">
      <c r="A749" s="6"/>
      <c r="B749" s="7">
        <v>44247</v>
      </c>
      <c r="C749" s="8" t="s">
        <v>1417</v>
      </c>
      <c r="D749" s="8" t="s">
        <v>1355</v>
      </c>
      <c r="E749" s="9" t="s">
        <v>1048</v>
      </c>
      <c r="F749" s="9" t="s">
        <v>526</v>
      </c>
      <c r="G749" s="17">
        <v>0.7284722222222223</v>
      </c>
      <c r="H749" s="17">
        <v>0.74513888888888891</v>
      </c>
      <c r="I749" s="9">
        <v>37110</v>
      </c>
      <c r="J749" s="9">
        <v>16830</v>
      </c>
      <c r="K749" s="10">
        <f t="shared" si="33"/>
        <v>20280</v>
      </c>
      <c r="L749" s="10">
        <v>23435</v>
      </c>
      <c r="M749" s="11" t="s">
        <v>1474</v>
      </c>
      <c r="N749" s="12">
        <v>19.2</v>
      </c>
      <c r="O749" s="13" t="s">
        <v>855</v>
      </c>
      <c r="P749" s="14"/>
    </row>
    <row r="750" spans="1:16" x14ac:dyDescent="0.25">
      <c r="A750" s="6"/>
      <c r="B750" s="7">
        <v>44247</v>
      </c>
      <c r="C750" s="8" t="s">
        <v>1417</v>
      </c>
      <c r="D750" s="8" t="s">
        <v>198</v>
      </c>
      <c r="E750" s="9" t="s">
        <v>405</v>
      </c>
      <c r="F750" s="9" t="s">
        <v>161</v>
      </c>
      <c r="G750" s="17">
        <v>0.73472222222222217</v>
      </c>
      <c r="H750" s="17">
        <v>0.78472222222222221</v>
      </c>
      <c r="I750" s="9">
        <v>39320</v>
      </c>
      <c r="J750" s="9">
        <v>16520</v>
      </c>
      <c r="K750" s="10">
        <f t="shared" si="33"/>
        <v>22800</v>
      </c>
      <c r="L750" s="10">
        <v>23435</v>
      </c>
      <c r="M750" s="11" t="s">
        <v>1474</v>
      </c>
      <c r="N750" s="12">
        <v>19.2</v>
      </c>
      <c r="O750" s="13" t="s">
        <v>855</v>
      </c>
      <c r="P750" s="14"/>
    </row>
    <row r="751" spans="1:16" x14ac:dyDescent="0.25">
      <c r="A751" s="6"/>
      <c r="B751" s="7">
        <v>44247</v>
      </c>
      <c r="C751" s="8" t="s">
        <v>1417</v>
      </c>
      <c r="D751" s="8" t="s">
        <v>243</v>
      </c>
      <c r="E751" s="9" t="s">
        <v>440</v>
      </c>
      <c r="F751" s="9" t="s">
        <v>1276</v>
      </c>
      <c r="G751" s="17">
        <v>0.73749999999999993</v>
      </c>
      <c r="H751" s="17">
        <v>0.77638888888888891</v>
      </c>
      <c r="I751" s="9">
        <v>35930</v>
      </c>
      <c r="J751" s="9">
        <v>15330</v>
      </c>
      <c r="K751" s="10">
        <f>+I751-J751</f>
        <v>20600</v>
      </c>
      <c r="L751" s="10">
        <v>23435</v>
      </c>
      <c r="M751" s="11" t="s">
        <v>1474</v>
      </c>
      <c r="N751" s="12">
        <v>19.2</v>
      </c>
      <c r="O751" s="13" t="s">
        <v>32</v>
      </c>
      <c r="P751" s="14" t="s">
        <v>1357</v>
      </c>
    </row>
    <row r="752" spans="1:16" x14ac:dyDescent="0.25">
      <c r="A752" s="6"/>
      <c r="B752" s="7">
        <v>44247</v>
      </c>
      <c r="C752" s="8" t="s">
        <v>1083</v>
      </c>
      <c r="D752" s="8" t="s">
        <v>1084</v>
      </c>
      <c r="E752" s="9" t="s">
        <v>1420</v>
      </c>
      <c r="F752" s="9" t="s">
        <v>1454</v>
      </c>
      <c r="G752" s="17">
        <v>0.7402777777777777</v>
      </c>
      <c r="H752" s="17">
        <v>0.78749999999999998</v>
      </c>
      <c r="I752" s="9">
        <v>9870</v>
      </c>
      <c r="J752" s="9">
        <v>6880</v>
      </c>
      <c r="K752" s="10">
        <f t="shared" ref="K752" si="34">+I752-J752</f>
        <v>2990</v>
      </c>
      <c r="L752" s="10">
        <v>20181</v>
      </c>
      <c r="M752" s="11" t="s">
        <v>1087</v>
      </c>
      <c r="N752" s="12">
        <v>2990</v>
      </c>
      <c r="O752" s="13" t="s">
        <v>32</v>
      </c>
      <c r="P752" s="14" t="s">
        <v>1357</v>
      </c>
    </row>
    <row r="753" spans="1:16" x14ac:dyDescent="0.25">
      <c r="A753" s="6"/>
      <c r="B753" s="7">
        <v>44247</v>
      </c>
      <c r="C753" s="8" t="s">
        <v>1417</v>
      </c>
      <c r="D753" s="8" t="s">
        <v>899</v>
      </c>
      <c r="E753" s="9" t="s">
        <v>490</v>
      </c>
      <c r="F753" s="9" t="s">
        <v>491</v>
      </c>
      <c r="G753" s="17">
        <v>0.74930555555555556</v>
      </c>
      <c r="H753" s="17">
        <v>0.77847222222222223</v>
      </c>
      <c r="I753" s="9">
        <v>36770</v>
      </c>
      <c r="J753" s="9">
        <v>15790</v>
      </c>
      <c r="K753" s="10">
        <f t="shared" si="33"/>
        <v>20980</v>
      </c>
      <c r="L753" s="10">
        <v>23434</v>
      </c>
      <c r="M753" s="11" t="s">
        <v>1474</v>
      </c>
      <c r="N753" s="12">
        <v>19.2</v>
      </c>
      <c r="O753" s="13" t="s">
        <v>855</v>
      </c>
      <c r="P753" s="14"/>
    </row>
    <row r="754" spans="1:16" x14ac:dyDescent="0.25">
      <c r="A754" s="6"/>
      <c r="B754" s="7">
        <v>44247</v>
      </c>
      <c r="C754" s="8" t="s">
        <v>1417</v>
      </c>
      <c r="D754" s="8" t="s">
        <v>284</v>
      </c>
      <c r="E754" s="9" t="s">
        <v>285</v>
      </c>
      <c r="F754" s="9" t="s">
        <v>286</v>
      </c>
      <c r="G754" s="17">
        <v>0.76597222222222217</v>
      </c>
      <c r="H754" s="17">
        <v>0.78611111111111109</v>
      </c>
      <c r="I754" s="9">
        <v>39450</v>
      </c>
      <c r="J754" s="9">
        <v>16250</v>
      </c>
      <c r="K754" s="10">
        <f t="shared" si="33"/>
        <v>23200</v>
      </c>
      <c r="L754" s="10">
        <v>23434</v>
      </c>
      <c r="M754" s="11" t="s">
        <v>1474</v>
      </c>
      <c r="N754" s="12">
        <v>21.6</v>
      </c>
      <c r="O754" s="13" t="s">
        <v>855</v>
      </c>
      <c r="P754" s="14"/>
    </row>
    <row r="755" spans="1:16" x14ac:dyDescent="0.25">
      <c r="A755" s="6"/>
      <c r="B755" s="7">
        <v>44247</v>
      </c>
      <c r="C755" s="8" t="s">
        <v>1417</v>
      </c>
      <c r="D755" s="8" t="s">
        <v>928</v>
      </c>
      <c r="E755" s="9" t="s">
        <v>628</v>
      </c>
      <c r="F755" s="9" t="s">
        <v>859</v>
      </c>
      <c r="G755" s="17">
        <v>0.7680555555555556</v>
      </c>
      <c r="H755" s="17">
        <v>0.78263888888888899</v>
      </c>
      <c r="I755" s="9">
        <v>14570</v>
      </c>
      <c r="J755" s="9">
        <v>9690</v>
      </c>
      <c r="K755" s="10">
        <f t="shared" si="33"/>
        <v>4880</v>
      </c>
      <c r="L755" s="10">
        <v>23434</v>
      </c>
      <c r="M755" s="11" t="s">
        <v>1482</v>
      </c>
      <c r="N755" s="12">
        <v>4.8</v>
      </c>
      <c r="O755" s="13" t="s">
        <v>855</v>
      </c>
      <c r="P755" s="14"/>
    </row>
    <row r="756" spans="1:16" x14ac:dyDescent="0.25">
      <c r="A756" s="6"/>
      <c r="B756" s="7">
        <v>44247</v>
      </c>
      <c r="C756" s="8" t="s">
        <v>962</v>
      </c>
      <c r="D756" s="8" t="s">
        <v>1230</v>
      </c>
      <c r="E756" s="9" t="s">
        <v>1315</v>
      </c>
      <c r="F756" s="9" t="s">
        <v>36</v>
      </c>
      <c r="G756" s="17">
        <v>0.78125</v>
      </c>
      <c r="H756" s="17">
        <v>0.81805555555555554</v>
      </c>
      <c r="I756" s="9">
        <v>12210</v>
      </c>
      <c r="J756" s="9">
        <v>8300</v>
      </c>
      <c r="K756" s="10">
        <f t="shared" si="33"/>
        <v>3910</v>
      </c>
      <c r="L756" s="10">
        <v>26515</v>
      </c>
      <c r="M756" s="11" t="s">
        <v>966</v>
      </c>
      <c r="N756" s="12">
        <v>3910</v>
      </c>
      <c r="O756" s="13" t="s">
        <v>32</v>
      </c>
      <c r="P756" s="14"/>
    </row>
    <row r="757" spans="1:16" x14ac:dyDescent="0.25">
      <c r="A757" s="6"/>
      <c r="B757" s="7">
        <v>44247</v>
      </c>
      <c r="C757" s="8" t="s">
        <v>962</v>
      </c>
      <c r="D757" s="8" t="s">
        <v>1230</v>
      </c>
      <c r="E757" s="9" t="s">
        <v>1315</v>
      </c>
      <c r="F757" s="9" t="s">
        <v>36</v>
      </c>
      <c r="G757" s="17">
        <v>0.81944444444444453</v>
      </c>
      <c r="H757" s="17">
        <v>0.84444444444444444</v>
      </c>
      <c r="I757" s="9">
        <v>8300</v>
      </c>
      <c r="J757" s="9">
        <v>4090</v>
      </c>
      <c r="K757" s="10">
        <f t="shared" si="33"/>
        <v>4210</v>
      </c>
      <c r="L757" s="10">
        <v>26516</v>
      </c>
      <c r="M757" s="11" t="s">
        <v>1041</v>
      </c>
      <c r="N757" s="12">
        <v>4210</v>
      </c>
      <c r="O757" s="13" t="s">
        <v>32</v>
      </c>
      <c r="P757" s="14"/>
    </row>
    <row r="758" spans="1:16" x14ac:dyDescent="0.25">
      <c r="A758" s="6"/>
      <c r="B758" s="7">
        <v>44247</v>
      </c>
      <c r="C758" s="8" t="s">
        <v>962</v>
      </c>
      <c r="D758" s="8" t="s">
        <v>1205</v>
      </c>
      <c r="E758" s="9" t="s">
        <v>1206</v>
      </c>
      <c r="F758" s="9" t="s">
        <v>36</v>
      </c>
      <c r="G758" s="17">
        <v>0.84791666666666676</v>
      </c>
      <c r="H758" s="17">
        <v>0.97499999999999998</v>
      </c>
      <c r="I758" s="9">
        <v>13520</v>
      </c>
      <c r="J758" s="9">
        <v>8520</v>
      </c>
      <c r="K758" s="10">
        <f t="shared" si="33"/>
        <v>5000</v>
      </c>
      <c r="L758" s="10">
        <v>26518</v>
      </c>
      <c r="M758" s="11" t="s">
        <v>966</v>
      </c>
      <c r="N758" s="12">
        <v>5000</v>
      </c>
      <c r="O758" s="13" t="s">
        <v>32</v>
      </c>
      <c r="P758" s="14"/>
    </row>
    <row r="759" spans="1:16" x14ac:dyDescent="0.25">
      <c r="A759" s="6"/>
      <c r="B759" s="7">
        <v>44247</v>
      </c>
      <c r="C759" s="8" t="s">
        <v>962</v>
      </c>
      <c r="D759" s="8" t="s">
        <v>928</v>
      </c>
      <c r="E759" s="9" t="s">
        <v>628</v>
      </c>
      <c r="F759" s="9" t="s">
        <v>859</v>
      </c>
      <c r="G759" s="17">
        <v>0.8979166666666667</v>
      </c>
      <c r="H759" s="17">
        <v>0.9159722222222223</v>
      </c>
      <c r="I759" s="9">
        <v>19000</v>
      </c>
      <c r="J759" s="9">
        <v>9690</v>
      </c>
      <c r="K759" s="10">
        <f t="shared" si="33"/>
        <v>9310</v>
      </c>
      <c r="L759" s="10">
        <v>26517</v>
      </c>
      <c r="M759" s="11" t="s">
        <v>966</v>
      </c>
      <c r="N759" s="12">
        <v>9310</v>
      </c>
      <c r="O759" s="13" t="s">
        <v>32</v>
      </c>
      <c r="P759" s="14"/>
    </row>
    <row r="760" spans="1:16" x14ac:dyDescent="0.25">
      <c r="A760" s="6"/>
      <c r="B760" s="7">
        <v>44247</v>
      </c>
      <c r="C760" s="8" t="s">
        <v>37</v>
      </c>
      <c r="D760" s="8" t="s">
        <v>1001</v>
      </c>
      <c r="E760" s="9" t="s">
        <v>1002</v>
      </c>
      <c r="F760" s="9" t="s">
        <v>36</v>
      </c>
      <c r="G760" s="17">
        <v>0.90763888888888899</v>
      </c>
      <c r="H760" s="17">
        <v>1.3194444444444444E-2</v>
      </c>
      <c r="I760" s="9">
        <v>9985</v>
      </c>
      <c r="J760" s="9">
        <v>4070</v>
      </c>
      <c r="K760" s="10">
        <f t="shared" si="33"/>
        <v>5915</v>
      </c>
      <c r="L760" s="10">
        <v>26520</v>
      </c>
      <c r="M760" s="11" t="s">
        <v>1484</v>
      </c>
      <c r="N760" s="12">
        <v>5915</v>
      </c>
      <c r="O760" s="13" t="s">
        <v>32</v>
      </c>
      <c r="P760" s="14"/>
    </row>
    <row r="761" spans="1:16" x14ac:dyDescent="0.25">
      <c r="A761" s="6"/>
      <c r="B761" s="7">
        <v>44247</v>
      </c>
      <c r="C761" s="8" t="s">
        <v>328</v>
      </c>
      <c r="D761" s="8" t="s">
        <v>530</v>
      </c>
      <c r="E761" s="9" t="s">
        <v>699</v>
      </c>
      <c r="F761" s="9" t="s">
        <v>140</v>
      </c>
      <c r="G761" s="17">
        <v>0.9291666666666667</v>
      </c>
      <c r="H761" s="17">
        <v>1.1111111111111112E-2</v>
      </c>
      <c r="I761" s="9">
        <v>22090</v>
      </c>
      <c r="J761" s="9">
        <v>8250</v>
      </c>
      <c r="K761" s="10">
        <f t="shared" si="33"/>
        <v>13840</v>
      </c>
      <c r="L761" s="10">
        <v>1541</v>
      </c>
      <c r="M761" s="11" t="s">
        <v>1485</v>
      </c>
      <c r="N761" s="12">
        <v>28896.400000000001</v>
      </c>
      <c r="O761" s="13" t="s">
        <v>49</v>
      </c>
      <c r="P761" s="14"/>
    </row>
    <row r="762" spans="1:16" x14ac:dyDescent="0.25">
      <c r="A762" s="6"/>
      <c r="B762" s="7">
        <v>44247</v>
      </c>
      <c r="C762" s="8" t="s">
        <v>37</v>
      </c>
      <c r="D762" s="8" t="s">
        <v>122</v>
      </c>
      <c r="E762" s="9" t="s">
        <v>967</v>
      </c>
      <c r="F762" s="9" t="s">
        <v>36</v>
      </c>
      <c r="G762" s="17">
        <v>0.94930555555555562</v>
      </c>
      <c r="H762" s="17">
        <v>2.9861111111111113E-2</v>
      </c>
      <c r="I762" s="9">
        <v>20405</v>
      </c>
      <c r="J762" s="9">
        <v>6420</v>
      </c>
      <c r="K762" s="10">
        <f t="shared" si="33"/>
        <v>13985</v>
      </c>
      <c r="L762" s="10">
        <v>26521</v>
      </c>
      <c r="M762" s="11" t="s">
        <v>1486</v>
      </c>
      <c r="N762" s="12">
        <v>13985</v>
      </c>
      <c r="O762" s="13" t="s">
        <v>32</v>
      </c>
      <c r="P762" s="14"/>
    </row>
    <row r="763" spans="1:16" x14ac:dyDescent="0.25">
      <c r="A763" s="6"/>
      <c r="B763" s="7">
        <v>44247</v>
      </c>
      <c r="C763" s="8" t="s">
        <v>962</v>
      </c>
      <c r="D763" s="8" t="s">
        <v>1205</v>
      </c>
      <c r="E763" s="9" t="s">
        <v>1206</v>
      </c>
      <c r="F763" s="9" t="s">
        <v>36</v>
      </c>
      <c r="G763" s="17">
        <v>0.97638888888888886</v>
      </c>
      <c r="H763" s="17">
        <v>0.99930555555555556</v>
      </c>
      <c r="I763" s="9">
        <v>8520</v>
      </c>
      <c r="J763" s="9">
        <v>6690</v>
      </c>
      <c r="K763" s="10">
        <f t="shared" si="33"/>
        <v>1830</v>
      </c>
      <c r="L763" s="10">
        <v>26519</v>
      </c>
      <c r="M763" s="11" t="s">
        <v>1041</v>
      </c>
      <c r="N763" s="12">
        <v>1830</v>
      </c>
      <c r="O763" s="13" t="s">
        <v>32</v>
      </c>
      <c r="P763" s="14"/>
    </row>
    <row r="764" spans="1:16" x14ac:dyDescent="0.25">
      <c r="A764" s="6"/>
      <c r="B764" s="7">
        <v>44247</v>
      </c>
      <c r="C764" s="8" t="s">
        <v>1487</v>
      </c>
      <c r="D764" s="8" t="s">
        <v>928</v>
      </c>
      <c r="E764" s="9" t="s">
        <v>628</v>
      </c>
      <c r="F764" s="9" t="s">
        <v>859</v>
      </c>
      <c r="G764" s="17">
        <v>0.98819444444444438</v>
      </c>
      <c r="H764" s="17">
        <v>0.99583333333333324</v>
      </c>
      <c r="I764" s="9">
        <v>12040</v>
      </c>
      <c r="J764" s="9">
        <v>9680</v>
      </c>
      <c r="K764" s="10">
        <f t="shared" si="33"/>
        <v>2360</v>
      </c>
      <c r="L764" s="10">
        <v>23436</v>
      </c>
      <c r="M764" s="11" t="s">
        <v>1400</v>
      </c>
      <c r="N764" s="12">
        <v>2360</v>
      </c>
      <c r="O764" s="13" t="s">
        <v>32</v>
      </c>
      <c r="P764" s="14" t="s">
        <v>1488</v>
      </c>
    </row>
    <row r="765" spans="1:16" x14ac:dyDescent="0.25">
      <c r="A765" s="6"/>
      <c r="B765" s="7">
        <v>44247</v>
      </c>
      <c r="C765" s="8" t="s">
        <v>1431</v>
      </c>
      <c r="D765" s="8" t="s">
        <v>465</v>
      </c>
      <c r="E765" s="9" t="s">
        <v>440</v>
      </c>
      <c r="F765" s="9" t="s">
        <v>1276</v>
      </c>
      <c r="G765" s="17">
        <v>0.99305555555555547</v>
      </c>
      <c r="H765" s="17">
        <v>3.472222222222222E-3</v>
      </c>
      <c r="I765" s="9">
        <v>22360</v>
      </c>
      <c r="J765" s="9">
        <v>15330</v>
      </c>
      <c r="K765" s="10">
        <f t="shared" si="33"/>
        <v>7030</v>
      </c>
      <c r="L765" s="10">
        <v>23437</v>
      </c>
      <c r="M765" s="11" t="s">
        <v>978</v>
      </c>
      <c r="N765" s="12">
        <v>7030</v>
      </c>
      <c r="O765" s="13" t="s">
        <v>32</v>
      </c>
      <c r="P765" s="14" t="s">
        <v>1489</v>
      </c>
    </row>
    <row r="766" spans="1:16" x14ac:dyDescent="0.25">
      <c r="A766" s="6"/>
      <c r="B766" s="7">
        <v>44248</v>
      </c>
      <c r="C766" s="8" t="s">
        <v>1083</v>
      </c>
      <c r="D766" s="8" t="s">
        <v>928</v>
      </c>
      <c r="E766" s="9" t="s">
        <v>628</v>
      </c>
      <c r="F766" s="9" t="s">
        <v>859</v>
      </c>
      <c r="G766" s="17">
        <v>4.5138888888888888E-2</v>
      </c>
      <c r="H766" s="17">
        <v>5.1388888888888894E-2</v>
      </c>
      <c r="I766" s="9">
        <v>10880</v>
      </c>
      <c r="J766" s="9">
        <v>9670</v>
      </c>
      <c r="K766" s="10">
        <f t="shared" si="33"/>
        <v>1210</v>
      </c>
      <c r="L766" s="10">
        <v>24325</v>
      </c>
      <c r="M766" s="11" t="s">
        <v>1490</v>
      </c>
      <c r="N766" s="12">
        <v>1210</v>
      </c>
      <c r="O766" s="13" t="s">
        <v>32</v>
      </c>
      <c r="P766" s="14"/>
    </row>
    <row r="767" spans="1:16" x14ac:dyDescent="0.25">
      <c r="A767" s="6"/>
      <c r="B767" s="15">
        <v>44248</v>
      </c>
      <c r="C767" s="16" t="s">
        <v>971</v>
      </c>
      <c r="D767" s="8" t="s">
        <v>174</v>
      </c>
      <c r="E767" s="9" t="s">
        <v>110</v>
      </c>
      <c r="F767" s="9" t="s">
        <v>111</v>
      </c>
      <c r="G767" s="17">
        <v>0.375</v>
      </c>
      <c r="H767" s="17">
        <v>0.4680555555555555</v>
      </c>
      <c r="I767" s="9">
        <v>14180</v>
      </c>
      <c r="J767" s="9">
        <v>6490</v>
      </c>
      <c r="K767" s="10">
        <f t="shared" si="33"/>
        <v>7690</v>
      </c>
      <c r="L767" s="10">
        <v>104</v>
      </c>
      <c r="M767" s="11" t="s">
        <v>1485</v>
      </c>
      <c r="N767" s="12">
        <v>16094</v>
      </c>
      <c r="O767" s="13" t="s">
        <v>49</v>
      </c>
      <c r="P767" s="14"/>
    </row>
    <row r="768" spans="1:16" x14ac:dyDescent="0.25">
      <c r="A768" s="6"/>
      <c r="B768" s="7">
        <v>44248</v>
      </c>
      <c r="C768" s="8" t="s">
        <v>1290</v>
      </c>
      <c r="D768" s="8" t="s">
        <v>928</v>
      </c>
      <c r="E768" s="9" t="s">
        <v>628</v>
      </c>
      <c r="F768" s="9" t="s">
        <v>859</v>
      </c>
      <c r="G768" s="17">
        <v>0.41388888888888892</v>
      </c>
      <c r="H768" s="17">
        <v>0.41944444444444445</v>
      </c>
      <c r="I768" s="9">
        <v>10670</v>
      </c>
      <c r="J768" s="9">
        <v>9670</v>
      </c>
      <c r="K768" s="10">
        <f t="shared" si="33"/>
        <v>1000</v>
      </c>
      <c r="L768" s="10">
        <v>1000</v>
      </c>
      <c r="M768" s="11" t="s">
        <v>1491</v>
      </c>
      <c r="N768" s="12">
        <v>10000</v>
      </c>
      <c r="O768" s="13" t="s">
        <v>32</v>
      </c>
      <c r="P768" s="14" t="s">
        <v>883</v>
      </c>
    </row>
    <row r="769" spans="1:16" x14ac:dyDescent="0.25">
      <c r="A769" s="6"/>
      <c r="B769" s="7">
        <v>44248</v>
      </c>
      <c r="C769" s="8" t="s">
        <v>1365</v>
      </c>
      <c r="D769" s="8" t="s">
        <v>143</v>
      </c>
      <c r="E769" s="9" t="s">
        <v>144</v>
      </c>
      <c r="F769" s="9" t="s">
        <v>626</v>
      </c>
      <c r="G769" s="17">
        <v>0.4465277777777778</v>
      </c>
      <c r="H769" s="17">
        <v>0.45347222222222222</v>
      </c>
      <c r="I769" s="9">
        <v>40570</v>
      </c>
      <c r="J769" s="9">
        <v>17650</v>
      </c>
      <c r="K769" s="10">
        <f t="shared" si="33"/>
        <v>22920</v>
      </c>
      <c r="L769" s="10">
        <v>23439</v>
      </c>
      <c r="M769" s="11" t="s">
        <v>1492</v>
      </c>
      <c r="N769" s="12">
        <v>21.6</v>
      </c>
      <c r="O769" s="13" t="s">
        <v>855</v>
      </c>
      <c r="P769" s="14"/>
    </row>
    <row r="770" spans="1:16" x14ac:dyDescent="0.25">
      <c r="A770" s="6"/>
      <c r="B770" s="7">
        <v>44248</v>
      </c>
      <c r="C770" s="8" t="s">
        <v>1365</v>
      </c>
      <c r="D770" s="8" t="s">
        <v>1355</v>
      </c>
      <c r="E770" s="9" t="s">
        <v>1048</v>
      </c>
      <c r="F770" s="9" t="s">
        <v>526</v>
      </c>
      <c r="G770" s="17">
        <v>0.45624999999999999</v>
      </c>
      <c r="H770" s="17">
        <v>0.46319444444444446</v>
      </c>
      <c r="I770" s="9">
        <v>37630</v>
      </c>
      <c r="J770" s="9">
        <v>16840</v>
      </c>
      <c r="K770" s="10">
        <f t="shared" si="33"/>
        <v>20790</v>
      </c>
      <c r="L770" s="10">
        <v>23439</v>
      </c>
      <c r="M770" s="11" t="s">
        <v>1492</v>
      </c>
      <c r="N770" s="12">
        <v>19.2</v>
      </c>
      <c r="O770" s="13" t="s">
        <v>855</v>
      </c>
      <c r="P770" s="14"/>
    </row>
    <row r="771" spans="1:16" x14ac:dyDescent="0.25">
      <c r="A771" s="6"/>
      <c r="B771" s="7">
        <v>44248</v>
      </c>
      <c r="C771" s="8" t="s">
        <v>1365</v>
      </c>
      <c r="D771" s="8" t="s">
        <v>853</v>
      </c>
      <c r="E771" s="9" t="s">
        <v>51</v>
      </c>
      <c r="F771" s="9" t="s">
        <v>52</v>
      </c>
      <c r="G771" s="17">
        <v>0.45902777777777781</v>
      </c>
      <c r="H771" s="17">
        <v>0.46458333333333335</v>
      </c>
      <c r="I771" s="9">
        <v>39670</v>
      </c>
      <c r="J771" s="9">
        <v>15880</v>
      </c>
      <c r="K771" s="10">
        <f t="shared" si="33"/>
        <v>23790</v>
      </c>
      <c r="L771" s="10">
        <v>23439</v>
      </c>
      <c r="M771" s="11" t="s">
        <v>1492</v>
      </c>
      <c r="N771" s="12">
        <v>21.6</v>
      </c>
      <c r="O771" s="13" t="s">
        <v>855</v>
      </c>
      <c r="P771" s="14"/>
    </row>
    <row r="772" spans="1:16" x14ac:dyDescent="0.25">
      <c r="A772" s="6"/>
      <c r="B772" s="7">
        <v>44248</v>
      </c>
      <c r="C772" s="8" t="s">
        <v>1493</v>
      </c>
      <c r="D772" s="8" t="s">
        <v>899</v>
      </c>
      <c r="E772" s="9" t="s">
        <v>490</v>
      </c>
      <c r="F772" s="9" t="s">
        <v>491</v>
      </c>
      <c r="G772" s="17">
        <v>0.4826388888888889</v>
      </c>
      <c r="H772" s="17">
        <v>0.48888888888888887</v>
      </c>
      <c r="I772" s="9">
        <v>38140</v>
      </c>
      <c r="J772" s="9">
        <v>15770</v>
      </c>
      <c r="K772" s="10">
        <f t="shared" si="33"/>
        <v>22370</v>
      </c>
      <c r="L772" s="10" t="s">
        <v>1494</v>
      </c>
      <c r="M772" s="11" t="s">
        <v>1492</v>
      </c>
      <c r="N772" s="12">
        <v>20.399999999999999</v>
      </c>
      <c r="O772" s="13" t="s">
        <v>855</v>
      </c>
      <c r="P772" s="14"/>
    </row>
    <row r="773" spans="1:16" x14ac:dyDescent="0.25">
      <c r="A773" s="6"/>
      <c r="B773" s="7">
        <v>44248</v>
      </c>
      <c r="C773" s="8" t="s">
        <v>1042</v>
      </c>
      <c r="D773" s="8" t="s">
        <v>284</v>
      </c>
      <c r="E773" s="9" t="s">
        <v>285</v>
      </c>
      <c r="F773" s="9" t="s">
        <v>286</v>
      </c>
      <c r="G773" s="17">
        <v>0.4909722222222222</v>
      </c>
      <c r="H773" s="17">
        <v>0.50416666666666665</v>
      </c>
      <c r="I773" s="9">
        <v>39390</v>
      </c>
      <c r="J773" s="9">
        <v>16390</v>
      </c>
      <c r="K773" s="10">
        <f t="shared" si="33"/>
        <v>23000</v>
      </c>
      <c r="L773" s="10">
        <v>23440</v>
      </c>
      <c r="M773" s="11" t="s">
        <v>978</v>
      </c>
      <c r="N773" s="12">
        <v>21.6</v>
      </c>
      <c r="O773" s="13" t="s">
        <v>855</v>
      </c>
      <c r="P773" s="14"/>
    </row>
    <row r="774" spans="1:16" x14ac:dyDescent="0.25">
      <c r="A774" s="6"/>
      <c r="B774" s="7">
        <v>44248</v>
      </c>
      <c r="C774" s="8" t="s">
        <v>1042</v>
      </c>
      <c r="D774" s="8" t="s">
        <v>299</v>
      </c>
      <c r="E774" s="9" t="s">
        <v>813</v>
      </c>
      <c r="F774" s="9" t="s">
        <v>814</v>
      </c>
      <c r="G774" s="17">
        <v>0.49583333333333335</v>
      </c>
      <c r="H774" s="17">
        <v>0.51388888888888895</v>
      </c>
      <c r="I774" s="9">
        <v>38760</v>
      </c>
      <c r="J774" s="9">
        <v>15480</v>
      </c>
      <c r="K774" s="10">
        <f t="shared" si="33"/>
        <v>23280</v>
      </c>
      <c r="L774" s="10">
        <v>23440</v>
      </c>
      <c r="M774" s="11" t="s">
        <v>978</v>
      </c>
      <c r="N774" s="12">
        <v>21.6</v>
      </c>
      <c r="O774" s="13" t="s">
        <v>855</v>
      </c>
      <c r="P774" s="14"/>
    </row>
    <row r="775" spans="1:16" x14ac:dyDescent="0.25">
      <c r="A775" s="6"/>
      <c r="B775" s="7">
        <v>44248</v>
      </c>
      <c r="C775" s="8" t="s">
        <v>1042</v>
      </c>
      <c r="D775" s="8" t="s">
        <v>928</v>
      </c>
      <c r="E775" s="9" t="s">
        <v>628</v>
      </c>
      <c r="F775" s="9" t="s">
        <v>859</v>
      </c>
      <c r="G775" s="17">
        <v>0.49652777777777773</v>
      </c>
      <c r="H775" s="17">
        <v>0.50555555555555554</v>
      </c>
      <c r="I775" s="9">
        <v>22710</v>
      </c>
      <c r="J775" s="9">
        <v>9630</v>
      </c>
      <c r="K775" s="10">
        <f t="shared" si="33"/>
        <v>13080</v>
      </c>
      <c r="L775" s="10">
        <v>23440</v>
      </c>
      <c r="M775" s="11" t="s">
        <v>978</v>
      </c>
      <c r="N775" s="12">
        <v>12</v>
      </c>
      <c r="O775" s="13" t="s">
        <v>855</v>
      </c>
      <c r="P775" s="14"/>
    </row>
    <row r="776" spans="1:16" x14ac:dyDescent="0.25">
      <c r="A776" s="6"/>
      <c r="B776" s="7">
        <v>44248</v>
      </c>
      <c r="C776" s="8" t="s">
        <v>1495</v>
      </c>
      <c r="D776" s="8" t="s">
        <v>617</v>
      </c>
      <c r="E776" s="9" t="s">
        <v>1496</v>
      </c>
      <c r="F776" s="9" t="s">
        <v>36</v>
      </c>
      <c r="G776" s="17">
        <v>0.51874999999999993</v>
      </c>
      <c r="H776" s="17">
        <v>0.54861111111111105</v>
      </c>
      <c r="I776" s="9">
        <v>10560</v>
      </c>
      <c r="J776" s="9">
        <v>5340</v>
      </c>
      <c r="K776" s="10">
        <f t="shared" si="33"/>
        <v>5220</v>
      </c>
      <c r="L776" s="10">
        <v>213</v>
      </c>
      <c r="M776" s="11" t="s">
        <v>1485</v>
      </c>
      <c r="N776" s="12">
        <v>10153</v>
      </c>
      <c r="O776" s="13" t="s">
        <v>49</v>
      </c>
      <c r="P776" s="14"/>
    </row>
    <row r="777" spans="1:16" x14ac:dyDescent="0.25">
      <c r="A777" s="6"/>
      <c r="B777" s="7">
        <v>44248</v>
      </c>
      <c r="C777" s="8" t="s">
        <v>1042</v>
      </c>
      <c r="D777" s="8" t="s">
        <v>143</v>
      </c>
      <c r="E777" s="9" t="s">
        <v>144</v>
      </c>
      <c r="F777" s="9" t="s">
        <v>626</v>
      </c>
      <c r="G777" s="17">
        <v>0.52083333333333337</v>
      </c>
      <c r="H777" s="17">
        <v>0.53125</v>
      </c>
      <c r="I777" s="9">
        <v>40900</v>
      </c>
      <c r="J777" s="9">
        <v>17630</v>
      </c>
      <c r="K777" s="10">
        <f t="shared" si="33"/>
        <v>23270</v>
      </c>
      <c r="L777" s="10">
        <v>23440</v>
      </c>
      <c r="M777" s="11" t="s">
        <v>978</v>
      </c>
      <c r="N777" s="12">
        <v>21.6</v>
      </c>
      <c r="O777" s="13" t="s">
        <v>855</v>
      </c>
      <c r="P777" s="14"/>
    </row>
    <row r="778" spans="1:16" x14ac:dyDescent="0.25">
      <c r="A778" s="6"/>
      <c r="B778" s="7">
        <v>44248</v>
      </c>
      <c r="C778" s="8" t="s">
        <v>1042</v>
      </c>
      <c r="D778" s="8" t="s">
        <v>1355</v>
      </c>
      <c r="E778" s="9" t="s">
        <v>1048</v>
      </c>
      <c r="F778" s="9" t="s">
        <v>526</v>
      </c>
      <c r="G778" s="17">
        <v>0.5229166666666667</v>
      </c>
      <c r="H778" s="17">
        <v>0.53680555555555554</v>
      </c>
      <c r="I778" s="9">
        <v>33330</v>
      </c>
      <c r="J778" s="9">
        <v>16810</v>
      </c>
      <c r="K778" s="10">
        <f t="shared" si="33"/>
        <v>16520</v>
      </c>
      <c r="L778" s="10">
        <v>23440</v>
      </c>
      <c r="M778" s="11" t="s">
        <v>978</v>
      </c>
      <c r="N778" s="12">
        <v>14.4</v>
      </c>
      <c r="O778" s="13" t="s">
        <v>855</v>
      </c>
      <c r="P778" s="14"/>
    </row>
    <row r="779" spans="1:16" x14ac:dyDescent="0.25">
      <c r="A779" s="6"/>
      <c r="B779" s="7">
        <v>44248</v>
      </c>
      <c r="C779" s="7" t="s">
        <v>1497</v>
      </c>
      <c r="D779" s="8" t="s">
        <v>853</v>
      </c>
      <c r="E779" s="9" t="s">
        <v>51</v>
      </c>
      <c r="F779" s="9" t="s">
        <v>52</v>
      </c>
      <c r="G779" s="17">
        <v>0.56597222222222221</v>
      </c>
      <c r="H779" s="17">
        <v>0.57222222222222219</v>
      </c>
      <c r="I779" s="9">
        <v>34920</v>
      </c>
      <c r="J779" s="9">
        <v>16050</v>
      </c>
      <c r="K779" s="10">
        <f t="shared" si="33"/>
        <v>18870</v>
      </c>
      <c r="L779" s="10" t="s">
        <v>1498</v>
      </c>
      <c r="M779" s="11" t="s">
        <v>1499</v>
      </c>
      <c r="N779" s="12">
        <v>16.8</v>
      </c>
      <c r="O779" s="13" t="s">
        <v>855</v>
      </c>
      <c r="P779" s="14"/>
    </row>
    <row r="780" spans="1:16" x14ac:dyDescent="0.25">
      <c r="A780" s="6"/>
      <c r="B780" s="7">
        <v>44248</v>
      </c>
      <c r="C780" s="7" t="s">
        <v>1500</v>
      </c>
      <c r="D780" s="8" t="s">
        <v>899</v>
      </c>
      <c r="E780" s="9" t="s">
        <v>490</v>
      </c>
      <c r="F780" s="9" t="s">
        <v>491</v>
      </c>
      <c r="G780" s="17">
        <v>0.62291666666666667</v>
      </c>
      <c r="H780" s="17">
        <v>0.6333333333333333</v>
      </c>
      <c r="I780" s="9">
        <v>26450</v>
      </c>
      <c r="J780" s="9">
        <v>15760</v>
      </c>
      <c r="K780" s="10">
        <f t="shared" si="33"/>
        <v>10690</v>
      </c>
      <c r="L780" s="10" t="s">
        <v>1501</v>
      </c>
      <c r="M780" s="11" t="s">
        <v>1502</v>
      </c>
      <c r="N780" s="12">
        <v>10.199999999999999</v>
      </c>
      <c r="O780" s="13" t="s">
        <v>855</v>
      </c>
      <c r="P780" s="14"/>
    </row>
    <row r="781" spans="1:16" x14ac:dyDescent="0.25">
      <c r="A781" s="6"/>
      <c r="B781" s="7">
        <v>44248</v>
      </c>
      <c r="C781" s="7" t="s">
        <v>1476</v>
      </c>
      <c r="D781" s="8" t="s">
        <v>299</v>
      </c>
      <c r="E781" s="9" t="s">
        <v>813</v>
      </c>
      <c r="F781" s="9" t="s">
        <v>814</v>
      </c>
      <c r="G781" s="17">
        <v>0.66666666666666663</v>
      </c>
      <c r="H781" s="17">
        <v>0.67638888888888893</v>
      </c>
      <c r="I781" s="9">
        <v>22280</v>
      </c>
      <c r="J781" s="9">
        <v>15470</v>
      </c>
      <c r="K781" s="10">
        <f t="shared" si="33"/>
        <v>6810</v>
      </c>
      <c r="L781" s="10">
        <v>23445</v>
      </c>
      <c r="M781" s="11" t="s">
        <v>1503</v>
      </c>
      <c r="N781" s="12">
        <v>6810</v>
      </c>
      <c r="O781" s="13" t="s">
        <v>32</v>
      </c>
      <c r="P781" s="14" t="s">
        <v>1504</v>
      </c>
    </row>
    <row r="782" spans="1:16" x14ac:dyDescent="0.25">
      <c r="A782" s="6"/>
      <c r="B782" s="7">
        <v>44248</v>
      </c>
      <c r="C782" s="7" t="s">
        <v>1366</v>
      </c>
      <c r="D782" s="8" t="s">
        <v>928</v>
      </c>
      <c r="E782" s="9" t="s">
        <v>628</v>
      </c>
      <c r="F782" s="9" t="s">
        <v>859</v>
      </c>
      <c r="G782" s="17">
        <v>0.67986111111111114</v>
      </c>
      <c r="H782" s="17">
        <v>0.78541666666666676</v>
      </c>
      <c r="I782" s="9">
        <v>18740</v>
      </c>
      <c r="J782" s="9">
        <v>9640</v>
      </c>
      <c r="K782" s="10">
        <f t="shared" si="33"/>
        <v>9100</v>
      </c>
      <c r="L782" s="10" t="s">
        <v>1505</v>
      </c>
      <c r="M782" s="11" t="s">
        <v>1041</v>
      </c>
      <c r="N782" s="12">
        <v>9150</v>
      </c>
      <c r="O782" s="13" t="s">
        <v>32</v>
      </c>
      <c r="P782" s="14"/>
    </row>
    <row r="783" spans="1:16" x14ac:dyDescent="0.25">
      <c r="A783" s="6"/>
      <c r="B783" s="7">
        <v>44248</v>
      </c>
      <c r="C783" s="7" t="s">
        <v>871</v>
      </c>
      <c r="D783" s="8" t="s">
        <v>1506</v>
      </c>
      <c r="E783" s="9" t="s">
        <v>1421</v>
      </c>
      <c r="F783" s="9" t="s">
        <v>154</v>
      </c>
      <c r="G783" s="17">
        <v>0.77013888888888893</v>
      </c>
      <c r="H783" s="17">
        <v>0.82500000000000007</v>
      </c>
      <c r="I783" s="9">
        <v>15750</v>
      </c>
      <c r="J783" s="9">
        <v>7750</v>
      </c>
      <c r="K783" s="10">
        <f t="shared" si="33"/>
        <v>8000</v>
      </c>
      <c r="L783" s="10">
        <v>764</v>
      </c>
      <c r="M783" s="11" t="s">
        <v>1507</v>
      </c>
      <c r="N783" s="12">
        <v>7245</v>
      </c>
      <c r="O783" s="13" t="s">
        <v>32</v>
      </c>
      <c r="P783" s="14"/>
    </row>
    <row r="784" spans="1:16" x14ac:dyDescent="0.25">
      <c r="A784" s="6"/>
      <c r="B784" s="7">
        <v>44248</v>
      </c>
      <c r="C784" s="7" t="s">
        <v>1070</v>
      </c>
      <c r="D784" s="8" t="s">
        <v>899</v>
      </c>
      <c r="E784" s="9" t="s">
        <v>490</v>
      </c>
      <c r="F784" s="9" t="s">
        <v>491</v>
      </c>
      <c r="G784" s="17">
        <v>0.7909722222222223</v>
      </c>
      <c r="H784" s="17">
        <v>0.7993055555555556</v>
      </c>
      <c r="I784" s="9">
        <v>24960</v>
      </c>
      <c r="J784" s="9">
        <v>16020</v>
      </c>
      <c r="K784" s="10">
        <f t="shared" si="33"/>
        <v>8940</v>
      </c>
      <c r="L784" s="10">
        <v>23446</v>
      </c>
      <c r="M784" s="11" t="s">
        <v>1508</v>
      </c>
      <c r="N784" s="12">
        <v>9.1999999999999993</v>
      </c>
      <c r="O784" s="13" t="s">
        <v>855</v>
      </c>
      <c r="P784" s="14"/>
    </row>
    <row r="785" spans="1:20" x14ac:dyDescent="0.25">
      <c r="A785" s="6"/>
      <c r="B785" s="7">
        <v>44248</v>
      </c>
      <c r="C785" s="8" t="s">
        <v>962</v>
      </c>
      <c r="D785" s="8" t="s">
        <v>1205</v>
      </c>
      <c r="E785" s="9" t="s">
        <v>1206</v>
      </c>
      <c r="F785" s="9" t="s">
        <v>36</v>
      </c>
      <c r="G785" s="17">
        <v>0.79236111111111107</v>
      </c>
      <c r="H785" s="17">
        <v>0.81319444444444444</v>
      </c>
      <c r="I785" s="9">
        <v>15770</v>
      </c>
      <c r="J785" s="9">
        <v>6670</v>
      </c>
      <c r="K785" s="10">
        <f t="shared" si="33"/>
        <v>9100</v>
      </c>
      <c r="L785" s="10">
        <v>26522</v>
      </c>
      <c r="M785" s="11" t="s">
        <v>1509</v>
      </c>
      <c r="N785" s="12">
        <v>9100</v>
      </c>
      <c r="O785" s="13" t="s">
        <v>32</v>
      </c>
      <c r="P785" s="14"/>
    </row>
    <row r="786" spans="1:20" x14ac:dyDescent="0.25">
      <c r="A786" s="6"/>
      <c r="B786" s="7">
        <v>44248</v>
      </c>
      <c r="C786" s="8" t="s">
        <v>1029</v>
      </c>
      <c r="D786" s="8" t="s">
        <v>928</v>
      </c>
      <c r="E786" s="9" t="s">
        <v>628</v>
      </c>
      <c r="F786" s="9" t="s">
        <v>859</v>
      </c>
      <c r="G786" s="17">
        <v>0.82847222222222217</v>
      </c>
      <c r="H786" s="17">
        <v>0.83958333333333324</v>
      </c>
      <c r="I786" s="9">
        <v>12290</v>
      </c>
      <c r="J786" s="9">
        <v>9630</v>
      </c>
      <c r="K786" s="10">
        <f t="shared" si="33"/>
        <v>2660</v>
      </c>
      <c r="L786" s="10">
        <v>23447</v>
      </c>
      <c r="M786" s="11" t="s">
        <v>1510</v>
      </c>
      <c r="N786" s="12">
        <v>2660</v>
      </c>
      <c r="O786" s="13" t="s">
        <v>32</v>
      </c>
      <c r="P786" s="14" t="s">
        <v>1250</v>
      </c>
    </row>
    <row r="787" spans="1:20" x14ac:dyDescent="0.25">
      <c r="A787" s="6"/>
      <c r="B787" s="7">
        <v>44248</v>
      </c>
      <c r="C787" s="8" t="s">
        <v>962</v>
      </c>
      <c r="D787" s="8" t="s">
        <v>1230</v>
      </c>
      <c r="E787" s="9" t="s">
        <v>1315</v>
      </c>
      <c r="F787" s="9" t="s">
        <v>36</v>
      </c>
      <c r="G787" s="17">
        <v>0.8305555555555556</v>
      </c>
      <c r="H787" s="17">
        <v>0.90486111111111101</v>
      </c>
      <c r="I787" s="9">
        <v>12200</v>
      </c>
      <c r="J787" s="9">
        <v>4010</v>
      </c>
      <c r="K787" s="10">
        <f t="shared" si="33"/>
        <v>8190</v>
      </c>
      <c r="L787" s="10">
        <v>26523</v>
      </c>
      <c r="M787" s="11" t="s">
        <v>966</v>
      </c>
      <c r="N787" s="12">
        <v>8190</v>
      </c>
      <c r="O787" s="13" t="s">
        <v>32</v>
      </c>
      <c r="P787" s="14"/>
    </row>
    <row r="788" spans="1:20" x14ac:dyDescent="0.25">
      <c r="A788" s="6"/>
      <c r="B788" s="7">
        <v>44248</v>
      </c>
      <c r="C788" s="8" t="s">
        <v>37</v>
      </c>
      <c r="D788" s="8" t="s">
        <v>1511</v>
      </c>
      <c r="E788" s="9" t="s">
        <v>967</v>
      </c>
      <c r="F788" s="9" t="s">
        <v>36</v>
      </c>
      <c r="G788" s="17">
        <v>0.8569444444444444</v>
      </c>
      <c r="H788" s="17">
        <v>0.88124999999999998</v>
      </c>
      <c r="I788" s="9">
        <v>18410</v>
      </c>
      <c r="J788" s="9">
        <v>6420</v>
      </c>
      <c r="K788" s="10">
        <f t="shared" ref="K788:K852" si="35">+I788-J788</f>
        <v>11990</v>
      </c>
      <c r="L788" s="10">
        <v>26524</v>
      </c>
      <c r="M788" s="11" t="s">
        <v>1512</v>
      </c>
      <c r="N788" s="12">
        <v>11990</v>
      </c>
      <c r="O788" s="13" t="s">
        <v>32</v>
      </c>
      <c r="P788" s="14"/>
    </row>
    <row r="789" spans="1:20" x14ac:dyDescent="0.25">
      <c r="A789" s="6"/>
      <c r="B789" s="7">
        <v>44248</v>
      </c>
      <c r="C789" s="8" t="s">
        <v>962</v>
      </c>
      <c r="D789" s="8" t="s">
        <v>1205</v>
      </c>
      <c r="E789" s="9" t="s">
        <v>1206</v>
      </c>
      <c r="F789" s="9" t="s">
        <v>36</v>
      </c>
      <c r="G789" s="17">
        <v>0.86597222222222225</v>
      </c>
      <c r="H789" s="17">
        <v>0.88541666666666663</v>
      </c>
      <c r="I789" s="9">
        <v>8310</v>
      </c>
      <c r="J789" s="9">
        <v>6670</v>
      </c>
      <c r="K789" s="10">
        <f t="shared" si="35"/>
        <v>1640</v>
      </c>
      <c r="L789" s="10">
        <v>26525</v>
      </c>
      <c r="M789" s="11" t="s">
        <v>966</v>
      </c>
      <c r="N789" s="12">
        <v>1640</v>
      </c>
      <c r="O789" s="13" t="s">
        <v>32</v>
      </c>
      <c r="P789" s="14"/>
    </row>
    <row r="790" spans="1:20" x14ac:dyDescent="0.25">
      <c r="A790" s="6"/>
      <c r="B790" s="7">
        <v>44248</v>
      </c>
      <c r="C790" s="8" t="s">
        <v>1513</v>
      </c>
      <c r="D790" s="8" t="s">
        <v>530</v>
      </c>
      <c r="E790" s="9" t="s">
        <v>699</v>
      </c>
      <c r="F790" s="9" t="s">
        <v>140</v>
      </c>
      <c r="G790" s="17">
        <v>0.8881944444444444</v>
      </c>
      <c r="H790" s="17">
        <v>0.91666666666666663</v>
      </c>
      <c r="I790" s="9">
        <v>11740</v>
      </c>
      <c r="J790" s="9">
        <v>8250</v>
      </c>
      <c r="K790" s="10">
        <f t="shared" si="35"/>
        <v>3490</v>
      </c>
      <c r="L790" s="10" t="s">
        <v>1514</v>
      </c>
      <c r="M790" s="11" t="s">
        <v>1485</v>
      </c>
      <c r="N790" s="12">
        <v>7466</v>
      </c>
      <c r="O790" s="13" t="s">
        <v>49</v>
      </c>
      <c r="P790" s="14"/>
    </row>
    <row r="791" spans="1:20" x14ac:dyDescent="0.25">
      <c r="A791" s="6"/>
      <c r="B791" s="7">
        <v>44248</v>
      </c>
      <c r="C791" s="8" t="s">
        <v>1290</v>
      </c>
      <c r="D791" s="8" t="s">
        <v>853</v>
      </c>
      <c r="E791" s="9" t="s">
        <v>51</v>
      </c>
      <c r="F791" s="9" t="s">
        <v>52</v>
      </c>
      <c r="G791" s="17">
        <v>0.91041666666666676</v>
      </c>
      <c r="H791" s="17">
        <v>0.91805555555555562</v>
      </c>
      <c r="I791" s="9">
        <v>34470</v>
      </c>
      <c r="J791" s="9">
        <v>15830</v>
      </c>
      <c r="K791" s="10">
        <f t="shared" si="35"/>
        <v>18640</v>
      </c>
      <c r="L791" s="10">
        <v>23448</v>
      </c>
      <c r="M791" s="11" t="s">
        <v>1515</v>
      </c>
      <c r="N791" s="12">
        <v>17.5</v>
      </c>
      <c r="O791" s="13" t="s">
        <v>855</v>
      </c>
      <c r="P791" s="14"/>
    </row>
    <row r="792" spans="1:20" x14ac:dyDescent="0.25">
      <c r="A792" s="6"/>
      <c r="B792" s="15">
        <v>44249</v>
      </c>
      <c r="C792" s="16" t="s">
        <v>1516</v>
      </c>
      <c r="D792" s="8" t="s">
        <v>1441</v>
      </c>
      <c r="E792" s="9" t="s">
        <v>1110</v>
      </c>
      <c r="F792" s="9" t="s">
        <v>36</v>
      </c>
      <c r="G792" s="17">
        <v>0.34791666666666665</v>
      </c>
      <c r="H792" s="17">
        <v>0.38541666666666669</v>
      </c>
      <c r="I792" s="9">
        <v>6110</v>
      </c>
      <c r="J792" s="9">
        <v>4020</v>
      </c>
      <c r="K792" s="10">
        <f t="shared" si="35"/>
        <v>2090</v>
      </c>
      <c r="L792" s="10">
        <v>2202</v>
      </c>
      <c r="M792" s="11" t="s">
        <v>1517</v>
      </c>
      <c r="N792" s="12">
        <v>2090</v>
      </c>
      <c r="O792" s="13" t="s">
        <v>32</v>
      </c>
      <c r="P792" s="14"/>
    </row>
    <row r="793" spans="1:20" x14ac:dyDescent="0.25">
      <c r="A793" s="6"/>
      <c r="B793" s="7">
        <v>44249</v>
      </c>
      <c r="C793" s="8" t="s">
        <v>164</v>
      </c>
      <c r="D793" s="8" t="s">
        <v>465</v>
      </c>
      <c r="E793" s="9" t="s">
        <v>881</v>
      </c>
      <c r="F793" s="9" t="s">
        <v>749</v>
      </c>
      <c r="G793" s="17">
        <v>0.3979166666666667</v>
      </c>
      <c r="H793" s="17">
        <v>0.44861111111111113</v>
      </c>
      <c r="I793" s="9">
        <v>17530</v>
      </c>
      <c r="J793" s="9">
        <v>42860</v>
      </c>
      <c r="K793" s="10">
        <f t="shared" si="35"/>
        <v>-25330</v>
      </c>
      <c r="L793" s="10">
        <v>15587</v>
      </c>
      <c r="M793" s="11" t="s">
        <v>166</v>
      </c>
      <c r="N793" s="12">
        <v>504</v>
      </c>
      <c r="O793" s="13" t="s">
        <v>1099</v>
      </c>
      <c r="P793" s="14"/>
    </row>
    <row r="794" spans="1:20" x14ac:dyDescent="0.25">
      <c r="A794" s="6"/>
      <c r="B794" s="7">
        <v>44249</v>
      </c>
      <c r="C794" s="8" t="s">
        <v>1042</v>
      </c>
      <c r="D794" s="8" t="s">
        <v>243</v>
      </c>
      <c r="E794" s="9" t="s">
        <v>440</v>
      </c>
      <c r="F794" s="9" t="s">
        <v>1276</v>
      </c>
      <c r="G794" s="17">
        <v>0.45347222222222222</v>
      </c>
      <c r="H794" s="17">
        <v>0.46388888888888885</v>
      </c>
      <c r="I794" s="9">
        <v>36520</v>
      </c>
      <c r="J794" s="9">
        <v>15280</v>
      </c>
      <c r="K794" s="10">
        <f t="shared" si="35"/>
        <v>21240</v>
      </c>
      <c r="L794" s="10">
        <v>23449</v>
      </c>
      <c r="M794" s="11" t="s">
        <v>978</v>
      </c>
      <c r="N794" s="12">
        <v>21.6</v>
      </c>
      <c r="O794" s="13" t="s">
        <v>855</v>
      </c>
      <c r="P794" s="14"/>
    </row>
    <row r="795" spans="1:20" x14ac:dyDescent="0.25">
      <c r="A795" s="6"/>
      <c r="B795" s="7">
        <v>44249</v>
      </c>
      <c r="C795" s="8" t="s">
        <v>1042</v>
      </c>
      <c r="D795" s="8" t="s">
        <v>299</v>
      </c>
      <c r="E795" s="9" t="s">
        <v>813</v>
      </c>
      <c r="F795" s="9" t="s">
        <v>814</v>
      </c>
      <c r="G795" s="17">
        <v>0.4597222222222222</v>
      </c>
      <c r="H795" s="17">
        <v>0.46597222222222223</v>
      </c>
      <c r="I795" s="9">
        <v>36700</v>
      </c>
      <c r="J795" s="9">
        <v>15570</v>
      </c>
      <c r="K795" s="10">
        <f t="shared" si="35"/>
        <v>21130</v>
      </c>
      <c r="L795" s="10">
        <v>23449</v>
      </c>
      <c r="M795" s="11" t="s">
        <v>978</v>
      </c>
      <c r="N795" s="12">
        <v>21.6</v>
      </c>
      <c r="O795" s="13" t="s">
        <v>855</v>
      </c>
      <c r="P795" s="14"/>
    </row>
    <row r="796" spans="1:20" x14ac:dyDescent="0.25">
      <c r="A796" s="6"/>
      <c r="B796" s="7">
        <v>44249</v>
      </c>
      <c r="C796" s="8" t="s">
        <v>1042</v>
      </c>
      <c r="D796" s="8" t="s">
        <v>1355</v>
      </c>
      <c r="E796" s="9" t="s">
        <v>1048</v>
      </c>
      <c r="F796" s="9" t="s">
        <v>526</v>
      </c>
      <c r="G796" s="17">
        <v>0.46111111111111108</v>
      </c>
      <c r="H796" s="17">
        <v>0.47083333333333338</v>
      </c>
      <c r="I796" s="9">
        <v>36280</v>
      </c>
      <c r="J796" s="9">
        <v>16790</v>
      </c>
      <c r="K796" s="10">
        <f t="shared" si="35"/>
        <v>19490</v>
      </c>
      <c r="L796" s="10">
        <v>23449</v>
      </c>
      <c r="M796" s="11" t="s">
        <v>978</v>
      </c>
      <c r="N796" s="12">
        <v>19.2</v>
      </c>
      <c r="O796" s="13" t="s">
        <v>855</v>
      </c>
      <c r="P796" s="14"/>
      <c r="T796" s="1">
        <v>-20359</v>
      </c>
    </row>
    <row r="797" spans="1:20" x14ac:dyDescent="0.25">
      <c r="A797" s="6"/>
      <c r="B797" s="7">
        <v>44249</v>
      </c>
      <c r="C797" s="8" t="s">
        <v>1042</v>
      </c>
      <c r="D797" s="8" t="s">
        <v>198</v>
      </c>
      <c r="E797" s="9" t="s">
        <v>405</v>
      </c>
      <c r="F797" s="9" t="s">
        <v>161</v>
      </c>
      <c r="G797" s="17">
        <v>0.46875</v>
      </c>
      <c r="H797" s="17">
        <v>0.47569444444444442</v>
      </c>
      <c r="I797" s="9">
        <v>38350</v>
      </c>
      <c r="J797" s="9">
        <v>16500</v>
      </c>
      <c r="K797" s="10">
        <f t="shared" si="35"/>
        <v>21850</v>
      </c>
      <c r="L797" s="10">
        <v>23449</v>
      </c>
      <c r="M797" s="11" t="s">
        <v>978</v>
      </c>
      <c r="N797" s="12">
        <v>21.6</v>
      </c>
      <c r="O797" s="13" t="s">
        <v>855</v>
      </c>
      <c r="P797" s="14"/>
    </row>
    <row r="798" spans="1:20" x14ac:dyDescent="0.25">
      <c r="A798" s="6"/>
      <c r="B798" s="7">
        <v>44249</v>
      </c>
      <c r="C798" s="8" t="s">
        <v>1042</v>
      </c>
      <c r="D798" s="8" t="s">
        <v>853</v>
      </c>
      <c r="E798" s="9" t="s">
        <v>51</v>
      </c>
      <c r="F798" s="9" t="s">
        <v>52</v>
      </c>
      <c r="G798" s="17">
        <v>0.47291666666666665</v>
      </c>
      <c r="H798" s="17">
        <v>0.47986111111111113</v>
      </c>
      <c r="I798" s="9">
        <v>39200</v>
      </c>
      <c r="J798" s="9">
        <v>15860</v>
      </c>
      <c r="K798" s="10">
        <f t="shared" si="35"/>
        <v>23340</v>
      </c>
      <c r="L798" s="10">
        <v>23449</v>
      </c>
      <c r="M798" s="11" t="s">
        <v>978</v>
      </c>
      <c r="N798" s="12">
        <v>21.6</v>
      </c>
      <c r="O798" s="13" t="s">
        <v>855</v>
      </c>
      <c r="P798" s="14"/>
    </row>
    <row r="799" spans="1:20" x14ac:dyDescent="0.25">
      <c r="A799" s="6"/>
      <c r="B799" s="7">
        <v>44249</v>
      </c>
      <c r="C799" s="8" t="s">
        <v>1518</v>
      </c>
      <c r="D799" s="8" t="s">
        <v>899</v>
      </c>
      <c r="E799" s="9" t="s">
        <v>490</v>
      </c>
      <c r="F799" s="9" t="s">
        <v>491</v>
      </c>
      <c r="G799" s="17">
        <v>0.5229166666666667</v>
      </c>
      <c r="H799" s="17">
        <v>0.53749999999999998</v>
      </c>
      <c r="I799" s="9">
        <v>37400</v>
      </c>
      <c r="J799" s="9">
        <v>15940</v>
      </c>
      <c r="K799" s="10">
        <f t="shared" si="35"/>
        <v>21460</v>
      </c>
      <c r="L799" s="10" t="s">
        <v>1519</v>
      </c>
      <c r="M799" s="11" t="s">
        <v>1492</v>
      </c>
      <c r="N799" s="12">
        <v>21</v>
      </c>
      <c r="O799" s="13" t="s">
        <v>855</v>
      </c>
      <c r="P799" s="14"/>
    </row>
    <row r="800" spans="1:20" x14ac:dyDescent="0.25">
      <c r="A800" s="6"/>
      <c r="B800" s="7">
        <v>44249</v>
      </c>
      <c r="C800" s="8" t="s">
        <v>1286</v>
      </c>
      <c r="D800" s="8" t="s">
        <v>236</v>
      </c>
      <c r="E800" s="9" t="s">
        <v>237</v>
      </c>
      <c r="F800" s="9" t="s">
        <v>36</v>
      </c>
      <c r="G800" s="17">
        <v>0.52638888888888891</v>
      </c>
      <c r="H800" s="17">
        <v>0.5493055555555556</v>
      </c>
      <c r="I800" s="9">
        <v>7550</v>
      </c>
      <c r="J800" s="9">
        <v>3900</v>
      </c>
      <c r="K800" s="10">
        <f t="shared" ref="K800" si="36">+I800-J800</f>
        <v>3650</v>
      </c>
      <c r="L800" s="10">
        <v>140364</v>
      </c>
      <c r="M800" s="11" t="s">
        <v>478</v>
      </c>
      <c r="N800" s="12">
        <v>29511</v>
      </c>
      <c r="O800" s="13" t="s">
        <v>1099</v>
      </c>
      <c r="P800" s="14"/>
    </row>
    <row r="801" spans="1:16" x14ac:dyDescent="0.25">
      <c r="A801" s="6"/>
      <c r="B801" s="7">
        <v>44249</v>
      </c>
      <c r="C801" s="8" t="s">
        <v>1065</v>
      </c>
      <c r="D801" s="8" t="s">
        <v>299</v>
      </c>
      <c r="E801" s="9" t="s">
        <v>813</v>
      </c>
      <c r="F801" s="9" t="s">
        <v>814</v>
      </c>
      <c r="G801" s="17">
        <v>0.52708333333333335</v>
      </c>
      <c r="H801" s="17">
        <v>0.55486111111111114</v>
      </c>
      <c r="I801" s="9">
        <v>38400</v>
      </c>
      <c r="J801" s="9">
        <v>15550</v>
      </c>
      <c r="K801" s="10">
        <f t="shared" si="35"/>
        <v>22850</v>
      </c>
      <c r="L801" s="10">
        <v>23450</v>
      </c>
      <c r="M801" s="11" t="s">
        <v>1041</v>
      </c>
      <c r="N801" s="12">
        <v>21.6</v>
      </c>
      <c r="O801" s="13" t="s">
        <v>855</v>
      </c>
      <c r="P801" s="14"/>
    </row>
    <row r="802" spans="1:16" x14ac:dyDescent="0.25">
      <c r="A802" s="6"/>
      <c r="B802" s="7">
        <v>44249</v>
      </c>
      <c r="C802" s="8" t="s">
        <v>1065</v>
      </c>
      <c r="D802" s="8" t="s">
        <v>1355</v>
      </c>
      <c r="E802" s="9" t="s">
        <v>1048</v>
      </c>
      <c r="F802" s="9" t="s">
        <v>526</v>
      </c>
      <c r="G802" s="17">
        <v>0.52986111111111112</v>
      </c>
      <c r="H802" s="17">
        <v>0.5444444444444444</v>
      </c>
      <c r="I802" s="9">
        <v>36910</v>
      </c>
      <c r="J802" s="9">
        <v>16790</v>
      </c>
      <c r="K802" s="10">
        <f t="shared" si="35"/>
        <v>20120</v>
      </c>
      <c r="L802" s="10">
        <v>23450</v>
      </c>
      <c r="M802" s="11" t="s">
        <v>1041</v>
      </c>
      <c r="N802" s="12">
        <v>19.2</v>
      </c>
      <c r="O802" s="13" t="s">
        <v>855</v>
      </c>
      <c r="P802" s="14"/>
    </row>
    <row r="803" spans="1:16" x14ac:dyDescent="0.25">
      <c r="A803" s="6"/>
      <c r="B803" s="7">
        <v>44249</v>
      </c>
      <c r="C803" s="8" t="s">
        <v>1520</v>
      </c>
      <c r="D803" s="8" t="s">
        <v>1084</v>
      </c>
      <c r="E803" s="9" t="s">
        <v>1174</v>
      </c>
      <c r="F803" s="9" t="s">
        <v>503</v>
      </c>
      <c r="G803" s="17">
        <v>0.54861111111111105</v>
      </c>
      <c r="H803" s="17">
        <v>0.5805555555555556</v>
      </c>
      <c r="I803" s="9">
        <v>5210</v>
      </c>
      <c r="J803" s="9">
        <v>6000</v>
      </c>
      <c r="K803" s="10">
        <f t="shared" si="35"/>
        <v>-790</v>
      </c>
      <c r="L803" s="10">
        <v>15659</v>
      </c>
      <c r="M803" s="11" t="s">
        <v>1521</v>
      </c>
      <c r="N803" s="12">
        <v>790</v>
      </c>
      <c r="O803" s="13" t="s">
        <v>32</v>
      </c>
      <c r="P803" s="14"/>
    </row>
    <row r="804" spans="1:16" x14ac:dyDescent="0.25">
      <c r="A804" s="6"/>
      <c r="B804" s="7">
        <v>44249</v>
      </c>
      <c r="C804" s="8" t="s">
        <v>1522</v>
      </c>
      <c r="D804" s="8" t="s">
        <v>198</v>
      </c>
      <c r="E804" s="9" t="s">
        <v>405</v>
      </c>
      <c r="F804" s="9" t="s">
        <v>161</v>
      </c>
      <c r="G804" s="17">
        <v>0.56111111111111112</v>
      </c>
      <c r="H804" s="17">
        <v>0.5708333333333333</v>
      </c>
      <c r="I804" s="9">
        <v>33330</v>
      </c>
      <c r="J804" s="9">
        <v>16490</v>
      </c>
      <c r="K804" s="10">
        <f t="shared" si="35"/>
        <v>16840</v>
      </c>
      <c r="L804" s="10" t="s">
        <v>1523</v>
      </c>
      <c r="M804" s="11" t="s">
        <v>1041</v>
      </c>
      <c r="N804" s="12">
        <v>16.2</v>
      </c>
      <c r="O804" s="13" t="s">
        <v>855</v>
      </c>
      <c r="P804" s="14"/>
    </row>
    <row r="805" spans="1:16" x14ac:dyDescent="0.25">
      <c r="A805" s="6"/>
      <c r="B805" s="7">
        <v>44249</v>
      </c>
      <c r="C805" s="8" t="s">
        <v>1081</v>
      </c>
      <c r="D805" s="8" t="s">
        <v>853</v>
      </c>
      <c r="E805" s="9" t="s">
        <v>51</v>
      </c>
      <c r="F805" s="9" t="s">
        <v>52</v>
      </c>
      <c r="G805" s="17">
        <v>0.56527777777777777</v>
      </c>
      <c r="H805" s="17">
        <v>0.57361111111111118</v>
      </c>
      <c r="I805" s="9">
        <v>32200</v>
      </c>
      <c r="J805" s="9">
        <v>15810</v>
      </c>
      <c r="K805" s="10">
        <f t="shared" si="35"/>
        <v>16390</v>
      </c>
      <c r="L805" s="10">
        <v>23451</v>
      </c>
      <c r="M805" s="11" t="s">
        <v>993</v>
      </c>
      <c r="N805" s="12">
        <v>16</v>
      </c>
      <c r="O805" s="13" t="s">
        <v>855</v>
      </c>
      <c r="P805" s="14"/>
    </row>
    <row r="806" spans="1:16" x14ac:dyDescent="0.25">
      <c r="A806" s="6"/>
      <c r="B806" s="7">
        <v>44249</v>
      </c>
      <c r="C806" s="8" t="s">
        <v>208</v>
      </c>
      <c r="D806" s="8" t="s">
        <v>143</v>
      </c>
      <c r="E806" s="9" t="s">
        <v>144</v>
      </c>
      <c r="F806" s="9" t="s">
        <v>626</v>
      </c>
      <c r="G806" s="17">
        <v>0.57222222222222219</v>
      </c>
      <c r="H806" s="17">
        <v>0.58194444444444449</v>
      </c>
      <c r="I806" s="9">
        <v>41110</v>
      </c>
      <c r="J806" s="9">
        <v>17640</v>
      </c>
      <c r="K806" s="10">
        <f t="shared" si="35"/>
        <v>23470</v>
      </c>
      <c r="L806" s="10">
        <v>40606</v>
      </c>
      <c r="M806" s="11" t="s">
        <v>1524</v>
      </c>
      <c r="N806" s="12">
        <v>23670</v>
      </c>
      <c r="O806" s="13" t="s">
        <v>32</v>
      </c>
      <c r="P806" s="14"/>
    </row>
    <row r="807" spans="1:16" x14ac:dyDescent="0.25">
      <c r="A807" s="6"/>
      <c r="B807" s="7">
        <v>44249</v>
      </c>
      <c r="C807" s="8" t="s">
        <v>164</v>
      </c>
      <c r="D807" s="8" t="s">
        <v>465</v>
      </c>
      <c r="E807" s="9" t="s">
        <v>881</v>
      </c>
      <c r="F807" s="9" t="s">
        <v>749</v>
      </c>
      <c r="G807" s="17">
        <v>0.59305555555555556</v>
      </c>
      <c r="H807" s="17">
        <v>0.69444444444444453</v>
      </c>
      <c r="I807" s="9">
        <v>42900</v>
      </c>
      <c r="J807" s="9">
        <v>17530</v>
      </c>
      <c r="K807" s="10">
        <f t="shared" si="35"/>
        <v>25370</v>
      </c>
      <c r="L807" s="10">
        <v>15590</v>
      </c>
      <c r="M807" s="11" t="s">
        <v>166</v>
      </c>
      <c r="N807" s="12">
        <v>504</v>
      </c>
      <c r="O807" s="13" t="s">
        <v>1099</v>
      </c>
      <c r="P807" s="14"/>
    </row>
    <row r="808" spans="1:16" x14ac:dyDescent="0.25">
      <c r="A808" s="6"/>
      <c r="B808" s="7">
        <v>44249</v>
      </c>
      <c r="C808" s="8" t="s">
        <v>1115</v>
      </c>
      <c r="D808" s="8" t="s">
        <v>243</v>
      </c>
      <c r="E808" s="9" t="s">
        <v>440</v>
      </c>
      <c r="F808" s="9" t="s">
        <v>1276</v>
      </c>
      <c r="G808" s="17">
        <v>0.59513888888888888</v>
      </c>
      <c r="H808" s="17">
        <v>0.6</v>
      </c>
      <c r="I808" s="9">
        <v>21360</v>
      </c>
      <c r="J808" s="9">
        <v>15270</v>
      </c>
      <c r="K808" s="10">
        <f t="shared" si="35"/>
        <v>6090</v>
      </c>
      <c r="L808" s="10">
        <v>23452</v>
      </c>
      <c r="M808" s="11" t="s">
        <v>1515</v>
      </c>
      <c r="N808" s="12">
        <v>6.6</v>
      </c>
      <c r="O808" s="13" t="s">
        <v>855</v>
      </c>
      <c r="P808" s="14"/>
    </row>
    <row r="809" spans="1:16" x14ac:dyDescent="0.25">
      <c r="A809" s="6"/>
      <c r="B809" s="7">
        <v>44249</v>
      </c>
      <c r="C809" s="8" t="s">
        <v>1525</v>
      </c>
      <c r="D809" s="8" t="s">
        <v>1526</v>
      </c>
      <c r="E809" s="9" t="s">
        <v>1527</v>
      </c>
      <c r="F809" s="9" t="s">
        <v>1454</v>
      </c>
      <c r="G809" s="17">
        <v>0.59722222222222221</v>
      </c>
      <c r="H809" s="17">
        <v>0.66388888888888886</v>
      </c>
      <c r="I809" s="9">
        <v>54870</v>
      </c>
      <c r="J809" s="9">
        <v>19450</v>
      </c>
      <c r="K809" s="10">
        <f t="shared" si="35"/>
        <v>35420</v>
      </c>
      <c r="L809" s="10">
        <v>930</v>
      </c>
      <c r="M809" s="11" t="s">
        <v>306</v>
      </c>
      <c r="N809" s="12">
        <v>10000</v>
      </c>
      <c r="O809" s="13" t="s">
        <v>84</v>
      </c>
      <c r="P809" s="14"/>
    </row>
    <row r="810" spans="1:16" x14ac:dyDescent="0.25">
      <c r="A810" s="6"/>
      <c r="B810" s="7">
        <v>44249</v>
      </c>
      <c r="C810" s="8" t="s">
        <v>1528</v>
      </c>
      <c r="D810" s="8" t="s">
        <v>1355</v>
      </c>
      <c r="E810" s="9" t="s">
        <v>1048</v>
      </c>
      <c r="F810" s="9" t="s">
        <v>526</v>
      </c>
      <c r="G810" s="17">
        <v>0.62986111111111109</v>
      </c>
      <c r="H810" s="17">
        <v>0.63541666666666663</v>
      </c>
      <c r="I810" s="9">
        <v>17980</v>
      </c>
      <c r="J810" s="9">
        <v>16770</v>
      </c>
      <c r="K810" s="10">
        <f t="shared" si="35"/>
        <v>1210</v>
      </c>
      <c r="L810" s="10">
        <v>23454</v>
      </c>
      <c r="M810" s="11" t="s">
        <v>1529</v>
      </c>
      <c r="N810" s="12">
        <v>1210</v>
      </c>
      <c r="O810" s="13" t="s">
        <v>32</v>
      </c>
      <c r="P810" s="14" t="s">
        <v>1530</v>
      </c>
    </row>
    <row r="811" spans="1:16" x14ac:dyDescent="0.25">
      <c r="A811" s="6"/>
      <c r="B811" s="7">
        <v>44249</v>
      </c>
      <c r="C811" s="8" t="s">
        <v>1531</v>
      </c>
      <c r="D811" s="8" t="s">
        <v>899</v>
      </c>
      <c r="E811" s="9" t="s">
        <v>490</v>
      </c>
      <c r="F811" s="9" t="s">
        <v>491</v>
      </c>
      <c r="G811" s="17">
        <v>0.63888888888888895</v>
      </c>
      <c r="H811" s="17">
        <v>0.65902777777777777</v>
      </c>
      <c r="I811" s="9">
        <v>23590</v>
      </c>
      <c r="J811" s="9">
        <v>15930</v>
      </c>
      <c r="K811" s="10">
        <f t="shared" si="35"/>
        <v>7660</v>
      </c>
      <c r="L811" s="10" t="s">
        <v>1532</v>
      </c>
      <c r="M811" s="11" t="s">
        <v>1533</v>
      </c>
      <c r="N811" s="12">
        <f>3+4.8</f>
        <v>7.8</v>
      </c>
      <c r="O811" s="13" t="s">
        <v>855</v>
      </c>
      <c r="P811" s="14"/>
    </row>
    <row r="812" spans="1:16" x14ac:dyDescent="0.25">
      <c r="A812" s="6"/>
      <c r="B812" s="7">
        <v>44249</v>
      </c>
      <c r="C812" s="8" t="s">
        <v>1534</v>
      </c>
      <c r="D812" s="8" t="s">
        <v>501</v>
      </c>
      <c r="E812" s="9" t="s">
        <v>1174</v>
      </c>
      <c r="F812" s="9" t="s">
        <v>503</v>
      </c>
      <c r="G812" s="17">
        <v>0.67499999999999993</v>
      </c>
      <c r="H812" s="17">
        <v>0.7284722222222223</v>
      </c>
      <c r="I812" s="9">
        <v>7130</v>
      </c>
      <c r="J812" s="9">
        <v>5500</v>
      </c>
      <c r="K812" s="10">
        <f t="shared" si="35"/>
        <v>1630</v>
      </c>
      <c r="L812" s="10">
        <v>20182</v>
      </c>
      <c r="M812" s="11" t="s">
        <v>1091</v>
      </c>
      <c r="N812" s="12">
        <v>1630</v>
      </c>
      <c r="O812" s="13" t="s">
        <v>32</v>
      </c>
      <c r="P812" s="14" t="s">
        <v>992</v>
      </c>
    </row>
    <row r="813" spans="1:16" x14ac:dyDescent="0.25">
      <c r="A813" s="6"/>
      <c r="B813" s="7">
        <v>44249</v>
      </c>
      <c r="C813" s="8" t="s">
        <v>164</v>
      </c>
      <c r="D813" s="8" t="s">
        <v>465</v>
      </c>
      <c r="E813" s="9" t="s">
        <v>881</v>
      </c>
      <c r="F813" s="9" t="s">
        <v>749</v>
      </c>
      <c r="G813" s="17">
        <v>0.69444444444444453</v>
      </c>
      <c r="H813" s="17">
        <v>0.73263888888888884</v>
      </c>
      <c r="I813" s="9">
        <v>17530</v>
      </c>
      <c r="J813" s="9">
        <v>42850</v>
      </c>
      <c r="K813" s="10">
        <f t="shared" si="35"/>
        <v>-25320</v>
      </c>
      <c r="L813" s="10">
        <v>15591</v>
      </c>
      <c r="M813" s="11" t="s">
        <v>166</v>
      </c>
      <c r="N813" s="12">
        <v>504</v>
      </c>
      <c r="O813" s="13" t="s">
        <v>1099</v>
      </c>
      <c r="P813" s="14"/>
    </row>
    <row r="814" spans="1:16" x14ac:dyDescent="0.25">
      <c r="A814" s="6"/>
      <c r="B814" s="7">
        <v>44249</v>
      </c>
      <c r="C814" s="8" t="s">
        <v>1535</v>
      </c>
      <c r="D814" s="8" t="s">
        <v>928</v>
      </c>
      <c r="E814" s="9" t="s">
        <v>947</v>
      </c>
      <c r="F814" s="9" t="s">
        <v>948</v>
      </c>
      <c r="G814" s="17">
        <v>0.70138888888888884</v>
      </c>
      <c r="H814" s="17">
        <v>0.70972222222222225</v>
      </c>
      <c r="I814" s="9">
        <v>10370</v>
      </c>
      <c r="J814" s="9">
        <v>7500</v>
      </c>
      <c r="K814" s="10">
        <f t="shared" si="35"/>
        <v>2870</v>
      </c>
      <c r="L814" s="10">
        <v>23456</v>
      </c>
      <c r="M814" s="11" t="s">
        <v>1490</v>
      </c>
      <c r="N814" s="12">
        <v>2</v>
      </c>
      <c r="O814" s="13" t="s">
        <v>855</v>
      </c>
      <c r="P814" s="14"/>
    </row>
    <row r="815" spans="1:16" x14ac:dyDescent="0.25">
      <c r="A815" s="6"/>
      <c r="B815" s="7">
        <v>44249</v>
      </c>
      <c r="C815" s="8" t="s">
        <v>208</v>
      </c>
      <c r="D815" s="8" t="s">
        <v>143</v>
      </c>
      <c r="E815" s="9" t="s">
        <v>144</v>
      </c>
      <c r="F815" s="9" t="s">
        <v>626</v>
      </c>
      <c r="G815" s="17">
        <v>0.73402777777777783</v>
      </c>
      <c r="H815" s="17">
        <v>0.74305555555555547</v>
      </c>
      <c r="I815" s="9">
        <v>40460</v>
      </c>
      <c r="J815" s="9">
        <v>17610</v>
      </c>
      <c r="K815" s="10">
        <f t="shared" si="35"/>
        <v>22850</v>
      </c>
      <c r="L815" s="10">
        <v>40605</v>
      </c>
      <c r="M815" s="11" t="s">
        <v>442</v>
      </c>
      <c r="N815" s="12">
        <v>22860</v>
      </c>
      <c r="O815" s="13" t="s">
        <v>32</v>
      </c>
      <c r="P815" s="14"/>
    </row>
    <row r="816" spans="1:16" x14ac:dyDescent="0.25">
      <c r="A816" s="6"/>
      <c r="B816" s="7">
        <v>44249</v>
      </c>
      <c r="C816" s="8" t="s">
        <v>1536</v>
      </c>
      <c r="D816" s="8" t="s">
        <v>928</v>
      </c>
      <c r="E816" s="9" t="s">
        <v>947</v>
      </c>
      <c r="F816" s="9" t="s">
        <v>948</v>
      </c>
      <c r="G816" s="17">
        <v>0.78611111111111109</v>
      </c>
      <c r="H816" s="17">
        <v>0.79236111111111107</v>
      </c>
      <c r="I816" s="9">
        <v>8410</v>
      </c>
      <c r="J816" s="9">
        <v>7490</v>
      </c>
      <c r="K816" s="10">
        <f t="shared" si="35"/>
        <v>920</v>
      </c>
      <c r="L816" s="10">
        <v>23457</v>
      </c>
      <c r="M816" s="11" t="s">
        <v>1041</v>
      </c>
      <c r="N816" s="12"/>
      <c r="O816" s="13" t="s">
        <v>32</v>
      </c>
      <c r="P816" s="14" t="s">
        <v>883</v>
      </c>
    </row>
    <row r="817" spans="1:16" x14ac:dyDescent="0.25">
      <c r="A817" s="6"/>
      <c r="B817" s="7">
        <v>44249</v>
      </c>
      <c r="C817" s="8" t="s">
        <v>208</v>
      </c>
      <c r="D817" s="8" t="s">
        <v>299</v>
      </c>
      <c r="E817" s="9" t="s">
        <v>813</v>
      </c>
      <c r="F817" s="9" t="s">
        <v>814</v>
      </c>
      <c r="G817" s="17">
        <v>0.80972222222222223</v>
      </c>
      <c r="H817" s="17">
        <v>0.37986111111111115</v>
      </c>
      <c r="I817" s="9">
        <v>41720</v>
      </c>
      <c r="J817" s="9">
        <v>17000</v>
      </c>
      <c r="K817" s="10">
        <f t="shared" si="35"/>
        <v>24720</v>
      </c>
      <c r="L817" s="10">
        <v>40622</v>
      </c>
      <c r="M817" s="11" t="s">
        <v>212</v>
      </c>
      <c r="N817" s="12">
        <v>24740</v>
      </c>
      <c r="O817" s="13" t="s">
        <v>32</v>
      </c>
      <c r="P817" s="14"/>
    </row>
    <row r="818" spans="1:16" x14ac:dyDescent="0.25">
      <c r="A818" s="6"/>
      <c r="B818" s="7">
        <v>44249</v>
      </c>
      <c r="C818" s="8" t="s">
        <v>208</v>
      </c>
      <c r="D818" s="8" t="s">
        <v>143</v>
      </c>
      <c r="E818" s="9" t="s">
        <v>144</v>
      </c>
      <c r="F818" s="9" t="s">
        <v>626</v>
      </c>
      <c r="G818" s="17">
        <v>0.81944444444444453</v>
      </c>
      <c r="H818" s="17">
        <v>0.82777777777777783</v>
      </c>
      <c r="I818" s="9">
        <v>24480</v>
      </c>
      <c r="J818" s="9">
        <v>17660</v>
      </c>
      <c r="K818" s="10">
        <f t="shared" si="35"/>
        <v>6820</v>
      </c>
      <c r="L818" s="10">
        <v>40605</v>
      </c>
      <c r="M818" s="11" t="s">
        <v>804</v>
      </c>
      <c r="N818" s="12">
        <f>4000+2900</f>
        <v>6900</v>
      </c>
      <c r="O818" s="13" t="s">
        <v>32</v>
      </c>
      <c r="P818" s="14"/>
    </row>
    <row r="819" spans="1:16" x14ac:dyDescent="0.25">
      <c r="A819" s="6"/>
      <c r="B819" s="7">
        <v>44249</v>
      </c>
      <c r="C819" s="8" t="s">
        <v>37</v>
      </c>
      <c r="D819" s="8" t="s">
        <v>1055</v>
      </c>
      <c r="E819" s="9" t="s">
        <v>967</v>
      </c>
      <c r="F819" s="9" t="s">
        <v>36</v>
      </c>
      <c r="G819" s="17">
        <v>0.85763888888888884</v>
      </c>
      <c r="H819" s="17">
        <v>0.88611111111111107</v>
      </c>
      <c r="I819" s="9">
        <v>15255</v>
      </c>
      <c r="J819" s="9">
        <v>8825</v>
      </c>
      <c r="K819" s="10">
        <f t="shared" si="35"/>
        <v>6430</v>
      </c>
      <c r="L819" s="10">
        <v>26526</v>
      </c>
      <c r="M819" s="11" t="s">
        <v>1537</v>
      </c>
      <c r="N819" s="12">
        <v>8825</v>
      </c>
      <c r="O819" s="13" t="s">
        <v>32</v>
      </c>
      <c r="P819" s="14"/>
    </row>
    <row r="820" spans="1:16" x14ac:dyDescent="0.25">
      <c r="B820" s="7">
        <v>44249</v>
      </c>
      <c r="C820" s="8" t="s">
        <v>328</v>
      </c>
      <c r="D820" s="8" t="s">
        <v>530</v>
      </c>
      <c r="E820" s="9" t="s">
        <v>699</v>
      </c>
      <c r="F820" s="9" t="s">
        <v>140</v>
      </c>
      <c r="G820" s="17">
        <v>0.8618055555555556</v>
      </c>
      <c r="H820" s="17">
        <v>0.88958333333333339</v>
      </c>
      <c r="I820" s="9">
        <v>18880</v>
      </c>
      <c r="J820" s="9">
        <v>8540</v>
      </c>
      <c r="K820" s="10">
        <f t="shared" si="35"/>
        <v>10340</v>
      </c>
      <c r="L820" s="10">
        <v>1545</v>
      </c>
      <c r="M820" s="11" t="s">
        <v>1538</v>
      </c>
      <c r="N820" s="12">
        <v>24300</v>
      </c>
      <c r="O820" s="13" t="s">
        <v>49</v>
      </c>
      <c r="P820" s="14"/>
    </row>
    <row r="821" spans="1:16" x14ac:dyDescent="0.25">
      <c r="B821" s="7">
        <v>44249</v>
      </c>
      <c r="C821" s="8" t="s">
        <v>130</v>
      </c>
      <c r="D821" s="8" t="s">
        <v>935</v>
      </c>
      <c r="E821" s="9" t="s">
        <v>473</v>
      </c>
      <c r="F821" s="9" t="s">
        <v>36</v>
      </c>
      <c r="G821" s="17">
        <v>0.91180555555555554</v>
      </c>
      <c r="H821" s="17">
        <v>0.4055555555555555</v>
      </c>
      <c r="I821" s="9">
        <v>38740</v>
      </c>
      <c r="J821" s="9">
        <v>16780</v>
      </c>
      <c r="K821" s="10">
        <f t="shared" si="35"/>
        <v>21960</v>
      </c>
      <c r="L821" s="10">
        <v>4942</v>
      </c>
      <c r="M821" s="11" t="s">
        <v>398</v>
      </c>
      <c r="N821" s="12">
        <v>840</v>
      </c>
      <c r="O821" s="13" t="s">
        <v>1099</v>
      </c>
      <c r="P821" s="14"/>
    </row>
    <row r="822" spans="1:16" x14ac:dyDescent="0.25">
      <c r="B822" s="7">
        <v>44249</v>
      </c>
      <c r="C822" s="8" t="s">
        <v>962</v>
      </c>
      <c r="D822" s="8" t="s">
        <v>1230</v>
      </c>
      <c r="E822" s="9" t="s">
        <v>1315</v>
      </c>
      <c r="F822" s="9" t="s">
        <v>36</v>
      </c>
      <c r="G822" s="17">
        <v>0.9277777777777777</v>
      </c>
      <c r="H822" s="17">
        <v>0.98333333333333339</v>
      </c>
      <c r="I822" s="9">
        <v>8510</v>
      </c>
      <c r="J822" s="9">
        <v>4010</v>
      </c>
      <c r="K822" s="10">
        <f t="shared" si="35"/>
        <v>4500</v>
      </c>
      <c r="L822" s="10">
        <v>26527</v>
      </c>
      <c r="M822" s="11" t="s">
        <v>1208</v>
      </c>
      <c r="N822" s="12">
        <v>4500</v>
      </c>
      <c r="O822" s="13" t="s">
        <v>32</v>
      </c>
      <c r="P822" s="14"/>
    </row>
    <row r="823" spans="1:16" x14ac:dyDescent="0.25">
      <c r="B823" s="7">
        <v>44249</v>
      </c>
      <c r="C823" s="8" t="s">
        <v>130</v>
      </c>
      <c r="D823" s="8" t="s">
        <v>1164</v>
      </c>
      <c r="E823" s="9" t="s">
        <v>1165</v>
      </c>
      <c r="F823" s="9" t="s">
        <v>36</v>
      </c>
      <c r="G823" s="17">
        <v>0.94236111111111109</v>
      </c>
      <c r="H823" s="17">
        <v>0.51597222222222217</v>
      </c>
      <c r="I823" s="9">
        <v>39270</v>
      </c>
      <c r="J823" s="9">
        <v>17480</v>
      </c>
      <c r="K823" s="10">
        <f t="shared" si="35"/>
        <v>21790</v>
      </c>
      <c r="L823" s="10">
        <v>4941</v>
      </c>
      <c r="M823" s="11" t="s">
        <v>898</v>
      </c>
      <c r="N823" s="12">
        <v>840</v>
      </c>
      <c r="O823" s="13" t="s">
        <v>1099</v>
      </c>
      <c r="P823" s="14"/>
    </row>
    <row r="824" spans="1:16" x14ac:dyDescent="0.25">
      <c r="B824" s="7">
        <v>44249</v>
      </c>
      <c r="C824" s="8" t="s">
        <v>1539</v>
      </c>
      <c r="D824" s="8" t="s">
        <v>1540</v>
      </c>
      <c r="E824" s="9" t="s">
        <v>1541</v>
      </c>
      <c r="F824" s="9" t="s">
        <v>36</v>
      </c>
      <c r="G824" s="17">
        <v>0.98611111111111116</v>
      </c>
      <c r="H824" s="17">
        <v>7.0833333333333331E-2</v>
      </c>
      <c r="I824" s="9">
        <v>12950</v>
      </c>
      <c r="J824" s="9">
        <v>8150</v>
      </c>
      <c r="K824" s="10">
        <f t="shared" si="35"/>
        <v>4800</v>
      </c>
      <c r="L824" s="10">
        <v>26528</v>
      </c>
      <c r="M824" s="11" t="s">
        <v>1544</v>
      </c>
      <c r="N824" s="12">
        <v>4800</v>
      </c>
      <c r="O824" s="13" t="s">
        <v>32</v>
      </c>
      <c r="P824" s="14"/>
    </row>
    <row r="825" spans="1:16" x14ac:dyDescent="0.25">
      <c r="B825" s="7">
        <v>44250</v>
      </c>
      <c r="C825" s="8" t="s">
        <v>366</v>
      </c>
      <c r="D825" s="8" t="s">
        <v>1076</v>
      </c>
      <c r="E825" s="9" t="s">
        <v>220</v>
      </c>
      <c r="F825" s="9" t="s">
        <v>221</v>
      </c>
      <c r="G825" s="17">
        <v>1.1805555555555555E-2</v>
      </c>
      <c r="H825" s="17">
        <v>9.5138888888888884E-2</v>
      </c>
      <c r="I825" s="9">
        <v>21790</v>
      </c>
      <c r="J825" s="9">
        <v>9510</v>
      </c>
      <c r="K825" s="10">
        <f t="shared" si="35"/>
        <v>12280</v>
      </c>
      <c r="L825" s="10" t="s">
        <v>1542</v>
      </c>
      <c r="M825" s="11" t="s">
        <v>1543</v>
      </c>
      <c r="N825" s="12">
        <f>2564+9782</f>
        <v>12346</v>
      </c>
      <c r="O825" s="13" t="s">
        <v>683</v>
      </c>
      <c r="P825" s="14"/>
    </row>
    <row r="826" spans="1:16" x14ac:dyDescent="0.25">
      <c r="B826" s="7">
        <v>44250</v>
      </c>
      <c r="C826" s="8" t="s">
        <v>871</v>
      </c>
      <c r="D826" s="8" t="s">
        <v>86</v>
      </c>
      <c r="E826" s="9" t="s">
        <v>87</v>
      </c>
      <c r="F826" s="9" t="s">
        <v>88</v>
      </c>
      <c r="G826" s="17">
        <v>0.16944444444444443</v>
      </c>
      <c r="H826" s="17">
        <v>0.17777777777777778</v>
      </c>
      <c r="I826" s="9">
        <v>35330</v>
      </c>
      <c r="J826" s="9">
        <v>17280</v>
      </c>
      <c r="K826" s="10">
        <f t="shared" si="35"/>
        <v>18050</v>
      </c>
      <c r="L826" s="10">
        <v>765</v>
      </c>
      <c r="M826" s="11" t="s">
        <v>1545</v>
      </c>
      <c r="N826" s="12">
        <v>18400</v>
      </c>
      <c r="O826" s="13" t="s">
        <v>32</v>
      </c>
      <c r="P826" s="14"/>
    </row>
    <row r="827" spans="1:16" x14ac:dyDescent="0.25">
      <c r="B827" s="15">
        <v>44250</v>
      </c>
      <c r="C827" s="16" t="s">
        <v>332</v>
      </c>
      <c r="D827" s="8" t="s">
        <v>1546</v>
      </c>
      <c r="E827" s="9" t="s">
        <v>1547</v>
      </c>
      <c r="F827" s="9" t="s">
        <v>36</v>
      </c>
      <c r="G827" s="17">
        <v>0.34861111111111115</v>
      </c>
      <c r="H827" s="17">
        <v>0.42569444444444443</v>
      </c>
      <c r="I827" s="9">
        <v>28830</v>
      </c>
      <c r="J827" s="9">
        <v>17730</v>
      </c>
      <c r="K827" s="10">
        <f t="shared" si="35"/>
        <v>11100</v>
      </c>
      <c r="L827" s="10">
        <v>4943</v>
      </c>
      <c r="M827" s="11" t="s">
        <v>898</v>
      </c>
      <c r="N827" s="12">
        <v>420</v>
      </c>
      <c r="O827" s="13" t="s">
        <v>1099</v>
      </c>
      <c r="P827" s="14"/>
    </row>
    <row r="828" spans="1:16" x14ac:dyDescent="0.25">
      <c r="B828" s="7">
        <v>44250</v>
      </c>
      <c r="C828" s="8" t="s">
        <v>950</v>
      </c>
      <c r="D828" s="8" t="s">
        <v>928</v>
      </c>
      <c r="E828" s="9" t="s">
        <v>947</v>
      </c>
      <c r="F828" s="9" t="s">
        <v>948</v>
      </c>
      <c r="G828" s="17">
        <v>0.35000000000000003</v>
      </c>
      <c r="H828" s="17">
        <v>0.38750000000000001</v>
      </c>
      <c r="I828" s="9">
        <v>9770</v>
      </c>
      <c r="J828" s="9">
        <v>7490</v>
      </c>
      <c r="K828" s="10">
        <f t="shared" si="35"/>
        <v>2280</v>
      </c>
      <c r="L828" s="10">
        <v>23458</v>
      </c>
      <c r="M828" s="11" t="s">
        <v>1548</v>
      </c>
      <c r="N828" s="12">
        <v>2.4</v>
      </c>
      <c r="O828" s="13" t="s">
        <v>855</v>
      </c>
      <c r="P828" s="14"/>
    </row>
    <row r="829" spans="1:16" x14ac:dyDescent="0.25">
      <c r="B829" s="7">
        <v>44250</v>
      </c>
      <c r="C829" s="8" t="s">
        <v>1549</v>
      </c>
      <c r="D829" s="8" t="s">
        <v>1550</v>
      </c>
      <c r="E829" s="9" t="s">
        <v>1551</v>
      </c>
      <c r="F829" s="9" t="s">
        <v>390</v>
      </c>
      <c r="G829" s="17">
        <v>0.38263888888888892</v>
      </c>
      <c r="H829" s="17">
        <v>0.52083333333333337</v>
      </c>
      <c r="I829" s="9">
        <v>12940</v>
      </c>
      <c r="J829" s="9">
        <v>33920</v>
      </c>
      <c r="K829" s="10">
        <f t="shared" si="35"/>
        <v>-20980</v>
      </c>
      <c r="L829" s="10">
        <v>5794</v>
      </c>
      <c r="M829" s="11" t="s">
        <v>861</v>
      </c>
      <c r="N829" s="12">
        <v>19924</v>
      </c>
      <c r="O829" s="13" t="s">
        <v>32</v>
      </c>
      <c r="P829" s="14" t="s">
        <v>1559</v>
      </c>
    </row>
    <row r="830" spans="1:16" x14ac:dyDescent="0.25">
      <c r="B830" s="7">
        <v>44250</v>
      </c>
      <c r="C830" s="8" t="s">
        <v>1549</v>
      </c>
      <c r="D830" s="8" t="s">
        <v>1552</v>
      </c>
      <c r="E830" s="9" t="s">
        <v>1553</v>
      </c>
      <c r="F830" s="9" t="s">
        <v>390</v>
      </c>
      <c r="G830" s="17">
        <v>0.38680555555555557</v>
      </c>
      <c r="H830" s="17">
        <v>0.52916666666666667</v>
      </c>
      <c r="I830" s="9">
        <v>15710</v>
      </c>
      <c r="J830" s="9">
        <v>36730</v>
      </c>
      <c r="K830" s="10">
        <f t="shared" si="35"/>
        <v>-21020</v>
      </c>
      <c r="L830" s="10">
        <v>5793</v>
      </c>
      <c r="M830" s="11" t="s">
        <v>861</v>
      </c>
      <c r="N830" s="12">
        <v>19986</v>
      </c>
      <c r="O830" s="13" t="s">
        <v>32</v>
      </c>
      <c r="P830" s="14" t="s">
        <v>1559</v>
      </c>
    </row>
    <row r="831" spans="1:16" x14ac:dyDescent="0.25">
      <c r="A831" s="7"/>
      <c r="B831" s="7">
        <v>44250</v>
      </c>
      <c r="C831" s="8" t="s">
        <v>208</v>
      </c>
      <c r="D831" s="8" t="s">
        <v>143</v>
      </c>
      <c r="E831" s="9" t="s">
        <v>144</v>
      </c>
      <c r="F831" s="9" t="s">
        <v>626</v>
      </c>
      <c r="G831" s="17">
        <v>0.39930555555555558</v>
      </c>
      <c r="H831" s="17">
        <v>0.40833333333333338</v>
      </c>
      <c r="I831" s="9">
        <v>40910</v>
      </c>
      <c r="J831" s="9">
        <v>17650</v>
      </c>
      <c r="K831" s="10">
        <f t="shared" ref="K831" si="37">+I831-J831</f>
        <v>23260</v>
      </c>
      <c r="L831" s="10">
        <v>4806</v>
      </c>
      <c r="M831" s="11" t="s">
        <v>257</v>
      </c>
      <c r="N831" s="12">
        <v>23340</v>
      </c>
      <c r="O831" s="13" t="s">
        <v>32</v>
      </c>
      <c r="P831" s="14"/>
    </row>
    <row r="832" spans="1:16" x14ac:dyDescent="0.25">
      <c r="A832" s="7"/>
      <c r="B832" s="7">
        <v>44250</v>
      </c>
      <c r="C832" s="8" t="s">
        <v>1549</v>
      </c>
      <c r="D832" s="8" t="s">
        <v>1554</v>
      </c>
      <c r="E832" s="9" t="s">
        <v>1555</v>
      </c>
      <c r="F832" s="9" t="s">
        <v>390</v>
      </c>
      <c r="G832" s="17">
        <v>0.46875</v>
      </c>
      <c r="H832" s="17">
        <v>0.52569444444444446</v>
      </c>
      <c r="I832" s="9">
        <v>14550</v>
      </c>
      <c r="J832" s="9">
        <v>35670</v>
      </c>
      <c r="K832" s="10">
        <f t="shared" si="35"/>
        <v>-21120</v>
      </c>
      <c r="L832" s="10">
        <v>5795</v>
      </c>
      <c r="M832" s="11" t="s">
        <v>861</v>
      </c>
      <c r="N832" s="12">
        <v>20057</v>
      </c>
      <c r="O832" s="13" t="s">
        <v>32</v>
      </c>
      <c r="P832" s="14" t="s">
        <v>1559</v>
      </c>
    </row>
    <row r="833" spans="1:16" x14ac:dyDescent="0.25">
      <c r="A833" s="7"/>
      <c r="B833" s="7">
        <v>44250</v>
      </c>
      <c r="C833" s="8" t="s">
        <v>1549</v>
      </c>
      <c r="D833" s="8" t="s">
        <v>1556</v>
      </c>
      <c r="E833" s="9" t="s">
        <v>1557</v>
      </c>
      <c r="F833" s="9" t="s">
        <v>390</v>
      </c>
      <c r="G833" s="17">
        <v>0.47013888888888888</v>
      </c>
      <c r="H833" s="17">
        <v>0.70000000000000007</v>
      </c>
      <c r="I833" s="9">
        <v>15030</v>
      </c>
      <c r="J833" s="9">
        <v>35830</v>
      </c>
      <c r="K833" s="10">
        <f t="shared" si="35"/>
        <v>-20800</v>
      </c>
      <c r="L833" s="10">
        <v>5796</v>
      </c>
      <c r="M833" s="11" t="s">
        <v>861</v>
      </c>
      <c r="N833" s="12">
        <v>19767</v>
      </c>
      <c r="O833" s="13" t="s">
        <v>32</v>
      </c>
      <c r="P833" s="14" t="s">
        <v>1559</v>
      </c>
    </row>
    <row r="834" spans="1:16" x14ac:dyDescent="0.25">
      <c r="A834" s="7"/>
      <c r="B834" s="7">
        <v>44250</v>
      </c>
      <c r="C834" s="8" t="s">
        <v>1558</v>
      </c>
      <c r="D834" s="8" t="s">
        <v>243</v>
      </c>
      <c r="E834" s="9" t="s">
        <v>440</v>
      </c>
      <c r="F834" s="9" t="s">
        <v>1276</v>
      </c>
      <c r="G834" s="17">
        <v>0.47569444444444442</v>
      </c>
      <c r="H834" s="17">
        <v>0.48541666666666666</v>
      </c>
      <c r="I834" s="9">
        <v>28810</v>
      </c>
      <c r="J834" s="9">
        <v>15260</v>
      </c>
      <c r="K834" s="10">
        <f t="shared" si="35"/>
        <v>13550</v>
      </c>
      <c r="L834" s="10">
        <v>23459</v>
      </c>
      <c r="M834" s="11" t="s">
        <v>1515</v>
      </c>
      <c r="N834" s="12">
        <v>14.4</v>
      </c>
      <c r="O834" s="13" t="s">
        <v>855</v>
      </c>
      <c r="P834" s="14"/>
    </row>
    <row r="835" spans="1:16" x14ac:dyDescent="0.25">
      <c r="A835" s="7"/>
      <c r="B835" s="7">
        <v>44250</v>
      </c>
      <c r="C835" s="8" t="s">
        <v>208</v>
      </c>
      <c r="D835" s="8" t="s">
        <v>143</v>
      </c>
      <c r="E835" s="9" t="s">
        <v>144</v>
      </c>
      <c r="F835" s="9" t="s">
        <v>626</v>
      </c>
      <c r="G835" s="17">
        <v>0.54236111111111118</v>
      </c>
      <c r="H835" s="17">
        <v>0.55902777777777779</v>
      </c>
      <c r="I835" s="9">
        <v>40060</v>
      </c>
      <c r="J835" s="9">
        <v>17620</v>
      </c>
      <c r="K835" s="10">
        <f t="shared" si="35"/>
        <v>22440</v>
      </c>
      <c r="L835" s="10">
        <v>40643</v>
      </c>
      <c r="M835" s="11" t="s">
        <v>804</v>
      </c>
      <c r="N835" s="12">
        <v>22520</v>
      </c>
      <c r="O835" s="13" t="s">
        <v>32</v>
      </c>
      <c r="P835" s="14"/>
    </row>
    <row r="836" spans="1:16" s="82" customFormat="1" x14ac:dyDescent="0.25">
      <c r="A836" s="80"/>
      <c r="B836" s="80">
        <v>44250</v>
      </c>
      <c r="C836" s="52" t="s">
        <v>1560</v>
      </c>
      <c r="D836" s="52" t="s">
        <v>1561</v>
      </c>
      <c r="E836" s="53" t="s">
        <v>368</v>
      </c>
      <c r="F836" s="53" t="s">
        <v>1562</v>
      </c>
      <c r="G836" s="54">
        <v>0.55625000000000002</v>
      </c>
      <c r="H836" s="54">
        <v>0.57708333333333328</v>
      </c>
      <c r="I836" s="53">
        <v>6090</v>
      </c>
      <c r="J836" s="53">
        <v>5600</v>
      </c>
      <c r="K836" s="55">
        <f t="shared" si="35"/>
        <v>490</v>
      </c>
      <c r="L836" s="10">
        <v>26528</v>
      </c>
      <c r="M836" s="56" t="s">
        <v>1563</v>
      </c>
      <c r="N836" s="57">
        <v>490</v>
      </c>
      <c r="O836" s="58" t="s">
        <v>32</v>
      </c>
      <c r="P836" s="81"/>
    </row>
    <row r="837" spans="1:16" x14ac:dyDescent="0.25">
      <c r="A837" s="7"/>
      <c r="B837" s="7">
        <v>44250</v>
      </c>
      <c r="C837" s="8" t="s">
        <v>1564</v>
      </c>
      <c r="D837" s="8" t="s">
        <v>1565</v>
      </c>
      <c r="E837" s="9" t="s">
        <v>1566</v>
      </c>
      <c r="F837" s="9" t="s">
        <v>390</v>
      </c>
      <c r="G837" s="17">
        <v>0.56597222222222221</v>
      </c>
      <c r="H837" s="17">
        <v>0.70624999999999993</v>
      </c>
      <c r="I837" s="9">
        <v>15480</v>
      </c>
      <c r="J837" s="9">
        <v>36410</v>
      </c>
      <c r="K837" s="10">
        <f t="shared" si="35"/>
        <v>-20930</v>
      </c>
      <c r="L837" s="10">
        <v>5797</v>
      </c>
      <c r="M837" s="11" t="s">
        <v>861</v>
      </c>
      <c r="N837" s="12">
        <v>19886</v>
      </c>
      <c r="O837" s="13" t="s">
        <v>32</v>
      </c>
      <c r="P837" s="14"/>
    </row>
    <row r="838" spans="1:16" x14ac:dyDescent="0.25">
      <c r="A838" s="7"/>
      <c r="B838" s="7">
        <v>44250</v>
      </c>
      <c r="C838" s="8" t="s">
        <v>1564</v>
      </c>
      <c r="D838" s="8" t="s">
        <v>1567</v>
      </c>
      <c r="E838" s="9" t="s">
        <v>1568</v>
      </c>
      <c r="F838" s="9" t="s">
        <v>390</v>
      </c>
      <c r="G838" s="17">
        <v>0.56736111111111109</v>
      </c>
      <c r="H838" s="17">
        <v>0.70347222222222217</v>
      </c>
      <c r="I838" s="9">
        <v>13550</v>
      </c>
      <c r="J838" s="9">
        <v>34710</v>
      </c>
      <c r="K838" s="10">
        <f t="shared" si="35"/>
        <v>-21160</v>
      </c>
      <c r="L838" s="10">
        <v>5798</v>
      </c>
      <c r="M838" s="11" t="s">
        <v>861</v>
      </c>
      <c r="N838" s="12">
        <v>20123</v>
      </c>
      <c r="O838" s="13" t="s">
        <v>32</v>
      </c>
      <c r="P838" s="14"/>
    </row>
    <row r="839" spans="1:16" x14ac:dyDescent="0.25">
      <c r="A839" s="7"/>
      <c r="B839" s="7">
        <v>44250</v>
      </c>
      <c r="C839" s="8" t="s">
        <v>1029</v>
      </c>
      <c r="D839" s="8" t="s">
        <v>198</v>
      </c>
      <c r="E839" s="9" t="s">
        <v>405</v>
      </c>
      <c r="F839" s="9" t="s">
        <v>161</v>
      </c>
      <c r="G839" s="17">
        <v>0.61944444444444446</v>
      </c>
      <c r="H839" s="17">
        <v>0.63194444444444442</v>
      </c>
      <c r="I839" s="9">
        <v>29710</v>
      </c>
      <c r="J839" s="9">
        <v>16660</v>
      </c>
      <c r="K839" s="10">
        <f t="shared" si="35"/>
        <v>13050</v>
      </c>
      <c r="L839" s="10">
        <v>23460</v>
      </c>
      <c r="M839" s="11" t="s">
        <v>1515</v>
      </c>
      <c r="N839" s="12">
        <v>14.4</v>
      </c>
      <c r="O839" s="13" t="s">
        <v>855</v>
      </c>
      <c r="P839" s="14"/>
    </row>
    <row r="840" spans="1:16" x14ac:dyDescent="0.25">
      <c r="A840" s="7"/>
      <c r="B840" s="7">
        <v>44250</v>
      </c>
      <c r="C840" s="8" t="s">
        <v>1081</v>
      </c>
      <c r="D840" s="8" t="s">
        <v>284</v>
      </c>
      <c r="E840" s="9" t="s">
        <v>285</v>
      </c>
      <c r="F840" s="9" t="s">
        <v>286</v>
      </c>
      <c r="G840" s="17">
        <v>0.6777777777777777</v>
      </c>
      <c r="H840" s="17">
        <v>0.68888888888888899</v>
      </c>
      <c r="I840" s="9">
        <v>20730</v>
      </c>
      <c r="J840" s="9">
        <v>16350</v>
      </c>
      <c r="K840" s="10">
        <f t="shared" si="35"/>
        <v>4380</v>
      </c>
      <c r="L840" s="10">
        <v>23461</v>
      </c>
      <c r="M840" s="11" t="s">
        <v>997</v>
      </c>
      <c r="N840" s="12">
        <v>4380</v>
      </c>
      <c r="O840" s="13" t="s">
        <v>32</v>
      </c>
      <c r="P840" s="14" t="s">
        <v>979</v>
      </c>
    </row>
    <row r="841" spans="1:16" x14ac:dyDescent="0.25">
      <c r="A841" s="7"/>
      <c r="B841" s="7">
        <v>44250</v>
      </c>
      <c r="C841" s="8" t="s">
        <v>85</v>
      </c>
      <c r="D841" s="8" t="s">
        <v>853</v>
      </c>
      <c r="E841" s="9" t="s">
        <v>51</v>
      </c>
      <c r="F841" s="9" t="s">
        <v>52</v>
      </c>
      <c r="G841" s="17">
        <v>0.7090277777777777</v>
      </c>
      <c r="H841" s="17">
        <v>0.73333333333333339</v>
      </c>
      <c r="I841" s="9">
        <v>15510</v>
      </c>
      <c r="J841" s="9">
        <v>38820</v>
      </c>
      <c r="K841" s="10">
        <f t="shared" si="35"/>
        <v>-23310</v>
      </c>
      <c r="L841" s="10">
        <v>5800</v>
      </c>
      <c r="M841" s="11" t="s">
        <v>861</v>
      </c>
      <c r="N841" s="12">
        <v>22150</v>
      </c>
      <c r="O841" s="13" t="s">
        <v>32</v>
      </c>
      <c r="P841" s="14"/>
    </row>
    <row r="842" spans="1:16" x14ac:dyDescent="0.25">
      <c r="A842" s="7"/>
      <c r="B842" s="7">
        <v>44250</v>
      </c>
      <c r="C842" s="8" t="s">
        <v>1062</v>
      </c>
      <c r="D842" s="8" t="s">
        <v>899</v>
      </c>
      <c r="E842" s="9" t="s">
        <v>490</v>
      </c>
      <c r="F842" s="9" t="s">
        <v>491</v>
      </c>
      <c r="G842" s="17">
        <v>0.70972222222222225</v>
      </c>
      <c r="H842" s="17">
        <v>0.71527777777777779</v>
      </c>
      <c r="I842" s="9">
        <v>36540</v>
      </c>
      <c r="J842" s="9">
        <v>16010</v>
      </c>
      <c r="K842" s="10">
        <f t="shared" ref="K842" si="38">+I842-J842</f>
        <v>20530</v>
      </c>
      <c r="L842" s="10">
        <v>23462</v>
      </c>
      <c r="M842" s="11" t="s">
        <v>1515</v>
      </c>
      <c r="N842" s="12">
        <v>20</v>
      </c>
      <c r="O842" s="13" t="s">
        <v>855</v>
      </c>
      <c r="P842" s="14"/>
    </row>
    <row r="843" spans="1:16" x14ac:dyDescent="0.25">
      <c r="A843" s="7"/>
      <c r="B843" s="7">
        <v>44250</v>
      </c>
      <c r="C843" s="8" t="s">
        <v>1062</v>
      </c>
      <c r="D843" s="8" t="s">
        <v>198</v>
      </c>
      <c r="E843" s="9" t="s">
        <v>405</v>
      </c>
      <c r="F843" s="9" t="s">
        <v>161</v>
      </c>
      <c r="G843" s="17">
        <v>0.71388888888888891</v>
      </c>
      <c r="H843" s="17">
        <v>0.72499999999999998</v>
      </c>
      <c r="I843" s="9">
        <v>33020</v>
      </c>
      <c r="J843" s="9">
        <v>16640</v>
      </c>
      <c r="K843" s="10">
        <f t="shared" si="35"/>
        <v>16380</v>
      </c>
      <c r="L843" s="10">
        <v>23462</v>
      </c>
      <c r="M843" s="11" t="s">
        <v>1515</v>
      </c>
      <c r="N843" s="12">
        <v>16</v>
      </c>
      <c r="O843" s="13" t="s">
        <v>855</v>
      </c>
      <c r="P843" s="14"/>
    </row>
    <row r="844" spans="1:16" x14ac:dyDescent="0.25">
      <c r="B844" s="7">
        <v>44250</v>
      </c>
      <c r="C844" s="8" t="s">
        <v>1569</v>
      </c>
      <c r="D844" s="8" t="s">
        <v>1570</v>
      </c>
      <c r="E844" s="9" t="s">
        <v>1571</v>
      </c>
      <c r="F844" s="9" t="s">
        <v>390</v>
      </c>
      <c r="G844" s="17">
        <v>0.72291666666666676</v>
      </c>
      <c r="H844" s="17">
        <v>0.7597222222222223</v>
      </c>
      <c r="I844" s="9">
        <v>10340</v>
      </c>
      <c r="J844" s="9">
        <v>14340</v>
      </c>
      <c r="K844" s="10">
        <f t="shared" ref="K844" si="39">+I844-J844</f>
        <v>-4000</v>
      </c>
      <c r="L844" s="10">
        <v>5801</v>
      </c>
      <c r="M844" s="11" t="s">
        <v>861</v>
      </c>
      <c r="N844" s="12">
        <v>4000</v>
      </c>
      <c r="O844" s="13" t="s">
        <v>32</v>
      </c>
      <c r="P844" s="14"/>
    </row>
    <row r="845" spans="1:16" x14ac:dyDescent="0.25">
      <c r="A845" s="7"/>
      <c r="B845" s="7">
        <v>44250</v>
      </c>
      <c r="C845" s="8" t="s">
        <v>1431</v>
      </c>
      <c r="D845" s="8" t="s">
        <v>928</v>
      </c>
      <c r="E845" s="9" t="s">
        <v>628</v>
      </c>
      <c r="F845" s="9" t="s">
        <v>859</v>
      </c>
      <c r="G845" s="17">
        <v>0.75416666666666676</v>
      </c>
      <c r="H845" s="17">
        <v>0.76250000000000007</v>
      </c>
      <c r="I845" s="9">
        <v>10240</v>
      </c>
      <c r="J845" s="9">
        <v>9660</v>
      </c>
      <c r="K845" s="10">
        <f t="shared" si="35"/>
        <v>580</v>
      </c>
      <c r="L845" s="10">
        <v>23463</v>
      </c>
      <c r="M845" s="11" t="s">
        <v>1041</v>
      </c>
      <c r="N845" s="12">
        <v>580</v>
      </c>
      <c r="O845" s="13" t="s">
        <v>32</v>
      </c>
      <c r="P845" s="14" t="s">
        <v>883</v>
      </c>
    </row>
    <row r="846" spans="1:16" x14ac:dyDescent="0.25">
      <c r="B846" s="7">
        <v>44250</v>
      </c>
      <c r="C846" s="8" t="s">
        <v>208</v>
      </c>
      <c r="D846" s="8" t="s">
        <v>143</v>
      </c>
      <c r="E846" s="9" t="s">
        <v>144</v>
      </c>
      <c r="F846" s="9" t="s">
        <v>626</v>
      </c>
      <c r="G846" s="17">
        <v>0.76458333333333339</v>
      </c>
      <c r="H846" s="17">
        <v>0.77222222222222225</v>
      </c>
      <c r="I846" s="9">
        <v>41780</v>
      </c>
      <c r="J846" s="9">
        <v>17670</v>
      </c>
      <c r="K846" s="10">
        <f t="shared" si="35"/>
        <v>24110</v>
      </c>
      <c r="L846" s="10">
        <v>40643</v>
      </c>
      <c r="M846" s="11" t="s">
        <v>257</v>
      </c>
      <c r="N846" s="12">
        <v>24150</v>
      </c>
      <c r="O846" s="13" t="s">
        <v>32</v>
      </c>
      <c r="P846" s="14"/>
    </row>
    <row r="847" spans="1:16" x14ac:dyDescent="0.25">
      <c r="B847" s="7">
        <v>44250</v>
      </c>
      <c r="C847" s="8" t="s">
        <v>208</v>
      </c>
      <c r="D847" s="8" t="s">
        <v>299</v>
      </c>
      <c r="E847" s="9" t="s">
        <v>813</v>
      </c>
      <c r="F847" s="9" t="s">
        <v>814</v>
      </c>
      <c r="G847" s="17">
        <v>0.82361111111111107</v>
      </c>
      <c r="H847" s="17">
        <v>0.41666666666666669</v>
      </c>
      <c r="I847" s="9">
        <v>39740</v>
      </c>
      <c r="J847" s="9">
        <v>16960</v>
      </c>
      <c r="K847" s="10">
        <f t="shared" si="35"/>
        <v>22780</v>
      </c>
      <c r="L847" s="10">
        <v>40654</v>
      </c>
      <c r="M847" s="11" t="s">
        <v>771</v>
      </c>
      <c r="N847" s="12">
        <v>22800</v>
      </c>
      <c r="O847" s="13" t="s">
        <v>32</v>
      </c>
      <c r="P847" s="14"/>
    </row>
    <row r="848" spans="1:16" x14ac:dyDescent="0.25">
      <c r="B848" s="7">
        <v>44250</v>
      </c>
      <c r="C848" s="8" t="s">
        <v>37</v>
      </c>
      <c r="D848" s="8" t="s">
        <v>1055</v>
      </c>
      <c r="E848" s="9" t="s">
        <v>967</v>
      </c>
      <c r="F848" s="9" t="s">
        <v>36</v>
      </c>
      <c r="G848" s="17">
        <v>0.8652777777777777</v>
      </c>
      <c r="H848" s="17">
        <v>0.88888888888888884</v>
      </c>
      <c r="I848" s="9">
        <v>15845</v>
      </c>
      <c r="J848" s="9">
        <v>6380</v>
      </c>
      <c r="K848" s="10">
        <f t="shared" si="35"/>
        <v>9465</v>
      </c>
      <c r="L848" s="10">
        <v>26529</v>
      </c>
      <c r="M848" s="11" t="s">
        <v>1572</v>
      </c>
      <c r="N848" s="12">
        <v>9465</v>
      </c>
      <c r="O848" s="13" t="s">
        <v>32</v>
      </c>
      <c r="P848" s="14"/>
    </row>
    <row r="849" spans="1:18" x14ac:dyDescent="0.25">
      <c r="B849" s="7">
        <v>44250</v>
      </c>
      <c r="C849" s="8" t="s">
        <v>1573</v>
      </c>
      <c r="D849" s="8" t="s">
        <v>1190</v>
      </c>
      <c r="E849" s="9" t="s">
        <v>1574</v>
      </c>
      <c r="F849" s="9" t="s">
        <v>36</v>
      </c>
      <c r="G849" s="17">
        <v>0.90555555555555556</v>
      </c>
      <c r="H849" s="17">
        <v>0.4145833333333333</v>
      </c>
      <c r="I849" s="9">
        <v>38830</v>
      </c>
      <c r="J849" s="9">
        <v>17030</v>
      </c>
      <c r="K849" s="10">
        <f t="shared" si="35"/>
        <v>21800</v>
      </c>
      <c r="L849" s="10">
        <v>4944</v>
      </c>
      <c r="M849" s="11" t="s">
        <v>898</v>
      </c>
      <c r="N849" s="12">
        <v>840</v>
      </c>
      <c r="O849" s="13" t="s">
        <v>1099</v>
      </c>
      <c r="P849" s="14"/>
    </row>
    <row r="850" spans="1:18" x14ac:dyDescent="0.25">
      <c r="B850" s="7">
        <v>44250</v>
      </c>
      <c r="C850" s="8" t="s">
        <v>1435</v>
      </c>
      <c r="D850" s="8" t="s">
        <v>530</v>
      </c>
      <c r="E850" s="9" t="s">
        <v>699</v>
      </c>
      <c r="F850" s="9" t="s">
        <v>140</v>
      </c>
      <c r="G850" s="17">
        <v>0.9194444444444444</v>
      </c>
      <c r="H850" s="17">
        <v>0.35833333333333334</v>
      </c>
      <c r="I850" s="9">
        <v>16690</v>
      </c>
      <c r="J850" s="9">
        <v>8240</v>
      </c>
      <c r="K850" s="10">
        <f t="shared" si="35"/>
        <v>8450</v>
      </c>
      <c r="L850" s="10" t="s">
        <v>1575</v>
      </c>
      <c r="M850" s="11" t="s">
        <v>718</v>
      </c>
      <c r="N850" s="12"/>
      <c r="O850" s="13" t="s">
        <v>32</v>
      </c>
      <c r="P850" s="14"/>
    </row>
    <row r="851" spans="1:18" x14ac:dyDescent="0.25">
      <c r="B851" s="7">
        <v>44250</v>
      </c>
      <c r="C851" s="8" t="s">
        <v>962</v>
      </c>
      <c r="D851" s="8" t="s">
        <v>1230</v>
      </c>
      <c r="E851" s="9" t="s">
        <v>1315</v>
      </c>
      <c r="F851" s="9" t="s">
        <v>36</v>
      </c>
      <c r="G851" s="17">
        <v>0.92638888888888893</v>
      </c>
      <c r="H851" s="17">
        <v>0.95277777777777783</v>
      </c>
      <c r="I851" s="9">
        <v>7780</v>
      </c>
      <c r="J851" s="9">
        <v>4000</v>
      </c>
      <c r="K851" s="10">
        <f t="shared" si="35"/>
        <v>3780</v>
      </c>
      <c r="L851" s="10">
        <v>26530</v>
      </c>
      <c r="M851" s="11" t="s">
        <v>1576</v>
      </c>
      <c r="N851" s="12">
        <v>3780</v>
      </c>
      <c r="O851" s="13" t="s">
        <v>32</v>
      </c>
      <c r="P851" s="14"/>
    </row>
    <row r="852" spans="1:18" x14ac:dyDescent="0.25">
      <c r="B852" s="7">
        <v>44251</v>
      </c>
      <c r="C852" s="8" t="s">
        <v>1054</v>
      </c>
      <c r="D852" s="8" t="s">
        <v>86</v>
      </c>
      <c r="E852" s="9" t="s">
        <v>87</v>
      </c>
      <c r="F852" s="9" t="s">
        <v>88</v>
      </c>
      <c r="G852" s="17">
        <v>0.14791666666666667</v>
      </c>
      <c r="H852" s="17">
        <v>0.15625</v>
      </c>
      <c r="I852" s="9">
        <v>32440</v>
      </c>
      <c r="J852" s="9">
        <v>17280</v>
      </c>
      <c r="K852" s="10">
        <f t="shared" si="35"/>
        <v>15160</v>
      </c>
      <c r="L852" s="10">
        <v>766</v>
      </c>
      <c r="M852" s="11" t="s">
        <v>809</v>
      </c>
      <c r="N852" s="12">
        <v>15069</v>
      </c>
      <c r="O852" s="13" t="s">
        <v>32</v>
      </c>
      <c r="P852" s="14"/>
    </row>
    <row r="853" spans="1:18" x14ac:dyDescent="0.25">
      <c r="B853" s="15">
        <v>44251</v>
      </c>
      <c r="C853" s="8" t="s">
        <v>1580</v>
      </c>
      <c r="D853" s="8" t="s">
        <v>1577</v>
      </c>
      <c r="E853" s="9" t="s">
        <v>1578</v>
      </c>
      <c r="F853" s="9" t="s">
        <v>36</v>
      </c>
      <c r="G853" s="17">
        <v>0.36736111111111108</v>
      </c>
      <c r="H853" s="17">
        <v>0.49722222222222223</v>
      </c>
      <c r="I853" s="9">
        <v>17060</v>
      </c>
      <c r="J853" s="9">
        <v>47950</v>
      </c>
      <c r="K853" s="10">
        <f t="shared" ref="K853:K917" si="40">+I853-J853</f>
        <v>-30890</v>
      </c>
      <c r="L853" s="10">
        <v>5802</v>
      </c>
      <c r="M853" s="11" t="s">
        <v>53</v>
      </c>
      <c r="N853" s="12">
        <v>600</v>
      </c>
      <c r="O853" s="13" t="s">
        <v>1099</v>
      </c>
      <c r="P853" s="14" t="s">
        <v>1581</v>
      </c>
    </row>
    <row r="854" spans="1:18" x14ac:dyDescent="0.25">
      <c r="B854" s="7">
        <v>44251</v>
      </c>
      <c r="C854" s="8" t="s">
        <v>164</v>
      </c>
      <c r="D854" s="8" t="s">
        <v>1355</v>
      </c>
      <c r="E854" s="9" t="s">
        <v>1048</v>
      </c>
      <c r="F854" s="9" t="s">
        <v>526</v>
      </c>
      <c r="G854" s="17">
        <v>0.3888888888888889</v>
      </c>
      <c r="H854" s="17">
        <v>0.47291666666666665</v>
      </c>
      <c r="I854" s="9">
        <v>18750</v>
      </c>
      <c r="J854" s="9">
        <v>44120</v>
      </c>
      <c r="K854" s="10">
        <f t="shared" si="40"/>
        <v>-25370</v>
      </c>
      <c r="L854" s="10">
        <v>15592</v>
      </c>
      <c r="M854" s="11" t="s">
        <v>166</v>
      </c>
      <c r="N854" s="12">
        <v>504</v>
      </c>
      <c r="O854" s="13" t="s">
        <v>1099</v>
      </c>
      <c r="P854" s="14"/>
    </row>
    <row r="855" spans="1:18" x14ac:dyDescent="0.25">
      <c r="B855" s="7">
        <v>44251</v>
      </c>
      <c r="C855" s="8" t="s">
        <v>208</v>
      </c>
      <c r="D855" s="8" t="s">
        <v>143</v>
      </c>
      <c r="E855" s="9" t="s">
        <v>144</v>
      </c>
      <c r="F855" s="9" t="s">
        <v>626</v>
      </c>
      <c r="G855" s="17">
        <v>0.39930555555555558</v>
      </c>
      <c r="H855" s="17">
        <v>0.41875000000000001</v>
      </c>
      <c r="I855" s="9">
        <v>41890</v>
      </c>
      <c r="J855" s="9">
        <v>17540</v>
      </c>
      <c r="K855" s="10">
        <f t="shared" si="40"/>
        <v>24350</v>
      </c>
      <c r="L855" s="10">
        <v>40643</v>
      </c>
      <c r="M855" s="11" t="s">
        <v>809</v>
      </c>
      <c r="N855" s="12">
        <v>24360</v>
      </c>
      <c r="O855" s="13" t="s">
        <v>32</v>
      </c>
      <c r="P855" s="14"/>
      <c r="Q855" s="1">
        <v>30890</v>
      </c>
      <c r="R855" s="1">
        <f>+Q855-30060</f>
        <v>830</v>
      </c>
    </row>
    <row r="856" spans="1:18" x14ac:dyDescent="0.25">
      <c r="B856" s="7">
        <v>44251</v>
      </c>
      <c r="C856" s="8" t="s">
        <v>164</v>
      </c>
      <c r="D856" s="8" t="s">
        <v>198</v>
      </c>
      <c r="E856" s="9" t="s">
        <v>405</v>
      </c>
      <c r="F856" s="9" t="s">
        <v>161</v>
      </c>
      <c r="G856" s="17">
        <v>0.42291666666666666</v>
      </c>
      <c r="H856" s="17">
        <v>0.50069444444444444</v>
      </c>
      <c r="I856" s="9">
        <v>17850</v>
      </c>
      <c r="J856" s="9">
        <v>43240</v>
      </c>
      <c r="K856" s="10">
        <f t="shared" si="40"/>
        <v>-25390</v>
      </c>
      <c r="L856" s="10">
        <v>15593</v>
      </c>
      <c r="M856" s="11" t="s">
        <v>166</v>
      </c>
      <c r="N856" s="12">
        <v>504</v>
      </c>
      <c r="O856" s="13" t="s">
        <v>1099</v>
      </c>
      <c r="P856" s="14"/>
    </row>
    <row r="857" spans="1:18" s="82" customFormat="1" x14ac:dyDescent="0.25">
      <c r="A857" s="80"/>
      <c r="B857" s="7">
        <v>44251</v>
      </c>
      <c r="C857" s="52" t="s">
        <v>1560</v>
      </c>
      <c r="D857" s="52" t="s">
        <v>1561</v>
      </c>
      <c r="E857" s="53" t="s">
        <v>368</v>
      </c>
      <c r="F857" s="53" t="s">
        <v>1562</v>
      </c>
      <c r="G857" s="54">
        <v>0.4604166666666667</v>
      </c>
      <c r="H857" s="54">
        <v>0.4770833333333333</v>
      </c>
      <c r="I857" s="53">
        <v>6440</v>
      </c>
      <c r="J857" s="53">
        <v>5610</v>
      </c>
      <c r="K857" s="55">
        <f t="shared" si="40"/>
        <v>830</v>
      </c>
      <c r="L857" s="10" t="s">
        <v>1542</v>
      </c>
      <c r="M857" s="56" t="s">
        <v>1579</v>
      </c>
      <c r="N857" s="57">
        <v>830</v>
      </c>
      <c r="O857" s="58" t="s">
        <v>32</v>
      </c>
      <c r="P857" s="81"/>
    </row>
    <row r="858" spans="1:18" x14ac:dyDescent="0.25">
      <c r="B858" s="7">
        <v>44251</v>
      </c>
      <c r="C858" s="8" t="s">
        <v>208</v>
      </c>
      <c r="D858" s="8" t="s">
        <v>143</v>
      </c>
      <c r="E858" s="9" t="s">
        <v>144</v>
      </c>
      <c r="F858" s="9" t="s">
        <v>626</v>
      </c>
      <c r="G858" s="17">
        <v>0.52916666666666667</v>
      </c>
      <c r="H858" s="17">
        <v>0.5444444444444444</v>
      </c>
      <c r="I858" s="9">
        <v>39780</v>
      </c>
      <c r="J858" s="9">
        <v>17510</v>
      </c>
      <c r="K858" s="10">
        <f t="shared" si="40"/>
        <v>22270</v>
      </c>
      <c r="L858" s="10">
        <v>40669</v>
      </c>
      <c r="M858" s="11" t="s">
        <v>257</v>
      </c>
      <c r="N858" s="12">
        <f>8200+14070</f>
        <v>22270</v>
      </c>
      <c r="O858" s="13" t="s">
        <v>32</v>
      </c>
      <c r="P858" s="14"/>
    </row>
    <row r="859" spans="1:18" x14ac:dyDescent="0.25">
      <c r="B859" s="7">
        <v>44251</v>
      </c>
      <c r="C859" s="8" t="s">
        <v>1582</v>
      </c>
      <c r="D859" s="8" t="s">
        <v>895</v>
      </c>
      <c r="E859" s="9" t="s">
        <v>1124</v>
      </c>
      <c r="F859" s="9" t="s">
        <v>36</v>
      </c>
      <c r="G859" s="17">
        <v>0.58263888888888882</v>
      </c>
      <c r="H859" s="17">
        <v>0.64444444444444449</v>
      </c>
      <c r="I859" s="9">
        <v>54850</v>
      </c>
      <c r="J859" s="9">
        <v>19550</v>
      </c>
      <c r="K859" s="10">
        <f t="shared" si="40"/>
        <v>35300</v>
      </c>
      <c r="L859" s="10">
        <v>934</v>
      </c>
      <c r="M859" s="11" t="s">
        <v>306</v>
      </c>
      <c r="N859" s="12">
        <v>10000</v>
      </c>
      <c r="O859" s="13" t="s">
        <v>84</v>
      </c>
      <c r="P859" s="14"/>
    </row>
    <row r="860" spans="1:18" x14ac:dyDescent="0.25">
      <c r="B860" s="7">
        <v>44251</v>
      </c>
      <c r="C860" s="8" t="s">
        <v>164</v>
      </c>
      <c r="D860" s="8" t="s">
        <v>198</v>
      </c>
      <c r="E860" s="9" t="s">
        <v>405</v>
      </c>
      <c r="F860" s="9" t="s">
        <v>161</v>
      </c>
      <c r="G860" s="17">
        <v>0.59652777777777777</v>
      </c>
      <c r="H860" s="17">
        <v>0.62361111111111112</v>
      </c>
      <c r="I860" s="9">
        <v>34380</v>
      </c>
      <c r="J860" s="9">
        <v>17460</v>
      </c>
      <c r="K860" s="10">
        <f t="shared" si="40"/>
        <v>16920</v>
      </c>
      <c r="L860" s="10">
        <v>15621</v>
      </c>
      <c r="M860" s="11" t="s">
        <v>398</v>
      </c>
      <c r="N860" s="12">
        <v>336</v>
      </c>
      <c r="O860" s="13" t="s">
        <v>1099</v>
      </c>
      <c r="P860" s="14"/>
    </row>
    <row r="861" spans="1:18" x14ac:dyDescent="0.25">
      <c r="B861" s="7">
        <v>44251</v>
      </c>
      <c r="C861" s="8" t="s">
        <v>85</v>
      </c>
      <c r="D861" s="8" t="s">
        <v>853</v>
      </c>
      <c r="E861" s="9" t="s">
        <v>51</v>
      </c>
      <c r="F861" s="9" t="s">
        <v>52</v>
      </c>
      <c r="G861" s="17">
        <v>0.61736111111111114</v>
      </c>
      <c r="H861" s="17">
        <v>0.35694444444444445</v>
      </c>
      <c r="I861" s="9">
        <v>16760</v>
      </c>
      <c r="J861" s="9">
        <v>15550</v>
      </c>
      <c r="K861" s="10">
        <f t="shared" si="40"/>
        <v>1210</v>
      </c>
      <c r="L861" s="10"/>
      <c r="M861" s="11" t="s">
        <v>1443</v>
      </c>
      <c r="N861" s="12">
        <v>20</v>
      </c>
      <c r="O861" s="13" t="s">
        <v>80</v>
      </c>
      <c r="P861" s="14"/>
    </row>
    <row r="862" spans="1:18" x14ac:dyDescent="0.25">
      <c r="B862" s="7">
        <v>44251</v>
      </c>
      <c r="C862" s="8" t="s">
        <v>1386</v>
      </c>
      <c r="D862" s="8" t="s">
        <v>1355</v>
      </c>
      <c r="E862" s="9" t="s">
        <v>1048</v>
      </c>
      <c r="F862" s="9" t="s">
        <v>526</v>
      </c>
      <c r="G862" s="17">
        <v>0.61805555555555558</v>
      </c>
      <c r="H862" s="17">
        <v>0.72986111111111107</v>
      </c>
      <c r="I862" s="9">
        <v>18770</v>
      </c>
      <c r="J862" s="9">
        <v>39870</v>
      </c>
      <c r="K862" s="10">
        <f t="shared" si="40"/>
        <v>-21100</v>
      </c>
      <c r="L862" s="10">
        <v>15594</v>
      </c>
      <c r="M862" s="11" t="s">
        <v>166</v>
      </c>
      <c r="N862" s="12">
        <v>840</v>
      </c>
      <c r="O862" s="13" t="s">
        <v>1099</v>
      </c>
      <c r="P862" s="14"/>
    </row>
    <row r="863" spans="1:18" x14ac:dyDescent="0.25">
      <c r="B863" s="7">
        <v>44251</v>
      </c>
      <c r="C863" s="8" t="s">
        <v>1583</v>
      </c>
      <c r="D863" s="8" t="s">
        <v>1584</v>
      </c>
      <c r="E863" s="9" t="s">
        <v>1169</v>
      </c>
      <c r="F863" s="9" t="s">
        <v>36</v>
      </c>
      <c r="G863" s="17">
        <v>0.62777777777777777</v>
      </c>
      <c r="H863" s="17">
        <v>0.66388888888888886</v>
      </c>
      <c r="I863" s="9">
        <v>9250</v>
      </c>
      <c r="J863" s="9">
        <v>4140</v>
      </c>
      <c r="K863" s="10">
        <f t="shared" si="40"/>
        <v>5110</v>
      </c>
      <c r="L863" s="10">
        <v>7855</v>
      </c>
      <c r="M863" s="11" t="s">
        <v>1585</v>
      </c>
      <c r="N863" s="12">
        <v>5000</v>
      </c>
      <c r="O863" s="13" t="s">
        <v>32</v>
      </c>
      <c r="P863" s="14"/>
    </row>
    <row r="864" spans="1:18" x14ac:dyDescent="0.25">
      <c r="B864" s="7">
        <v>44251</v>
      </c>
      <c r="C864" s="8" t="s">
        <v>1386</v>
      </c>
      <c r="D864" s="8" t="s">
        <v>284</v>
      </c>
      <c r="E864" s="9" t="s">
        <v>285</v>
      </c>
      <c r="F864" s="9" t="s">
        <v>286</v>
      </c>
      <c r="G864" s="17">
        <v>0.66249999999999998</v>
      </c>
      <c r="H864" s="17">
        <v>0.73263888888888884</v>
      </c>
      <c r="I864" s="9">
        <v>14820</v>
      </c>
      <c r="J864" s="9">
        <v>35960</v>
      </c>
      <c r="K864" s="10">
        <f t="shared" si="40"/>
        <v>-21140</v>
      </c>
      <c r="L864" s="10">
        <v>15597</v>
      </c>
      <c r="M864" s="11" t="s">
        <v>638</v>
      </c>
      <c r="N864" s="12">
        <v>840</v>
      </c>
      <c r="O864" s="13" t="s">
        <v>1099</v>
      </c>
      <c r="P864" s="14"/>
    </row>
    <row r="865" spans="2:17" x14ac:dyDescent="0.25">
      <c r="B865" s="7">
        <v>44251</v>
      </c>
      <c r="C865" s="8" t="s">
        <v>1302</v>
      </c>
      <c r="D865" s="8" t="s">
        <v>1586</v>
      </c>
      <c r="E865" s="9" t="s">
        <v>1587</v>
      </c>
      <c r="F865" s="9" t="s">
        <v>36</v>
      </c>
      <c r="G865" s="17">
        <v>0.66597222222222219</v>
      </c>
      <c r="H865" s="17">
        <v>0.73541666666666661</v>
      </c>
      <c r="I865" s="9">
        <v>3490</v>
      </c>
      <c r="J865" s="9">
        <v>6010</v>
      </c>
      <c r="K865" s="10">
        <f t="shared" si="40"/>
        <v>-2520</v>
      </c>
      <c r="L865" s="10">
        <v>15661</v>
      </c>
      <c r="M865" s="11" t="s">
        <v>1588</v>
      </c>
      <c r="N865" s="12">
        <v>2520</v>
      </c>
      <c r="O865" s="13" t="s">
        <v>32</v>
      </c>
      <c r="P865" s="14"/>
      <c r="Q865" s="2">
        <v>528</v>
      </c>
    </row>
    <row r="866" spans="2:17" x14ac:dyDescent="0.25">
      <c r="B866" s="7">
        <v>44251</v>
      </c>
      <c r="C866" s="8" t="s">
        <v>208</v>
      </c>
      <c r="D866" s="8" t="s">
        <v>143</v>
      </c>
      <c r="E866" s="9" t="s">
        <v>144</v>
      </c>
      <c r="F866" s="9" t="s">
        <v>626</v>
      </c>
      <c r="G866" s="17">
        <v>0.67152777777777783</v>
      </c>
      <c r="H866" s="17">
        <v>0.68472222222222223</v>
      </c>
      <c r="I866" s="9">
        <v>37810</v>
      </c>
      <c r="J866" s="9">
        <v>17510</v>
      </c>
      <c r="K866" s="10">
        <f t="shared" si="40"/>
        <v>20300</v>
      </c>
      <c r="L866" s="10">
        <v>40669</v>
      </c>
      <c r="M866" s="11" t="s">
        <v>257</v>
      </c>
      <c r="N866" s="12">
        <v>20310</v>
      </c>
      <c r="O866" s="13" t="s">
        <v>32</v>
      </c>
      <c r="P866" s="14"/>
    </row>
    <row r="867" spans="2:17" x14ac:dyDescent="0.25">
      <c r="B867" s="7">
        <v>44251</v>
      </c>
      <c r="C867" s="8" t="s">
        <v>208</v>
      </c>
      <c r="D867" s="8" t="s">
        <v>143</v>
      </c>
      <c r="E867" s="9" t="s">
        <v>144</v>
      </c>
      <c r="F867" s="9" t="s">
        <v>626</v>
      </c>
      <c r="G867" s="17">
        <v>0.80902777777777779</v>
      </c>
      <c r="H867" s="17">
        <v>0.83124999999999993</v>
      </c>
      <c r="I867" s="9">
        <v>28530</v>
      </c>
      <c r="J867" s="9">
        <v>17640</v>
      </c>
      <c r="K867" s="10">
        <f t="shared" si="40"/>
        <v>10890</v>
      </c>
      <c r="L867" s="10">
        <v>40668</v>
      </c>
      <c r="M867" s="11" t="s">
        <v>257</v>
      </c>
      <c r="N867" s="12">
        <v>10880</v>
      </c>
      <c r="O867" s="13" t="s">
        <v>32</v>
      </c>
      <c r="P867" s="14"/>
    </row>
    <row r="868" spans="2:17" x14ac:dyDescent="0.25">
      <c r="B868" s="7">
        <v>44251</v>
      </c>
      <c r="C868" s="8" t="s">
        <v>208</v>
      </c>
      <c r="D868" s="8" t="s">
        <v>299</v>
      </c>
      <c r="E868" s="9" t="s">
        <v>813</v>
      </c>
      <c r="F868" s="9" t="s">
        <v>814</v>
      </c>
      <c r="G868" s="17">
        <v>0.8256944444444444</v>
      </c>
      <c r="H868" s="17">
        <v>0.38472222222222219</v>
      </c>
      <c r="I868" s="9">
        <v>40690</v>
      </c>
      <c r="J868" s="9">
        <v>16980</v>
      </c>
      <c r="K868" s="10">
        <f t="shared" si="40"/>
        <v>23710</v>
      </c>
      <c r="L868" s="10">
        <v>40692</v>
      </c>
      <c r="M868" s="11" t="s">
        <v>771</v>
      </c>
      <c r="N868" s="12">
        <v>23860</v>
      </c>
      <c r="O868" s="13" t="s">
        <v>32</v>
      </c>
      <c r="P868" s="14"/>
    </row>
    <row r="869" spans="2:17" x14ac:dyDescent="0.25">
      <c r="B869" s="7">
        <v>44251</v>
      </c>
      <c r="C869" s="8" t="s">
        <v>871</v>
      </c>
      <c r="D869" s="8" t="s">
        <v>1464</v>
      </c>
      <c r="E869" s="9" t="s">
        <v>1421</v>
      </c>
      <c r="F869" s="9" t="s">
        <v>36</v>
      </c>
      <c r="G869" s="17">
        <v>0.86111111111111116</v>
      </c>
      <c r="H869" s="17">
        <v>0.96111111111111114</v>
      </c>
      <c r="I869" s="9">
        <v>15620</v>
      </c>
      <c r="J869" s="9">
        <v>7760</v>
      </c>
      <c r="K869" s="10">
        <f t="shared" si="40"/>
        <v>7860</v>
      </c>
      <c r="L869" s="10">
        <v>767</v>
      </c>
      <c r="M869" s="11" t="s">
        <v>1589</v>
      </c>
      <c r="N869" s="12">
        <v>7809</v>
      </c>
      <c r="O869" s="13" t="s">
        <v>32</v>
      </c>
      <c r="P869" s="14"/>
    </row>
    <row r="870" spans="2:17" x14ac:dyDescent="0.25">
      <c r="B870" s="7">
        <v>44251</v>
      </c>
      <c r="C870" s="8" t="s">
        <v>37</v>
      </c>
      <c r="D870" s="8" t="s">
        <v>1055</v>
      </c>
      <c r="E870" s="9" t="s">
        <v>967</v>
      </c>
      <c r="F870" s="9" t="s">
        <v>36</v>
      </c>
      <c r="G870" s="17">
        <v>0.86319444444444438</v>
      </c>
      <c r="H870" s="17">
        <v>0.87708333333333333</v>
      </c>
      <c r="I870" s="9">
        <v>13110</v>
      </c>
      <c r="J870" s="9">
        <v>6330</v>
      </c>
      <c r="K870" s="10">
        <f t="shared" si="40"/>
        <v>6780</v>
      </c>
      <c r="L870" s="10">
        <v>26531</v>
      </c>
      <c r="M870" s="11" t="s">
        <v>1572</v>
      </c>
      <c r="N870" s="12">
        <v>6780</v>
      </c>
      <c r="O870" s="13" t="s">
        <v>32</v>
      </c>
      <c r="P870" s="14"/>
    </row>
    <row r="871" spans="2:17" x14ac:dyDescent="0.25">
      <c r="B871" s="7">
        <v>44251</v>
      </c>
      <c r="C871" s="8" t="s">
        <v>1435</v>
      </c>
      <c r="D871" s="8" t="s">
        <v>530</v>
      </c>
      <c r="E871" s="9" t="s">
        <v>699</v>
      </c>
      <c r="F871" s="9" t="s">
        <v>140</v>
      </c>
      <c r="G871" s="17">
        <v>0.9194444444444444</v>
      </c>
      <c r="H871" s="17">
        <v>0.94027777777777777</v>
      </c>
      <c r="I871" s="9">
        <v>14860</v>
      </c>
      <c r="J871" s="9">
        <v>8250</v>
      </c>
      <c r="K871" s="10">
        <f t="shared" si="40"/>
        <v>6610</v>
      </c>
      <c r="L871" s="10" t="s">
        <v>1591</v>
      </c>
      <c r="M871" s="11" t="s">
        <v>1590</v>
      </c>
      <c r="N871" s="12">
        <v>6610</v>
      </c>
      <c r="O871" s="13" t="s">
        <v>32</v>
      </c>
      <c r="P871" s="14"/>
    </row>
    <row r="872" spans="2:17" x14ac:dyDescent="0.25">
      <c r="B872" s="7">
        <v>44252</v>
      </c>
      <c r="C872" s="8" t="s">
        <v>366</v>
      </c>
      <c r="D872" s="8" t="s">
        <v>1076</v>
      </c>
      <c r="E872" s="9" t="s">
        <v>220</v>
      </c>
      <c r="F872" s="9" t="s">
        <v>221</v>
      </c>
      <c r="G872" s="17">
        <v>0.11527777777777777</v>
      </c>
      <c r="H872" s="17">
        <v>0.35972222222222222</v>
      </c>
      <c r="I872" s="9">
        <v>20870</v>
      </c>
      <c r="J872" s="9">
        <v>9590</v>
      </c>
      <c r="K872" s="10">
        <f t="shared" si="40"/>
        <v>11280</v>
      </c>
      <c r="L872" s="10">
        <v>26532</v>
      </c>
      <c r="M872" s="11" t="s">
        <v>1593</v>
      </c>
      <c r="N872" s="12">
        <v>11280</v>
      </c>
      <c r="O872" s="13" t="s">
        <v>32</v>
      </c>
      <c r="P872" s="14"/>
    </row>
    <row r="873" spans="2:17" x14ac:dyDescent="0.25">
      <c r="B873" s="7">
        <v>44252</v>
      </c>
      <c r="C873" s="8" t="s">
        <v>871</v>
      </c>
      <c r="D873" s="8" t="s">
        <v>86</v>
      </c>
      <c r="E873" s="9" t="s">
        <v>87</v>
      </c>
      <c r="F873" s="9" t="s">
        <v>88</v>
      </c>
      <c r="G873" s="17">
        <v>0.11944444444444445</v>
      </c>
      <c r="H873" s="17">
        <v>0.13333333333333333</v>
      </c>
      <c r="I873" s="9">
        <v>31430</v>
      </c>
      <c r="J873" s="9">
        <v>17260</v>
      </c>
      <c r="K873" s="10">
        <f t="shared" si="40"/>
        <v>14170</v>
      </c>
      <c r="L873" s="10">
        <v>768</v>
      </c>
      <c r="M873" s="11" t="s">
        <v>1592</v>
      </c>
      <c r="N873" s="12">
        <v>14105</v>
      </c>
      <c r="O873" s="13" t="s">
        <v>32</v>
      </c>
      <c r="P873" s="14"/>
    </row>
    <row r="874" spans="2:17" x14ac:dyDescent="0.25">
      <c r="B874" s="15">
        <v>44252</v>
      </c>
      <c r="C874" s="16" t="s">
        <v>164</v>
      </c>
      <c r="D874" s="8" t="s">
        <v>853</v>
      </c>
      <c r="E874" s="9" t="s">
        <v>51</v>
      </c>
      <c r="F874" s="9" t="s">
        <v>52</v>
      </c>
      <c r="G874" s="17">
        <v>0.36805555555555558</v>
      </c>
      <c r="H874" s="17">
        <v>0.40069444444444446</v>
      </c>
      <c r="I874" s="9">
        <v>16770</v>
      </c>
      <c r="J874" s="9">
        <v>42130</v>
      </c>
      <c r="K874" s="10">
        <f t="shared" si="40"/>
        <v>-25360</v>
      </c>
      <c r="L874" s="10">
        <v>15598</v>
      </c>
      <c r="M874" s="11" t="s">
        <v>166</v>
      </c>
      <c r="N874" s="12">
        <v>504</v>
      </c>
      <c r="O874" s="13" t="s">
        <v>1099</v>
      </c>
      <c r="P874" s="14"/>
    </row>
    <row r="875" spans="2:17" x14ac:dyDescent="0.25">
      <c r="B875" s="7">
        <v>44252</v>
      </c>
      <c r="C875" s="8" t="s">
        <v>446</v>
      </c>
      <c r="D875" s="8" t="s">
        <v>1594</v>
      </c>
      <c r="E875" s="9" t="s">
        <v>1595</v>
      </c>
      <c r="F875" s="9" t="s">
        <v>36</v>
      </c>
      <c r="G875" s="17">
        <v>0.3833333333333333</v>
      </c>
      <c r="H875" s="17">
        <v>0.57361111111111118</v>
      </c>
      <c r="I875" s="9">
        <v>6460</v>
      </c>
      <c r="J875" s="9">
        <v>11510</v>
      </c>
      <c r="K875" s="10">
        <f t="shared" si="40"/>
        <v>-5050</v>
      </c>
      <c r="L875" s="10">
        <v>16663</v>
      </c>
      <c r="M875" s="11" t="s">
        <v>1596</v>
      </c>
      <c r="N875" s="12">
        <v>5050</v>
      </c>
      <c r="O875" s="13" t="s">
        <v>32</v>
      </c>
      <c r="P875" s="14"/>
    </row>
    <row r="876" spans="2:17" x14ac:dyDescent="0.25">
      <c r="B876" s="7">
        <v>44252</v>
      </c>
      <c r="C876" s="8" t="s">
        <v>283</v>
      </c>
      <c r="D876" s="8" t="s">
        <v>1597</v>
      </c>
      <c r="E876" s="9" t="s">
        <v>1165</v>
      </c>
      <c r="F876" s="9" t="s">
        <v>36</v>
      </c>
      <c r="G876" s="17">
        <v>0.3923611111111111</v>
      </c>
      <c r="H876" s="17">
        <v>0.62222222222222223</v>
      </c>
      <c r="I876" s="9">
        <v>38340</v>
      </c>
      <c r="J876" s="9">
        <v>17430</v>
      </c>
      <c r="K876" s="10">
        <f t="shared" si="40"/>
        <v>20910</v>
      </c>
      <c r="L876" s="10">
        <v>4946</v>
      </c>
      <c r="M876" s="11" t="s">
        <v>898</v>
      </c>
      <c r="N876" s="12">
        <v>840</v>
      </c>
      <c r="O876" s="13" t="s">
        <v>1099</v>
      </c>
      <c r="P876" s="14"/>
    </row>
    <row r="877" spans="2:17" x14ac:dyDescent="0.25">
      <c r="B877" s="7">
        <v>44252</v>
      </c>
      <c r="C877" s="8" t="s">
        <v>208</v>
      </c>
      <c r="D877" s="8" t="s">
        <v>143</v>
      </c>
      <c r="E877" s="9" t="s">
        <v>144</v>
      </c>
      <c r="F877" s="9" t="s">
        <v>626</v>
      </c>
      <c r="G877" s="17">
        <v>0.39513888888888887</v>
      </c>
      <c r="H877" s="17">
        <v>0.41875000000000001</v>
      </c>
      <c r="I877" s="9">
        <v>41340</v>
      </c>
      <c r="J877" s="9">
        <v>17660</v>
      </c>
      <c r="K877" s="10">
        <f t="shared" si="40"/>
        <v>23680</v>
      </c>
      <c r="L877" s="10">
        <v>40669</v>
      </c>
      <c r="M877" s="11" t="s">
        <v>257</v>
      </c>
      <c r="N877" s="12">
        <v>23710</v>
      </c>
      <c r="O877" s="13" t="s">
        <v>32</v>
      </c>
      <c r="P877" s="14"/>
    </row>
    <row r="878" spans="2:17" x14ac:dyDescent="0.25">
      <c r="B878" s="7">
        <v>44252</v>
      </c>
      <c r="C878" s="8" t="s">
        <v>1598</v>
      </c>
      <c r="D878" s="8" t="s">
        <v>899</v>
      </c>
      <c r="E878" s="9" t="s">
        <v>490</v>
      </c>
      <c r="F878" s="9" t="s">
        <v>491</v>
      </c>
      <c r="G878" s="17">
        <v>0.3972222222222222</v>
      </c>
      <c r="H878" s="17">
        <v>0.40902777777777777</v>
      </c>
      <c r="I878" s="9">
        <v>43180</v>
      </c>
      <c r="J878" s="9">
        <v>17810</v>
      </c>
      <c r="K878" s="10">
        <f t="shared" si="40"/>
        <v>25370</v>
      </c>
      <c r="L878" s="10">
        <v>15622</v>
      </c>
      <c r="M878" s="11" t="s">
        <v>398</v>
      </c>
      <c r="N878" s="12">
        <v>504</v>
      </c>
      <c r="O878" s="13" t="s">
        <v>1099</v>
      </c>
      <c r="P878" s="14"/>
    </row>
    <row r="879" spans="2:17" x14ac:dyDescent="0.25">
      <c r="B879" s="7">
        <v>44252</v>
      </c>
      <c r="C879" s="8" t="s">
        <v>332</v>
      </c>
      <c r="D879" s="8" t="s">
        <v>1599</v>
      </c>
      <c r="E879" s="9" t="s">
        <v>1600</v>
      </c>
      <c r="F879" s="9" t="s">
        <v>154</v>
      </c>
      <c r="G879" s="17">
        <v>0.39930555555555558</v>
      </c>
      <c r="H879" s="17">
        <v>0.52847222222222223</v>
      </c>
      <c r="I879" s="9">
        <v>39480</v>
      </c>
      <c r="J879" s="9">
        <v>17680</v>
      </c>
      <c r="K879" s="10">
        <f t="shared" si="40"/>
        <v>21800</v>
      </c>
      <c r="L879" s="10">
        <v>4945</v>
      </c>
      <c r="M879" s="11" t="s">
        <v>898</v>
      </c>
      <c r="N879" s="12">
        <v>840</v>
      </c>
      <c r="O879" s="13" t="s">
        <v>1099</v>
      </c>
      <c r="P879" s="14"/>
    </row>
    <row r="880" spans="2:17" x14ac:dyDescent="0.25">
      <c r="B880" s="7">
        <v>44252</v>
      </c>
      <c r="C880" s="8" t="s">
        <v>1605</v>
      </c>
      <c r="D880" s="8" t="s">
        <v>878</v>
      </c>
      <c r="E880" s="9" t="s">
        <v>238</v>
      </c>
      <c r="F880" s="9" t="s">
        <v>154</v>
      </c>
      <c r="G880" s="17">
        <v>0.42708333333333331</v>
      </c>
      <c r="H880" s="17">
        <v>0.48472222222222222</v>
      </c>
      <c r="I880" s="9">
        <v>15860</v>
      </c>
      <c r="J880" s="9">
        <v>46730</v>
      </c>
      <c r="K880" s="10">
        <f t="shared" ref="K880" si="41">+I880-J880</f>
        <v>-30870</v>
      </c>
      <c r="L880" s="10">
        <v>5803</v>
      </c>
      <c r="M880" s="11" t="s">
        <v>53</v>
      </c>
      <c r="N880" s="12">
        <v>600</v>
      </c>
      <c r="O880" s="13" t="s">
        <v>1099</v>
      </c>
      <c r="P880" s="14"/>
    </row>
    <row r="881" spans="1:18" x14ac:dyDescent="0.25">
      <c r="B881" s="7">
        <v>44252</v>
      </c>
      <c r="C881" s="8" t="s">
        <v>1601</v>
      </c>
      <c r="D881" s="8" t="s">
        <v>1602</v>
      </c>
      <c r="E881" s="9" t="s">
        <v>1603</v>
      </c>
      <c r="F881" s="9" t="s">
        <v>154</v>
      </c>
      <c r="G881" s="17">
        <v>0.4680555555555555</v>
      </c>
      <c r="H881" s="17"/>
      <c r="I881" s="9">
        <v>7100</v>
      </c>
      <c r="J881" s="9"/>
      <c r="K881" s="10">
        <f t="shared" si="40"/>
        <v>7100</v>
      </c>
      <c r="L881" s="10">
        <v>140494</v>
      </c>
      <c r="M881" s="11" t="s">
        <v>1604</v>
      </c>
      <c r="N881" s="12">
        <v>21012</v>
      </c>
      <c r="O881" s="13" t="s">
        <v>1099</v>
      </c>
      <c r="P881" s="14" t="s">
        <v>1613</v>
      </c>
    </row>
    <row r="882" spans="1:18" x14ac:dyDescent="0.25">
      <c r="B882" s="7">
        <v>44252</v>
      </c>
      <c r="C882" s="8" t="s">
        <v>164</v>
      </c>
      <c r="D882" s="8" t="s">
        <v>853</v>
      </c>
      <c r="E882" s="9" t="s">
        <v>51</v>
      </c>
      <c r="F882" s="9" t="s">
        <v>52</v>
      </c>
      <c r="G882" s="17">
        <v>0.53472222222222221</v>
      </c>
      <c r="H882" s="17">
        <v>0.68541666666666667</v>
      </c>
      <c r="I882" s="9">
        <v>42120</v>
      </c>
      <c r="J882" s="9">
        <v>16810</v>
      </c>
      <c r="K882" s="10">
        <f t="shared" si="40"/>
        <v>25310</v>
      </c>
      <c r="L882" s="10">
        <v>15623</v>
      </c>
      <c r="M882" s="11" t="s">
        <v>1606</v>
      </c>
      <c r="N882" s="12">
        <v>504</v>
      </c>
      <c r="O882" s="13" t="s">
        <v>1099</v>
      </c>
      <c r="P882" s="14"/>
    </row>
    <row r="883" spans="1:18" x14ac:dyDescent="0.25">
      <c r="B883" s="7">
        <v>44252</v>
      </c>
      <c r="C883" s="8" t="s">
        <v>1525</v>
      </c>
      <c r="D883" s="8" t="s">
        <v>1526</v>
      </c>
      <c r="E883" s="9" t="s">
        <v>1527</v>
      </c>
      <c r="F883" s="9" t="s">
        <v>1454</v>
      </c>
      <c r="G883" s="17">
        <v>0.5708333333333333</v>
      </c>
      <c r="H883" s="17">
        <v>0.65208333333333335</v>
      </c>
      <c r="I883" s="9">
        <v>54880</v>
      </c>
      <c r="J883" s="9">
        <v>19520</v>
      </c>
      <c r="K883" s="10">
        <f t="shared" si="40"/>
        <v>35360</v>
      </c>
      <c r="L883" s="10">
        <v>938</v>
      </c>
      <c r="M883" s="11" t="s">
        <v>306</v>
      </c>
      <c r="N883" s="12">
        <v>10000</v>
      </c>
      <c r="O883" s="13" t="s">
        <v>84</v>
      </c>
      <c r="P883" s="14"/>
    </row>
    <row r="884" spans="1:18" x14ac:dyDescent="0.25">
      <c r="B884" s="7">
        <v>44252</v>
      </c>
      <c r="C884" s="8" t="s">
        <v>446</v>
      </c>
      <c r="D884" s="8" t="s">
        <v>1594</v>
      </c>
      <c r="E884" s="9" t="s">
        <v>1595</v>
      </c>
      <c r="F884" s="9" t="s">
        <v>36</v>
      </c>
      <c r="G884" s="17">
        <v>0.5756944444444444</v>
      </c>
      <c r="H884" s="17">
        <v>0.59236111111111112</v>
      </c>
      <c r="I884" s="9">
        <v>11510</v>
      </c>
      <c r="J884" s="9">
        <v>14430</v>
      </c>
      <c r="K884" s="10">
        <f t="shared" si="40"/>
        <v>-2920</v>
      </c>
      <c r="L884" s="10">
        <v>15663</v>
      </c>
      <c r="M884" s="11" t="s">
        <v>1607</v>
      </c>
      <c r="N884" s="12"/>
      <c r="O884" s="13" t="s">
        <v>32</v>
      </c>
      <c r="P884" s="14"/>
    </row>
    <row r="885" spans="1:18" s="51" customFormat="1" x14ac:dyDescent="0.25">
      <c r="B885" s="42">
        <v>44252</v>
      </c>
      <c r="C885" s="43" t="s">
        <v>1608</v>
      </c>
      <c r="D885" s="43" t="s">
        <v>1609</v>
      </c>
      <c r="E885" s="44" t="s">
        <v>1610</v>
      </c>
      <c r="F885" s="44" t="s">
        <v>266</v>
      </c>
      <c r="G885" s="45">
        <v>0.58333333333333337</v>
      </c>
      <c r="H885" s="45">
        <v>0.59930555555555554</v>
      </c>
      <c r="I885" s="44">
        <v>6380</v>
      </c>
      <c r="J885" s="44">
        <v>5230</v>
      </c>
      <c r="K885" s="46">
        <f t="shared" si="40"/>
        <v>1150</v>
      </c>
      <c r="L885" s="46">
        <v>767</v>
      </c>
      <c r="M885" s="47" t="s">
        <v>1611</v>
      </c>
      <c r="N885" s="48">
        <v>1150</v>
      </c>
      <c r="O885" s="49" t="s">
        <v>32</v>
      </c>
      <c r="P885" s="50"/>
    </row>
    <row r="886" spans="1:18" x14ac:dyDescent="0.25">
      <c r="B886" s="7">
        <v>44252</v>
      </c>
      <c r="C886" s="8" t="s">
        <v>208</v>
      </c>
      <c r="D886" s="8" t="s">
        <v>143</v>
      </c>
      <c r="E886" s="9" t="s">
        <v>144</v>
      </c>
      <c r="F886" s="9" t="s">
        <v>626</v>
      </c>
      <c r="G886" s="17">
        <v>0.59027777777777779</v>
      </c>
      <c r="H886" s="17">
        <v>0.60486111111111118</v>
      </c>
      <c r="I886" s="9">
        <v>38260</v>
      </c>
      <c r="J886" s="9">
        <v>17630</v>
      </c>
      <c r="K886" s="10">
        <f t="shared" si="40"/>
        <v>20630</v>
      </c>
      <c r="L886" s="10">
        <v>40717</v>
      </c>
      <c r="M886" s="11" t="s">
        <v>257</v>
      </c>
      <c r="N886" s="12">
        <v>20600</v>
      </c>
      <c r="O886" s="13" t="s">
        <v>32</v>
      </c>
      <c r="P886" s="14"/>
    </row>
    <row r="887" spans="1:18" x14ac:dyDescent="0.25">
      <c r="B887" s="7">
        <v>44252</v>
      </c>
      <c r="C887" s="8" t="s">
        <v>164</v>
      </c>
      <c r="D887" s="8" t="s">
        <v>853</v>
      </c>
      <c r="E887" s="9" t="s">
        <v>51</v>
      </c>
      <c r="F887" s="9" t="s">
        <v>52</v>
      </c>
      <c r="G887" s="17">
        <v>0.6069444444444444</v>
      </c>
      <c r="H887" s="17">
        <v>0.68541666666666667</v>
      </c>
      <c r="I887" s="9">
        <v>42150</v>
      </c>
      <c r="J887" s="9">
        <v>16810</v>
      </c>
      <c r="K887" s="10">
        <f t="shared" si="40"/>
        <v>25340</v>
      </c>
      <c r="L887" s="10">
        <v>15600</v>
      </c>
      <c r="M887" s="11" t="s">
        <v>166</v>
      </c>
      <c r="N887" s="12">
        <v>504</v>
      </c>
      <c r="O887" s="13" t="s">
        <v>1099</v>
      </c>
      <c r="P887" s="14"/>
    </row>
    <row r="888" spans="1:18" x14ac:dyDescent="0.25">
      <c r="B888" s="7">
        <v>44252</v>
      </c>
      <c r="C888" s="8" t="s">
        <v>1612</v>
      </c>
      <c r="D888" s="8" t="s">
        <v>917</v>
      </c>
      <c r="E888" s="9" t="s">
        <v>918</v>
      </c>
      <c r="F888" s="9" t="s">
        <v>36</v>
      </c>
      <c r="G888" s="17">
        <v>0.6166666666666667</v>
      </c>
      <c r="H888" s="17">
        <v>0.62222222222222223</v>
      </c>
      <c r="I888" s="9">
        <v>16630</v>
      </c>
      <c r="J888" s="9">
        <v>17430</v>
      </c>
      <c r="K888" s="10">
        <f t="shared" si="40"/>
        <v>-800</v>
      </c>
      <c r="L888" s="10">
        <v>5804</v>
      </c>
      <c r="M888" s="11" t="s">
        <v>53</v>
      </c>
      <c r="N888" s="12">
        <v>600</v>
      </c>
      <c r="O888" s="13" t="s">
        <v>1099</v>
      </c>
      <c r="P888" s="14" t="s">
        <v>1419</v>
      </c>
      <c r="Q888" s="1">
        <v>30940</v>
      </c>
      <c r="R888" s="1">
        <f>+Q888-30080</f>
        <v>860</v>
      </c>
    </row>
    <row r="889" spans="1:18" x14ac:dyDescent="0.25">
      <c r="B889" s="7">
        <v>44252</v>
      </c>
      <c r="C889" s="8" t="s">
        <v>1612</v>
      </c>
      <c r="D889" s="8" t="s">
        <v>1577</v>
      </c>
      <c r="E889" s="9" t="s">
        <v>1578</v>
      </c>
      <c r="F889" s="9" t="s">
        <v>36</v>
      </c>
      <c r="G889" s="17">
        <v>0.65486111111111112</v>
      </c>
      <c r="H889" s="17">
        <v>0.75763888888888886</v>
      </c>
      <c r="I889" s="9">
        <v>17130</v>
      </c>
      <c r="J889" s="9">
        <v>48010</v>
      </c>
      <c r="K889" s="10">
        <f t="shared" si="40"/>
        <v>-30880</v>
      </c>
      <c r="L889" s="10">
        <v>5805</v>
      </c>
      <c r="M889" s="11" t="s">
        <v>53</v>
      </c>
      <c r="N889" s="12">
        <v>600</v>
      </c>
      <c r="O889" s="13" t="s">
        <v>1099</v>
      </c>
      <c r="P889" s="14" t="s">
        <v>1615</v>
      </c>
    </row>
    <row r="890" spans="1:18" x14ac:dyDescent="0.25">
      <c r="B890" s="7">
        <v>44252</v>
      </c>
      <c r="C890" s="8" t="s">
        <v>208</v>
      </c>
      <c r="D890" s="8" t="s">
        <v>143</v>
      </c>
      <c r="E890" s="9" t="s">
        <v>144</v>
      </c>
      <c r="F890" s="9" t="s">
        <v>626</v>
      </c>
      <c r="G890" s="17">
        <v>0.70694444444444438</v>
      </c>
      <c r="H890" s="17">
        <v>0.71736111111111101</v>
      </c>
      <c r="I890" s="9">
        <v>31890</v>
      </c>
      <c r="J890" s="9">
        <v>17610</v>
      </c>
      <c r="K890" s="10">
        <f t="shared" si="40"/>
        <v>14280</v>
      </c>
      <c r="L890" s="10">
        <v>40718</v>
      </c>
      <c r="M890" s="11" t="s">
        <v>1614</v>
      </c>
      <c r="N890" s="12">
        <v>14270</v>
      </c>
      <c r="O890" s="13" t="s">
        <v>32</v>
      </c>
      <c r="P890" s="14"/>
    </row>
    <row r="891" spans="1:18" x14ac:dyDescent="0.25">
      <c r="A891" s="26"/>
      <c r="B891" s="7">
        <v>44252</v>
      </c>
      <c r="C891" s="8" t="s">
        <v>164</v>
      </c>
      <c r="D891" s="8" t="s">
        <v>243</v>
      </c>
      <c r="E891" s="9" t="s">
        <v>51</v>
      </c>
      <c r="F891" s="9" t="s">
        <v>52</v>
      </c>
      <c r="G891" s="17">
        <v>0.70763888888888893</v>
      </c>
      <c r="H891" s="17">
        <v>0.3833333333333333</v>
      </c>
      <c r="I891" s="9">
        <v>16800</v>
      </c>
      <c r="J891" s="9">
        <v>42130</v>
      </c>
      <c r="K891" s="10">
        <f t="shared" si="40"/>
        <v>-25330</v>
      </c>
      <c r="L891" s="10">
        <v>15851</v>
      </c>
      <c r="M891" s="11" t="s">
        <v>166</v>
      </c>
      <c r="N891" s="12">
        <v>504</v>
      </c>
      <c r="O891" s="13" t="s">
        <v>1099</v>
      </c>
      <c r="P891" s="14"/>
      <c r="Q891" s="26"/>
    </row>
    <row r="892" spans="1:18" x14ac:dyDescent="0.25">
      <c r="B892" s="7">
        <v>44252</v>
      </c>
      <c r="C892" s="8" t="s">
        <v>241</v>
      </c>
      <c r="D892" s="8" t="s">
        <v>284</v>
      </c>
      <c r="E892" s="9" t="s">
        <v>285</v>
      </c>
      <c r="F892" s="9" t="s">
        <v>286</v>
      </c>
      <c r="G892" s="17">
        <v>0.76527777777777783</v>
      </c>
      <c r="H892" s="17">
        <v>0.40416666666666662</v>
      </c>
      <c r="I892" s="9">
        <v>15880</v>
      </c>
      <c r="J892" s="9">
        <v>13600</v>
      </c>
      <c r="K892" s="10">
        <f t="shared" si="40"/>
        <v>2280</v>
      </c>
      <c r="L892" s="10">
        <v>1207</v>
      </c>
      <c r="M892" s="11" t="s">
        <v>1480</v>
      </c>
      <c r="N892" s="12">
        <v>40</v>
      </c>
      <c r="O892" s="13" t="s">
        <v>80</v>
      </c>
      <c r="P892" s="14"/>
    </row>
    <row r="893" spans="1:18" x14ac:dyDescent="0.25">
      <c r="B893" s="7">
        <v>44252</v>
      </c>
      <c r="C893" s="8" t="s">
        <v>208</v>
      </c>
      <c r="D893" s="8" t="s">
        <v>143</v>
      </c>
      <c r="E893" s="9" t="s">
        <v>144</v>
      </c>
      <c r="F893" s="9" t="s">
        <v>626</v>
      </c>
      <c r="G893" s="17">
        <v>0.81597222222222221</v>
      </c>
      <c r="H893" s="17">
        <v>0.83819444444444446</v>
      </c>
      <c r="I893" s="9">
        <v>40330</v>
      </c>
      <c r="J893" s="9">
        <v>17600</v>
      </c>
      <c r="K893" s="10">
        <f t="shared" si="40"/>
        <v>22730</v>
      </c>
      <c r="L893" s="10">
        <v>40718</v>
      </c>
      <c r="M893" s="11" t="s">
        <v>257</v>
      </c>
      <c r="N893" s="12">
        <v>22730</v>
      </c>
      <c r="O893" s="13" t="s">
        <v>32</v>
      </c>
      <c r="P893" s="14"/>
    </row>
    <row r="894" spans="1:18" x14ac:dyDescent="0.25">
      <c r="B894" s="7">
        <v>44252</v>
      </c>
      <c r="C894" s="8" t="s">
        <v>208</v>
      </c>
      <c r="D894" s="8" t="s">
        <v>465</v>
      </c>
      <c r="E894" s="9" t="s">
        <v>881</v>
      </c>
      <c r="F894" s="9" t="s">
        <v>749</v>
      </c>
      <c r="G894" s="17">
        <v>0.84166666666666667</v>
      </c>
      <c r="H894" s="17">
        <v>0.35972222222222222</v>
      </c>
      <c r="I894" s="9">
        <v>44160</v>
      </c>
      <c r="J894" s="9">
        <v>18350</v>
      </c>
      <c r="K894" s="10">
        <f t="shared" si="40"/>
        <v>25810</v>
      </c>
      <c r="L894" s="10">
        <v>40728</v>
      </c>
      <c r="M894" s="11" t="s">
        <v>771</v>
      </c>
      <c r="N894" s="12">
        <v>26040</v>
      </c>
      <c r="O894" s="13" t="s">
        <v>32</v>
      </c>
      <c r="P894" s="14"/>
    </row>
    <row r="895" spans="1:18" x14ac:dyDescent="0.25">
      <c r="B895" s="7">
        <v>44252</v>
      </c>
      <c r="C895" s="8" t="s">
        <v>1391</v>
      </c>
      <c r="D895" s="8" t="s">
        <v>1355</v>
      </c>
      <c r="E895" s="9" t="s">
        <v>1048</v>
      </c>
      <c r="F895" s="9" t="s">
        <v>526</v>
      </c>
      <c r="G895" s="17">
        <v>0.84444444444444444</v>
      </c>
      <c r="H895" s="17">
        <v>0.4055555555555555</v>
      </c>
      <c r="I895" s="9">
        <v>19780</v>
      </c>
      <c r="J895" s="9">
        <v>17360</v>
      </c>
      <c r="K895" s="10">
        <f t="shared" si="40"/>
        <v>2420</v>
      </c>
      <c r="L895" s="10">
        <v>2983</v>
      </c>
      <c r="M895" s="11" t="s">
        <v>1480</v>
      </c>
      <c r="N895" s="12">
        <v>40</v>
      </c>
      <c r="O895" s="13" t="s">
        <v>80</v>
      </c>
      <c r="P895" s="14"/>
    </row>
    <row r="896" spans="1:18" x14ac:dyDescent="0.25">
      <c r="B896" s="7">
        <v>44252</v>
      </c>
      <c r="C896" s="8" t="s">
        <v>289</v>
      </c>
      <c r="D896" s="8" t="s">
        <v>174</v>
      </c>
      <c r="E896" s="9" t="s">
        <v>110</v>
      </c>
      <c r="F896" s="9" t="s">
        <v>111</v>
      </c>
      <c r="G896" s="17">
        <v>0.84791666666666676</v>
      </c>
      <c r="H896" s="17">
        <v>0.36874999999999997</v>
      </c>
      <c r="I896" s="9">
        <v>13310</v>
      </c>
      <c r="J896" s="9">
        <v>6450</v>
      </c>
      <c r="K896" s="10">
        <f t="shared" si="40"/>
        <v>6860</v>
      </c>
      <c r="L896" s="10">
        <v>8885</v>
      </c>
      <c r="M896" s="11" t="s">
        <v>1617</v>
      </c>
      <c r="N896" s="12">
        <v>6860</v>
      </c>
      <c r="O896" s="13" t="s">
        <v>32</v>
      </c>
      <c r="P896" s="14"/>
    </row>
    <row r="897" spans="1:21" x14ac:dyDescent="0.25">
      <c r="B897" s="7">
        <v>44252</v>
      </c>
      <c r="C897" s="8" t="s">
        <v>1616</v>
      </c>
      <c r="D897" s="8" t="s">
        <v>1055</v>
      </c>
      <c r="E897" s="9" t="s">
        <v>967</v>
      </c>
      <c r="F897" s="9" t="s">
        <v>36</v>
      </c>
      <c r="G897" s="17">
        <v>0.85069444444444453</v>
      </c>
      <c r="H897" s="17">
        <v>0.8979166666666667</v>
      </c>
      <c r="I897" s="9">
        <v>16975</v>
      </c>
      <c r="J897" s="9">
        <v>6360</v>
      </c>
      <c r="K897" s="10">
        <f t="shared" si="40"/>
        <v>10615</v>
      </c>
      <c r="L897" s="10">
        <v>26533</v>
      </c>
      <c r="M897" s="11" t="s">
        <v>1618</v>
      </c>
      <c r="N897" s="12">
        <v>10615</v>
      </c>
      <c r="O897" s="13" t="s">
        <v>32</v>
      </c>
      <c r="P897" s="14"/>
    </row>
    <row r="898" spans="1:21" x14ac:dyDescent="0.25">
      <c r="B898" s="7">
        <v>44252</v>
      </c>
      <c r="C898" s="8" t="s">
        <v>1432</v>
      </c>
      <c r="D898" s="8" t="s">
        <v>1619</v>
      </c>
      <c r="E898" s="9" t="s">
        <v>1434</v>
      </c>
      <c r="F898" s="9" t="s">
        <v>36</v>
      </c>
      <c r="G898" s="17">
        <v>0.97222222222222221</v>
      </c>
      <c r="H898" s="17">
        <v>8.8888888888888892E-2</v>
      </c>
      <c r="I898" s="9">
        <v>15910</v>
      </c>
      <c r="J898" s="9">
        <v>5640</v>
      </c>
      <c r="K898" s="10">
        <f>+I898-J898</f>
        <v>10270</v>
      </c>
      <c r="L898" s="10">
        <v>26534</v>
      </c>
      <c r="M898" s="11" t="s">
        <v>1620</v>
      </c>
      <c r="N898" s="12">
        <v>10270</v>
      </c>
      <c r="O898" s="13" t="s">
        <v>32</v>
      </c>
      <c r="P898" s="14"/>
    </row>
    <row r="899" spans="1:21" x14ac:dyDescent="0.25">
      <c r="B899" s="7">
        <v>44253</v>
      </c>
      <c r="C899" s="8" t="s">
        <v>871</v>
      </c>
      <c r="D899" s="8" t="s">
        <v>86</v>
      </c>
      <c r="E899" s="9" t="s">
        <v>87</v>
      </c>
      <c r="F899" s="9" t="s">
        <v>88</v>
      </c>
      <c r="G899" s="17">
        <v>0.11041666666666666</v>
      </c>
      <c r="H899" s="17">
        <v>0.125</v>
      </c>
      <c r="I899" s="9">
        <v>33550</v>
      </c>
      <c r="J899" s="9">
        <v>17290</v>
      </c>
      <c r="K899" s="10">
        <f t="shared" si="40"/>
        <v>16260</v>
      </c>
      <c r="L899" s="10">
        <v>769</v>
      </c>
      <c r="M899" s="11" t="s">
        <v>1621</v>
      </c>
      <c r="N899" s="12">
        <v>16007</v>
      </c>
      <c r="O899" s="13" t="s">
        <v>32</v>
      </c>
      <c r="P899" s="14"/>
    </row>
    <row r="900" spans="1:21" s="51" customFormat="1" x14ac:dyDescent="0.25">
      <c r="A900" s="41"/>
      <c r="B900" s="42">
        <v>44253</v>
      </c>
      <c r="C900" s="43" t="s">
        <v>1259</v>
      </c>
      <c r="D900" s="43" t="s">
        <v>464</v>
      </c>
      <c r="E900" s="44" t="s">
        <v>277</v>
      </c>
      <c r="F900" s="44" t="s">
        <v>128</v>
      </c>
      <c r="G900" s="45">
        <v>0.33055555555555555</v>
      </c>
      <c r="H900" s="45">
        <v>0.33263888888888887</v>
      </c>
      <c r="I900" s="44">
        <v>6110</v>
      </c>
      <c r="J900" s="44">
        <v>5570</v>
      </c>
      <c r="K900" s="46">
        <f t="shared" si="40"/>
        <v>540</v>
      </c>
      <c r="L900" s="46">
        <v>26532</v>
      </c>
      <c r="M900" s="47" t="s">
        <v>1622</v>
      </c>
      <c r="N900" s="48">
        <v>540</v>
      </c>
      <c r="O900" s="49" t="s">
        <v>32</v>
      </c>
      <c r="P900" s="50"/>
    </row>
    <row r="901" spans="1:21" x14ac:dyDescent="0.25">
      <c r="B901" s="7">
        <v>44253</v>
      </c>
      <c r="C901" s="8" t="s">
        <v>208</v>
      </c>
      <c r="D901" s="8" t="s">
        <v>143</v>
      </c>
      <c r="E901" s="9" t="s">
        <v>144</v>
      </c>
      <c r="F901" s="9" t="s">
        <v>626</v>
      </c>
      <c r="G901" s="17">
        <v>0.38819444444444445</v>
      </c>
      <c r="H901" s="17">
        <v>0.41597222222222219</v>
      </c>
      <c r="I901" s="9">
        <v>41130</v>
      </c>
      <c r="J901" s="9">
        <v>17590</v>
      </c>
      <c r="K901" s="10">
        <f t="shared" si="40"/>
        <v>23540</v>
      </c>
      <c r="L901" s="10">
        <v>40717</v>
      </c>
      <c r="M901" s="11" t="s">
        <v>257</v>
      </c>
      <c r="N901" s="12">
        <v>23570</v>
      </c>
      <c r="O901" s="13" t="s">
        <v>32</v>
      </c>
      <c r="P901" s="14"/>
    </row>
    <row r="902" spans="1:21" x14ac:dyDescent="0.25">
      <c r="B902" s="7">
        <v>44253</v>
      </c>
      <c r="C902" s="8" t="s">
        <v>164</v>
      </c>
      <c r="D902" s="8" t="s">
        <v>299</v>
      </c>
      <c r="E902" s="9" t="s">
        <v>813</v>
      </c>
      <c r="F902" s="9" t="s">
        <v>814</v>
      </c>
      <c r="G902" s="17">
        <v>0.42708333333333331</v>
      </c>
      <c r="H902" s="17">
        <v>0.4597222222222222</v>
      </c>
      <c r="I902" s="9">
        <v>16180</v>
      </c>
      <c r="J902" s="9">
        <v>41510</v>
      </c>
      <c r="K902" s="10">
        <f t="shared" si="40"/>
        <v>-25330</v>
      </c>
      <c r="L902" s="10">
        <v>15853</v>
      </c>
      <c r="M902" s="11" t="s">
        <v>166</v>
      </c>
      <c r="N902" s="12">
        <v>504</v>
      </c>
      <c r="O902" s="13" t="s">
        <v>1099</v>
      </c>
      <c r="P902" s="14"/>
      <c r="Q902" s="2">
        <v>45</v>
      </c>
      <c r="R902" s="1">
        <v>3</v>
      </c>
    </row>
    <row r="903" spans="1:21" x14ac:dyDescent="0.25">
      <c r="B903" s="7">
        <v>44253</v>
      </c>
      <c r="C903" s="8" t="s">
        <v>164</v>
      </c>
      <c r="D903" s="8" t="s">
        <v>1355</v>
      </c>
      <c r="E903" s="9" t="s">
        <v>1048</v>
      </c>
      <c r="F903" s="9" t="s">
        <v>526</v>
      </c>
      <c r="G903" s="17">
        <v>0.44861111111111113</v>
      </c>
      <c r="H903" s="17">
        <v>0.51527777777777783</v>
      </c>
      <c r="I903" s="9">
        <v>43790</v>
      </c>
      <c r="J903" s="9">
        <v>18470</v>
      </c>
      <c r="K903" s="10">
        <f t="shared" si="40"/>
        <v>25320</v>
      </c>
      <c r="L903" s="10">
        <v>15852</v>
      </c>
      <c r="M903" s="11" t="s">
        <v>166</v>
      </c>
      <c r="N903" s="12">
        <v>504</v>
      </c>
      <c r="O903" s="13" t="s">
        <v>1099</v>
      </c>
      <c r="P903" s="14"/>
      <c r="Q903" s="2">
        <v>15</v>
      </c>
      <c r="R903" s="1">
        <v>5</v>
      </c>
    </row>
    <row r="904" spans="1:21" x14ac:dyDescent="0.25">
      <c r="B904" s="7">
        <v>44253</v>
      </c>
      <c r="C904" s="8" t="s">
        <v>164</v>
      </c>
      <c r="D904" s="8" t="s">
        <v>243</v>
      </c>
      <c r="E904" s="9" t="s">
        <v>51</v>
      </c>
      <c r="F904" s="9" t="s">
        <v>52</v>
      </c>
      <c r="G904" s="17">
        <v>0.45694444444444443</v>
      </c>
      <c r="H904" s="17">
        <v>0.49583333333333335</v>
      </c>
      <c r="I904" s="9">
        <v>16710</v>
      </c>
      <c r="J904" s="9">
        <v>42040</v>
      </c>
      <c r="K904" s="10">
        <f t="shared" si="40"/>
        <v>-25330</v>
      </c>
      <c r="L904" s="10">
        <v>15854</v>
      </c>
      <c r="M904" s="11" t="s">
        <v>166</v>
      </c>
      <c r="N904" s="12">
        <v>504</v>
      </c>
      <c r="O904" s="13" t="s">
        <v>1099</v>
      </c>
      <c r="P904" s="14"/>
      <c r="Q904" s="2">
        <v>0</v>
      </c>
    </row>
    <row r="905" spans="1:21" x14ac:dyDescent="0.25">
      <c r="B905" s="7">
        <v>44253</v>
      </c>
      <c r="C905" s="8" t="s">
        <v>164</v>
      </c>
      <c r="D905" s="8" t="s">
        <v>1355</v>
      </c>
      <c r="E905" s="9" t="s">
        <v>1048</v>
      </c>
      <c r="F905" s="9" t="s">
        <v>526</v>
      </c>
      <c r="G905" s="17">
        <v>0.51597222222222217</v>
      </c>
      <c r="H905" s="17">
        <v>0.57291666666666663</v>
      </c>
      <c r="I905" s="9">
        <v>18460</v>
      </c>
      <c r="J905" s="9">
        <v>43780</v>
      </c>
      <c r="K905" s="10">
        <f t="shared" si="40"/>
        <v>-25320</v>
      </c>
      <c r="L905" s="10">
        <v>15855</v>
      </c>
      <c r="M905" s="11" t="s">
        <v>166</v>
      </c>
      <c r="N905" s="12">
        <v>504</v>
      </c>
      <c r="O905" s="13" t="s">
        <v>1099</v>
      </c>
      <c r="P905" s="14"/>
    </row>
    <row r="906" spans="1:21" x14ac:dyDescent="0.25">
      <c r="B906" s="7">
        <v>44253</v>
      </c>
      <c r="C906" s="8" t="s">
        <v>164</v>
      </c>
      <c r="D906" s="8" t="s">
        <v>299</v>
      </c>
      <c r="E906" s="9" t="s">
        <v>813</v>
      </c>
      <c r="F906" s="9" t="s">
        <v>814</v>
      </c>
      <c r="G906" s="17">
        <v>0.54097222222222219</v>
      </c>
      <c r="H906" s="17">
        <v>0.58402777777777781</v>
      </c>
      <c r="I906" s="9">
        <v>16260</v>
      </c>
      <c r="J906" s="9">
        <v>41690</v>
      </c>
      <c r="K906" s="10">
        <f t="shared" si="40"/>
        <v>-25430</v>
      </c>
      <c r="L906" s="10">
        <v>15856</v>
      </c>
      <c r="M906" s="11" t="s">
        <v>166</v>
      </c>
      <c r="N906" s="12">
        <v>507</v>
      </c>
      <c r="O906" s="13" t="s">
        <v>1099</v>
      </c>
      <c r="P906" s="14"/>
    </row>
    <row r="907" spans="1:21" x14ac:dyDescent="0.25">
      <c r="B907" s="7">
        <v>44253</v>
      </c>
      <c r="C907" s="8" t="s">
        <v>164</v>
      </c>
      <c r="D907" s="8" t="s">
        <v>853</v>
      </c>
      <c r="E907" s="9" t="s">
        <v>51</v>
      </c>
      <c r="F907" s="9" t="s">
        <v>52</v>
      </c>
      <c r="G907" s="17">
        <v>0.55763888888888891</v>
      </c>
      <c r="H907" s="17">
        <v>0.60069444444444442</v>
      </c>
      <c r="I907" s="9">
        <v>16840</v>
      </c>
      <c r="J907" s="9">
        <v>42220</v>
      </c>
      <c r="K907" s="10">
        <f t="shared" si="40"/>
        <v>-25380</v>
      </c>
      <c r="L907" s="10">
        <v>15857</v>
      </c>
      <c r="M907" s="11" t="s">
        <v>166</v>
      </c>
      <c r="N907" s="12">
        <v>508</v>
      </c>
      <c r="O907" s="13" t="s">
        <v>1099</v>
      </c>
      <c r="P907" s="14"/>
      <c r="R907" s="1">
        <v>8890</v>
      </c>
      <c r="S907" s="1">
        <v>19558</v>
      </c>
      <c r="T907" s="1">
        <v>18358</v>
      </c>
      <c r="U907" s="1" t="s">
        <v>26</v>
      </c>
    </row>
    <row r="908" spans="1:21" x14ac:dyDescent="0.25">
      <c r="B908" s="7">
        <v>44253</v>
      </c>
      <c r="C908" s="8" t="s">
        <v>208</v>
      </c>
      <c r="D908" s="8" t="s">
        <v>143</v>
      </c>
      <c r="E908" s="9" t="s">
        <v>144</v>
      </c>
      <c r="F908" s="9" t="s">
        <v>626</v>
      </c>
      <c r="G908" s="17">
        <v>0.6118055555555556</v>
      </c>
      <c r="H908" s="17">
        <v>0.62222222222222223</v>
      </c>
      <c r="I908" s="9">
        <v>41730</v>
      </c>
      <c r="J908" s="9">
        <v>17550</v>
      </c>
      <c r="K908" s="10">
        <f t="shared" si="40"/>
        <v>24180</v>
      </c>
      <c r="L908" s="10">
        <v>40747</v>
      </c>
      <c r="M908" s="11" t="s">
        <v>804</v>
      </c>
      <c r="N908" s="12">
        <f>12910+11270</f>
        <v>24180</v>
      </c>
      <c r="O908" s="13" t="s">
        <v>32</v>
      </c>
      <c r="P908" s="14"/>
      <c r="T908" s="1">
        <v>1200</v>
      </c>
      <c r="U908" s="1" t="s">
        <v>27</v>
      </c>
    </row>
    <row r="909" spans="1:21" x14ac:dyDescent="0.25">
      <c r="B909" s="7">
        <v>44253</v>
      </c>
      <c r="C909" s="8" t="s">
        <v>1386</v>
      </c>
      <c r="D909" s="8" t="s">
        <v>299</v>
      </c>
      <c r="E909" s="9" t="s">
        <v>813</v>
      </c>
      <c r="F909" s="9" t="s">
        <v>814</v>
      </c>
      <c r="G909" s="17">
        <v>0.65277777777777779</v>
      </c>
      <c r="H909" s="17">
        <v>0.71805555555555556</v>
      </c>
      <c r="I909" s="9">
        <v>16260</v>
      </c>
      <c r="J909" s="9">
        <v>37180</v>
      </c>
      <c r="K909" s="10">
        <f t="shared" si="40"/>
        <v>-20920</v>
      </c>
      <c r="L909" s="10">
        <v>15858</v>
      </c>
      <c r="M909" s="11" t="s">
        <v>638</v>
      </c>
      <c r="N909" s="12">
        <v>840</v>
      </c>
      <c r="O909" s="13" t="s">
        <v>1099</v>
      </c>
      <c r="P909" s="14"/>
      <c r="S909" s="1">
        <v>4390</v>
      </c>
      <c r="T909" s="1">
        <v>9658</v>
      </c>
    </row>
    <row r="910" spans="1:21" x14ac:dyDescent="0.25">
      <c r="B910" s="7">
        <v>44253</v>
      </c>
      <c r="C910" s="8" t="s">
        <v>1386</v>
      </c>
      <c r="D910" s="8" t="s">
        <v>1355</v>
      </c>
      <c r="E910" s="9" t="s">
        <v>1048</v>
      </c>
      <c r="F910" s="9" t="s">
        <v>526</v>
      </c>
      <c r="G910" s="17">
        <v>0.66805555555555562</v>
      </c>
      <c r="H910" s="17">
        <v>0.74444444444444446</v>
      </c>
      <c r="I910" s="9">
        <v>18760</v>
      </c>
      <c r="J910" s="9">
        <v>39610</v>
      </c>
      <c r="K910" s="10">
        <f t="shared" si="40"/>
        <v>-20850</v>
      </c>
      <c r="L910" s="10">
        <v>15859</v>
      </c>
      <c r="M910" s="11" t="s">
        <v>638</v>
      </c>
      <c r="N910" s="12">
        <v>840</v>
      </c>
      <c r="O910" s="13" t="s">
        <v>1099</v>
      </c>
      <c r="P910" s="14"/>
      <c r="T910" s="1">
        <v>200</v>
      </c>
    </row>
    <row r="911" spans="1:21" x14ac:dyDescent="0.25">
      <c r="B911" s="7">
        <v>44253</v>
      </c>
      <c r="C911" s="16" t="s">
        <v>1386</v>
      </c>
      <c r="D911" s="8" t="s">
        <v>853</v>
      </c>
      <c r="E911" s="9" t="s">
        <v>51</v>
      </c>
      <c r="F911" s="9" t="s">
        <v>52</v>
      </c>
      <c r="G911" s="17">
        <v>0.67013888888888884</v>
      </c>
      <c r="H911" s="17">
        <v>0.1763888888888889</v>
      </c>
      <c r="I911" s="9">
        <v>16790</v>
      </c>
      <c r="J911" s="9">
        <v>37630</v>
      </c>
      <c r="K911" s="10">
        <f t="shared" si="40"/>
        <v>-20840</v>
      </c>
      <c r="L911" s="10">
        <v>15860</v>
      </c>
      <c r="M911" s="11" t="s">
        <v>638</v>
      </c>
      <c r="N911" s="12">
        <v>840</v>
      </c>
      <c r="O911" s="13" t="s">
        <v>1099</v>
      </c>
      <c r="P911" s="14"/>
      <c r="T911" s="1">
        <v>-9458</v>
      </c>
      <c r="U911" s="1">
        <v>9658</v>
      </c>
    </row>
    <row r="912" spans="1:21" x14ac:dyDescent="0.25">
      <c r="B912" s="7">
        <v>44253</v>
      </c>
      <c r="C912" s="8" t="s">
        <v>1623</v>
      </c>
      <c r="D912" s="8" t="s">
        <v>465</v>
      </c>
      <c r="E912" s="9" t="s">
        <v>881</v>
      </c>
      <c r="F912" s="9" t="s">
        <v>749</v>
      </c>
      <c r="G912" s="17">
        <v>0.7270833333333333</v>
      </c>
      <c r="H912" s="17">
        <v>0.34930555555555554</v>
      </c>
      <c r="I912" s="9">
        <v>18730</v>
      </c>
      <c r="J912" s="9">
        <v>17040</v>
      </c>
      <c r="K912" s="10">
        <f t="shared" si="40"/>
        <v>1690</v>
      </c>
      <c r="L912" s="10">
        <v>114566</v>
      </c>
      <c r="M912" s="11" t="s">
        <v>1624</v>
      </c>
      <c r="N912" s="12">
        <v>16</v>
      </c>
      <c r="O912" s="13" t="s">
        <v>80</v>
      </c>
      <c r="P912" s="14"/>
    </row>
    <row r="913" spans="2:23" x14ac:dyDescent="0.25">
      <c r="B913" s="7">
        <v>44253</v>
      </c>
      <c r="C913" s="8" t="s">
        <v>208</v>
      </c>
      <c r="D913" s="8" t="s">
        <v>143</v>
      </c>
      <c r="E913" s="9" t="s">
        <v>144</v>
      </c>
      <c r="F913" s="9" t="s">
        <v>626</v>
      </c>
      <c r="G913" s="17">
        <v>0.8125</v>
      </c>
      <c r="H913" s="17">
        <v>0.8354166666666667</v>
      </c>
      <c r="I913" s="9">
        <v>42230</v>
      </c>
      <c r="J913" s="9">
        <v>17540</v>
      </c>
      <c r="K913" s="10">
        <f t="shared" si="40"/>
        <v>24690</v>
      </c>
      <c r="L913" s="10">
        <v>40748</v>
      </c>
      <c r="M913" s="11" t="s">
        <v>804</v>
      </c>
      <c r="N913" s="12">
        <f>23470+1260</f>
        <v>24730</v>
      </c>
      <c r="O913" s="13" t="s">
        <v>32</v>
      </c>
      <c r="P913" s="14"/>
      <c r="R913" s="1">
        <v>6080</v>
      </c>
      <c r="S913" s="1">
        <v>13376.000000000002</v>
      </c>
    </row>
    <row r="914" spans="2:23" x14ac:dyDescent="0.25">
      <c r="B914" s="7">
        <v>44253</v>
      </c>
      <c r="C914" s="8" t="s">
        <v>208</v>
      </c>
      <c r="D914" s="8" t="s">
        <v>1625</v>
      </c>
      <c r="E914" s="9" t="s">
        <v>285</v>
      </c>
      <c r="F914" s="9" t="s">
        <v>286</v>
      </c>
      <c r="G914" s="17">
        <v>0.83472222222222225</v>
      </c>
      <c r="H914" s="17">
        <v>0.36736111111111108</v>
      </c>
      <c r="I914" s="9">
        <v>49960</v>
      </c>
      <c r="J914" s="9">
        <v>15300</v>
      </c>
      <c r="K914" s="10">
        <f t="shared" si="40"/>
        <v>34660</v>
      </c>
      <c r="L914" s="10">
        <v>40752</v>
      </c>
      <c r="M914" s="11" t="s">
        <v>1626</v>
      </c>
      <c r="N914" s="12">
        <v>34620</v>
      </c>
      <c r="O914" s="13" t="s">
        <v>32</v>
      </c>
      <c r="P914" s="14"/>
      <c r="S914" s="1">
        <v>11076.000000000002</v>
      </c>
    </row>
    <row r="915" spans="2:23" x14ac:dyDescent="0.25">
      <c r="B915" s="7">
        <v>44253</v>
      </c>
      <c r="C915" s="8" t="s">
        <v>1616</v>
      </c>
      <c r="D915" s="8" t="s">
        <v>1055</v>
      </c>
      <c r="E915" s="9" t="s">
        <v>967</v>
      </c>
      <c r="F915" s="9" t="s">
        <v>36</v>
      </c>
      <c r="G915" s="17">
        <v>0.84444444444444444</v>
      </c>
      <c r="H915" s="17">
        <v>0.87777777777777777</v>
      </c>
      <c r="I915" s="9">
        <v>17205</v>
      </c>
      <c r="J915" s="9">
        <v>6430</v>
      </c>
      <c r="K915" s="10">
        <f t="shared" si="40"/>
        <v>10775</v>
      </c>
      <c r="L915" s="10">
        <v>26535</v>
      </c>
      <c r="M915" s="11" t="s">
        <v>1618</v>
      </c>
      <c r="N915" s="12"/>
      <c r="O915" s="13" t="s">
        <v>32</v>
      </c>
      <c r="P915" s="14"/>
      <c r="S915" s="1">
        <v>2300</v>
      </c>
    </row>
    <row r="916" spans="2:23" x14ac:dyDescent="0.25">
      <c r="B916" s="7">
        <v>44253</v>
      </c>
      <c r="C916" s="8" t="s">
        <v>1432</v>
      </c>
      <c r="D916" s="8" t="s">
        <v>1619</v>
      </c>
      <c r="E916" s="9" t="s">
        <v>1434</v>
      </c>
      <c r="F916" s="9" t="s">
        <v>36</v>
      </c>
      <c r="G916" s="17">
        <v>0.9159722222222223</v>
      </c>
      <c r="H916" s="17">
        <v>0.97013888888888899</v>
      </c>
      <c r="I916" s="9">
        <v>15060</v>
      </c>
      <c r="J916" s="9">
        <v>5660</v>
      </c>
      <c r="K916" s="10">
        <f t="shared" si="40"/>
        <v>9400</v>
      </c>
      <c r="L916" s="10">
        <v>26536</v>
      </c>
      <c r="M916" s="11" t="s">
        <v>159</v>
      </c>
      <c r="N916" s="12">
        <v>9400</v>
      </c>
      <c r="O916" s="13" t="s">
        <v>32</v>
      </c>
      <c r="P916" s="14"/>
    </row>
    <row r="917" spans="2:23" x14ac:dyDescent="0.25">
      <c r="B917" s="7">
        <v>44253</v>
      </c>
      <c r="C917" s="8" t="s">
        <v>1105</v>
      </c>
      <c r="D917" s="8" t="s">
        <v>530</v>
      </c>
      <c r="E917" s="9" t="s">
        <v>699</v>
      </c>
      <c r="F917" s="9" t="s">
        <v>140</v>
      </c>
      <c r="G917" s="17">
        <v>0.92499999999999993</v>
      </c>
      <c r="H917" s="17">
        <v>0.9590277777777777</v>
      </c>
      <c r="I917" s="9">
        <v>17520</v>
      </c>
      <c r="J917" s="9">
        <v>8180</v>
      </c>
      <c r="K917" s="10">
        <f t="shared" si="40"/>
        <v>9340</v>
      </c>
      <c r="L917" s="10" t="s">
        <v>1627</v>
      </c>
      <c r="M917" s="11" t="s">
        <v>1629</v>
      </c>
      <c r="N917" s="12">
        <f>11893.5+7467</f>
        <v>19360.5</v>
      </c>
      <c r="O917" s="13" t="s">
        <v>49</v>
      </c>
      <c r="P917" s="14"/>
    </row>
    <row r="918" spans="2:23" x14ac:dyDescent="0.25">
      <c r="B918" s="7">
        <v>44253</v>
      </c>
      <c r="C918" s="8" t="s">
        <v>366</v>
      </c>
      <c r="D918" s="8" t="s">
        <v>1047</v>
      </c>
      <c r="E918" s="9" t="s">
        <v>220</v>
      </c>
      <c r="F918" s="9" t="s">
        <v>221</v>
      </c>
      <c r="G918" s="17">
        <v>0.99375000000000002</v>
      </c>
      <c r="H918" s="17">
        <v>0.24722222222222223</v>
      </c>
      <c r="I918" s="9">
        <v>21700</v>
      </c>
      <c r="J918" s="9">
        <v>9430</v>
      </c>
      <c r="K918" s="10">
        <f t="shared" ref="K918:K925" si="42">+I918-J918</f>
        <v>12270</v>
      </c>
      <c r="L918" s="10" t="s">
        <v>1628</v>
      </c>
      <c r="M918" s="11" t="s">
        <v>1633</v>
      </c>
      <c r="N918" s="12">
        <v>12218</v>
      </c>
      <c r="O918" s="13" t="s">
        <v>32</v>
      </c>
      <c r="P918" s="14"/>
      <c r="R918" s="1">
        <v>800</v>
      </c>
    </row>
    <row r="919" spans="2:23" s="51" customFormat="1" x14ac:dyDescent="0.25">
      <c r="B919" s="42">
        <v>44254</v>
      </c>
      <c r="C919" s="43" t="s">
        <v>1630</v>
      </c>
      <c r="D919" s="43" t="s">
        <v>1631</v>
      </c>
      <c r="E919" s="44" t="s">
        <v>1632</v>
      </c>
      <c r="F919" s="44" t="s">
        <v>266</v>
      </c>
      <c r="G919" s="45">
        <v>0.33819444444444446</v>
      </c>
      <c r="H919" s="45">
        <v>0.3520833333333333</v>
      </c>
      <c r="I919" s="44">
        <v>650</v>
      </c>
      <c r="J919" s="44">
        <v>170</v>
      </c>
      <c r="K919" s="46">
        <f t="shared" si="42"/>
        <v>480</v>
      </c>
      <c r="L919" s="46">
        <v>5601</v>
      </c>
      <c r="M919" s="47" t="s">
        <v>1634</v>
      </c>
      <c r="N919" s="48">
        <v>480</v>
      </c>
      <c r="O919" s="49" t="s">
        <v>32</v>
      </c>
      <c r="P919" s="50"/>
    </row>
    <row r="920" spans="2:23" x14ac:dyDescent="0.25">
      <c r="B920" s="7">
        <v>44254</v>
      </c>
      <c r="C920" s="8" t="s">
        <v>1598</v>
      </c>
      <c r="D920" s="8" t="s">
        <v>899</v>
      </c>
      <c r="E920" s="9" t="s">
        <v>490</v>
      </c>
      <c r="F920" s="9" t="s">
        <v>491</v>
      </c>
      <c r="G920" s="17">
        <v>0.36527777777777781</v>
      </c>
      <c r="H920" s="17">
        <v>0.39097222222222222</v>
      </c>
      <c r="I920" s="9">
        <v>17600</v>
      </c>
      <c r="J920" s="9">
        <v>42890</v>
      </c>
      <c r="K920" s="10">
        <f t="shared" si="42"/>
        <v>-25290</v>
      </c>
      <c r="L920" s="10">
        <v>15862</v>
      </c>
      <c r="M920" s="11" t="s">
        <v>166</v>
      </c>
      <c r="N920" s="12">
        <v>504</v>
      </c>
      <c r="O920" s="13" t="s">
        <v>1099</v>
      </c>
      <c r="P920" s="14"/>
      <c r="R920" s="1">
        <v>2370</v>
      </c>
      <c r="S920" s="1">
        <v>5214</v>
      </c>
      <c r="T920" s="1">
        <v>4414</v>
      </c>
    </row>
    <row r="921" spans="2:23" x14ac:dyDescent="0.25">
      <c r="B921" s="7">
        <v>44254</v>
      </c>
      <c r="C921" s="8" t="s">
        <v>1598</v>
      </c>
      <c r="D921" s="8" t="s">
        <v>86</v>
      </c>
      <c r="E921" s="9" t="s">
        <v>87</v>
      </c>
      <c r="F921" s="9" t="s">
        <v>88</v>
      </c>
      <c r="G921" s="17">
        <v>0.3743055555555555</v>
      </c>
      <c r="H921" s="17">
        <v>0.41597222222222219</v>
      </c>
      <c r="I921" s="9">
        <v>15700</v>
      </c>
      <c r="J921" s="9">
        <v>41240</v>
      </c>
      <c r="K921" s="10">
        <f t="shared" si="42"/>
        <v>-25540</v>
      </c>
      <c r="L921" s="10">
        <v>15863</v>
      </c>
      <c r="M921" s="11" t="s">
        <v>166</v>
      </c>
      <c r="N921" s="12">
        <v>504</v>
      </c>
      <c r="O921" s="13" t="s">
        <v>1099</v>
      </c>
      <c r="P921" s="14"/>
    </row>
    <row r="922" spans="2:23" x14ac:dyDescent="0.25">
      <c r="B922" s="7">
        <v>44254</v>
      </c>
      <c r="C922" s="8" t="s">
        <v>208</v>
      </c>
      <c r="D922" s="8" t="s">
        <v>143</v>
      </c>
      <c r="E922" s="9" t="s">
        <v>144</v>
      </c>
      <c r="F922" s="9" t="s">
        <v>626</v>
      </c>
      <c r="G922" s="17">
        <v>0.38680555555555557</v>
      </c>
      <c r="H922" s="17">
        <v>0.3972222222222222</v>
      </c>
      <c r="I922" s="9">
        <v>41620</v>
      </c>
      <c r="J922" s="9">
        <v>17570</v>
      </c>
      <c r="K922" s="10">
        <f t="shared" si="42"/>
        <v>24050</v>
      </c>
      <c r="L922" s="10">
        <v>40748</v>
      </c>
      <c r="M922" s="11" t="s">
        <v>257</v>
      </c>
      <c r="N922" s="12">
        <v>2410</v>
      </c>
      <c r="O922" s="13" t="s">
        <v>32</v>
      </c>
      <c r="P922" s="14"/>
    </row>
    <row r="923" spans="2:23" x14ac:dyDescent="0.25">
      <c r="B923" s="7">
        <v>44254</v>
      </c>
      <c r="C923" s="8" t="s">
        <v>33</v>
      </c>
      <c r="D923" s="8" t="s">
        <v>175</v>
      </c>
      <c r="E923" s="9" t="s">
        <v>176</v>
      </c>
      <c r="F923" s="9" t="s">
        <v>36</v>
      </c>
      <c r="G923" s="17">
        <v>0.41111111111111115</v>
      </c>
      <c r="H923" s="17">
        <v>0.43472222222222223</v>
      </c>
      <c r="I923" s="9">
        <v>7790</v>
      </c>
      <c r="J923" s="9">
        <v>4280</v>
      </c>
      <c r="K923" s="10">
        <f t="shared" si="42"/>
        <v>3510</v>
      </c>
      <c r="L923" s="10">
        <v>26537</v>
      </c>
      <c r="M923" s="11" t="s">
        <v>1635</v>
      </c>
      <c r="N923" s="12">
        <v>3510</v>
      </c>
      <c r="O923" s="13" t="s">
        <v>32</v>
      </c>
      <c r="P923" s="14"/>
      <c r="R923" s="1">
        <v>5</v>
      </c>
    </row>
    <row r="924" spans="2:23" x14ac:dyDescent="0.25">
      <c r="B924" s="7">
        <v>44254</v>
      </c>
      <c r="C924" s="8" t="s">
        <v>1598</v>
      </c>
      <c r="D924" s="8" t="s">
        <v>899</v>
      </c>
      <c r="E924" s="9" t="s">
        <v>490</v>
      </c>
      <c r="F924" s="9" t="s">
        <v>491</v>
      </c>
      <c r="G924" s="17">
        <v>0.46458333333333335</v>
      </c>
      <c r="H924" s="17">
        <v>0.48680555555555555</v>
      </c>
      <c r="I924" s="9">
        <v>17600</v>
      </c>
      <c r="J924" s="9">
        <v>42880</v>
      </c>
      <c r="K924" s="10">
        <f t="shared" si="42"/>
        <v>-25280</v>
      </c>
      <c r="L924" s="10">
        <v>15864</v>
      </c>
      <c r="M924" s="11" t="s">
        <v>166</v>
      </c>
      <c r="N924" s="12">
        <v>504</v>
      </c>
      <c r="O924" s="13" t="s">
        <v>1099</v>
      </c>
      <c r="P924" s="14"/>
    </row>
    <row r="925" spans="2:23" x14ac:dyDescent="0.25">
      <c r="B925" s="7">
        <v>44254</v>
      </c>
      <c r="C925" s="8" t="s">
        <v>1598</v>
      </c>
      <c r="D925" s="8" t="s">
        <v>86</v>
      </c>
      <c r="E925" s="9" t="s">
        <v>87</v>
      </c>
      <c r="F925" s="9" t="s">
        <v>88</v>
      </c>
      <c r="G925" s="17">
        <v>0.50694444444444442</v>
      </c>
      <c r="H925" s="17">
        <v>0.52013888888888882</v>
      </c>
      <c r="I925" s="9">
        <v>41190</v>
      </c>
      <c r="J925" s="9">
        <v>15870</v>
      </c>
      <c r="K925" s="10">
        <f t="shared" si="42"/>
        <v>25320</v>
      </c>
      <c r="L925" s="10">
        <v>15632</v>
      </c>
      <c r="M925" s="11" t="s">
        <v>398</v>
      </c>
      <c r="N925" s="12">
        <v>504</v>
      </c>
      <c r="O925" s="13" t="s">
        <v>1099</v>
      </c>
      <c r="P925" s="14"/>
      <c r="R925" s="1">
        <v>12056.000000000002</v>
      </c>
      <c r="S925" s="1">
        <v>1700</v>
      </c>
      <c r="T925" s="1">
        <v>150</v>
      </c>
      <c r="U925" s="1">
        <v>706</v>
      </c>
      <c r="V925" s="1">
        <v>2556</v>
      </c>
      <c r="W925" s="1">
        <v>-9500.0000000000018</v>
      </c>
    </row>
    <row r="926" spans="2:23" x14ac:dyDescent="0.25">
      <c r="B926" s="7">
        <v>44254</v>
      </c>
      <c r="P926" s="14"/>
      <c r="R926" s="1">
        <v>500</v>
      </c>
    </row>
    <row r="927" spans="2:23" x14ac:dyDescent="0.25">
      <c r="B927" s="7">
        <v>44254</v>
      </c>
      <c r="P927" s="14"/>
      <c r="T927" s="1">
        <v>3056</v>
      </c>
    </row>
    <row r="928" spans="2:23" x14ac:dyDescent="0.25">
      <c r="B928" s="7">
        <v>44254</v>
      </c>
      <c r="C928" s="8"/>
      <c r="D928" s="8"/>
      <c r="E928" s="9"/>
      <c r="F928" s="9"/>
      <c r="G928" s="17"/>
      <c r="H928" s="17"/>
      <c r="I928" s="9"/>
      <c r="J928" s="9"/>
      <c r="K928" s="10">
        <f t="shared" ref="K928:K950" si="43">+I928-J928</f>
        <v>0</v>
      </c>
      <c r="L928" s="10"/>
      <c r="M928" s="11"/>
      <c r="N928" s="12"/>
      <c r="O928" s="13"/>
      <c r="P928" s="14"/>
    </row>
    <row r="929" spans="2:17" x14ac:dyDescent="0.25">
      <c r="B929" s="7">
        <v>44254</v>
      </c>
      <c r="C929" s="8"/>
      <c r="D929" s="8"/>
      <c r="E929" s="9"/>
      <c r="F929" s="9"/>
      <c r="G929" s="17"/>
      <c r="H929" s="17"/>
      <c r="I929" s="9"/>
      <c r="J929" s="9"/>
      <c r="K929" s="10">
        <f t="shared" si="43"/>
        <v>0</v>
      </c>
      <c r="L929" s="10"/>
      <c r="M929" s="11"/>
      <c r="N929" s="12"/>
      <c r="O929" s="13"/>
      <c r="P929" s="14"/>
      <c r="Q929" s="2">
        <v>9677</v>
      </c>
    </row>
    <row r="930" spans="2:17" x14ac:dyDescent="0.25">
      <c r="B930" s="7">
        <v>44254</v>
      </c>
      <c r="C930" s="8"/>
      <c r="D930" s="8"/>
      <c r="E930" s="9"/>
      <c r="F930" s="9"/>
      <c r="G930" s="17"/>
      <c r="H930" s="17"/>
      <c r="I930" s="9"/>
      <c r="J930" s="9"/>
      <c r="K930" s="10">
        <f t="shared" si="43"/>
        <v>0</v>
      </c>
      <c r="L930" s="10"/>
      <c r="M930" s="11"/>
      <c r="N930" s="12"/>
      <c r="O930" s="13"/>
      <c r="P930" s="14"/>
      <c r="Q930" s="2">
        <v>459</v>
      </c>
    </row>
    <row r="931" spans="2:17" x14ac:dyDescent="0.25">
      <c r="B931" s="7">
        <v>44254</v>
      </c>
      <c r="C931" s="8"/>
      <c r="D931" s="8"/>
      <c r="E931" s="9"/>
      <c r="F931" s="9"/>
      <c r="G931" s="17"/>
      <c r="H931" s="17"/>
      <c r="I931" s="9"/>
      <c r="J931" s="9"/>
      <c r="K931" s="10">
        <f t="shared" si="43"/>
        <v>0</v>
      </c>
      <c r="L931" s="10"/>
      <c r="M931" s="11"/>
      <c r="N931" s="12"/>
      <c r="O931" s="13"/>
      <c r="P931" s="14"/>
    </row>
    <row r="932" spans="2:17" x14ac:dyDescent="0.25">
      <c r="B932" s="7"/>
      <c r="C932" s="8"/>
      <c r="D932" s="8"/>
      <c r="E932" s="9"/>
      <c r="F932" s="9"/>
      <c r="G932" s="17"/>
      <c r="H932" s="17"/>
      <c r="I932" s="9"/>
      <c r="J932" s="9"/>
      <c r="K932" s="10">
        <f t="shared" si="43"/>
        <v>0</v>
      </c>
      <c r="L932" s="10"/>
      <c r="M932" s="11"/>
      <c r="N932" s="12"/>
      <c r="O932" s="13"/>
      <c r="P932" s="14"/>
    </row>
    <row r="933" spans="2:17" x14ac:dyDescent="0.25">
      <c r="B933" s="7"/>
      <c r="C933" s="8"/>
      <c r="D933" s="8"/>
      <c r="E933" s="9"/>
      <c r="F933" s="9"/>
      <c r="G933" s="17"/>
      <c r="H933" s="17"/>
      <c r="I933" s="9"/>
      <c r="J933" s="9"/>
      <c r="K933" s="10">
        <f t="shared" si="43"/>
        <v>0</v>
      </c>
      <c r="L933" s="10"/>
      <c r="M933" s="11"/>
      <c r="N933" s="12"/>
      <c r="O933" s="13"/>
      <c r="P933" s="14"/>
    </row>
    <row r="934" spans="2:17" x14ac:dyDescent="0.25">
      <c r="B934" s="7"/>
      <c r="C934" s="8"/>
      <c r="D934" s="8"/>
      <c r="E934" s="9"/>
      <c r="F934" s="9"/>
      <c r="G934" s="17"/>
      <c r="H934" s="17"/>
      <c r="I934" s="9"/>
      <c r="J934" s="9"/>
      <c r="K934" s="10">
        <f t="shared" si="43"/>
        <v>0</v>
      </c>
      <c r="L934" s="10"/>
      <c r="M934" s="11"/>
      <c r="N934" s="12"/>
      <c r="O934" s="13"/>
      <c r="P934" s="14"/>
    </row>
    <row r="935" spans="2:17" x14ac:dyDescent="0.25">
      <c r="B935" s="7"/>
      <c r="C935" s="8"/>
      <c r="D935" s="8"/>
      <c r="E935" s="9"/>
      <c r="F935" s="9"/>
      <c r="G935" s="17"/>
      <c r="H935" s="17"/>
      <c r="I935" s="9"/>
      <c r="J935" s="9"/>
      <c r="K935" s="10">
        <f t="shared" si="43"/>
        <v>0</v>
      </c>
      <c r="L935" s="10"/>
      <c r="M935" s="11"/>
      <c r="N935" s="12"/>
      <c r="O935" s="13"/>
      <c r="P935" s="14"/>
    </row>
    <row r="936" spans="2:17" x14ac:dyDescent="0.25">
      <c r="B936" s="7"/>
      <c r="C936" s="8"/>
      <c r="D936" s="8"/>
      <c r="E936" s="9"/>
      <c r="F936" s="9"/>
      <c r="G936" s="17"/>
      <c r="H936" s="17"/>
      <c r="I936" s="9"/>
      <c r="J936" s="9"/>
      <c r="K936" s="10">
        <f t="shared" si="43"/>
        <v>0</v>
      </c>
      <c r="L936" s="10"/>
      <c r="M936" s="11"/>
      <c r="N936" s="12"/>
      <c r="O936" s="13"/>
      <c r="P936" s="14"/>
    </row>
    <row r="937" spans="2:17" x14ac:dyDescent="0.25">
      <c r="B937" s="7"/>
      <c r="C937" s="8"/>
      <c r="D937" s="8"/>
      <c r="E937" s="9"/>
      <c r="F937" s="9"/>
      <c r="G937" s="17"/>
      <c r="H937" s="17"/>
      <c r="I937" s="9"/>
      <c r="J937" s="9"/>
      <c r="K937" s="10">
        <f t="shared" si="43"/>
        <v>0</v>
      </c>
      <c r="L937" s="10"/>
      <c r="M937" s="11"/>
      <c r="N937" s="12"/>
      <c r="O937" s="13"/>
      <c r="P937" s="14"/>
    </row>
    <row r="938" spans="2:17" x14ac:dyDescent="0.25">
      <c r="B938" s="7"/>
      <c r="C938" s="8"/>
      <c r="D938" s="8"/>
      <c r="E938" s="9"/>
      <c r="F938" s="9"/>
      <c r="G938" s="17"/>
      <c r="H938" s="17"/>
      <c r="I938" s="9"/>
      <c r="J938" s="9"/>
      <c r="K938" s="10">
        <f t="shared" si="43"/>
        <v>0</v>
      </c>
      <c r="L938" s="10"/>
      <c r="M938" s="11"/>
      <c r="N938" s="12"/>
      <c r="O938" s="13"/>
      <c r="P938" s="14"/>
    </row>
    <row r="939" spans="2:17" x14ac:dyDescent="0.25">
      <c r="B939" s="7"/>
      <c r="C939" s="8"/>
      <c r="D939" s="8"/>
      <c r="E939" s="9"/>
      <c r="F939" s="9"/>
      <c r="G939" s="17"/>
      <c r="H939" s="17"/>
      <c r="I939" s="9"/>
      <c r="J939" s="9"/>
      <c r="K939" s="10">
        <f t="shared" si="43"/>
        <v>0</v>
      </c>
      <c r="L939" s="10"/>
      <c r="M939" s="11"/>
      <c r="N939" s="12"/>
      <c r="O939" s="13"/>
      <c r="P939" s="14"/>
    </row>
    <row r="940" spans="2:17" x14ac:dyDescent="0.25">
      <c r="B940" s="7"/>
      <c r="C940" s="8"/>
      <c r="D940" s="8"/>
      <c r="E940" s="9"/>
      <c r="F940" s="9"/>
      <c r="G940" s="17"/>
      <c r="H940" s="17"/>
      <c r="I940" s="9"/>
      <c r="J940" s="9"/>
      <c r="K940" s="10">
        <f t="shared" si="43"/>
        <v>0</v>
      </c>
      <c r="L940" s="10"/>
      <c r="M940" s="11"/>
      <c r="N940" s="12"/>
      <c r="O940" s="13"/>
      <c r="P940" s="14"/>
    </row>
    <row r="941" spans="2:17" x14ac:dyDescent="0.25">
      <c r="B941" s="7"/>
      <c r="C941" s="8"/>
      <c r="D941" s="8"/>
      <c r="E941" s="9"/>
      <c r="F941" s="9"/>
      <c r="G941" s="17"/>
      <c r="H941" s="17"/>
      <c r="I941" s="9"/>
      <c r="J941" s="9"/>
      <c r="K941" s="10">
        <f t="shared" si="43"/>
        <v>0</v>
      </c>
      <c r="L941" s="10"/>
      <c r="M941" s="11"/>
      <c r="N941" s="12"/>
      <c r="O941" s="13"/>
      <c r="P941" s="14"/>
    </row>
    <row r="942" spans="2:17" x14ac:dyDescent="0.25">
      <c r="K942" s="10">
        <f t="shared" si="43"/>
        <v>0</v>
      </c>
      <c r="P942" s="14"/>
    </row>
    <row r="943" spans="2:17" x14ac:dyDescent="0.25">
      <c r="K943" s="10">
        <f t="shared" si="43"/>
        <v>0</v>
      </c>
    </row>
    <row r="944" spans="2:17" x14ac:dyDescent="0.25">
      <c r="K944" s="10">
        <f t="shared" si="43"/>
        <v>0</v>
      </c>
    </row>
    <row r="945" spans="11:11" x14ac:dyDescent="0.25">
      <c r="K945" s="10">
        <f t="shared" si="43"/>
        <v>0</v>
      </c>
    </row>
    <row r="946" spans="11:11" x14ac:dyDescent="0.25">
      <c r="K946" s="10">
        <f t="shared" si="43"/>
        <v>0</v>
      </c>
    </row>
    <row r="947" spans="11:11" x14ac:dyDescent="0.25">
      <c r="K947" s="10">
        <f t="shared" si="43"/>
        <v>0</v>
      </c>
    </row>
    <row r="948" spans="11:11" x14ac:dyDescent="0.25">
      <c r="K948" s="10">
        <f t="shared" si="43"/>
        <v>0</v>
      </c>
    </row>
    <row r="949" spans="11:11" x14ac:dyDescent="0.25">
      <c r="K949" s="10">
        <f t="shared" si="43"/>
        <v>0</v>
      </c>
    </row>
    <row r="950" spans="11:11" x14ac:dyDescent="0.25">
      <c r="K950" s="10">
        <f t="shared" si="43"/>
        <v>0</v>
      </c>
    </row>
  </sheetData>
  <mergeCells count="15">
    <mergeCell ref="A1:P1"/>
    <mergeCell ref="A2:P2"/>
    <mergeCell ref="A3:P3"/>
    <mergeCell ref="A4:A5"/>
    <mergeCell ref="B4:B5"/>
    <mergeCell ref="C4:C5"/>
    <mergeCell ref="D4:D5"/>
    <mergeCell ref="E4:E5"/>
    <mergeCell ref="F4:H4"/>
    <mergeCell ref="I4:J4"/>
    <mergeCell ref="K4:K5"/>
    <mergeCell ref="L4:L5"/>
    <mergeCell ref="M4:M5"/>
    <mergeCell ref="N4:N5"/>
    <mergeCell ref="P4:P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36"/>
  <sheetViews>
    <sheetView topLeftCell="B529" zoomScale="73" zoomScaleNormal="73" workbookViewId="0">
      <selection activeCell="D554" sqref="D554:F554"/>
    </sheetView>
  </sheetViews>
  <sheetFormatPr baseColWidth="10" defaultRowHeight="15" x14ac:dyDescent="0.25"/>
  <cols>
    <col min="1" max="1" width="11.42578125" style="1" hidden="1" customWidth="1"/>
    <col min="2" max="2" width="9.28515625" style="1" customWidth="1"/>
    <col min="3" max="3" width="25.5703125" style="1" customWidth="1"/>
    <col min="4" max="4" width="23.5703125" style="1" customWidth="1"/>
    <col min="5" max="5" width="11.42578125" style="1"/>
    <col min="6" max="6" width="15.28515625" style="1" customWidth="1"/>
    <col min="7" max="10" width="11.42578125" style="1"/>
    <col min="11" max="11" width="11.42578125" style="2"/>
    <col min="12" max="12" width="11.42578125" style="1"/>
    <col min="13" max="13" width="30.85546875" style="1" customWidth="1"/>
    <col min="14" max="14" width="11.42578125" style="1"/>
    <col min="15" max="15" width="12.28515625" style="1" customWidth="1"/>
    <col min="16" max="16" width="47.5703125" style="1" customWidth="1"/>
    <col min="17" max="16384" width="11.42578125" style="1"/>
  </cols>
  <sheetData>
    <row r="1" spans="1:22" x14ac:dyDescent="0.25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2"/>
    </row>
    <row r="2" spans="1:22" x14ac:dyDescent="0.25">
      <c r="A2" s="103" t="s">
        <v>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5"/>
    </row>
    <row r="3" spans="1:22" x14ac:dyDescent="0.25">
      <c r="A3" s="106" t="s">
        <v>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8"/>
    </row>
    <row r="4" spans="1:22" x14ac:dyDescent="0.25">
      <c r="A4" s="109" t="s">
        <v>3</v>
      </c>
      <c r="B4" s="109" t="s">
        <v>4</v>
      </c>
      <c r="C4" s="109" t="s">
        <v>5</v>
      </c>
      <c r="D4" s="109" t="s">
        <v>6</v>
      </c>
      <c r="E4" s="109" t="s">
        <v>7</v>
      </c>
      <c r="F4" s="111" t="s">
        <v>8</v>
      </c>
      <c r="G4" s="112"/>
      <c r="H4" s="113"/>
      <c r="I4" s="111" t="s">
        <v>9</v>
      </c>
      <c r="J4" s="113"/>
      <c r="K4" s="109" t="s">
        <v>10</v>
      </c>
      <c r="L4" s="109" t="s">
        <v>11</v>
      </c>
      <c r="M4" s="109" t="s">
        <v>12</v>
      </c>
      <c r="N4" s="109" t="s">
        <v>13</v>
      </c>
      <c r="O4" s="3" t="s">
        <v>14</v>
      </c>
      <c r="P4" s="114"/>
    </row>
    <row r="5" spans="1:22" x14ac:dyDescent="0.25">
      <c r="A5" s="110"/>
      <c r="B5" s="110"/>
      <c r="C5" s="110"/>
      <c r="D5" s="110"/>
      <c r="E5" s="110"/>
      <c r="F5" s="4" t="s">
        <v>15</v>
      </c>
      <c r="G5" s="4" t="s">
        <v>16</v>
      </c>
      <c r="H5" s="4" t="s">
        <v>17</v>
      </c>
      <c r="I5" s="4" t="s">
        <v>16</v>
      </c>
      <c r="J5" s="4" t="s">
        <v>17</v>
      </c>
      <c r="K5" s="110"/>
      <c r="L5" s="110"/>
      <c r="M5" s="110"/>
      <c r="N5" s="110"/>
      <c r="O5" s="5" t="s">
        <v>18</v>
      </c>
      <c r="P5" s="115"/>
    </row>
    <row r="6" spans="1:22" x14ac:dyDescent="0.25">
      <c r="A6" s="6"/>
      <c r="B6" s="7">
        <v>44256</v>
      </c>
      <c r="C6" s="8" t="s">
        <v>1636</v>
      </c>
      <c r="D6" s="8" t="s">
        <v>542</v>
      </c>
      <c r="E6" s="9" t="s">
        <v>543</v>
      </c>
      <c r="F6" s="9" t="s">
        <v>36</v>
      </c>
      <c r="G6" s="17">
        <v>0.44444444444444442</v>
      </c>
      <c r="H6" s="17">
        <v>0.62986111111111109</v>
      </c>
      <c r="I6" s="9">
        <v>16820</v>
      </c>
      <c r="J6" s="9">
        <v>41820</v>
      </c>
      <c r="K6" s="10">
        <f>+I6-J6</f>
        <v>-25000</v>
      </c>
      <c r="L6" s="10">
        <v>5806</v>
      </c>
      <c r="M6" s="11" t="s">
        <v>1256</v>
      </c>
      <c r="N6" s="12">
        <v>998</v>
      </c>
      <c r="O6" s="13" t="s">
        <v>1099</v>
      </c>
      <c r="P6" s="14"/>
    </row>
    <row r="7" spans="1:22" x14ac:dyDescent="0.25">
      <c r="A7" s="6"/>
      <c r="B7" s="7">
        <v>44256</v>
      </c>
      <c r="C7" s="8" t="s">
        <v>1636</v>
      </c>
      <c r="D7" s="8" t="s">
        <v>1637</v>
      </c>
      <c r="E7" s="9" t="s">
        <v>1638</v>
      </c>
      <c r="F7" s="9" t="s">
        <v>36</v>
      </c>
      <c r="G7" s="17">
        <v>0.45069444444444445</v>
      </c>
      <c r="H7" s="17">
        <v>0.63472222222222219</v>
      </c>
      <c r="I7" s="9">
        <v>16790</v>
      </c>
      <c r="J7" s="9">
        <v>41790</v>
      </c>
      <c r="K7" s="10">
        <f t="shared" ref="K7:K70" si="0">+I7-J7</f>
        <v>-25000</v>
      </c>
      <c r="L7" s="10">
        <v>5807</v>
      </c>
      <c r="M7" s="11" t="s">
        <v>1256</v>
      </c>
      <c r="N7" s="12">
        <v>997</v>
      </c>
      <c r="O7" s="13" t="s">
        <v>1099</v>
      </c>
      <c r="P7" s="14"/>
    </row>
    <row r="8" spans="1:22" x14ac:dyDescent="0.25">
      <c r="A8" s="6"/>
      <c r="B8" s="7">
        <v>44256</v>
      </c>
      <c r="C8" s="8" t="s">
        <v>1645</v>
      </c>
      <c r="D8" s="8" t="s">
        <v>1640</v>
      </c>
      <c r="E8" s="9" t="s">
        <v>1641</v>
      </c>
      <c r="F8" s="9" t="s">
        <v>36</v>
      </c>
      <c r="G8" s="17">
        <v>0.55902777777777779</v>
      </c>
      <c r="H8" s="17">
        <v>0.61527777777777781</v>
      </c>
      <c r="I8" s="9">
        <v>5270</v>
      </c>
      <c r="J8" s="9">
        <v>7800</v>
      </c>
      <c r="K8" s="10">
        <f t="shared" si="0"/>
        <v>-2530</v>
      </c>
      <c r="L8" s="10">
        <v>15669</v>
      </c>
      <c r="M8" s="11" t="s">
        <v>1642</v>
      </c>
      <c r="N8" s="12">
        <v>2530</v>
      </c>
      <c r="O8" s="13" t="s">
        <v>32</v>
      </c>
      <c r="P8" s="14"/>
    </row>
    <row r="9" spans="1:22" x14ac:dyDescent="0.25">
      <c r="A9" s="6"/>
      <c r="B9" s="7">
        <v>44256</v>
      </c>
      <c r="C9" s="8" t="s">
        <v>1582</v>
      </c>
      <c r="D9" s="8" t="s">
        <v>607</v>
      </c>
      <c r="E9" s="9" t="s">
        <v>318</v>
      </c>
      <c r="F9" s="9" t="s">
        <v>36</v>
      </c>
      <c r="G9" s="17">
        <v>0.5444444444444444</v>
      </c>
      <c r="H9" s="17">
        <v>0.61319444444444449</v>
      </c>
      <c r="I9" s="9">
        <v>55630</v>
      </c>
      <c r="J9" s="9">
        <v>20260</v>
      </c>
      <c r="K9" s="10">
        <f t="shared" si="0"/>
        <v>35370</v>
      </c>
      <c r="L9" s="10">
        <v>942</v>
      </c>
      <c r="M9" s="11" t="s">
        <v>306</v>
      </c>
      <c r="N9" s="12">
        <v>10000</v>
      </c>
      <c r="O9" s="13" t="s">
        <v>84</v>
      </c>
      <c r="P9" s="14"/>
    </row>
    <row r="10" spans="1:22" x14ac:dyDescent="0.25">
      <c r="A10" s="6"/>
      <c r="B10" s="7">
        <v>44256</v>
      </c>
      <c r="C10" s="8" t="s">
        <v>1643</v>
      </c>
      <c r="D10" s="8" t="s">
        <v>458</v>
      </c>
      <c r="E10" s="9" t="s">
        <v>699</v>
      </c>
      <c r="F10" s="9" t="s">
        <v>459</v>
      </c>
      <c r="G10" s="17">
        <v>0.57916666666666672</v>
      </c>
      <c r="H10" s="17">
        <v>0.39652777777777781</v>
      </c>
      <c r="I10" s="9">
        <v>15500</v>
      </c>
      <c r="J10" s="9">
        <v>8260</v>
      </c>
      <c r="K10" s="10">
        <f t="shared" ref="K10" si="1">+I10-J10</f>
        <v>7240</v>
      </c>
      <c r="L10" s="10" t="s">
        <v>1644</v>
      </c>
      <c r="M10" s="11" t="s">
        <v>731</v>
      </c>
      <c r="N10" s="12">
        <f>8090+12754</f>
        <v>20844</v>
      </c>
      <c r="O10" s="13" t="s">
        <v>49</v>
      </c>
      <c r="P10" s="14"/>
    </row>
    <row r="11" spans="1:22" x14ac:dyDescent="0.25">
      <c r="A11" s="6"/>
      <c r="B11" s="7">
        <v>44256</v>
      </c>
      <c r="C11" s="8" t="s">
        <v>1582</v>
      </c>
      <c r="D11" s="8" t="s">
        <v>1646</v>
      </c>
      <c r="E11" s="9" t="s">
        <v>747</v>
      </c>
      <c r="F11" s="9" t="s">
        <v>36</v>
      </c>
      <c r="G11" s="17">
        <v>0.62152777777777779</v>
      </c>
      <c r="H11" s="17">
        <v>0.59652777777777777</v>
      </c>
      <c r="I11" s="9">
        <v>52910</v>
      </c>
      <c r="J11" s="9">
        <v>17570</v>
      </c>
      <c r="K11" s="10">
        <f t="shared" si="0"/>
        <v>35340</v>
      </c>
      <c r="L11" s="10">
        <v>943</v>
      </c>
      <c r="M11" s="11" t="s">
        <v>306</v>
      </c>
      <c r="N11" s="12">
        <v>10000</v>
      </c>
      <c r="O11" s="13" t="s">
        <v>84</v>
      </c>
      <c r="P11" s="14"/>
    </row>
    <row r="12" spans="1:22" x14ac:dyDescent="0.25">
      <c r="A12" s="6"/>
      <c r="B12" s="7">
        <v>44256</v>
      </c>
      <c r="C12" s="8" t="s">
        <v>1386</v>
      </c>
      <c r="D12" s="8" t="s">
        <v>1355</v>
      </c>
      <c r="E12" s="9" t="s">
        <v>1048</v>
      </c>
      <c r="F12" s="9" t="s">
        <v>526</v>
      </c>
      <c r="G12" s="17">
        <v>0.6381944444444444</v>
      </c>
      <c r="H12" s="17">
        <v>0.72430555555555554</v>
      </c>
      <c r="I12" s="9">
        <v>18700</v>
      </c>
      <c r="J12" s="9">
        <v>39770</v>
      </c>
      <c r="K12" s="10">
        <f t="shared" si="0"/>
        <v>-21070</v>
      </c>
      <c r="L12" s="10">
        <v>15865</v>
      </c>
      <c r="M12" s="11" t="s">
        <v>638</v>
      </c>
      <c r="N12" s="12">
        <v>840</v>
      </c>
      <c r="O12" s="13" t="s">
        <v>1099</v>
      </c>
      <c r="P12" s="14"/>
    </row>
    <row r="13" spans="1:22" x14ac:dyDescent="0.25">
      <c r="A13" s="6"/>
      <c r="B13" s="7">
        <v>44256</v>
      </c>
      <c r="C13" s="8" t="s">
        <v>1534</v>
      </c>
      <c r="D13" s="8" t="s">
        <v>1084</v>
      </c>
      <c r="E13" s="9" t="s">
        <v>502</v>
      </c>
      <c r="F13" s="9" t="s">
        <v>1647</v>
      </c>
      <c r="G13" s="17">
        <v>0.65416666666666667</v>
      </c>
      <c r="H13" s="17">
        <v>0.67499999999999993</v>
      </c>
      <c r="I13" s="9">
        <v>6520</v>
      </c>
      <c r="J13" s="9">
        <v>5300</v>
      </c>
      <c r="K13" s="10">
        <f t="shared" si="0"/>
        <v>1220</v>
      </c>
      <c r="L13" s="10">
        <v>4411</v>
      </c>
      <c r="M13" s="11" t="s">
        <v>1648</v>
      </c>
      <c r="N13" s="12">
        <v>1220</v>
      </c>
      <c r="O13" s="13" t="s">
        <v>32</v>
      </c>
      <c r="P13" s="14"/>
    </row>
    <row r="14" spans="1:22" x14ac:dyDescent="0.25">
      <c r="A14" s="6"/>
      <c r="B14" s="7">
        <v>44256</v>
      </c>
      <c r="C14" s="8" t="s">
        <v>55</v>
      </c>
      <c r="D14" s="8" t="s">
        <v>1649</v>
      </c>
      <c r="E14" s="9" t="s">
        <v>1650</v>
      </c>
      <c r="F14" s="9" t="s">
        <v>178</v>
      </c>
      <c r="G14" s="17">
        <v>0.67222222222222217</v>
      </c>
      <c r="H14" s="17">
        <v>0.72986111111111107</v>
      </c>
      <c r="I14" s="9">
        <v>13720</v>
      </c>
      <c r="J14" s="9">
        <v>37190</v>
      </c>
      <c r="K14" s="10">
        <f t="shared" si="0"/>
        <v>-23470</v>
      </c>
      <c r="L14" s="10">
        <v>5808</v>
      </c>
      <c r="M14" s="11" t="s">
        <v>1651</v>
      </c>
      <c r="N14" s="12">
        <v>22317</v>
      </c>
      <c r="O14" s="13" t="s">
        <v>32</v>
      </c>
      <c r="P14" s="14" t="s">
        <v>1653</v>
      </c>
    </row>
    <row r="15" spans="1:22" x14ac:dyDescent="0.25">
      <c r="A15" s="6"/>
      <c r="B15" s="7">
        <v>44256</v>
      </c>
      <c r="C15" s="8" t="s">
        <v>1386</v>
      </c>
      <c r="D15" s="8" t="s">
        <v>1652</v>
      </c>
      <c r="E15" s="9" t="s">
        <v>144</v>
      </c>
      <c r="F15" s="9" t="s">
        <v>626</v>
      </c>
      <c r="G15" s="17">
        <v>0.67708333333333337</v>
      </c>
      <c r="H15" s="17">
        <v>0.70763888888888893</v>
      </c>
      <c r="I15" s="9">
        <v>17100</v>
      </c>
      <c r="J15" s="9">
        <v>38170</v>
      </c>
      <c r="K15" s="10">
        <f t="shared" si="0"/>
        <v>-21070</v>
      </c>
      <c r="L15" s="10">
        <v>15866</v>
      </c>
      <c r="M15" s="11" t="s">
        <v>638</v>
      </c>
      <c r="N15" s="12">
        <v>840</v>
      </c>
      <c r="O15" s="13" t="s">
        <v>1099</v>
      </c>
      <c r="P15" s="14"/>
    </row>
    <row r="16" spans="1:22" x14ac:dyDescent="0.25">
      <c r="A16" s="6"/>
      <c r="B16" s="7">
        <v>44256</v>
      </c>
      <c r="C16" s="8" t="s">
        <v>1386</v>
      </c>
      <c r="D16" s="8" t="s">
        <v>899</v>
      </c>
      <c r="E16" s="9" t="s">
        <v>490</v>
      </c>
      <c r="F16" s="9" t="s">
        <v>491</v>
      </c>
      <c r="G16" s="17">
        <v>0.68472222222222223</v>
      </c>
      <c r="H16" s="17">
        <v>0.81597222222222221</v>
      </c>
      <c r="I16" s="9">
        <v>17560</v>
      </c>
      <c r="J16" s="9">
        <v>38650</v>
      </c>
      <c r="K16" s="10">
        <f t="shared" si="0"/>
        <v>-21090</v>
      </c>
      <c r="L16" s="10">
        <v>15867</v>
      </c>
      <c r="M16" s="11" t="s">
        <v>638</v>
      </c>
      <c r="N16" s="12">
        <v>840</v>
      </c>
      <c r="O16" s="13" t="s">
        <v>1099</v>
      </c>
      <c r="P16" s="14"/>
      <c r="Q16" s="2"/>
      <c r="S16" s="18"/>
      <c r="T16" s="18"/>
      <c r="V16" s="23"/>
    </row>
    <row r="17" spans="1:26" x14ac:dyDescent="0.25">
      <c r="A17" s="6"/>
      <c r="B17" s="7">
        <v>44256</v>
      </c>
      <c r="C17" s="8" t="s">
        <v>1654</v>
      </c>
      <c r="D17" s="8" t="s">
        <v>1655</v>
      </c>
      <c r="E17" s="9" t="s">
        <v>110</v>
      </c>
      <c r="F17" s="9" t="s">
        <v>111</v>
      </c>
      <c r="G17" s="17">
        <v>0.97152777777777777</v>
      </c>
      <c r="H17" s="17">
        <v>0.41319444444444442</v>
      </c>
      <c r="I17" s="9">
        <v>13290</v>
      </c>
      <c r="J17" s="9">
        <v>6510</v>
      </c>
      <c r="K17" s="10">
        <f t="shared" si="0"/>
        <v>6780</v>
      </c>
      <c r="L17" s="10">
        <v>8886</v>
      </c>
      <c r="M17" s="11" t="s">
        <v>1339</v>
      </c>
      <c r="N17" s="12">
        <v>6780</v>
      </c>
      <c r="O17" s="13" t="s">
        <v>32</v>
      </c>
      <c r="P17" s="14"/>
      <c r="T17" s="18"/>
      <c r="V17" s="23"/>
    </row>
    <row r="18" spans="1:26" x14ac:dyDescent="0.25">
      <c r="A18" s="6"/>
      <c r="B18" s="7">
        <v>44257</v>
      </c>
      <c r="C18" s="8" t="s">
        <v>142</v>
      </c>
      <c r="D18" s="8" t="s">
        <v>1656</v>
      </c>
      <c r="E18" s="9" t="s">
        <v>87</v>
      </c>
      <c r="F18" s="9" t="s">
        <v>88</v>
      </c>
      <c r="G18" s="17">
        <v>0.14444444444444446</v>
      </c>
      <c r="H18" s="17">
        <v>0.16527777777777777</v>
      </c>
      <c r="I18" s="9">
        <v>35730</v>
      </c>
      <c r="J18" s="9">
        <v>18420</v>
      </c>
      <c r="K18" s="10">
        <f t="shared" si="0"/>
        <v>17310</v>
      </c>
      <c r="L18" s="10">
        <v>6196</v>
      </c>
      <c r="M18" s="11" t="s">
        <v>1657</v>
      </c>
      <c r="N18" s="12">
        <v>18420</v>
      </c>
      <c r="O18" s="13" t="s">
        <v>683</v>
      </c>
      <c r="P18" s="14"/>
      <c r="T18" s="18"/>
      <c r="V18" s="23"/>
    </row>
    <row r="19" spans="1:26" x14ac:dyDescent="0.25">
      <c r="A19" s="6"/>
      <c r="B19" s="7">
        <v>44257</v>
      </c>
      <c r="C19" s="8" t="s">
        <v>133</v>
      </c>
      <c r="D19" s="8" t="s">
        <v>1658</v>
      </c>
      <c r="E19" s="9" t="s">
        <v>220</v>
      </c>
      <c r="F19" s="9" t="s">
        <v>924</v>
      </c>
      <c r="G19" s="17">
        <v>0.15138888888888888</v>
      </c>
      <c r="H19" s="17">
        <v>0.32222222222222224</v>
      </c>
      <c r="I19" s="9">
        <v>21480</v>
      </c>
      <c r="J19" s="9">
        <v>9280</v>
      </c>
      <c r="K19" s="10">
        <f t="shared" si="0"/>
        <v>12200</v>
      </c>
      <c r="L19" s="10" t="s">
        <v>1660</v>
      </c>
      <c r="M19" s="11" t="s">
        <v>1659</v>
      </c>
      <c r="N19" s="12">
        <v>12158</v>
      </c>
      <c r="O19" s="13" t="s">
        <v>32</v>
      </c>
      <c r="P19" s="14"/>
    </row>
    <row r="20" spans="1:26" x14ac:dyDescent="0.25">
      <c r="A20" s="6"/>
      <c r="B20" s="7">
        <v>44257</v>
      </c>
      <c r="C20" s="16" t="s">
        <v>208</v>
      </c>
      <c r="D20" s="8" t="s">
        <v>299</v>
      </c>
      <c r="E20" s="9" t="s">
        <v>813</v>
      </c>
      <c r="F20" s="9" t="s">
        <v>814</v>
      </c>
      <c r="G20" s="17">
        <v>0.46319444444444446</v>
      </c>
      <c r="H20" s="17">
        <v>0.59861111111111109</v>
      </c>
      <c r="I20" s="9">
        <v>41510</v>
      </c>
      <c r="J20" s="9">
        <v>17080</v>
      </c>
      <c r="K20" s="10">
        <f t="shared" si="0"/>
        <v>24430</v>
      </c>
      <c r="L20" s="10">
        <v>40809</v>
      </c>
      <c r="M20" s="11" t="s">
        <v>212</v>
      </c>
      <c r="N20" s="12">
        <v>24370</v>
      </c>
      <c r="O20" s="13" t="s">
        <v>32</v>
      </c>
      <c r="P20" s="14"/>
      <c r="Q20" s="2"/>
      <c r="R20" s="1" t="s">
        <v>91</v>
      </c>
      <c r="S20" s="1">
        <v>57</v>
      </c>
      <c r="T20" s="18">
        <v>12</v>
      </c>
      <c r="U20" s="1">
        <f>+T20*S20</f>
        <v>684</v>
      </c>
      <c r="V20" s="23"/>
    </row>
    <row r="21" spans="1:26" x14ac:dyDescent="0.25">
      <c r="A21" s="6"/>
      <c r="B21" s="7">
        <v>44257</v>
      </c>
      <c r="C21" s="8" t="s">
        <v>1386</v>
      </c>
      <c r="D21" s="8" t="s">
        <v>1355</v>
      </c>
      <c r="E21" s="9" t="s">
        <v>1048</v>
      </c>
      <c r="F21" s="9" t="s">
        <v>526</v>
      </c>
      <c r="G21" s="17">
        <v>0.64166666666666672</v>
      </c>
      <c r="H21" s="17">
        <v>0.71180555555555547</v>
      </c>
      <c r="I21" s="9">
        <v>19080</v>
      </c>
      <c r="J21" s="9">
        <v>40290</v>
      </c>
      <c r="K21" s="10">
        <f t="shared" si="0"/>
        <v>-21210</v>
      </c>
      <c r="L21" s="10">
        <v>15868</v>
      </c>
      <c r="M21" s="11" t="s">
        <v>638</v>
      </c>
      <c r="N21" s="12">
        <v>843</v>
      </c>
      <c r="O21" s="13" t="s">
        <v>1099</v>
      </c>
      <c r="P21" s="14"/>
      <c r="Q21" s="2"/>
      <c r="R21" s="1" t="s">
        <v>646</v>
      </c>
      <c r="S21" s="1">
        <v>58</v>
      </c>
      <c r="T21" s="18">
        <v>7</v>
      </c>
      <c r="U21" s="1">
        <f>+T21*S21</f>
        <v>406</v>
      </c>
      <c r="V21" s="23"/>
    </row>
    <row r="22" spans="1:26" x14ac:dyDescent="0.25">
      <c r="A22" s="6"/>
      <c r="B22" s="7">
        <v>44257</v>
      </c>
      <c r="C22" s="8" t="s">
        <v>1534</v>
      </c>
      <c r="D22" s="8" t="s">
        <v>1084</v>
      </c>
      <c r="E22" s="9" t="s">
        <v>502</v>
      </c>
      <c r="F22" s="9" t="s">
        <v>1647</v>
      </c>
      <c r="G22" s="17">
        <v>0.68541666666666667</v>
      </c>
      <c r="H22" s="17">
        <v>0.7055555555555556</v>
      </c>
      <c r="I22" s="9">
        <v>7200</v>
      </c>
      <c r="J22" s="9">
        <v>5320</v>
      </c>
      <c r="K22" s="10">
        <f t="shared" ref="K22" si="2">+I22-J22</f>
        <v>1880</v>
      </c>
      <c r="L22" s="10">
        <v>4413</v>
      </c>
      <c r="M22" s="11" t="s">
        <v>1648</v>
      </c>
      <c r="N22" s="12">
        <v>1880</v>
      </c>
      <c r="O22" s="13" t="s">
        <v>32</v>
      </c>
      <c r="P22" s="14"/>
      <c r="R22" s="1" t="s">
        <v>669</v>
      </c>
      <c r="S22" s="1">
        <v>63</v>
      </c>
      <c r="T22" s="18">
        <v>1</v>
      </c>
      <c r="U22" s="1">
        <f>+T22*S22</f>
        <v>63</v>
      </c>
      <c r="V22" s="23"/>
    </row>
    <row r="23" spans="1:26" x14ac:dyDescent="0.25">
      <c r="A23" s="6"/>
      <c r="B23" s="7">
        <v>44257</v>
      </c>
      <c r="C23" s="8" t="s">
        <v>930</v>
      </c>
      <c r="D23" s="8" t="s">
        <v>880</v>
      </c>
      <c r="E23" s="9" t="s">
        <v>1661</v>
      </c>
      <c r="F23" s="9" t="s">
        <v>1276</v>
      </c>
      <c r="G23" s="17">
        <v>0.80347222222222225</v>
      </c>
      <c r="H23" s="17">
        <v>0.3840277777777778</v>
      </c>
      <c r="I23" s="9">
        <v>30590</v>
      </c>
      <c r="J23" s="9">
        <v>16330</v>
      </c>
      <c r="K23" s="10">
        <f t="shared" si="0"/>
        <v>14260</v>
      </c>
      <c r="L23" s="10">
        <v>40834</v>
      </c>
      <c r="M23" s="11" t="s">
        <v>1626</v>
      </c>
      <c r="N23" s="12">
        <v>14350</v>
      </c>
      <c r="O23" s="13" t="s">
        <v>683</v>
      </c>
      <c r="P23" s="14"/>
      <c r="T23" s="18">
        <f>SUM(T20:T22)</f>
        <v>20</v>
      </c>
      <c r="U23" s="18">
        <f>SUM(U20:U22)</f>
        <v>1153</v>
      </c>
    </row>
    <row r="24" spans="1:26" x14ac:dyDescent="0.25">
      <c r="A24" s="6"/>
      <c r="B24" s="7">
        <v>44257</v>
      </c>
      <c r="C24" s="8" t="s">
        <v>1662</v>
      </c>
      <c r="D24" s="8" t="s">
        <v>458</v>
      </c>
      <c r="E24" s="9" t="s">
        <v>699</v>
      </c>
      <c r="F24" s="9" t="s">
        <v>459</v>
      </c>
      <c r="G24" s="17">
        <v>0.81805555555555554</v>
      </c>
      <c r="H24" s="17">
        <v>0.34722222222222227</v>
      </c>
      <c r="I24" s="9">
        <v>11660</v>
      </c>
      <c r="J24" s="9">
        <v>8280</v>
      </c>
      <c r="K24" s="10">
        <f t="shared" si="0"/>
        <v>3380</v>
      </c>
      <c r="L24" s="10" t="s">
        <v>1663</v>
      </c>
      <c r="M24" s="11" t="s">
        <v>718</v>
      </c>
      <c r="N24" s="12"/>
      <c r="O24" s="13" t="s">
        <v>32</v>
      </c>
      <c r="P24" s="14"/>
      <c r="S24" s="18"/>
      <c r="T24" s="18"/>
    </row>
    <row r="25" spans="1:26" x14ac:dyDescent="0.25">
      <c r="A25" s="6"/>
      <c r="B25" s="7">
        <v>44258</v>
      </c>
      <c r="C25" s="8" t="s">
        <v>142</v>
      </c>
      <c r="D25" s="8" t="s">
        <v>1656</v>
      </c>
      <c r="E25" s="9" t="s">
        <v>87</v>
      </c>
      <c r="F25" s="9" t="s">
        <v>88</v>
      </c>
      <c r="G25" s="17">
        <v>0.11527777777777777</v>
      </c>
      <c r="H25" s="17">
        <v>0.12708333333333333</v>
      </c>
      <c r="I25" s="9">
        <v>35410</v>
      </c>
      <c r="J25" s="9">
        <v>17260</v>
      </c>
      <c r="K25" s="10">
        <f t="shared" si="0"/>
        <v>18150</v>
      </c>
      <c r="L25" s="10">
        <v>771</v>
      </c>
      <c r="M25" s="11" t="s">
        <v>684</v>
      </c>
      <c r="N25" s="12">
        <v>17190</v>
      </c>
      <c r="O25" s="13" t="s">
        <v>32</v>
      </c>
      <c r="P25" s="14"/>
      <c r="U25" s="1">
        <v>23470</v>
      </c>
      <c r="V25" s="18">
        <f>+U25-U23</f>
        <v>22317</v>
      </c>
    </row>
    <row r="26" spans="1:26" x14ac:dyDescent="0.25">
      <c r="A26" s="6"/>
      <c r="B26" s="7">
        <v>44258</v>
      </c>
      <c r="C26" s="43" t="s">
        <v>1630</v>
      </c>
      <c r="D26" s="43" t="s">
        <v>1664</v>
      </c>
      <c r="E26" s="44" t="s">
        <v>1632</v>
      </c>
      <c r="F26" s="44" t="s">
        <v>266</v>
      </c>
      <c r="G26" s="17">
        <v>0.27430555555555552</v>
      </c>
      <c r="H26" s="17">
        <v>0.27777777777777779</v>
      </c>
      <c r="I26" s="9">
        <v>6120</v>
      </c>
      <c r="J26" s="9">
        <v>5580</v>
      </c>
      <c r="K26" s="10">
        <f>+I26-J26</f>
        <v>540</v>
      </c>
      <c r="L26" s="10" t="s">
        <v>1660</v>
      </c>
      <c r="M26" s="47" t="s">
        <v>1665</v>
      </c>
      <c r="N26" s="12">
        <v>540</v>
      </c>
      <c r="O26" s="13" t="s">
        <v>32</v>
      </c>
      <c r="P26" s="14"/>
    </row>
    <row r="27" spans="1:26" x14ac:dyDescent="0.25">
      <c r="A27" s="6"/>
      <c r="B27" s="15">
        <v>44258</v>
      </c>
      <c r="C27" s="8" t="s">
        <v>1391</v>
      </c>
      <c r="D27" s="8" t="s">
        <v>1652</v>
      </c>
      <c r="E27" s="9" t="s">
        <v>144</v>
      </c>
      <c r="F27" s="9" t="s">
        <v>626</v>
      </c>
      <c r="G27" s="17">
        <v>0.38194444444444442</v>
      </c>
      <c r="H27" s="17">
        <v>0.47847222222222219</v>
      </c>
      <c r="I27" s="9">
        <v>18070</v>
      </c>
      <c r="J27" s="9">
        <v>38750</v>
      </c>
      <c r="K27" s="10">
        <f>+I27-J27</f>
        <v>-20680</v>
      </c>
      <c r="L27" s="10">
        <v>5809</v>
      </c>
      <c r="M27" s="11" t="s">
        <v>83</v>
      </c>
      <c r="N27" s="12">
        <v>5951</v>
      </c>
      <c r="O27" s="13" t="s">
        <v>84</v>
      </c>
      <c r="P27" s="14"/>
    </row>
    <row r="28" spans="1:26" x14ac:dyDescent="0.25">
      <c r="A28" s="6"/>
      <c r="B28" s="7">
        <v>44258</v>
      </c>
      <c r="C28" s="8" t="s">
        <v>1534</v>
      </c>
      <c r="D28" s="8" t="s">
        <v>1666</v>
      </c>
      <c r="E28" s="9" t="s">
        <v>502</v>
      </c>
      <c r="F28" s="9" t="s">
        <v>1647</v>
      </c>
      <c r="G28" s="17">
        <v>0.43194444444444446</v>
      </c>
      <c r="H28" s="17">
        <v>0.47222222222222227</v>
      </c>
      <c r="I28" s="9">
        <v>7420</v>
      </c>
      <c r="J28" s="9">
        <v>5320</v>
      </c>
      <c r="K28" s="10">
        <f t="shared" si="0"/>
        <v>2100</v>
      </c>
      <c r="L28" s="10">
        <v>4416</v>
      </c>
      <c r="M28" s="11" t="s">
        <v>1667</v>
      </c>
      <c r="N28" s="12">
        <v>2100</v>
      </c>
      <c r="O28" s="13" t="s">
        <v>32</v>
      </c>
      <c r="P28" s="14"/>
    </row>
    <row r="29" spans="1:26" x14ac:dyDescent="0.25">
      <c r="A29" s="6"/>
      <c r="B29" s="7">
        <v>44258</v>
      </c>
      <c r="C29" s="8" t="s">
        <v>1668</v>
      </c>
      <c r="D29" s="8" t="s">
        <v>94</v>
      </c>
      <c r="E29" s="9" t="s">
        <v>947</v>
      </c>
      <c r="F29" s="9" t="s">
        <v>948</v>
      </c>
      <c r="G29" s="17">
        <v>0.50902777777777775</v>
      </c>
      <c r="H29" s="17">
        <v>0.69861111111111107</v>
      </c>
      <c r="I29" s="9">
        <v>18040</v>
      </c>
      <c r="J29" s="9">
        <v>7520</v>
      </c>
      <c r="K29" s="10">
        <f t="shared" si="0"/>
        <v>10520</v>
      </c>
      <c r="L29" s="10">
        <v>23465</v>
      </c>
      <c r="M29" s="11" t="s">
        <v>1669</v>
      </c>
      <c r="N29" s="12">
        <v>11.4</v>
      </c>
      <c r="O29" s="13" t="s">
        <v>855</v>
      </c>
      <c r="P29" s="14"/>
    </row>
    <row r="30" spans="1:26" x14ac:dyDescent="0.25">
      <c r="A30" s="6"/>
      <c r="B30" s="7">
        <v>44258</v>
      </c>
      <c r="C30" s="8" t="s">
        <v>1670</v>
      </c>
      <c r="D30" s="8" t="s">
        <v>1671</v>
      </c>
      <c r="E30" s="9" t="s">
        <v>1578</v>
      </c>
      <c r="F30" s="9" t="s">
        <v>36</v>
      </c>
      <c r="G30" s="17">
        <v>0.55277777777777781</v>
      </c>
      <c r="H30" s="17">
        <v>0.80486111111111114</v>
      </c>
      <c r="I30" s="9">
        <v>17090</v>
      </c>
      <c r="J30" s="9">
        <v>48000</v>
      </c>
      <c r="K30" s="10">
        <f t="shared" si="0"/>
        <v>-30910</v>
      </c>
      <c r="L30" s="10">
        <v>5812</v>
      </c>
      <c r="M30" s="11" t="s">
        <v>53</v>
      </c>
      <c r="N30" s="12">
        <v>600</v>
      </c>
      <c r="O30" s="13" t="s">
        <v>1099</v>
      </c>
      <c r="P30" s="14"/>
    </row>
    <row r="31" spans="1:26" x14ac:dyDescent="0.25">
      <c r="A31" s="6"/>
      <c r="B31" s="7">
        <v>44258</v>
      </c>
      <c r="C31" s="8" t="s">
        <v>85</v>
      </c>
      <c r="D31" s="8" t="s">
        <v>1355</v>
      </c>
      <c r="E31" s="9" t="s">
        <v>1048</v>
      </c>
      <c r="F31" s="9" t="s">
        <v>526</v>
      </c>
      <c r="G31" s="17">
        <v>0.67222222222222217</v>
      </c>
      <c r="H31" s="17">
        <v>0.73958333333333337</v>
      </c>
      <c r="I31" s="9">
        <v>17650</v>
      </c>
      <c r="J31" s="9">
        <v>40490</v>
      </c>
      <c r="K31" s="10">
        <f t="shared" si="0"/>
        <v>-22840</v>
      </c>
      <c r="L31" s="10">
        <v>5811</v>
      </c>
      <c r="M31" s="11" t="s">
        <v>1651</v>
      </c>
      <c r="N31" s="12">
        <v>21689</v>
      </c>
      <c r="O31" s="13" t="s">
        <v>32</v>
      </c>
      <c r="P31" s="14" t="s">
        <v>753</v>
      </c>
      <c r="Y31" s="1">
        <v>4770</v>
      </c>
      <c r="Z31" s="1">
        <v>0.68240343347639487</v>
      </c>
    </row>
    <row r="32" spans="1:26" x14ac:dyDescent="0.25">
      <c r="A32" s="6"/>
      <c r="B32" s="7">
        <v>44258</v>
      </c>
      <c r="C32" s="8" t="s">
        <v>55</v>
      </c>
      <c r="D32" s="8" t="s">
        <v>1672</v>
      </c>
      <c r="E32" s="9" t="s">
        <v>881</v>
      </c>
      <c r="F32" s="9" t="s">
        <v>749</v>
      </c>
      <c r="G32" s="17">
        <v>0.68125000000000002</v>
      </c>
      <c r="H32" s="17">
        <v>0.74375000000000002</v>
      </c>
      <c r="I32" s="9">
        <v>17060</v>
      </c>
      <c r="J32" s="9">
        <v>40030</v>
      </c>
      <c r="K32" s="10">
        <f t="shared" si="0"/>
        <v>-22970</v>
      </c>
      <c r="L32" s="10">
        <v>5810</v>
      </c>
      <c r="M32" s="11" t="s">
        <v>1651</v>
      </c>
      <c r="N32" s="12">
        <v>21819</v>
      </c>
      <c r="O32" s="13" t="s">
        <v>32</v>
      </c>
      <c r="P32" s="14" t="s">
        <v>753</v>
      </c>
      <c r="Y32" s="1">
        <v>2220</v>
      </c>
      <c r="Z32" s="1">
        <v>0.31759656652360513</v>
      </c>
    </row>
    <row r="33" spans="1:26" x14ac:dyDescent="0.25">
      <c r="A33" s="6"/>
      <c r="B33" s="7">
        <v>44258</v>
      </c>
      <c r="C33" s="8" t="s">
        <v>984</v>
      </c>
      <c r="D33" s="8" t="s">
        <v>284</v>
      </c>
      <c r="E33" s="9" t="s">
        <v>1650</v>
      </c>
      <c r="F33" s="9" t="s">
        <v>178</v>
      </c>
      <c r="G33" s="17">
        <v>0.68402777777777779</v>
      </c>
      <c r="H33" s="17">
        <v>0.71527777777777779</v>
      </c>
      <c r="I33" s="9">
        <v>36560</v>
      </c>
      <c r="J33" s="9">
        <v>16270</v>
      </c>
      <c r="K33" s="10">
        <f t="shared" si="0"/>
        <v>20290</v>
      </c>
      <c r="L33" s="10">
        <v>23466</v>
      </c>
      <c r="M33" s="11" t="s">
        <v>1490</v>
      </c>
      <c r="N33" s="12">
        <v>20</v>
      </c>
      <c r="O33" s="13" t="s">
        <v>855</v>
      </c>
      <c r="P33" s="14"/>
      <c r="Y33" s="1">
        <v>6990</v>
      </c>
      <c r="Z33" s="1">
        <v>-565</v>
      </c>
    </row>
    <row r="34" spans="1:26" x14ac:dyDescent="0.25">
      <c r="A34" s="6"/>
      <c r="B34" s="7">
        <v>44258</v>
      </c>
      <c r="C34" s="8" t="s">
        <v>1673</v>
      </c>
      <c r="D34" s="8" t="s">
        <v>1674</v>
      </c>
      <c r="E34" s="9" t="s">
        <v>1675</v>
      </c>
      <c r="F34" s="9" t="s">
        <v>36</v>
      </c>
      <c r="G34" s="17">
        <v>0.7090277777777777</v>
      </c>
      <c r="H34" s="17">
        <v>0.75069444444444444</v>
      </c>
      <c r="I34" s="9">
        <v>5880</v>
      </c>
      <c r="J34" s="9">
        <v>2660</v>
      </c>
      <c r="K34" s="10">
        <f t="shared" si="0"/>
        <v>3220</v>
      </c>
      <c r="L34" s="10">
        <v>26541</v>
      </c>
      <c r="M34" s="11" t="s">
        <v>1676</v>
      </c>
      <c r="N34" s="12">
        <v>3220</v>
      </c>
      <c r="O34" s="13" t="s">
        <v>32</v>
      </c>
      <c r="P34" s="14"/>
      <c r="Y34" s="1">
        <v>7555</v>
      </c>
    </row>
    <row r="35" spans="1:26" x14ac:dyDescent="0.25">
      <c r="A35" s="6"/>
      <c r="B35" s="7">
        <v>44258</v>
      </c>
      <c r="C35" s="8" t="s">
        <v>1673</v>
      </c>
      <c r="D35" s="8" t="s">
        <v>1677</v>
      </c>
      <c r="E35" s="9" t="s">
        <v>1095</v>
      </c>
      <c r="F35" s="9" t="s">
        <v>36</v>
      </c>
      <c r="G35" s="17">
        <v>0.71111111111111114</v>
      </c>
      <c r="H35" s="17">
        <v>0.74583333333333324</v>
      </c>
      <c r="I35" s="9">
        <v>2600</v>
      </c>
      <c r="J35" s="9">
        <v>1240</v>
      </c>
      <c r="K35" s="10">
        <f t="shared" si="0"/>
        <v>1360</v>
      </c>
      <c r="L35" s="10">
        <v>26539</v>
      </c>
      <c r="M35" s="11" t="s">
        <v>1676</v>
      </c>
      <c r="N35" s="12">
        <v>1360</v>
      </c>
      <c r="O35" s="13" t="s">
        <v>32</v>
      </c>
      <c r="P35" s="14"/>
      <c r="R35" s="1" t="s">
        <v>91</v>
      </c>
      <c r="S35" s="1">
        <v>57</v>
      </c>
      <c r="T35" s="1">
        <v>9</v>
      </c>
      <c r="U35" s="1">
        <f>+T35*S35</f>
        <v>513</v>
      </c>
    </row>
    <row r="36" spans="1:26" x14ac:dyDescent="0.25">
      <c r="A36" s="6"/>
      <c r="B36" s="7">
        <v>44258</v>
      </c>
      <c r="C36" s="8" t="s">
        <v>1673</v>
      </c>
      <c r="D36" s="8" t="s">
        <v>183</v>
      </c>
      <c r="E36" s="9" t="s">
        <v>1678</v>
      </c>
      <c r="F36" s="9" t="s">
        <v>36</v>
      </c>
      <c r="G36" s="17">
        <v>0.71250000000000002</v>
      </c>
      <c r="H36" s="17">
        <v>0.7319444444444444</v>
      </c>
      <c r="I36" s="9">
        <v>3440</v>
      </c>
      <c r="J36" s="9">
        <v>2140</v>
      </c>
      <c r="K36" s="10">
        <f t="shared" si="0"/>
        <v>1300</v>
      </c>
      <c r="L36" s="10">
        <v>26538</v>
      </c>
      <c r="M36" s="11" t="s">
        <v>1676</v>
      </c>
      <c r="N36" s="12">
        <v>1300</v>
      </c>
      <c r="O36" s="13" t="s">
        <v>32</v>
      </c>
      <c r="P36" s="14"/>
      <c r="R36" s="1" t="s">
        <v>646</v>
      </c>
      <c r="S36" s="1">
        <v>58</v>
      </c>
      <c r="T36" s="1">
        <v>11</v>
      </c>
      <c r="U36" s="1">
        <f>+T36*S36</f>
        <v>638</v>
      </c>
    </row>
    <row r="37" spans="1:26" x14ac:dyDescent="0.25">
      <c r="A37" s="6"/>
      <c r="B37" s="7">
        <v>44258</v>
      </c>
      <c r="C37" s="8" t="s">
        <v>1673</v>
      </c>
      <c r="D37" s="8" t="s">
        <v>1679</v>
      </c>
      <c r="E37" s="9" t="s">
        <v>1000</v>
      </c>
      <c r="F37" s="9" t="s">
        <v>36</v>
      </c>
      <c r="G37" s="17">
        <v>0.72499999999999998</v>
      </c>
      <c r="H37" s="17">
        <v>0.74930555555555556</v>
      </c>
      <c r="I37" s="9">
        <v>2890</v>
      </c>
      <c r="J37" s="9">
        <v>1910</v>
      </c>
      <c r="K37" s="10">
        <f t="shared" si="0"/>
        <v>980</v>
      </c>
      <c r="L37" s="10">
        <v>26540</v>
      </c>
      <c r="M37" s="11" t="s">
        <v>1680</v>
      </c>
      <c r="N37" s="12">
        <v>980</v>
      </c>
      <c r="O37" s="13" t="s">
        <v>32</v>
      </c>
      <c r="P37" s="14"/>
      <c r="T37" s="1">
        <f>+T36+T35</f>
        <v>20</v>
      </c>
      <c r="U37" s="1">
        <f>+U36+U35</f>
        <v>1151</v>
      </c>
      <c r="V37" s="1">
        <v>22970</v>
      </c>
      <c r="W37" s="1">
        <f>+V37-U37</f>
        <v>21819</v>
      </c>
    </row>
    <row r="38" spans="1:26" x14ac:dyDescent="0.25">
      <c r="A38" s="6"/>
      <c r="B38" s="7">
        <v>44258</v>
      </c>
      <c r="C38" s="8" t="s">
        <v>1670</v>
      </c>
      <c r="D38" s="8" t="s">
        <v>1681</v>
      </c>
      <c r="E38" s="9" t="s">
        <v>1185</v>
      </c>
      <c r="F38" s="9" t="s">
        <v>36</v>
      </c>
      <c r="G38" s="17">
        <v>0.74791666666666667</v>
      </c>
      <c r="H38" s="17">
        <v>0.8256944444444444</v>
      </c>
      <c r="I38" s="9">
        <v>17770</v>
      </c>
      <c r="J38" s="9">
        <v>48740</v>
      </c>
      <c r="K38" s="10">
        <f t="shared" si="0"/>
        <v>-30970</v>
      </c>
      <c r="L38" s="10">
        <v>5813</v>
      </c>
      <c r="M38" s="11" t="s">
        <v>53</v>
      </c>
      <c r="N38" s="12">
        <v>600</v>
      </c>
      <c r="O38" s="13" t="s">
        <v>1099</v>
      </c>
      <c r="P38" s="14"/>
    </row>
    <row r="39" spans="1:26" x14ac:dyDescent="0.25">
      <c r="A39" s="6"/>
      <c r="B39" s="7">
        <v>44258</v>
      </c>
      <c r="C39" s="8" t="s">
        <v>1682</v>
      </c>
      <c r="D39" s="8" t="s">
        <v>928</v>
      </c>
      <c r="E39" s="9" t="s">
        <v>628</v>
      </c>
      <c r="F39" s="9" t="s">
        <v>859</v>
      </c>
      <c r="G39" s="17">
        <v>0.76388888888888884</v>
      </c>
      <c r="H39" s="17">
        <v>0.76736111111111116</v>
      </c>
      <c r="I39" s="9">
        <v>21370</v>
      </c>
      <c r="J39" s="9">
        <v>9620</v>
      </c>
      <c r="K39" s="10">
        <f t="shared" si="0"/>
        <v>11750</v>
      </c>
      <c r="L39" s="10">
        <v>23468</v>
      </c>
      <c r="M39" s="11" t="s">
        <v>1676</v>
      </c>
      <c r="N39" s="12">
        <v>12</v>
      </c>
      <c r="O39" s="13" t="s">
        <v>855</v>
      </c>
      <c r="P39" s="14"/>
    </row>
    <row r="40" spans="1:26" x14ac:dyDescent="0.25">
      <c r="A40" s="6"/>
      <c r="B40" s="7">
        <v>44258</v>
      </c>
      <c r="C40" s="8" t="s">
        <v>1683</v>
      </c>
      <c r="D40" s="8" t="s">
        <v>299</v>
      </c>
      <c r="E40" s="9" t="s">
        <v>813</v>
      </c>
      <c r="F40" s="9" t="s">
        <v>814</v>
      </c>
      <c r="G40" s="17">
        <v>0.76527777777777783</v>
      </c>
      <c r="H40" s="17">
        <v>0.77777777777777779</v>
      </c>
      <c r="I40" s="9">
        <v>35710</v>
      </c>
      <c r="J40" s="9">
        <v>14840</v>
      </c>
      <c r="K40" s="10">
        <f t="shared" si="0"/>
        <v>20870</v>
      </c>
      <c r="L40" s="10" t="s">
        <v>1684</v>
      </c>
      <c r="M40" s="11" t="s">
        <v>1685</v>
      </c>
      <c r="N40" s="12">
        <v>21.1</v>
      </c>
      <c r="O40" s="13" t="s">
        <v>855</v>
      </c>
      <c r="P40" s="14"/>
      <c r="R40" s="1">
        <f>2.5+8.4+10.2</f>
        <v>21.1</v>
      </c>
    </row>
    <row r="41" spans="1:26" x14ac:dyDescent="0.25">
      <c r="A41" s="6"/>
      <c r="B41" s="7">
        <v>44258</v>
      </c>
      <c r="C41" s="8" t="s">
        <v>930</v>
      </c>
      <c r="D41" s="8" t="s">
        <v>880</v>
      </c>
      <c r="E41" s="9" t="s">
        <v>1661</v>
      </c>
      <c r="F41" s="9" t="s">
        <v>1276</v>
      </c>
      <c r="G41" s="17">
        <v>0.78055555555555556</v>
      </c>
      <c r="H41" s="17">
        <v>0.36458333333333331</v>
      </c>
      <c r="I41" s="9">
        <v>37940</v>
      </c>
      <c r="J41" s="9">
        <v>16350</v>
      </c>
      <c r="K41" s="10">
        <f t="shared" si="0"/>
        <v>21590</v>
      </c>
      <c r="L41" s="10">
        <v>40864</v>
      </c>
      <c r="M41" s="11" t="s">
        <v>212</v>
      </c>
      <c r="N41" s="12">
        <v>21730</v>
      </c>
      <c r="O41" s="13" t="s">
        <v>32</v>
      </c>
      <c r="P41" s="14"/>
    </row>
    <row r="42" spans="1:26" x14ac:dyDescent="0.25">
      <c r="A42" s="6"/>
      <c r="B42" s="7">
        <v>44258</v>
      </c>
      <c r="C42" s="8" t="s">
        <v>1673</v>
      </c>
      <c r="D42" s="8" t="s">
        <v>1686</v>
      </c>
      <c r="E42" s="9" t="s">
        <v>1206</v>
      </c>
      <c r="F42" s="9" t="s">
        <v>36</v>
      </c>
      <c r="G42" s="17">
        <v>0.85277777777777775</v>
      </c>
      <c r="H42" s="17">
        <v>0.86458333333333337</v>
      </c>
      <c r="I42" s="9">
        <v>15460</v>
      </c>
      <c r="J42" s="9">
        <v>6670</v>
      </c>
      <c r="K42" s="10">
        <f t="shared" si="0"/>
        <v>8790</v>
      </c>
      <c r="L42" s="10">
        <v>26542</v>
      </c>
      <c r="M42" s="11" t="s">
        <v>966</v>
      </c>
      <c r="N42" s="12">
        <v>8790</v>
      </c>
      <c r="O42" s="13" t="s">
        <v>32</v>
      </c>
      <c r="P42" s="14"/>
    </row>
    <row r="43" spans="1:26" x14ac:dyDescent="0.25">
      <c r="A43" s="6"/>
      <c r="B43" s="7">
        <v>44258</v>
      </c>
      <c r="C43" s="8" t="s">
        <v>1687</v>
      </c>
      <c r="D43" s="8" t="s">
        <v>928</v>
      </c>
      <c r="E43" s="9" t="s">
        <v>628</v>
      </c>
      <c r="F43" s="9" t="s">
        <v>859</v>
      </c>
      <c r="G43" s="17">
        <v>0.86875000000000002</v>
      </c>
      <c r="H43" s="17">
        <v>0.40208333333333335</v>
      </c>
      <c r="I43" s="9">
        <v>16990</v>
      </c>
      <c r="J43" s="9">
        <v>9700</v>
      </c>
      <c r="K43" s="10">
        <f t="shared" si="0"/>
        <v>7290</v>
      </c>
      <c r="L43" s="10" t="s">
        <v>1688</v>
      </c>
      <c r="M43" s="11" t="s">
        <v>1482</v>
      </c>
      <c r="N43" s="12">
        <v>6.6</v>
      </c>
      <c r="O43" s="13" t="s">
        <v>855</v>
      </c>
      <c r="P43" s="14"/>
    </row>
    <row r="44" spans="1:26" x14ac:dyDescent="0.25">
      <c r="A44" s="6"/>
      <c r="B44" s="7">
        <v>44258</v>
      </c>
      <c r="C44" s="8" t="s">
        <v>1689</v>
      </c>
      <c r="D44" s="8" t="s">
        <v>458</v>
      </c>
      <c r="E44" s="9" t="s">
        <v>699</v>
      </c>
      <c r="F44" s="9" t="s">
        <v>459</v>
      </c>
      <c r="G44" s="17">
        <v>0.87708333333333333</v>
      </c>
      <c r="H44" s="17">
        <v>0.37847222222222227</v>
      </c>
      <c r="I44" s="9">
        <v>11750</v>
      </c>
      <c r="J44" s="9">
        <v>8310</v>
      </c>
      <c r="K44" s="10">
        <f t="shared" si="0"/>
        <v>3440</v>
      </c>
      <c r="L44" s="10" t="s">
        <v>1690</v>
      </c>
      <c r="M44" s="11" t="s">
        <v>48</v>
      </c>
      <c r="N44" s="12">
        <v>8791</v>
      </c>
      <c r="O44" s="13" t="s">
        <v>49</v>
      </c>
      <c r="P44" s="14"/>
    </row>
    <row r="45" spans="1:26" x14ac:dyDescent="0.25">
      <c r="A45" s="6"/>
      <c r="B45" s="7">
        <v>44258</v>
      </c>
      <c r="C45" s="8" t="s">
        <v>1691</v>
      </c>
      <c r="D45" s="8" t="s">
        <v>1692</v>
      </c>
      <c r="E45" s="9" t="s">
        <v>1693</v>
      </c>
      <c r="F45" s="9" t="s">
        <v>154</v>
      </c>
      <c r="G45" s="17">
        <v>0.88263888888888886</v>
      </c>
      <c r="H45" s="17">
        <v>0.95000000000000007</v>
      </c>
      <c r="I45" s="9">
        <v>13070</v>
      </c>
      <c r="J45" s="9">
        <v>5620</v>
      </c>
      <c r="K45" s="10">
        <f t="shared" si="0"/>
        <v>7450</v>
      </c>
      <c r="L45" s="10">
        <v>26543</v>
      </c>
      <c r="M45" s="11" t="s">
        <v>1694</v>
      </c>
      <c r="N45" s="12">
        <v>7450</v>
      </c>
      <c r="O45" s="13" t="s">
        <v>32</v>
      </c>
      <c r="P45" s="14"/>
    </row>
    <row r="46" spans="1:26" x14ac:dyDescent="0.25">
      <c r="A46" s="6"/>
      <c r="B46" s="7">
        <v>44258</v>
      </c>
      <c r="C46" s="8" t="s">
        <v>1673</v>
      </c>
      <c r="D46" s="8" t="s">
        <v>1695</v>
      </c>
      <c r="E46" s="9" t="s">
        <v>1231</v>
      </c>
      <c r="F46" s="9" t="s">
        <v>36</v>
      </c>
      <c r="G46" s="17">
        <v>0.90625</v>
      </c>
      <c r="H46" s="17">
        <v>3.472222222222222E-3</v>
      </c>
      <c r="I46" s="9">
        <v>11640</v>
      </c>
      <c r="J46" s="9">
        <v>4010</v>
      </c>
      <c r="K46" s="10">
        <f t="shared" si="0"/>
        <v>7630</v>
      </c>
      <c r="L46" s="10">
        <v>26544</v>
      </c>
      <c r="M46" s="11" t="s">
        <v>966</v>
      </c>
      <c r="N46" s="12">
        <v>7630</v>
      </c>
      <c r="O46" s="13" t="s">
        <v>32</v>
      </c>
      <c r="P46" s="14"/>
    </row>
    <row r="47" spans="1:26" x14ac:dyDescent="0.25">
      <c r="A47" s="6"/>
      <c r="B47" s="7">
        <v>44258</v>
      </c>
      <c r="C47" s="8" t="s">
        <v>37</v>
      </c>
      <c r="D47" s="8" t="s">
        <v>1696</v>
      </c>
      <c r="E47" s="9" t="s">
        <v>39</v>
      </c>
      <c r="F47" s="9" t="s">
        <v>36</v>
      </c>
      <c r="G47" s="17">
        <v>0.91527777777777775</v>
      </c>
      <c r="H47" s="17">
        <v>0.97291666666666676</v>
      </c>
      <c r="I47" s="9">
        <v>16805</v>
      </c>
      <c r="J47" s="9">
        <v>6250</v>
      </c>
      <c r="K47" s="10">
        <f t="shared" si="0"/>
        <v>10555</v>
      </c>
      <c r="L47" s="10">
        <v>26545</v>
      </c>
      <c r="M47" s="11" t="s">
        <v>1697</v>
      </c>
      <c r="N47" s="12">
        <v>10555</v>
      </c>
      <c r="O47" s="13" t="s">
        <v>32</v>
      </c>
      <c r="P47" s="14"/>
    </row>
    <row r="48" spans="1:26" x14ac:dyDescent="0.25">
      <c r="A48" s="6"/>
      <c r="B48" s="7">
        <v>44258</v>
      </c>
      <c r="C48" s="8" t="s">
        <v>1673</v>
      </c>
      <c r="D48" s="8" t="s">
        <v>1686</v>
      </c>
      <c r="E48" s="9" t="s">
        <v>1206</v>
      </c>
      <c r="F48" s="9" t="s">
        <v>36</v>
      </c>
      <c r="G48" s="17">
        <v>0.94236111111111109</v>
      </c>
      <c r="H48" s="17">
        <v>0.97777777777777775</v>
      </c>
      <c r="I48" s="9">
        <v>15500</v>
      </c>
      <c r="J48" s="9">
        <v>6660</v>
      </c>
      <c r="K48" s="10">
        <f t="shared" si="0"/>
        <v>8840</v>
      </c>
      <c r="L48" s="10">
        <v>26546</v>
      </c>
      <c r="M48" s="11" t="s">
        <v>966</v>
      </c>
      <c r="N48" s="12">
        <v>8840</v>
      </c>
      <c r="O48" s="13" t="s">
        <v>32</v>
      </c>
      <c r="P48" s="14"/>
    </row>
    <row r="49" spans="1:20" x14ac:dyDescent="0.25">
      <c r="A49" s="6"/>
      <c r="B49" s="7">
        <v>44258</v>
      </c>
      <c r="C49" s="8" t="s">
        <v>469</v>
      </c>
      <c r="D49" s="8" t="s">
        <v>1652</v>
      </c>
      <c r="E49" s="9" t="s">
        <v>144</v>
      </c>
      <c r="F49" s="9" t="s">
        <v>626</v>
      </c>
      <c r="G49" s="17">
        <v>0.98472222222222217</v>
      </c>
      <c r="H49" s="17">
        <v>0.40972222222222227</v>
      </c>
      <c r="I49" s="9">
        <v>18100</v>
      </c>
      <c r="J49" s="9">
        <v>38080</v>
      </c>
      <c r="K49" s="10">
        <f t="shared" si="0"/>
        <v>-19980</v>
      </c>
      <c r="L49" s="10">
        <v>5814</v>
      </c>
      <c r="M49" s="11" t="s">
        <v>1698</v>
      </c>
      <c r="N49" s="12">
        <v>5750</v>
      </c>
      <c r="O49" s="13" t="s">
        <v>84</v>
      </c>
      <c r="P49" s="14"/>
    </row>
    <row r="50" spans="1:20" x14ac:dyDescent="0.25">
      <c r="A50" s="6"/>
      <c r="B50" s="7">
        <v>44258</v>
      </c>
      <c r="C50" s="8" t="s">
        <v>1673</v>
      </c>
      <c r="D50" s="8" t="s">
        <v>928</v>
      </c>
      <c r="E50" s="9" t="s">
        <v>947</v>
      </c>
      <c r="F50" s="9" t="s">
        <v>948</v>
      </c>
      <c r="G50" s="17">
        <v>0.99791666666666667</v>
      </c>
      <c r="H50" s="17">
        <v>9.7222222222222224E-3</v>
      </c>
      <c r="I50" s="9">
        <v>15280</v>
      </c>
      <c r="J50" s="9">
        <v>7510</v>
      </c>
      <c r="K50" s="10">
        <f t="shared" si="0"/>
        <v>7770</v>
      </c>
      <c r="L50" s="10">
        <v>26547</v>
      </c>
      <c r="M50" s="11" t="s">
        <v>1700</v>
      </c>
      <c r="N50" s="12">
        <v>7770</v>
      </c>
      <c r="O50" s="13" t="s">
        <v>32</v>
      </c>
      <c r="P50" s="14"/>
    </row>
    <row r="51" spans="1:20" x14ac:dyDescent="0.25">
      <c r="A51" s="6"/>
      <c r="B51" s="7">
        <v>44258</v>
      </c>
      <c r="C51" s="8" t="s">
        <v>1654</v>
      </c>
      <c r="D51" s="8" t="s">
        <v>1655</v>
      </c>
      <c r="E51" s="9" t="s">
        <v>110</v>
      </c>
      <c r="F51" s="9" t="s">
        <v>1699</v>
      </c>
      <c r="G51" s="17">
        <v>0.99930555555555556</v>
      </c>
      <c r="H51" s="17">
        <v>0.38263888888888892</v>
      </c>
      <c r="I51" s="9">
        <v>10290</v>
      </c>
      <c r="J51" s="9">
        <v>6550</v>
      </c>
      <c r="K51" s="10">
        <f t="shared" si="0"/>
        <v>3740</v>
      </c>
      <c r="L51" s="10">
        <v>8889</v>
      </c>
      <c r="M51" s="11" t="s">
        <v>1339</v>
      </c>
      <c r="N51" s="12">
        <v>3740</v>
      </c>
      <c r="O51" s="13" t="s">
        <v>32</v>
      </c>
      <c r="P51" s="14"/>
    </row>
    <row r="52" spans="1:20" x14ac:dyDescent="0.25">
      <c r="A52" s="6"/>
      <c r="B52" s="7">
        <v>44259</v>
      </c>
      <c r="C52" s="8" t="s">
        <v>366</v>
      </c>
      <c r="D52" s="8" t="s">
        <v>1076</v>
      </c>
      <c r="E52" s="9" t="s">
        <v>220</v>
      </c>
      <c r="F52" s="9" t="s">
        <v>221</v>
      </c>
      <c r="G52" s="17">
        <v>5.2083333333333336E-2</v>
      </c>
      <c r="H52" s="17">
        <v>6.25E-2</v>
      </c>
      <c r="I52" s="9">
        <v>22190</v>
      </c>
      <c r="J52" s="9">
        <v>21930</v>
      </c>
      <c r="K52" s="10">
        <f t="shared" si="0"/>
        <v>260</v>
      </c>
      <c r="L52" s="10">
        <v>22915</v>
      </c>
      <c r="M52" s="11" t="s">
        <v>1701</v>
      </c>
      <c r="N52" s="12">
        <v>260</v>
      </c>
      <c r="O52" s="13" t="s">
        <v>32</v>
      </c>
      <c r="P52" s="14"/>
    </row>
    <row r="53" spans="1:20" x14ac:dyDescent="0.25">
      <c r="A53" s="6"/>
      <c r="B53" s="7">
        <v>44259</v>
      </c>
      <c r="C53" s="8" t="s">
        <v>366</v>
      </c>
      <c r="D53" s="8" t="s">
        <v>1076</v>
      </c>
      <c r="E53" s="9" t="s">
        <v>220</v>
      </c>
      <c r="F53" s="9" t="s">
        <v>221</v>
      </c>
      <c r="G53" s="17">
        <v>6.3194444444444442E-2</v>
      </c>
      <c r="H53" s="17">
        <v>0.42083333333333334</v>
      </c>
      <c r="I53" s="9">
        <v>21930</v>
      </c>
      <c r="J53" s="9">
        <v>9250</v>
      </c>
      <c r="K53" s="10">
        <f t="shared" si="0"/>
        <v>12680</v>
      </c>
      <c r="L53" s="10" t="s">
        <v>1702</v>
      </c>
      <c r="M53" s="11" t="s">
        <v>1703</v>
      </c>
      <c r="N53" s="12">
        <v>12722</v>
      </c>
      <c r="O53" s="13" t="s">
        <v>32</v>
      </c>
      <c r="P53" s="14"/>
    </row>
    <row r="54" spans="1:20" x14ac:dyDescent="0.25">
      <c r="A54" s="6"/>
      <c r="B54" s="7">
        <v>44259</v>
      </c>
      <c r="C54" s="8" t="s">
        <v>142</v>
      </c>
      <c r="D54" s="8" t="s">
        <v>1656</v>
      </c>
      <c r="E54" s="9" t="s">
        <v>87</v>
      </c>
      <c r="F54" s="9" t="s">
        <v>88</v>
      </c>
      <c r="G54" s="17">
        <v>0.10486111111111111</v>
      </c>
      <c r="H54" s="17">
        <v>0.11458333333333333</v>
      </c>
      <c r="I54" s="9">
        <v>35250</v>
      </c>
      <c r="J54" s="9">
        <v>17250</v>
      </c>
      <c r="K54" s="10">
        <f t="shared" si="0"/>
        <v>18000</v>
      </c>
      <c r="L54" s="10">
        <v>772</v>
      </c>
      <c r="M54" s="11" t="s">
        <v>1704</v>
      </c>
      <c r="N54" s="12">
        <v>17276</v>
      </c>
      <c r="O54" s="13" t="s">
        <v>32</v>
      </c>
      <c r="P54" s="14"/>
    </row>
    <row r="55" spans="1:20" x14ac:dyDescent="0.25">
      <c r="A55" s="6"/>
      <c r="B55" s="15">
        <v>44259</v>
      </c>
      <c r="C55" s="8" t="s">
        <v>1705</v>
      </c>
      <c r="D55" s="8" t="s">
        <v>1706</v>
      </c>
      <c r="E55" s="9" t="s">
        <v>108</v>
      </c>
      <c r="F55" s="9" t="s">
        <v>36</v>
      </c>
      <c r="G55" s="17">
        <v>0.40763888888888888</v>
      </c>
      <c r="H55" s="17">
        <v>0.41388888888888892</v>
      </c>
      <c r="I55" s="9">
        <v>6360</v>
      </c>
      <c r="J55" s="9">
        <v>5850</v>
      </c>
      <c r="K55" s="10">
        <f t="shared" si="0"/>
        <v>510</v>
      </c>
      <c r="L55" s="10">
        <v>19309</v>
      </c>
      <c r="M55" s="11" t="s">
        <v>1707</v>
      </c>
      <c r="N55" s="12">
        <v>20</v>
      </c>
      <c r="O55" s="13" t="s">
        <v>1099</v>
      </c>
      <c r="P55" s="14" t="s">
        <v>1708</v>
      </c>
    </row>
    <row r="56" spans="1:20" x14ac:dyDescent="0.25">
      <c r="A56" s="6"/>
      <c r="B56" s="7">
        <v>44259</v>
      </c>
      <c r="C56" s="8" t="s">
        <v>1709</v>
      </c>
      <c r="D56" s="8" t="s">
        <v>284</v>
      </c>
      <c r="E56" s="9" t="s">
        <v>1650</v>
      </c>
      <c r="F56" s="9" t="s">
        <v>178</v>
      </c>
      <c r="G56" s="17">
        <v>0.41597222222222219</v>
      </c>
      <c r="H56" s="17">
        <v>0.4284722222222222</v>
      </c>
      <c r="I56" s="9">
        <v>32550</v>
      </c>
      <c r="J56" s="9">
        <v>16280</v>
      </c>
      <c r="K56" s="10">
        <f t="shared" si="0"/>
        <v>16270</v>
      </c>
      <c r="L56" s="10">
        <v>23471</v>
      </c>
      <c r="M56" s="11" t="s">
        <v>1710</v>
      </c>
      <c r="N56" s="12">
        <v>16.8</v>
      </c>
      <c r="O56" s="13" t="s">
        <v>855</v>
      </c>
      <c r="P56" s="14"/>
    </row>
    <row r="57" spans="1:20" x14ac:dyDescent="0.25">
      <c r="A57" s="6"/>
      <c r="B57" s="7">
        <v>44259</v>
      </c>
      <c r="C57" s="8" t="s">
        <v>1668</v>
      </c>
      <c r="D57" s="8" t="s">
        <v>94</v>
      </c>
      <c r="E57" s="9" t="s">
        <v>947</v>
      </c>
      <c r="F57" s="9" t="s">
        <v>948</v>
      </c>
      <c r="G57" s="17">
        <v>0.43055555555555558</v>
      </c>
      <c r="H57" s="17">
        <v>0.53402777777777777</v>
      </c>
      <c r="I57" s="9">
        <v>15910</v>
      </c>
      <c r="J57" s="9">
        <v>7510</v>
      </c>
      <c r="K57" s="10">
        <f t="shared" ref="K57" si="3">+I57-J57</f>
        <v>8400</v>
      </c>
      <c r="L57" s="10">
        <v>23472</v>
      </c>
      <c r="M57" s="11" t="s">
        <v>1669</v>
      </c>
      <c r="N57" s="12">
        <v>9</v>
      </c>
      <c r="O57" s="13" t="s">
        <v>855</v>
      </c>
      <c r="P57" s="14"/>
    </row>
    <row r="58" spans="1:20" x14ac:dyDescent="0.25">
      <c r="A58" s="6"/>
      <c r="B58" s="7">
        <v>44259</v>
      </c>
      <c r="C58" s="8" t="s">
        <v>1711</v>
      </c>
      <c r="D58" s="8" t="s">
        <v>299</v>
      </c>
      <c r="E58" s="9" t="s">
        <v>813</v>
      </c>
      <c r="F58" s="9" t="s">
        <v>814</v>
      </c>
      <c r="G58" s="17">
        <v>0.48402777777777778</v>
      </c>
      <c r="H58" s="17">
        <v>0.48958333333333331</v>
      </c>
      <c r="I58" s="9">
        <v>31270</v>
      </c>
      <c r="J58" s="9">
        <v>14830</v>
      </c>
      <c r="K58" s="10">
        <f t="shared" si="0"/>
        <v>16440</v>
      </c>
      <c r="L58" s="10">
        <v>23473</v>
      </c>
      <c r="M58" s="11" t="s">
        <v>1712</v>
      </c>
      <c r="N58" s="12">
        <v>19.2</v>
      </c>
      <c r="O58" s="13" t="s">
        <v>855</v>
      </c>
      <c r="P58" s="14"/>
    </row>
    <row r="59" spans="1:20" x14ac:dyDescent="0.25">
      <c r="A59" s="6"/>
      <c r="B59" s="7">
        <v>44259</v>
      </c>
      <c r="C59" s="8" t="s">
        <v>1713</v>
      </c>
      <c r="D59" s="8" t="s">
        <v>1714</v>
      </c>
      <c r="E59" s="9" t="s">
        <v>1715</v>
      </c>
      <c r="F59" s="9" t="s">
        <v>36</v>
      </c>
      <c r="G59" s="17">
        <v>0.49652777777777773</v>
      </c>
      <c r="H59" s="17">
        <v>0.57708333333333328</v>
      </c>
      <c r="I59" s="9">
        <v>1890</v>
      </c>
      <c r="J59" s="9">
        <v>2290</v>
      </c>
      <c r="K59" s="10">
        <f t="shared" si="0"/>
        <v>-400</v>
      </c>
      <c r="L59" s="10">
        <v>5815</v>
      </c>
      <c r="M59" s="11" t="s">
        <v>1698</v>
      </c>
      <c r="N59" s="12">
        <v>115</v>
      </c>
      <c r="O59" s="13" t="s">
        <v>84</v>
      </c>
      <c r="P59" s="14"/>
    </row>
    <row r="60" spans="1:20" x14ac:dyDescent="0.25">
      <c r="A60" s="6"/>
      <c r="B60" s="7">
        <v>44259</v>
      </c>
      <c r="C60" s="8" t="s">
        <v>1716</v>
      </c>
      <c r="D60" s="8" t="s">
        <v>1717</v>
      </c>
      <c r="E60" s="9" t="s">
        <v>490</v>
      </c>
      <c r="F60" s="9" t="s">
        <v>491</v>
      </c>
      <c r="G60" s="17">
        <v>0.51944444444444449</v>
      </c>
      <c r="H60" s="17">
        <v>0.53749999999999998</v>
      </c>
      <c r="I60" s="9">
        <v>30810</v>
      </c>
      <c r="J60" s="9">
        <v>16830</v>
      </c>
      <c r="K60" s="10">
        <f t="shared" si="0"/>
        <v>13980</v>
      </c>
      <c r="L60" s="10" t="s">
        <v>1718</v>
      </c>
      <c r="M60" s="11" t="s">
        <v>1719</v>
      </c>
      <c r="N60" s="12">
        <f>8.4+6.05</f>
        <v>14.45</v>
      </c>
      <c r="O60" s="13" t="s">
        <v>855</v>
      </c>
      <c r="P60" s="14"/>
    </row>
    <row r="61" spans="1:20" x14ac:dyDescent="0.25">
      <c r="A61" s="6"/>
      <c r="B61" s="7">
        <v>44259</v>
      </c>
      <c r="C61" s="8" t="s">
        <v>1673</v>
      </c>
      <c r="D61" s="8" t="s">
        <v>1679</v>
      </c>
      <c r="E61" s="9" t="s">
        <v>1000</v>
      </c>
      <c r="F61" s="9" t="s">
        <v>36</v>
      </c>
      <c r="G61" s="17">
        <v>0.66527777777777775</v>
      </c>
      <c r="H61" s="17">
        <v>0.68402777777777779</v>
      </c>
      <c r="I61" s="9">
        <v>3650</v>
      </c>
      <c r="J61" s="9">
        <v>1950</v>
      </c>
      <c r="K61" s="10">
        <f t="shared" si="0"/>
        <v>1700</v>
      </c>
      <c r="L61" s="10">
        <v>26548</v>
      </c>
      <c r="M61" s="11" t="s">
        <v>965</v>
      </c>
      <c r="N61" s="12">
        <v>1700</v>
      </c>
      <c r="O61" s="13" t="s">
        <v>32</v>
      </c>
      <c r="P61" s="14"/>
    </row>
    <row r="62" spans="1:20" x14ac:dyDescent="0.25">
      <c r="A62" s="6"/>
      <c r="B62" s="7">
        <v>44259</v>
      </c>
      <c r="C62" s="8" t="s">
        <v>991</v>
      </c>
      <c r="D62" s="8" t="s">
        <v>284</v>
      </c>
      <c r="E62" s="9" t="s">
        <v>1650</v>
      </c>
      <c r="F62" s="9" t="s">
        <v>178</v>
      </c>
      <c r="G62" s="17">
        <v>0.66805555555555562</v>
      </c>
      <c r="H62" s="17">
        <v>0.6777777777777777</v>
      </c>
      <c r="I62" s="9">
        <v>40140</v>
      </c>
      <c r="J62" s="9">
        <v>16240</v>
      </c>
      <c r="K62" s="10">
        <f t="shared" si="0"/>
        <v>23900</v>
      </c>
      <c r="L62" s="10">
        <v>23476</v>
      </c>
      <c r="M62" s="11" t="s">
        <v>1041</v>
      </c>
      <c r="N62" s="12">
        <v>24</v>
      </c>
      <c r="O62" s="13" t="s">
        <v>855</v>
      </c>
      <c r="P62" s="14"/>
    </row>
    <row r="63" spans="1:20" x14ac:dyDescent="0.25">
      <c r="A63" s="6"/>
      <c r="B63" s="7">
        <v>44259</v>
      </c>
      <c r="C63" s="8" t="s">
        <v>991</v>
      </c>
      <c r="D63" s="8" t="s">
        <v>299</v>
      </c>
      <c r="E63" s="9" t="s">
        <v>813</v>
      </c>
      <c r="F63" s="9" t="s">
        <v>814</v>
      </c>
      <c r="G63" s="17">
        <v>0.68263888888888891</v>
      </c>
      <c r="H63" s="17">
        <v>0.70208333333333339</v>
      </c>
      <c r="I63" s="9">
        <v>36260</v>
      </c>
      <c r="J63" s="9">
        <v>14810</v>
      </c>
      <c r="K63" s="10">
        <f t="shared" si="0"/>
        <v>21450</v>
      </c>
      <c r="L63" s="10">
        <v>23476</v>
      </c>
      <c r="M63" s="11" t="s">
        <v>1041</v>
      </c>
      <c r="N63" s="12">
        <v>21.6</v>
      </c>
      <c r="O63" s="13" t="s">
        <v>855</v>
      </c>
      <c r="P63" s="14"/>
      <c r="Q63" s="2"/>
    </row>
    <row r="64" spans="1:20" x14ac:dyDescent="0.25">
      <c r="A64" s="6"/>
      <c r="B64" s="7">
        <v>44259</v>
      </c>
      <c r="C64" s="8" t="s">
        <v>991</v>
      </c>
      <c r="D64" s="8" t="s">
        <v>880</v>
      </c>
      <c r="E64" s="9" t="s">
        <v>947</v>
      </c>
      <c r="F64" s="9" t="s">
        <v>948</v>
      </c>
      <c r="G64" s="17">
        <v>0.69791666666666663</v>
      </c>
      <c r="H64" s="17">
        <v>0.70486111111111116</v>
      </c>
      <c r="I64" s="9">
        <v>12750</v>
      </c>
      <c r="J64" s="9">
        <v>7500</v>
      </c>
      <c r="K64" s="10">
        <f t="shared" si="0"/>
        <v>5250</v>
      </c>
      <c r="L64" s="10">
        <v>23476</v>
      </c>
      <c r="M64" s="11" t="s">
        <v>1041</v>
      </c>
      <c r="N64" s="12">
        <v>4.8</v>
      </c>
      <c r="O64" s="13" t="s">
        <v>855</v>
      </c>
      <c r="P64" s="14"/>
      <c r="S64" s="84"/>
      <c r="T64" s="84"/>
    </row>
    <row r="65" spans="1:18" x14ac:dyDescent="0.25">
      <c r="A65" s="6"/>
      <c r="B65" s="7">
        <v>44259</v>
      </c>
      <c r="C65" s="8" t="s">
        <v>1673</v>
      </c>
      <c r="D65" s="8" t="s">
        <v>1686</v>
      </c>
      <c r="E65" s="9" t="s">
        <v>1206</v>
      </c>
      <c r="F65" s="9" t="s">
        <v>36</v>
      </c>
      <c r="G65" s="17">
        <v>0.70138888888888884</v>
      </c>
      <c r="H65" s="17">
        <v>0.76944444444444438</v>
      </c>
      <c r="I65" s="9">
        <v>15890</v>
      </c>
      <c r="J65" s="9">
        <v>6660</v>
      </c>
      <c r="K65" s="10">
        <f t="shared" si="0"/>
        <v>9230</v>
      </c>
      <c r="L65" s="10">
        <v>26549</v>
      </c>
      <c r="M65" s="11" t="s">
        <v>1490</v>
      </c>
      <c r="N65" s="12">
        <v>9230</v>
      </c>
      <c r="O65" s="13" t="s">
        <v>32</v>
      </c>
      <c r="P65" s="14"/>
    </row>
    <row r="66" spans="1:18" x14ac:dyDescent="0.25">
      <c r="A66" s="6"/>
      <c r="B66" s="7">
        <v>44259</v>
      </c>
      <c r="C66" s="8" t="s">
        <v>1096</v>
      </c>
      <c r="D66" s="8" t="s">
        <v>94</v>
      </c>
      <c r="E66" s="9" t="s">
        <v>628</v>
      </c>
      <c r="F66" s="9" t="s">
        <v>859</v>
      </c>
      <c r="G66" s="17">
        <v>0.70972222222222225</v>
      </c>
      <c r="H66" s="17">
        <v>0.71666666666666667</v>
      </c>
      <c r="I66" s="9">
        <v>20970</v>
      </c>
      <c r="J66" s="9">
        <v>9680</v>
      </c>
      <c r="K66" s="10">
        <f t="shared" si="0"/>
        <v>11290</v>
      </c>
      <c r="L66" s="10">
        <v>23477</v>
      </c>
      <c r="M66" s="11" t="s">
        <v>1041</v>
      </c>
      <c r="N66" s="12">
        <v>11290</v>
      </c>
      <c r="O66" s="13" t="s">
        <v>32</v>
      </c>
      <c r="P66" s="14" t="s">
        <v>1720</v>
      </c>
    </row>
    <row r="67" spans="1:18" x14ac:dyDescent="0.25">
      <c r="A67" s="6"/>
      <c r="B67" s="7">
        <v>44259</v>
      </c>
      <c r="C67" s="8" t="s">
        <v>1721</v>
      </c>
      <c r="D67" s="8" t="s">
        <v>1355</v>
      </c>
      <c r="E67" s="9" t="s">
        <v>1048</v>
      </c>
      <c r="F67" s="9" t="s">
        <v>526</v>
      </c>
      <c r="G67" s="17">
        <v>0.74652777777777779</v>
      </c>
      <c r="H67" s="17"/>
      <c r="I67" s="9">
        <v>18480</v>
      </c>
      <c r="J67" s="9"/>
      <c r="K67" s="10">
        <f t="shared" si="0"/>
        <v>18480</v>
      </c>
      <c r="L67" s="10"/>
      <c r="M67" s="11" t="s">
        <v>1722</v>
      </c>
      <c r="N67" s="12">
        <v>16</v>
      </c>
      <c r="O67" s="13" t="s">
        <v>80</v>
      </c>
      <c r="P67" s="14"/>
      <c r="Q67" s="2"/>
    </row>
    <row r="68" spans="1:18" x14ac:dyDescent="0.25">
      <c r="A68" s="6"/>
      <c r="B68" s="7">
        <v>44259</v>
      </c>
      <c r="C68" s="8" t="s">
        <v>1096</v>
      </c>
      <c r="D68" s="8" t="s">
        <v>94</v>
      </c>
      <c r="E68" s="9" t="s">
        <v>628</v>
      </c>
      <c r="F68" s="9" t="s">
        <v>859</v>
      </c>
      <c r="G68" s="17">
        <v>0.7631944444444444</v>
      </c>
      <c r="H68" s="17">
        <v>0.77569444444444446</v>
      </c>
      <c r="I68" s="9">
        <v>12700</v>
      </c>
      <c r="J68" s="9">
        <v>9650</v>
      </c>
      <c r="K68" s="10">
        <f t="shared" si="0"/>
        <v>3050</v>
      </c>
      <c r="L68" s="10">
        <v>23477</v>
      </c>
      <c r="M68" s="11" t="s">
        <v>1723</v>
      </c>
      <c r="N68" s="12">
        <v>3050</v>
      </c>
      <c r="O68" s="13" t="s">
        <v>32</v>
      </c>
      <c r="P68" s="14" t="s">
        <v>1724</v>
      </c>
    </row>
    <row r="69" spans="1:18" x14ac:dyDescent="0.25">
      <c r="A69" s="6"/>
      <c r="B69" s="7">
        <v>44259</v>
      </c>
      <c r="C69" s="8" t="s">
        <v>55</v>
      </c>
      <c r="D69" s="8" t="s">
        <v>1672</v>
      </c>
      <c r="E69" s="9" t="s">
        <v>881</v>
      </c>
      <c r="F69" s="9" t="s">
        <v>749</v>
      </c>
      <c r="G69" s="17">
        <v>0.78819444444444453</v>
      </c>
      <c r="H69" s="17">
        <v>0.3743055555555555</v>
      </c>
      <c r="I69" s="9">
        <v>17410</v>
      </c>
      <c r="J69" s="9">
        <v>17100</v>
      </c>
      <c r="K69" s="10">
        <f t="shared" si="0"/>
        <v>310</v>
      </c>
      <c r="L69" s="10">
        <v>2987</v>
      </c>
      <c r="M69" s="11" t="s">
        <v>1725</v>
      </c>
      <c r="N69" s="12">
        <v>5</v>
      </c>
      <c r="O69" s="13" t="s">
        <v>80</v>
      </c>
      <c r="P69" s="14"/>
    </row>
    <row r="70" spans="1:18" x14ac:dyDescent="0.25">
      <c r="A70" s="6"/>
      <c r="B70" s="7">
        <v>44259</v>
      </c>
      <c r="C70" s="8" t="s">
        <v>1726</v>
      </c>
      <c r="D70" s="8" t="s">
        <v>1727</v>
      </c>
      <c r="E70" s="9" t="s">
        <v>1231</v>
      </c>
      <c r="F70" s="9" t="s">
        <v>36</v>
      </c>
      <c r="G70" s="17">
        <v>0.80972222222222223</v>
      </c>
      <c r="H70" s="17">
        <v>0.8965277777777777</v>
      </c>
      <c r="I70" s="9">
        <v>12410</v>
      </c>
      <c r="J70" s="9">
        <v>4010</v>
      </c>
      <c r="K70" s="10">
        <f t="shared" si="0"/>
        <v>8400</v>
      </c>
      <c r="L70" s="10">
        <v>26550</v>
      </c>
      <c r="M70" s="11" t="s">
        <v>1728</v>
      </c>
      <c r="N70" s="12">
        <v>8400</v>
      </c>
      <c r="O70" s="13" t="s">
        <v>32</v>
      </c>
      <c r="P70" s="14"/>
    </row>
    <row r="71" spans="1:18" x14ac:dyDescent="0.25">
      <c r="A71" s="6"/>
      <c r="B71" s="7">
        <v>44259</v>
      </c>
      <c r="C71" s="8" t="s">
        <v>1729</v>
      </c>
      <c r="D71" s="8" t="s">
        <v>880</v>
      </c>
      <c r="E71" s="9" t="s">
        <v>1661</v>
      </c>
      <c r="F71" s="9" t="s">
        <v>1276</v>
      </c>
      <c r="G71" s="17">
        <v>0.82152777777777775</v>
      </c>
      <c r="H71" s="17">
        <v>0.37083333333333335</v>
      </c>
      <c r="I71" s="9">
        <v>39360</v>
      </c>
      <c r="J71" s="9">
        <v>15150</v>
      </c>
      <c r="K71" s="10">
        <f t="shared" ref="K71:K76" si="4">+I71-J71</f>
        <v>24210</v>
      </c>
      <c r="L71" s="10">
        <v>40898</v>
      </c>
      <c r="M71" s="11" t="s">
        <v>1730</v>
      </c>
      <c r="N71" s="12">
        <v>24210</v>
      </c>
      <c r="O71" s="13" t="s">
        <v>32</v>
      </c>
      <c r="P71" s="14"/>
    </row>
    <row r="72" spans="1:18" x14ac:dyDescent="0.25">
      <c r="A72" s="6"/>
      <c r="B72" s="7">
        <v>44259</v>
      </c>
      <c r="C72" s="8" t="s">
        <v>1042</v>
      </c>
      <c r="D72" s="8" t="s">
        <v>94</v>
      </c>
      <c r="E72" s="9" t="s">
        <v>628</v>
      </c>
      <c r="F72" s="9" t="s">
        <v>859</v>
      </c>
      <c r="G72" s="17">
        <v>0.82500000000000007</v>
      </c>
      <c r="H72" s="17">
        <v>0.83472222222222225</v>
      </c>
      <c r="I72" s="9">
        <v>13500</v>
      </c>
      <c r="J72" s="9">
        <v>9660</v>
      </c>
      <c r="K72" s="10">
        <f t="shared" si="4"/>
        <v>3840</v>
      </c>
      <c r="L72" s="10">
        <v>23478</v>
      </c>
      <c r="M72" s="11" t="s">
        <v>1041</v>
      </c>
      <c r="N72" s="12">
        <v>3840</v>
      </c>
      <c r="O72" s="13" t="s">
        <v>32</v>
      </c>
      <c r="P72" s="14" t="s">
        <v>1477</v>
      </c>
    </row>
    <row r="73" spans="1:18" x14ac:dyDescent="0.25">
      <c r="A73" s="6"/>
      <c r="B73" s="7">
        <v>44259</v>
      </c>
      <c r="C73" s="8" t="s">
        <v>1726</v>
      </c>
      <c r="D73" s="8" t="s">
        <v>1686</v>
      </c>
      <c r="E73" s="9" t="s">
        <v>1206</v>
      </c>
      <c r="F73" s="9" t="s">
        <v>36</v>
      </c>
      <c r="G73" s="17">
        <v>0.83958333333333324</v>
      </c>
      <c r="H73" s="17">
        <v>0.8569444444444444</v>
      </c>
      <c r="I73" s="9">
        <v>15870</v>
      </c>
      <c r="J73" s="9">
        <v>6650</v>
      </c>
      <c r="K73" s="10">
        <f t="shared" si="4"/>
        <v>9220</v>
      </c>
      <c r="L73" s="10">
        <v>26551</v>
      </c>
      <c r="M73" s="11" t="s">
        <v>1461</v>
      </c>
      <c r="N73" s="12">
        <v>9220</v>
      </c>
      <c r="O73" s="13" t="s">
        <v>32</v>
      </c>
      <c r="P73" s="14"/>
    </row>
    <row r="74" spans="1:18" x14ac:dyDescent="0.25">
      <c r="A74" s="6"/>
      <c r="B74" s="7">
        <v>44259</v>
      </c>
      <c r="C74" s="8" t="s">
        <v>1731</v>
      </c>
      <c r="D74" s="8" t="s">
        <v>458</v>
      </c>
      <c r="E74" s="9" t="s">
        <v>699</v>
      </c>
      <c r="F74" s="9" t="s">
        <v>459</v>
      </c>
      <c r="G74" s="17">
        <v>0.91527777777777775</v>
      </c>
      <c r="H74" s="17">
        <v>0.44930555555555557</v>
      </c>
      <c r="I74" s="9">
        <v>10430</v>
      </c>
      <c r="J74" s="9">
        <v>8270</v>
      </c>
      <c r="K74" s="10">
        <f t="shared" si="4"/>
        <v>2160</v>
      </c>
      <c r="L74" s="10">
        <v>4077</v>
      </c>
      <c r="M74" s="11" t="s">
        <v>48</v>
      </c>
      <c r="N74" s="12">
        <v>3650</v>
      </c>
      <c r="O74" s="13" t="s">
        <v>49</v>
      </c>
      <c r="P74" s="14"/>
    </row>
    <row r="75" spans="1:18" x14ac:dyDescent="0.25">
      <c r="A75" s="6"/>
      <c r="B75" s="7">
        <v>44259</v>
      </c>
      <c r="C75" s="8" t="s">
        <v>37</v>
      </c>
      <c r="D75" s="8" t="s">
        <v>1696</v>
      </c>
      <c r="E75" s="9" t="s">
        <v>39</v>
      </c>
      <c r="F75" s="9" t="s">
        <v>36</v>
      </c>
      <c r="G75" s="17">
        <v>0.9375</v>
      </c>
      <c r="H75" s="17">
        <v>0.99375000000000002</v>
      </c>
      <c r="I75" s="9">
        <v>18565</v>
      </c>
      <c r="J75" s="9">
        <v>6300</v>
      </c>
      <c r="K75" s="10">
        <f t="shared" si="4"/>
        <v>12265</v>
      </c>
      <c r="L75" s="10">
        <v>26553</v>
      </c>
      <c r="M75" s="11" t="s">
        <v>1512</v>
      </c>
      <c r="N75" s="12">
        <v>12265</v>
      </c>
      <c r="O75" s="13" t="s">
        <v>32</v>
      </c>
      <c r="P75" s="14"/>
    </row>
    <row r="76" spans="1:18" x14ac:dyDescent="0.25">
      <c r="A76" s="6"/>
      <c r="B76" s="7">
        <v>44259</v>
      </c>
      <c r="C76" s="8" t="s">
        <v>1673</v>
      </c>
      <c r="D76" s="8" t="s">
        <v>94</v>
      </c>
      <c r="E76" s="9" t="s">
        <v>628</v>
      </c>
      <c r="F76" s="9" t="s">
        <v>859</v>
      </c>
      <c r="G76" s="17">
        <v>0.93958333333333333</v>
      </c>
      <c r="H76" s="17">
        <v>0.95138888888888884</v>
      </c>
      <c r="I76" s="9">
        <v>20260</v>
      </c>
      <c r="J76" s="9">
        <v>9640</v>
      </c>
      <c r="K76" s="10">
        <f t="shared" si="4"/>
        <v>10620</v>
      </c>
      <c r="L76" s="10">
        <v>26552</v>
      </c>
      <c r="M76" s="11" t="s">
        <v>966</v>
      </c>
      <c r="N76" s="12">
        <v>10620</v>
      </c>
      <c r="O76" s="13" t="s">
        <v>32</v>
      </c>
      <c r="P76" s="14"/>
      <c r="R76" s="18"/>
    </row>
    <row r="77" spans="1:18" x14ac:dyDescent="0.25">
      <c r="A77" s="6"/>
      <c r="B77" s="7">
        <v>44259</v>
      </c>
      <c r="C77" s="8" t="s">
        <v>55</v>
      </c>
      <c r="D77" s="8" t="s">
        <v>1652</v>
      </c>
      <c r="E77" s="9" t="s">
        <v>144</v>
      </c>
      <c r="F77" s="9" t="s">
        <v>626</v>
      </c>
      <c r="G77" s="17">
        <v>0.94305555555555554</v>
      </c>
      <c r="H77" s="17">
        <v>0.39305555555555555</v>
      </c>
      <c r="I77" s="9">
        <v>18110</v>
      </c>
      <c r="J77" s="9">
        <v>38560</v>
      </c>
      <c r="K77" s="10">
        <f t="shared" ref="K77:K140" si="5">+I77-J77</f>
        <v>-20450</v>
      </c>
      <c r="L77" s="10">
        <v>5820</v>
      </c>
      <c r="M77" s="11" t="s">
        <v>1698</v>
      </c>
      <c r="N77" s="12">
        <v>5885</v>
      </c>
      <c r="O77" s="13" t="s">
        <v>84</v>
      </c>
      <c r="P77" s="14"/>
    </row>
    <row r="78" spans="1:18" x14ac:dyDescent="0.25">
      <c r="A78" s="6"/>
      <c r="B78" s="7">
        <v>44259</v>
      </c>
      <c r="C78" s="8" t="s">
        <v>1369</v>
      </c>
      <c r="D78" s="8" t="s">
        <v>94</v>
      </c>
      <c r="E78" s="9" t="s">
        <v>947</v>
      </c>
      <c r="F78" s="9" t="s">
        <v>948</v>
      </c>
      <c r="G78" s="17">
        <v>0.9916666666666667</v>
      </c>
      <c r="H78" s="17">
        <v>0</v>
      </c>
      <c r="I78" s="9">
        <v>8120</v>
      </c>
      <c r="J78" s="9">
        <v>7490</v>
      </c>
      <c r="K78" s="10">
        <f t="shared" si="5"/>
        <v>630</v>
      </c>
      <c r="L78" s="10">
        <v>23479</v>
      </c>
      <c r="M78" s="11" t="s">
        <v>1041</v>
      </c>
      <c r="N78" s="12">
        <v>630</v>
      </c>
      <c r="O78" s="13" t="s">
        <v>32</v>
      </c>
      <c r="P78" s="14" t="s">
        <v>1732</v>
      </c>
    </row>
    <row r="79" spans="1:18" x14ac:dyDescent="0.25">
      <c r="A79" s="6"/>
      <c r="B79" s="7">
        <v>44260</v>
      </c>
      <c r="C79" s="8" t="s">
        <v>1726</v>
      </c>
      <c r="D79" s="8" t="s">
        <v>1686</v>
      </c>
      <c r="E79" s="9" t="s">
        <v>1206</v>
      </c>
      <c r="F79" s="9" t="s">
        <v>36</v>
      </c>
      <c r="G79" s="17">
        <v>1.5277777777777777E-2</v>
      </c>
      <c r="H79" s="17">
        <v>3.6805555555555557E-2</v>
      </c>
      <c r="I79" s="9">
        <v>13870</v>
      </c>
      <c r="J79" s="9">
        <v>6650</v>
      </c>
      <c r="K79" s="10">
        <f t="shared" si="5"/>
        <v>7220</v>
      </c>
      <c r="L79" s="10">
        <v>26554</v>
      </c>
      <c r="M79" s="11" t="s">
        <v>1515</v>
      </c>
      <c r="N79" s="12">
        <v>7220</v>
      </c>
      <c r="O79" s="13" t="s">
        <v>32</v>
      </c>
      <c r="P79" s="14"/>
    </row>
    <row r="80" spans="1:18" x14ac:dyDescent="0.25">
      <c r="A80" s="6"/>
      <c r="B80" s="7">
        <v>44260</v>
      </c>
      <c r="C80" s="8" t="s">
        <v>142</v>
      </c>
      <c r="D80" s="8" t="s">
        <v>1656</v>
      </c>
      <c r="E80" s="9" t="s">
        <v>87</v>
      </c>
      <c r="F80" s="9" t="s">
        <v>88</v>
      </c>
      <c r="G80" s="17">
        <v>8.0555555555555561E-2</v>
      </c>
      <c r="H80" s="17">
        <v>9.0277777777777776E-2</v>
      </c>
      <c r="I80" s="9">
        <v>36740</v>
      </c>
      <c r="J80" s="9">
        <v>17300</v>
      </c>
      <c r="K80" s="10">
        <f t="shared" si="5"/>
        <v>19440</v>
      </c>
      <c r="L80" s="10">
        <v>773</v>
      </c>
      <c r="M80" s="11" t="s">
        <v>1733</v>
      </c>
      <c r="N80" s="12">
        <v>21520</v>
      </c>
      <c r="O80" s="13" t="s">
        <v>32</v>
      </c>
      <c r="P80" s="14"/>
    </row>
    <row r="81" spans="1:17" x14ac:dyDescent="0.25">
      <c r="A81" s="6"/>
      <c r="B81" s="7">
        <v>44260</v>
      </c>
      <c r="C81" s="43" t="s">
        <v>1630</v>
      </c>
      <c r="D81" s="43" t="s">
        <v>453</v>
      </c>
      <c r="E81" s="44" t="s">
        <v>1632</v>
      </c>
      <c r="F81" s="44" t="s">
        <v>266</v>
      </c>
      <c r="G81" s="17">
        <v>0.20625000000000002</v>
      </c>
      <c r="H81" s="17">
        <v>0.20902777777777778</v>
      </c>
      <c r="I81" s="9">
        <v>5940</v>
      </c>
      <c r="J81" s="9">
        <v>5580</v>
      </c>
      <c r="K81" s="10">
        <f>+I81-J81</f>
        <v>360</v>
      </c>
      <c r="L81" s="10" t="s">
        <v>1702</v>
      </c>
      <c r="M81" s="47" t="s">
        <v>1734</v>
      </c>
      <c r="N81" s="12">
        <v>360</v>
      </c>
      <c r="O81" s="13" t="s">
        <v>32</v>
      </c>
      <c r="P81" s="14"/>
    </row>
    <row r="82" spans="1:17" x14ac:dyDescent="0.25">
      <c r="A82" s="6"/>
      <c r="B82" s="7">
        <v>44260</v>
      </c>
      <c r="C82" s="8" t="s">
        <v>984</v>
      </c>
      <c r="D82" s="8" t="s">
        <v>284</v>
      </c>
      <c r="E82" s="9" t="s">
        <v>1650</v>
      </c>
      <c r="F82" s="9" t="s">
        <v>178</v>
      </c>
      <c r="G82" s="17">
        <v>0.41666666666666669</v>
      </c>
      <c r="H82" s="17">
        <v>0.42708333333333331</v>
      </c>
      <c r="I82" s="9">
        <v>37250</v>
      </c>
      <c r="J82" s="9">
        <v>16340</v>
      </c>
      <c r="K82" s="10">
        <f t="shared" si="5"/>
        <v>20910</v>
      </c>
      <c r="L82" s="10">
        <v>23480</v>
      </c>
      <c r="M82" s="11" t="s">
        <v>1041</v>
      </c>
      <c r="N82" s="12">
        <v>21.6</v>
      </c>
      <c r="O82" s="13" t="s">
        <v>855</v>
      </c>
      <c r="P82" s="14"/>
    </row>
    <row r="83" spans="1:17" x14ac:dyDescent="0.25">
      <c r="A83" s="6"/>
      <c r="B83" s="7">
        <v>44260</v>
      </c>
      <c r="C83" s="8" t="s">
        <v>984</v>
      </c>
      <c r="D83" s="8" t="s">
        <v>299</v>
      </c>
      <c r="E83" s="9" t="s">
        <v>813</v>
      </c>
      <c r="F83" s="9" t="s">
        <v>814</v>
      </c>
      <c r="G83" s="17">
        <v>0.41805555555555557</v>
      </c>
      <c r="H83" s="17">
        <v>0.4284722222222222</v>
      </c>
      <c r="I83" s="9">
        <v>36110</v>
      </c>
      <c r="J83" s="9">
        <v>14860</v>
      </c>
      <c r="K83" s="10">
        <f t="shared" si="5"/>
        <v>21250</v>
      </c>
      <c r="L83" s="10">
        <v>23480</v>
      </c>
      <c r="M83" s="11" t="s">
        <v>1041</v>
      </c>
      <c r="N83" s="12">
        <v>21.6</v>
      </c>
      <c r="O83" s="13" t="s">
        <v>855</v>
      </c>
      <c r="P83" s="14"/>
    </row>
    <row r="84" spans="1:17" x14ac:dyDescent="0.25">
      <c r="A84" s="6"/>
      <c r="B84" s="7">
        <v>44260</v>
      </c>
      <c r="C84" s="8" t="s">
        <v>1735</v>
      </c>
      <c r="D84" s="8" t="s">
        <v>1736</v>
      </c>
      <c r="E84" s="9" t="s">
        <v>1737</v>
      </c>
      <c r="F84" s="9" t="s">
        <v>36</v>
      </c>
      <c r="G84" s="17">
        <v>0.4201388888888889</v>
      </c>
      <c r="H84" s="17">
        <v>0.48749999999999999</v>
      </c>
      <c r="I84" s="9">
        <v>2120</v>
      </c>
      <c r="J84" s="9">
        <v>2780</v>
      </c>
      <c r="K84" s="10">
        <f t="shared" si="5"/>
        <v>-660</v>
      </c>
      <c r="L84" s="10">
        <v>82313</v>
      </c>
      <c r="M84" s="11" t="s">
        <v>1738</v>
      </c>
      <c r="N84" s="12">
        <v>660</v>
      </c>
      <c r="O84" s="13" t="s">
        <v>32</v>
      </c>
      <c r="P84" s="14" t="s">
        <v>1740</v>
      </c>
    </row>
    <row r="85" spans="1:17" x14ac:dyDescent="0.25">
      <c r="A85" s="6"/>
      <c r="B85" s="7">
        <v>44260</v>
      </c>
      <c r="C85" s="8" t="s">
        <v>984</v>
      </c>
      <c r="D85" s="8" t="s">
        <v>1717</v>
      </c>
      <c r="E85" s="9" t="s">
        <v>628</v>
      </c>
      <c r="F85" s="9" t="s">
        <v>859</v>
      </c>
      <c r="G85" s="17">
        <v>0.42986111111111108</v>
      </c>
      <c r="H85" s="17">
        <v>0.43611111111111112</v>
      </c>
      <c r="I85" s="9">
        <v>19280</v>
      </c>
      <c r="J85" s="9">
        <v>9660</v>
      </c>
      <c r="K85" s="10">
        <f t="shared" si="5"/>
        <v>9620</v>
      </c>
      <c r="L85" s="10">
        <v>23480</v>
      </c>
      <c r="M85" s="11" t="s">
        <v>1041</v>
      </c>
      <c r="N85" s="12">
        <v>9.6</v>
      </c>
      <c r="O85" s="13" t="s">
        <v>855</v>
      </c>
      <c r="P85" s="14"/>
    </row>
    <row r="86" spans="1:17" x14ac:dyDescent="0.25">
      <c r="A86" s="6"/>
      <c r="B86" s="7">
        <v>44260</v>
      </c>
      <c r="C86" s="8" t="s">
        <v>984</v>
      </c>
      <c r="D86" s="8" t="s">
        <v>899</v>
      </c>
      <c r="E86" s="9" t="s">
        <v>490</v>
      </c>
      <c r="F86" s="9" t="s">
        <v>491</v>
      </c>
      <c r="G86" s="17">
        <v>0.43472222222222223</v>
      </c>
      <c r="H86" s="17">
        <v>0.44305555555555554</v>
      </c>
      <c r="I86" s="9">
        <v>37440</v>
      </c>
      <c r="J86" s="9">
        <v>15900</v>
      </c>
      <c r="K86" s="10">
        <f t="shared" si="5"/>
        <v>21540</v>
      </c>
      <c r="L86" s="10">
        <v>23480</v>
      </c>
      <c r="M86" s="11" t="s">
        <v>1041</v>
      </c>
      <c r="N86" s="12">
        <v>21.6</v>
      </c>
      <c r="O86" s="13" t="s">
        <v>855</v>
      </c>
      <c r="P86" s="14"/>
    </row>
    <row r="87" spans="1:17" x14ac:dyDescent="0.25">
      <c r="A87" s="6"/>
      <c r="B87" s="7">
        <v>44260</v>
      </c>
      <c r="C87" s="8" t="s">
        <v>984</v>
      </c>
      <c r="D87" s="8" t="s">
        <v>1355</v>
      </c>
      <c r="E87" s="9" t="s">
        <v>1048</v>
      </c>
      <c r="F87" s="9" t="s">
        <v>526</v>
      </c>
      <c r="G87" s="17">
        <v>0.4465277777777778</v>
      </c>
      <c r="H87" s="17">
        <v>0.4597222222222222</v>
      </c>
      <c r="I87" s="9">
        <v>38780</v>
      </c>
      <c r="J87" s="9">
        <v>17890</v>
      </c>
      <c r="K87" s="10">
        <f t="shared" si="5"/>
        <v>20890</v>
      </c>
      <c r="L87" s="10">
        <v>23480</v>
      </c>
      <c r="M87" s="11" t="s">
        <v>1041</v>
      </c>
      <c r="N87" s="12">
        <v>20.399999999999999</v>
      </c>
      <c r="O87" s="13" t="s">
        <v>855</v>
      </c>
      <c r="P87" s="14"/>
      <c r="Q87" s="2"/>
    </row>
    <row r="88" spans="1:17" x14ac:dyDescent="0.25">
      <c r="A88" s="6"/>
      <c r="B88" s="7">
        <v>44260</v>
      </c>
      <c r="C88" s="8" t="s">
        <v>1417</v>
      </c>
      <c r="D88" s="8" t="s">
        <v>94</v>
      </c>
      <c r="E88" s="9" t="s">
        <v>947</v>
      </c>
      <c r="F88" s="9" t="s">
        <v>948</v>
      </c>
      <c r="G88" s="17">
        <v>0.46111111111111108</v>
      </c>
      <c r="H88" s="17">
        <v>0.46597222222222223</v>
      </c>
      <c r="I88" s="9">
        <v>17020</v>
      </c>
      <c r="J88" s="9">
        <v>7500</v>
      </c>
      <c r="K88" s="10">
        <f t="shared" si="5"/>
        <v>9520</v>
      </c>
      <c r="L88" s="10">
        <v>23481</v>
      </c>
      <c r="M88" s="11" t="s">
        <v>1041</v>
      </c>
      <c r="N88" s="12">
        <v>9.6</v>
      </c>
      <c r="O88" s="13" t="s">
        <v>855</v>
      </c>
      <c r="P88" s="14"/>
    </row>
    <row r="89" spans="1:17" x14ac:dyDescent="0.25">
      <c r="A89" s="6"/>
      <c r="B89" s="7">
        <v>44260</v>
      </c>
      <c r="C89" s="8" t="s">
        <v>1417</v>
      </c>
      <c r="D89" s="8" t="s">
        <v>880</v>
      </c>
      <c r="E89" s="9" t="s">
        <v>1661</v>
      </c>
      <c r="F89" s="9" t="s">
        <v>1276</v>
      </c>
      <c r="G89" s="17">
        <v>0.46249999999999997</v>
      </c>
      <c r="H89" s="17">
        <v>0.47361111111111115</v>
      </c>
      <c r="I89" s="9">
        <v>35270</v>
      </c>
      <c r="J89" s="9">
        <v>14270</v>
      </c>
      <c r="K89" s="10">
        <f t="shared" si="5"/>
        <v>21000</v>
      </c>
      <c r="L89" s="10">
        <v>23481</v>
      </c>
      <c r="M89" s="11" t="s">
        <v>1041</v>
      </c>
      <c r="N89" s="12">
        <v>21.6</v>
      </c>
      <c r="O89" s="13" t="s">
        <v>855</v>
      </c>
      <c r="P89" s="14"/>
    </row>
    <row r="90" spans="1:17" x14ac:dyDescent="0.25">
      <c r="A90" s="6"/>
      <c r="B90" s="7">
        <v>44260</v>
      </c>
      <c r="C90" s="8" t="s">
        <v>185</v>
      </c>
      <c r="D90" s="8" t="s">
        <v>186</v>
      </c>
      <c r="E90" s="9" t="s">
        <v>1410</v>
      </c>
      <c r="F90" s="9" t="s">
        <v>36</v>
      </c>
      <c r="G90" s="17">
        <v>0.4826388888888889</v>
      </c>
      <c r="H90" s="17">
        <v>0.49305555555555558</v>
      </c>
      <c r="I90" s="9">
        <v>5010</v>
      </c>
      <c r="J90" s="9">
        <v>4090</v>
      </c>
      <c r="K90" s="10">
        <f t="shared" si="5"/>
        <v>920</v>
      </c>
      <c r="L90" s="10">
        <v>140773</v>
      </c>
      <c r="M90" s="11" t="s">
        <v>1739</v>
      </c>
      <c r="N90" s="12">
        <v>7500</v>
      </c>
      <c r="O90" s="13" t="s">
        <v>1099</v>
      </c>
      <c r="P90" s="14"/>
    </row>
    <row r="91" spans="1:17" x14ac:dyDescent="0.25">
      <c r="A91" s="6"/>
      <c r="B91" s="7">
        <v>44260</v>
      </c>
      <c r="C91" s="8" t="s">
        <v>1417</v>
      </c>
      <c r="D91" s="8" t="s">
        <v>284</v>
      </c>
      <c r="E91" s="9" t="s">
        <v>1650</v>
      </c>
      <c r="F91" s="9" t="s">
        <v>178</v>
      </c>
      <c r="G91" s="17">
        <v>0.49722222222222223</v>
      </c>
      <c r="H91" s="17">
        <v>0.51041666666666663</v>
      </c>
      <c r="I91" s="9">
        <v>35260</v>
      </c>
      <c r="J91" s="9">
        <v>16270</v>
      </c>
      <c r="K91" s="10">
        <f t="shared" si="5"/>
        <v>18990</v>
      </c>
      <c r="L91" s="10">
        <v>23481</v>
      </c>
      <c r="M91" s="11" t="s">
        <v>1041</v>
      </c>
      <c r="N91" s="12">
        <v>19.2</v>
      </c>
      <c r="O91" s="13" t="s">
        <v>855</v>
      </c>
      <c r="P91" s="14"/>
    </row>
    <row r="92" spans="1:17" x14ac:dyDescent="0.25">
      <c r="A92" s="6"/>
      <c r="B92" s="7">
        <v>44260</v>
      </c>
      <c r="C92" s="8" t="s">
        <v>1417</v>
      </c>
      <c r="D92" s="8" t="s">
        <v>299</v>
      </c>
      <c r="E92" s="9" t="s">
        <v>813</v>
      </c>
      <c r="F92" s="9" t="s">
        <v>814</v>
      </c>
      <c r="G92" s="17">
        <v>0.5083333333333333</v>
      </c>
      <c r="H92" s="17">
        <v>0.51388888888888895</v>
      </c>
      <c r="I92" s="9">
        <v>34750</v>
      </c>
      <c r="J92" s="9">
        <v>14840</v>
      </c>
      <c r="K92" s="10">
        <f t="shared" si="5"/>
        <v>19910</v>
      </c>
      <c r="L92" s="10">
        <v>23481</v>
      </c>
      <c r="M92" s="11" t="s">
        <v>1741</v>
      </c>
      <c r="N92" s="12">
        <v>20.399999999999999</v>
      </c>
      <c r="O92" s="13" t="s">
        <v>855</v>
      </c>
      <c r="P92" s="14"/>
    </row>
    <row r="93" spans="1:17" x14ac:dyDescent="0.25">
      <c r="A93" s="6"/>
      <c r="B93" s="7">
        <v>44260</v>
      </c>
      <c r="C93" s="8" t="s">
        <v>1072</v>
      </c>
      <c r="D93" s="8" t="s">
        <v>1717</v>
      </c>
      <c r="E93" s="9" t="s">
        <v>628</v>
      </c>
      <c r="F93" s="9" t="s">
        <v>859</v>
      </c>
      <c r="G93" s="17">
        <v>0.52986111111111112</v>
      </c>
      <c r="H93" s="17">
        <v>0.53611111111111109</v>
      </c>
      <c r="I93" s="9">
        <v>19150</v>
      </c>
      <c r="J93" s="9">
        <v>9650</v>
      </c>
      <c r="K93" s="10">
        <f t="shared" si="5"/>
        <v>9500</v>
      </c>
      <c r="L93" s="10">
        <v>23482</v>
      </c>
      <c r="M93" s="11" t="s">
        <v>965</v>
      </c>
      <c r="N93" s="12">
        <v>9.6</v>
      </c>
      <c r="O93" s="13" t="s">
        <v>855</v>
      </c>
      <c r="P93" s="14"/>
    </row>
    <row r="94" spans="1:17" x14ac:dyDescent="0.25">
      <c r="A94" s="6"/>
      <c r="B94" s="7">
        <v>44260</v>
      </c>
      <c r="C94" s="8" t="s">
        <v>1668</v>
      </c>
      <c r="D94" s="8" t="s">
        <v>1355</v>
      </c>
      <c r="E94" s="9" t="s">
        <v>1048</v>
      </c>
      <c r="F94" s="9" t="s">
        <v>526</v>
      </c>
      <c r="G94" s="17">
        <v>0.55069444444444449</v>
      </c>
      <c r="H94" s="17">
        <v>0.56041666666666667</v>
      </c>
      <c r="I94" s="9">
        <v>36380</v>
      </c>
      <c r="J94" s="9">
        <v>17850</v>
      </c>
      <c r="K94" s="10">
        <f t="shared" si="5"/>
        <v>18530</v>
      </c>
      <c r="L94" s="10">
        <v>23483</v>
      </c>
      <c r="M94" s="11" t="s">
        <v>965</v>
      </c>
      <c r="N94" s="12">
        <v>18.600000000000001</v>
      </c>
      <c r="O94" s="13" t="s">
        <v>855</v>
      </c>
      <c r="P94" s="14"/>
    </row>
    <row r="95" spans="1:17" x14ac:dyDescent="0.25">
      <c r="A95" s="6"/>
      <c r="B95" s="7">
        <v>44260</v>
      </c>
      <c r="C95" s="8" t="s">
        <v>1742</v>
      </c>
      <c r="D95" s="8" t="s">
        <v>899</v>
      </c>
      <c r="E95" s="9" t="s">
        <v>490</v>
      </c>
      <c r="F95" s="9" t="s">
        <v>491</v>
      </c>
      <c r="G95" s="17">
        <v>0.55694444444444446</v>
      </c>
      <c r="H95" s="17">
        <v>0.59930555555555554</v>
      </c>
      <c r="I95" s="9">
        <v>37380</v>
      </c>
      <c r="J95" s="9">
        <v>15840</v>
      </c>
      <c r="K95" s="10">
        <f t="shared" si="5"/>
        <v>21540</v>
      </c>
      <c r="L95" s="10" t="s">
        <v>1743</v>
      </c>
      <c r="M95" s="11" t="s">
        <v>965</v>
      </c>
      <c r="N95" s="12">
        <f>4.8+16.8</f>
        <v>21.6</v>
      </c>
      <c r="O95" s="13" t="s">
        <v>855</v>
      </c>
      <c r="P95" s="14"/>
    </row>
    <row r="96" spans="1:17" x14ac:dyDescent="0.25">
      <c r="A96" s="6"/>
      <c r="B96" s="7">
        <v>44260</v>
      </c>
      <c r="C96" s="8" t="s">
        <v>1744</v>
      </c>
      <c r="D96" s="8" t="s">
        <v>94</v>
      </c>
      <c r="E96" s="9" t="s">
        <v>947</v>
      </c>
      <c r="F96" s="9" t="s">
        <v>948</v>
      </c>
      <c r="G96" s="17">
        <v>0.59861111111111109</v>
      </c>
      <c r="H96" s="17">
        <v>0.61388888888888882</v>
      </c>
      <c r="I96" s="9">
        <v>13570</v>
      </c>
      <c r="J96" s="9">
        <v>7480</v>
      </c>
      <c r="K96" s="10">
        <f t="shared" si="5"/>
        <v>6090</v>
      </c>
      <c r="L96" s="10">
        <v>23485</v>
      </c>
      <c r="M96" s="11" t="s">
        <v>965</v>
      </c>
      <c r="N96" s="12">
        <v>6</v>
      </c>
      <c r="O96" s="13" t="s">
        <v>855</v>
      </c>
      <c r="P96" s="14"/>
      <c r="Q96" s="20"/>
    </row>
    <row r="97" spans="1:21" x14ac:dyDescent="0.25">
      <c r="A97" s="6"/>
      <c r="B97" s="7">
        <v>44260</v>
      </c>
      <c r="C97" s="8" t="s">
        <v>1534</v>
      </c>
      <c r="D97" s="8" t="s">
        <v>1084</v>
      </c>
      <c r="E97" s="9" t="s">
        <v>1745</v>
      </c>
      <c r="F97" s="9" t="s">
        <v>1454</v>
      </c>
      <c r="G97" s="17">
        <v>0.625</v>
      </c>
      <c r="H97" s="17">
        <v>0.64097222222222217</v>
      </c>
      <c r="I97" s="9">
        <v>8780</v>
      </c>
      <c r="J97" s="9">
        <v>6410</v>
      </c>
      <c r="K97" s="10">
        <f t="shared" si="5"/>
        <v>2370</v>
      </c>
      <c r="L97" s="10">
        <v>20183</v>
      </c>
      <c r="M97" s="11" t="s">
        <v>1087</v>
      </c>
      <c r="N97" s="12">
        <v>2370</v>
      </c>
      <c r="O97" s="13" t="s">
        <v>32</v>
      </c>
      <c r="P97" s="14" t="s">
        <v>1193</v>
      </c>
      <c r="U97" s="1" t="e">
        <v>#VALUE!</v>
      </c>
    </row>
    <row r="98" spans="1:21" x14ac:dyDescent="0.25">
      <c r="A98" s="6"/>
      <c r="B98" s="7">
        <v>44260</v>
      </c>
      <c r="C98" s="8" t="s">
        <v>1746</v>
      </c>
      <c r="D98" s="8" t="s">
        <v>880</v>
      </c>
      <c r="E98" s="9" t="s">
        <v>1661</v>
      </c>
      <c r="F98" s="9" t="s">
        <v>1276</v>
      </c>
      <c r="G98" s="17">
        <v>0.65486111111111112</v>
      </c>
      <c r="H98" s="17">
        <v>0.66319444444444442</v>
      </c>
      <c r="I98" s="9">
        <v>32570</v>
      </c>
      <c r="J98" s="9">
        <v>14240</v>
      </c>
      <c r="K98" s="10">
        <f t="shared" si="5"/>
        <v>18330</v>
      </c>
      <c r="L98" s="10" t="s">
        <v>1747</v>
      </c>
      <c r="M98" s="11" t="s">
        <v>965</v>
      </c>
      <c r="N98" s="12">
        <f>12+7.2</f>
        <v>19.2</v>
      </c>
      <c r="O98" s="13" t="s">
        <v>855</v>
      </c>
      <c r="P98" s="14"/>
    </row>
    <row r="99" spans="1:21" x14ac:dyDescent="0.25">
      <c r="A99" s="6"/>
      <c r="B99" s="7">
        <v>44260</v>
      </c>
      <c r="C99" s="8" t="s">
        <v>1748</v>
      </c>
      <c r="D99" s="8" t="s">
        <v>1717</v>
      </c>
      <c r="E99" s="9" t="s">
        <v>628</v>
      </c>
      <c r="F99" s="9" t="s">
        <v>859</v>
      </c>
      <c r="G99" s="17">
        <v>0.67083333333333339</v>
      </c>
      <c r="H99" s="17">
        <v>0.67638888888888893</v>
      </c>
      <c r="I99" s="9">
        <v>11270</v>
      </c>
      <c r="J99" s="9">
        <v>9630</v>
      </c>
      <c r="K99" s="10">
        <f t="shared" si="5"/>
        <v>1640</v>
      </c>
      <c r="L99" s="10">
        <v>23486</v>
      </c>
      <c r="M99" s="11" t="s">
        <v>965</v>
      </c>
      <c r="N99" s="12">
        <v>1.2</v>
      </c>
      <c r="O99" s="13" t="s">
        <v>855</v>
      </c>
      <c r="P99" s="14"/>
    </row>
    <row r="100" spans="1:21" x14ac:dyDescent="0.25">
      <c r="A100" s="6"/>
      <c r="B100" s="7">
        <v>44260</v>
      </c>
      <c r="C100" s="8" t="s">
        <v>164</v>
      </c>
      <c r="D100" s="8" t="s">
        <v>1672</v>
      </c>
      <c r="E100" s="9" t="s">
        <v>881</v>
      </c>
      <c r="F100" s="9" t="s">
        <v>749</v>
      </c>
      <c r="G100" s="17">
        <v>0.67222222222222217</v>
      </c>
      <c r="H100" s="17">
        <v>0.71875</v>
      </c>
      <c r="I100" s="9">
        <v>43660</v>
      </c>
      <c r="J100" s="9">
        <v>18320</v>
      </c>
      <c r="K100" s="10">
        <f t="shared" si="5"/>
        <v>25340</v>
      </c>
      <c r="L100" s="10">
        <v>15635</v>
      </c>
      <c r="M100" s="11" t="s">
        <v>398</v>
      </c>
      <c r="N100" s="12">
        <v>504</v>
      </c>
      <c r="O100" s="13" t="s">
        <v>1099</v>
      </c>
      <c r="P100" s="14"/>
    </row>
    <row r="101" spans="1:21" x14ac:dyDescent="0.25">
      <c r="A101" s="6"/>
      <c r="B101" s="7">
        <v>44260</v>
      </c>
      <c r="C101" s="8" t="s">
        <v>1534</v>
      </c>
      <c r="D101" s="8" t="s">
        <v>1084</v>
      </c>
      <c r="E101" s="9" t="s">
        <v>502</v>
      </c>
      <c r="F101" s="9" t="s">
        <v>1647</v>
      </c>
      <c r="G101" s="17">
        <v>0.69513888888888886</v>
      </c>
      <c r="H101" s="17">
        <v>0.70347222222222217</v>
      </c>
      <c r="I101" s="9">
        <v>6280</v>
      </c>
      <c r="J101" s="9">
        <v>5460</v>
      </c>
      <c r="K101" s="10">
        <f t="shared" si="5"/>
        <v>820</v>
      </c>
      <c r="L101" s="10">
        <v>20184</v>
      </c>
      <c r="M101" s="11" t="s">
        <v>1749</v>
      </c>
      <c r="N101" s="12">
        <v>820</v>
      </c>
      <c r="O101" s="13" t="s">
        <v>32</v>
      </c>
      <c r="P101" s="14" t="s">
        <v>883</v>
      </c>
    </row>
    <row r="102" spans="1:21" x14ac:dyDescent="0.25">
      <c r="A102" s="6"/>
      <c r="B102" s="7">
        <v>44260</v>
      </c>
      <c r="C102" s="8" t="s">
        <v>164</v>
      </c>
      <c r="D102" s="8" t="s">
        <v>899</v>
      </c>
      <c r="E102" s="9" t="s">
        <v>490</v>
      </c>
      <c r="F102" s="9" t="s">
        <v>491</v>
      </c>
      <c r="G102" s="17">
        <v>0.70694444444444438</v>
      </c>
      <c r="H102" s="17">
        <v>0.73055555555555562</v>
      </c>
      <c r="I102" s="9">
        <v>43000</v>
      </c>
      <c r="J102" s="9">
        <v>17660</v>
      </c>
      <c r="K102" s="10">
        <f t="shared" si="5"/>
        <v>25340</v>
      </c>
      <c r="L102" s="10">
        <v>15636</v>
      </c>
      <c r="M102" s="11" t="s">
        <v>398</v>
      </c>
      <c r="N102" s="12">
        <v>504</v>
      </c>
      <c r="O102" s="13" t="s">
        <v>1099</v>
      </c>
      <c r="P102" s="14"/>
    </row>
    <row r="103" spans="1:21" x14ac:dyDescent="0.25">
      <c r="A103" s="6"/>
      <c r="B103" s="7">
        <v>44260</v>
      </c>
      <c r="C103" s="8" t="s">
        <v>1673</v>
      </c>
      <c r="D103" s="8" t="s">
        <v>1679</v>
      </c>
      <c r="E103" s="9" t="s">
        <v>1000</v>
      </c>
      <c r="F103" s="9" t="s">
        <v>36</v>
      </c>
      <c r="G103" s="17">
        <v>0.7104166666666667</v>
      </c>
      <c r="H103" s="17">
        <v>0.72222222222222221</v>
      </c>
      <c r="I103" s="9">
        <v>2340</v>
      </c>
      <c r="J103" s="9">
        <v>1900</v>
      </c>
      <c r="K103" s="10">
        <f t="shared" si="5"/>
        <v>440</v>
      </c>
      <c r="L103" s="10">
        <v>26555</v>
      </c>
      <c r="M103" s="11" t="s">
        <v>965</v>
      </c>
      <c r="N103" s="12">
        <v>440</v>
      </c>
      <c r="O103" s="13" t="s">
        <v>32</v>
      </c>
      <c r="P103" s="14"/>
    </row>
    <row r="104" spans="1:21" x14ac:dyDescent="0.25">
      <c r="A104" s="6"/>
      <c r="B104" s="7">
        <v>44260</v>
      </c>
      <c r="C104" s="8" t="s">
        <v>1673</v>
      </c>
      <c r="D104" s="8" t="s">
        <v>183</v>
      </c>
      <c r="E104" s="9" t="s">
        <v>1678</v>
      </c>
      <c r="F104" s="9" t="s">
        <v>36</v>
      </c>
      <c r="G104" s="17">
        <v>0.73958333333333337</v>
      </c>
      <c r="H104" s="17">
        <v>0.7631944444444444</v>
      </c>
      <c r="I104" s="9">
        <v>2810</v>
      </c>
      <c r="J104" s="9">
        <v>2110</v>
      </c>
      <c r="K104" s="10">
        <f t="shared" si="5"/>
        <v>700</v>
      </c>
      <c r="L104" s="10">
        <v>26556</v>
      </c>
      <c r="M104" s="11" t="s">
        <v>965</v>
      </c>
      <c r="N104" s="12">
        <v>700</v>
      </c>
      <c r="O104" s="13" t="s">
        <v>32</v>
      </c>
      <c r="P104" s="14"/>
    </row>
    <row r="105" spans="1:21" x14ac:dyDescent="0.25">
      <c r="A105" s="6"/>
      <c r="B105" s="7">
        <v>44260</v>
      </c>
      <c r="C105" s="8" t="s">
        <v>1729</v>
      </c>
      <c r="D105" s="8" t="s">
        <v>880</v>
      </c>
      <c r="E105" s="9" t="s">
        <v>1661</v>
      </c>
      <c r="F105" s="9" t="s">
        <v>1276</v>
      </c>
      <c r="G105" s="17">
        <v>0.79861111111111116</v>
      </c>
      <c r="H105" s="17">
        <v>0.34791666666666665</v>
      </c>
      <c r="I105" s="9">
        <v>41220</v>
      </c>
      <c r="J105" s="9">
        <v>15100</v>
      </c>
      <c r="K105" s="10">
        <f t="shared" si="5"/>
        <v>26120</v>
      </c>
      <c r="L105" s="10">
        <v>40926</v>
      </c>
      <c r="M105" s="11" t="s">
        <v>1730</v>
      </c>
      <c r="N105" s="12">
        <v>26110</v>
      </c>
      <c r="O105" s="13" t="s">
        <v>32</v>
      </c>
      <c r="P105" s="14"/>
    </row>
    <row r="106" spans="1:21" x14ac:dyDescent="0.25">
      <c r="A106" s="6"/>
      <c r="B106" s="7">
        <v>44260</v>
      </c>
      <c r="C106" s="8" t="s">
        <v>37</v>
      </c>
      <c r="D106" s="8" t="s">
        <v>1696</v>
      </c>
      <c r="E106" s="9" t="s">
        <v>39</v>
      </c>
      <c r="F106" s="9" t="s">
        <v>36</v>
      </c>
      <c r="G106" s="17">
        <v>0.91180555555555554</v>
      </c>
      <c r="H106" s="17">
        <v>0.96944444444444444</v>
      </c>
      <c r="I106" s="9">
        <v>18270</v>
      </c>
      <c r="J106" s="9">
        <v>6260</v>
      </c>
      <c r="K106" s="10">
        <f t="shared" si="5"/>
        <v>12010</v>
      </c>
      <c r="L106" s="10">
        <v>26557</v>
      </c>
      <c r="M106" s="11" t="s">
        <v>1512</v>
      </c>
      <c r="N106" s="12">
        <v>12010</v>
      </c>
      <c r="O106" s="13" t="s">
        <v>32</v>
      </c>
      <c r="P106" s="14"/>
    </row>
    <row r="107" spans="1:21" x14ac:dyDescent="0.25">
      <c r="A107" s="6"/>
      <c r="B107" s="7">
        <v>44260</v>
      </c>
      <c r="C107" s="8" t="s">
        <v>1673</v>
      </c>
      <c r="D107" s="8" t="s">
        <v>1686</v>
      </c>
      <c r="E107" s="9" t="s">
        <v>1206</v>
      </c>
      <c r="F107" s="9" t="s">
        <v>36</v>
      </c>
      <c r="G107" s="17">
        <v>0.92152777777777783</v>
      </c>
      <c r="H107" s="17">
        <v>0.94930555555555562</v>
      </c>
      <c r="I107" s="9">
        <v>14810</v>
      </c>
      <c r="J107" s="9">
        <v>6680</v>
      </c>
      <c r="K107" s="10">
        <f t="shared" si="5"/>
        <v>8130</v>
      </c>
      <c r="L107" s="10">
        <v>26558</v>
      </c>
      <c r="M107" s="11" t="s">
        <v>966</v>
      </c>
      <c r="N107" s="12">
        <v>8130</v>
      </c>
      <c r="O107" s="13" t="s">
        <v>32</v>
      </c>
      <c r="P107" s="14"/>
    </row>
    <row r="108" spans="1:21" x14ac:dyDescent="0.25">
      <c r="A108" s="6"/>
      <c r="B108" s="7">
        <v>44260</v>
      </c>
      <c r="C108" s="8" t="s">
        <v>1398</v>
      </c>
      <c r="D108" s="8" t="s">
        <v>458</v>
      </c>
      <c r="E108" s="9" t="s">
        <v>699</v>
      </c>
      <c r="F108" s="9" t="s">
        <v>459</v>
      </c>
      <c r="G108" s="17">
        <v>0.9243055555555556</v>
      </c>
      <c r="H108" s="17">
        <v>0.16597222222222222</v>
      </c>
      <c r="I108" s="9">
        <v>12070</v>
      </c>
      <c r="J108" s="9">
        <v>8380</v>
      </c>
      <c r="K108" s="10">
        <f t="shared" si="5"/>
        <v>3690</v>
      </c>
      <c r="L108" s="10" t="s">
        <v>1751</v>
      </c>
      <c r="M108" s="11" t="s">
        <v>1750</v>
      </c>
      <c r="N108" s="12">
        <v>8883</v>
      </c>
      <c r="O108" s="13" t="s">
        <v>49</v>
      </c>
      <c r="P108" s="14"/>
    </row>
    <row r="109" spans="1:21" x14ac:dyDescent="0.25">
      <c r="A109" s="6"/>
      <c r="B109" s="7">
        <v>44260</v>
      </c>
      <c r="C109" s="8" t="s">
        <v>1673</v>
      </c>
      <c r="D109" s="8" t="s">
        <v>94</v>
      </c>
      <c r="E109" s="9" t="s">
        <v>947</v>
      </c>
      <c r="F109" s="9" t="s">
        <v>948</v>
      </c>
      <c r="G109" s="17">
        <v>0.94166666666666676</v>
      </c>
      <c r="H109" s="17">
        <v>0.95277777777777783</v>
      </c>
      <c r="I109" s="9">
        <v>10380</v>
      </c>
      <c r="J109" s="9">
        <v>7430</v>
      </c>
      <c r="K109" s="10">
        <f t="shared" si="5"/>
        <v>2950</v>
      </c>
      <c r="L109" s="10">
        <v>26559</v>
      </c>
      <c r="M109" s="11" t="s">
        <v>966</v>
      </c>
      <c r="N109" s="12">
        <v>2950</v>
      </c>
      <c r="O109" s="13" t="s">
        <v>32</v>
      </c>
      <c r="P109" s="14"/>
    </row>
    <row r="110" spans="1:21" x14ac:dyDescent="0.25">
      <c r="A110" s="6"/>
      <c r="B110" s="7">
        <v>44261</v>
      </c>
      <c r="C110" s="8" t="s">
        <v>366</v>
      </c>
      <c r="D110" s="8" t="s">
        <v>1076</v>
      </c>
      <c r="E110" s="9" t="s">
        <v>220</v>
      </c>
      <c r="F110" s="9" t="s">
        <v>221</v>
      </c>
      <c r="G110" s="17">
        <v>2.7777777777777779E-3</v>
      </c>
      <c r="H110" s="17">
        <v>0.48958333333333331</v>
      </c>
      <c r="I110" s="9">
        <v>21990</v>
      </c>
      <c r="J110" s="9">
        <v>9290</v>
      </c>
      <c r="K110" s="10">
        <f t="shared" si="5"/>
        <v>12700</v>
      </c>
      <c r="L110" s="10" t="s">
        <v>1759</v>
      </c>
      <c r="M110" s="11" t="s">
        <v>1752</v>
      </c>
      <c r="N110" s="12">
        <v>12778</v>
      </c>
      <c r="O110" s="13" t="s">
        <v>32</v>
      </c>
      <c r="P110" s="14"/>
    </row>
    <row r="111" spans="1:21" x14ac:dyDescent="0.25">
      <c r="A111" s="6"/>
      <c r="B111" s="7">
        <v>44261</v>
      </c>
      <c r="C111" s="8" t="s">
        <v>142</v>
      </c>
      <c r="D111" s="8" t="s">
        <v>1753</v>
      </c>
      <c r="E111" s="9" t="s">
        <v>1754</v>
      </c>
      <c r="F111" s="9" t="s">
        <v>36</v>
      </c>
      <c r="G111" s="17">
        <v>9.0972222222222218E-2</v>
      </c>
      <c r="H111" s="17">
        <v>0.15902777777777777</v>
      </c>
      <c r="I111" s="9">
        <v>23490</v>
      </c>
      <c r="J111" s="9">
        <v>12310</v>
      </c>
      <c r="K111" s="10">
        <f t="shared" si="5"/>
        <v>11180</v>
      </c>
      <c r="L111" s="10">
        <v>774</v>
      </c>
      <c r="M111" s="11" t="s">
        <v>1755</v>
      </c>
      <c r="N111" s="12">
        <v>11180</v>
      </c>
      <c r="O111" s="13" t="s">
        <v>32</v>
      </c>
      <c r="P111" s="14"/>
    </row>
    <row r="112" spans="1:21" x14ac:dyDescent="0.25">
      <c r="A112" s="6"/>
      <c r="B112" s="7">
        <v>44261</v>
      </c>
      <c r="C112" s="8" t="s">
        <v>1726</v>
      </c>
      <c r="D112" s="8" t="s">
        <v>94</v>
      </c>
      <c r="E112" s="9" t="s">
        <v>947</v>
      </c>
      <c r="F112" s="9" t="s">
        <v>948</v>
      </c>
      <c r="G112" s="17">
        <v>0.12916666666666668</v>
      </c>
      <c r="H112" s="17">
        <v>0.13680555555555554</v>
      </c>
      <c r="I112" s="9">
        <v>13690</v>
      </c>
      <c r="J112" s="9">
        <v>7430</v>
      </c>
      <c r="K112" s="10">
        <f t="shared" si="5"/>
        <v>6260</v>
      </c>
      <c r="L112" s="10">
        <v>26560</v>
      </c>
      <c r="M112" s="11" t="s">
        <v>1515</v>
      </c>
      <c r="N112" s="12">
        <v>6260</v>
      </c>
      <c r="O112" s="13" t="s">
        <v>32</v>
      </c>
      <c r="P112" s="14"/>
    </row>
    <row r="113" spans="1:20" x14ac:dyDescent="0.25">
      <c r="A113" s="6"/>
      <c r="B113" s="7">
        <v>44261</v>
      </c>
      <c r="C113" s="8" t="s">
        <v>142</v>
      </c>
      <c r="D113" s="8" t="s">
        <v>1355</v>
      </c>
      <c r="E113" s="9" t="s">
        <v>1048</v>
      </c>
      <c r="F113" s="9" t="s">
        <v>526</v>
      </c>
      <c r="G113" s="17">
        <v>0.2298611111111111</v>
      </c>
      <c r="H113" s="17">
        <v>0.25625000000000003</v>
      </c>
      <c r="I113" s="9">
        <v>39640</v>
      </c>
      <c r="J113" s="9">
        <v>20530</v>
      </c>
      <c r="K113" s="10">
        <f t="shared" si="5"/>
        <v>19110</v>
      </c>
      <c r="L113" s="10">
        <v>775</v>
      </c>
      <c r="M113" s="11" t="s">
        <v>1401</v>
      </c>
      <c r="N113" s="12">
        <v>19126</v>
      </c>
      <c r="O113" s="13" t="s">
        <v>32</v>
      </c>
      <c r="P113" s="14"/>
    </row>
    <row r="114" spans="1:20" x14ac:dyDescent="0.25">
      <c r="A114" s="6"/>
      <c r="B114" s="15">
        <v>44261</v>
      </c>
      <c r="C114" s="8" t="s">
        <v>156</v>
      </c>
      <c r="D114" s="8" t="s">
        <v>1756</v>
      </c>
      <c r="E114" s="9" t="s">
        <v>1757</v>
      </c>
      <c r="F114" s="9" t="s">
        <v>36</v>
      </c>
      <c r="G114" s="17">
        <v>0.43055555555555558</v>
      </c>
      <c r="H114" s="17">
        <v>0.52708333333333335</v>
      </c>
      <c r="I114" s="9">
        <v>10220</v>
      </c>
      <c r="J114" s="9">
        <v>9570</v>
      </c>
      <c r="K114" s="10">
        <f t="shared" si="5"/>
        <v>650</v>
      </c>
      <c r="L114" s="10">
        <v>26561</v>
      </c>
      <c r="M114" s="11" t="s">
        <v>1041</v>
      </c>
      <c r="N114" s="12">
        <v>650</v>
      </c>
      <c r="O114" s="13" t="s">
        <v>32</v>
      </c>
      <c r="P114" s="14"/>
    </row>
    <row r="115" spans="1:20" x14ac:dyDescent="0.25">
      <c r="A115" s="6"/>
      <c r="B115" s="7">
        <v>44261</v>
      </c>
      <c r="C115" s="8" t="s">
        <v>1758</v>
      </c>
      <c r="D115" s="8" t="s">
        <v>94</v>
      </c>
      <c r="E115" s="9" t="s">
        <v>947</v>
      </c>
      <c r="F115" s="9" t="s">
        <v>948</v>
      </c>
      <c r="G115" s="17">
        <v>0.4465277777777778</v>
      </c>
      <c r="H115" s="17">
        <v>0.45763888888888887</v>
      </c>
      <c r="I115" s="9">
        <v>17150</v>
      </c>
      <c r="J115" s="9">
        <v>7420</v>
      </c>
      <c r="K115" s="10">
        <f t="shared" si="5"/>
        <v>9730</v>
      </c>
      <c r="L115" s="10">
        <v>23487</v>
      </c>
      <c r="M115" s="11" t="s">
        <v>965</v>
      </c>
      <c r="N115" s="12">
        <v>9.6</v>
      </c>
      <c r="O115" s="13" t="s">
        <v>855</v>
      </c>
      <c r="P115" s="14"/>
    </row>
    <row r="116" spans="1:20" x14ac:dyDescent="0.25">
      <c r="A116" s="6"/>
      <c r="B116" s="7">
        <v>44261</v>
      </c>
      <c r="C116" s="43" t="s">
        <v>1630</v>
      </c>
      <c r="D116" s="43" t="s">
        <v>464</v>
      </c>
      <c r="E116" s="44" t="s">
        <v>1632</v>
      </c>
      <c r="F116" s="44" t="s">
        <v>266</v>
      </c>
      <c r="G116" s="17">
        <v>0.45069444444444445</v>
      </c>
      <c r="H116" s="17">
        <v>0.4597222222222222</v>
      </c>
      <c r="I116" s="9">
        <v>6100</v>
      </c>
      <c r="J116" s="9">
        <v>5580</v>
      </c>
      <c r="K116" s="10">
        <f>+I116-J116</f>
        <v>520</v>
      </c>
      <c r="L116" s="10" t="s">
        <v>1759</v>
      </c>
      <c r="M116" s="47" t="s">
        <v>1760</v>
      </c>
      <c r="N116" s="12">
        <v>520</v>
      </c>
      <c r="O116" s="13" t="s">
        <v>32</v>
      </c>
      <c r="P116" s="14"/>
    </row>
    <row r="117" spans="1:20" x14ac:dyDescent="0.25">
      <c r="A117" s="6"/>
      <c r="B117" s="7">
        <v>44261</v>
      </c>
      <c r="C117" s="8" t="s">
        <v>1758</v>
      </c>
      <c r="D117" s="8" t="s">
        <v>284</v>
      </c>
      <c r="E117" s="9" t="s">
        <v>1650</v>
      </c>
      <c r="F117" s="9" t="s">
        <v>178</v>
      </c>
      <c r="G117" s="17">
        <v>0.46458333333333335</v>
      </c>
      <c r="H117" s="17">
        <v>0.47986111111111113</v>
      </c>
      <c r="I117" s="9">
        <v>34680</v>
      </c>
      <c r="J117" s="9">
        <v>16440</v>
      </c>
      <c r="K117" s="10">
        <f t="shared" si="5"/>
        <v>18240</v>
      </c>
      <c r="L117" s="10">
        <v>23487</v>
      </c>
      <c r="M117" s="11" t="s">
        <v>965</v>
      </c>
      <c r="N117" s="12">
        <v>18</v>
      </c>
      <c r="O117" s="13" t="s">
        <v>855</v>
      </c>
      <c r="P117" s="14"/>
    </row>
    <row r="118" spans="1:20" x14ac:dyDescent="0.25">
      <c r="A118" s="6"/>
      <c r="B118" s="7">
        <v>44261</v>
      </c>
      <c r="C118" s="8" t="s">
        <v>1668</v>
      </c>
      <c r="D118" s="8" t="s">
        <v>1672</v>
      </c>
      <c r="E118" s="9" t="s">
        <v>881</v>
      </c>
      <c r="F118" s="9" t="s">
        <v>749</v>
      </c>
      <c r="G118" s="17">
        <v>0.4916666666666667</v>
      </c>
      <c r="H118" s="17">
        <v>0.50277777777777777</v>
      </c>
      <c r="I118" s="9">
        <v>33250</v>
      </c>
      <c r="J118" s="9">
        <v>16730</v>
      </c>
      <c r="K118" s="10">
        <f t="shared" si="5"/>
        <v>16520</v>
      </c>
      <c r="L118" s="10">
        <v>23488</v>
      </c>
      <c r="M118" s="11" t="s">
        <v>965</v>
      </c>
      <c r="N118" s="12">
        <v>16.8</v>
      </c>
      <c r="O118" s="13" t="s">
        <v>855</v>
      </c>
      <c r="P118" s="14"/>
      <c r="T118" s="24"/>
    </row>
    <row r="119" spans="1:20" x14ac:dyDescent="0.25">
      <c r="A119" s="6"/>
      <c r="B119" s="7">
        <v>44261</v>
      </c>
      <c r="C119" s="8" t="s">
        <v>1096</v>
      </c>
      <c r="D119" s="8" t="s">
        <v>94</v>
      </c>
      <c r="E119" s="9" t="s">
        <v>947</v>
      </c>
      <c r="F119" s="9" t="s">
        <v>948</v>
      </c>
      <c r="G119" s="17">
        <v>0.52430555555555558</v>
      </c>
      <c r="H119" s="17">
        <v>0.53263888888888888</v>
      </c>
      <c r="I119" s="9">
        <v>8770</v>
      </c>
      <c r="J119" s="9">
        <v>7430</v>
      </c>
      <c r="K119" s="10">
        <f t="shared" si="5"/>
        <v>1340</v>
      </c>
      <c r="L119" s="10">
        <v>23490</v>
      </c>
      <c r="M119" s="11" t="s">
        <v>1761</v>
      </c>
      <c r="N119" s="12">
        <v>1340</v>
      </c>
      <c r="O119" s="13" t="s">
        <v>32</v>
      </c>
      <c r="P119" s="14" t="s">
        <v>1530</v>
      </c>
    </row>
    <row r="120" spans="1:20" x14ac:dyDescent="0.25">
      <c r="A120" s="6"/>
      <c r="B120" s="7">
        <v>44261</v>
      </c>
      <c r="C120" s="8" t="s">
        <v>977</v>
      </c>
      <c r="D120" s="8" t="s">
        <v>880</v>
      </c>
      <c r="E120" s="9" t="s">
        <v>1661</v>
      </c>
      <c r="F120" s="9" t="s">
        <v>1276</v>
      </c>
      <c r="G120" s="17">
        <v>0.52569444444444446</v>
      </c>
      <c r="H120" s="17">
        <v>0.53680555555555554</v>
      </c>
      <c r="I120" s="9">
        <v>29220</v>
      </c>
      <c r="J120" s="9">
        <v>15340</v>
      </c>
      <c r="K120" s="10">
        <f t="shared" si="5"/>
        <v>13880</v>
      </c>
      <c r="L120" s="10">
        <v>23489</v>
      </c>
      <c r="M120" s="11" t="s">
        <v>1762</v>
      </c>
      <c r="N120" s="12">
        <v>13.2</v>
      </c>
      <c r="O120" s="13" t="s">
        <v>855</v>
      </c>
      <c r="P120" s="14"/>
    </row>
    <row r="121" spans="1:20" x14ac:dyDescent="0.25">
      <c r="A121" s="6"/>
      <c r="B121" s="7">
        <v>44261</v>
      </c>
      <c r="C121" s="8" t="s">
        <v>991</v>
      </c>
      <c r="D121" s="8" t="s">
        <v>880</v>
      </c>
      <c r="E121" s="9" t="s">
        <v>1661</v>
      </c>
      <c r="F121" s="9" t="s">
        <v>1276</v>
      </c>
      <c r="G121" s="17">
        <v>0.61249999999999993</v>
      </c>
      <c r="H121" s="17">
        <v>0.62291666666666667</v>
      </c>
      <c r="I121" s="9">
        <v>23490</v>
      </c>
      <c r="J121" s="9">
        <v>15340</v>
      </c>
      <c r="K121" s="10">
        <f t="shared" si="5"/>
        <v>8150</v>
      </c>
      <c r="L121" s="10">
        <v>23491</v>
      </c>
      <c r="M121" s="11" t="s">
        <v>1041</v>
      </c>
      <c r="N121" s="12">
        <v>7.8</v>
      </c>
      <c r="O121" s="13" t="s">
        <v>855</v>
      </c>
      <c r="P121" s="14"/>
    </row>
    <row r="122" spans="1:20" x14ac:dyDescent="0.25">
      <c r="A122" s="6"/>
      <c r="B122" s="7">
        <v>44261</v>
      </c>
      <c r="C122" s="8" t="s">
        <v>991</v>
      </c>
      <c r="D122" s="8" t="s">
        <v>94</v>
      </c>
      <c r="E122" s="9" t="s">
        <v>947</v>
      </c>
      <c r="F122" s="9" t="s">
        <v>948</v>
      </c>
      <c r="G122" s="17">
        <v>0.6166666666666667</v>
      </c>
      <c r="H122" s="17">
        <v>0.625</v>
      </c>
      <c r="I122" s="9">
        <v>8250</v>
      </c>
      <c r="J122" s="9">
        <v>7420</v>
      </c>
      <c r="K122" s="10">
        <f t="shared" si="5"/>
        <v>830</v>
      </c>
      <c r="L122" s="10">
        <v>23492</v>
      </c>
      <c r="M122" s="11" t="s">
        <v>1041</v>
      </c>
      <c r="N122" s="12">
        <v>830</v>
      </c>
      <c r="O122" s="13" t="s">
        <v>32</v>
      </c>
      <c r="P122" s="14" t="s">
        <v>883</v>
      </c>
    </row>
    <row r="123" spans="1:20" x14ac:dyDescent="0.25">
      <c r="A123" s="6"/>
      <c r="B123" s="7">
        <v>44261</v>
      </c>
      <c r="C123" s="8" t="s">
        <v>1369</v>
      </c>
      <c r="D123" s="8" t="s">
        <v>94</v>
      </c>
      <c r="E123" s="9" t="s">
        <v>947</v>
      </c>
      <c r="F123" s="9" t="s">
        <v>948</v>
      </c>
      <c r="G123" s="17">
        <v>0.72638888888888886</v>
      </c>
      <c r="H123" s="17">
        <v>0.73263888888888884</v>
      </c>
      <c r="I123" s="9">
        <v>16640</v>
      </c>
      <c r="J123" s="9">
        <v>7640</v>
      </c>
      <c r="K123" s="10">
        <f t="shared" si="5"/>
        <v>9000</v>
      </c>
      <c r="L123" s="10">
        <v>23493</v>
      </c>
      <c r="M123" s="11" t="s">
        <v>1041</v>
      </c>
      <c r="N123" s="12">
        <v>9</v>
      </c>
      <c r="O123" s="13" t="s">
        <v>855</v>
      </c>
      <c r="P123" s="14"/>
    </row>
    <row r="124" spans="1:20" x14ac:dyDescent="0.25">
      <c r="A124" s="6"/>
      <c r="B124" s="7">
        <v>44261</v>
      </c>
      <c r="C124" s="43" t="s">
        <v>1763</v>
      </c>
      <c r="D124" s="43" t="s">
        <v>464</v>
      </c>
      <c r="E124" s="44" t="s">
        <v>1632</v>
      </c>
      <c r="F124" s="44" t="s">
        <v>266</v>
      </c>
      <c r="G124" s="17">
        <v>0.75</v>
      </c>
      <c r="H124" s="17">
        <v>0.75555555555555554</v>
      </c>
      <c r="I124" s="9">
        <v>7120</v>
      </c>
      <c r="J124" s="9">
        <v>5580</v>
      </c>
      <c r="K124" s="10">
        <f>+I124-J124</f>
        <v>1540</v>
      </c>
      <c r="L124" s="10">
        <v>774</v>
      </c>
      <c r="M124" s="47" t="s">
        <v>1764</v>
      </c>
      <c r="N124" s="12">
        <v>1540</v>
      </c>
      <c r="O124" s="13" t="s">
        <v>32</v>
      </c>
      <c r="P124" s="14"/>
    </row>
    <row r="125" spans="1:20" x14ac:dyDescent="0.25">
      <c r="A125" s="6"/>
      <c r="B125" s="7">
        <v>44261</v>
      </c>
      <c r="C125" s="8" t="s">
        <v>991</v>
      </c>
      <c r="D125" s="8" t="s">
        <v>94</v>
      </c>
      <c r="E125" s="9" t="s">
        <v>947</v>
      </c>
      <c r="F125" s="9" t="s">
        <v>948</v>
      </c>
      <c r="G125" s="17">
        <v>0.80069444444444438</v>
      </c>
      <c r="H125" s="17">
        <v>0.80972222222222223</v>
      </c>
      <c r="I125" s="9">
        <v>8850</v>
      </c>
      <c r="J125" s="9">
        <v>7520</v>
      </c>
      <c r="K125" s="10">
        <f t="shared" si="5"/>
        <v>1330</v>
      </c>
      <c r="L125" s="10">
        <v>23494</v>
      </c>
      <c r="M125" s="11" t="s">
        <v>1765</v>
      </c>
      <c r="N125" s="12">
        <v>1330</v>
      </c>
      <c r="O125" s="13" t="s">
        <v>32</v>
      </c>
      <c r="P125" s="14" t="s">
        <v>1530</v>
      </c>
    </row>
    <row r="126" spans="1:20" x14ac:dyDescent="0.25">
      <c r="A126" s="6"/>
      <c r="B126" s="7">
        <v>44261</v>
      </c>
      <c r="C126" s="8" t="s">
        <v>1766</v>
      </c>
      <c r="D126" s="8" t="s">
        <v>94</v>
      </c>
      <c r="E126" s="9" t="s">
        <v>947</v>
      </c>
      <c r="F126" s="9" t="s">
        <v>948</v>
      </c>
      <c r="G126" s="17">
        <v>0.84444444444444444</v>
      </c>
      <c r="H126" s="17">
        <v>0.85416666666666663</v>
      </c>
      <c r="I126" s="9">
        <v>9480</v>
      </c>
      <c r="J126" s="9">
        <v>7520</v>
      </c>
      <c r="K126" s="10">
        <f t="shared" si="5"/>
        <v>1960</v>
      </c>
      <c r="L126" s="10">
        <v>23495</v>
      </c>
      <c r="M126" s="11" t="s">
        <v>1400</v>
      </c>
      <c r="N126" s="12">
        <v>1960</v>
      </c>
      <c r="O126" s="13" t="s">
        <v>32</v>
      </c>
      <c r="P126" s="14" t="s">
        <v>1767</v>
      </c>
    </row>
    <row r="127" spans="1:20" x14ac:dyDescent="0.25">
      <c r="A127" s="6"/>
      <c r="B127" s="7">
        <v>44261</v>
      </c>
      <c r="C127" s="8" t="s">
        <v>37</v>
      </c>
      <c r="D127" s="8" t="s">
        <v>1696</v>
      </c>
      <c r="E127" s="9" t="s">
        <v>39</v>
      </c>
      <c r="F127" s="9" t="s">
        <v>36</v>
      </c>
      <c r="G127" s="17">
        <v>0.88680555555555562</v>
      </c>
      <c r="H127" s="17">
        <v>0.93472222222222223</v>
      </c>
      <c r="I127" s="9">
        <v>19040</v>
      </c>
      <c r="J127" s="9">
        <v>6300</v>
      </c>
      <c r="K127" s="10">
        <f t="shared" si="5"/>
        <v>12740</v>
      </c>
      <c r="L127" s="10">
        <v>26562</v>
      </c>
      <c r="M127" s="11" t="s">
        <v>1769</v>
      </c>
      <c r="N127" s="12">
        <v>12740</v>
      </c>
      <c r="O127" s="13" t="s">
        <v>683</v>
      </c>
      <c r="P127" s="14"/>
    </row>
    <row r="128" spans="1:20" x14ac:dyDescent="0.25">
      <c r="A128" s="6"/>
      <c r="B128" s="7">
        <v>44261</v>
      </c>
      <c r="C128" s="8" t="s">
        <v>37</v>
      </c>
      <c r="D128" s="8" t="s">
        <v>1001</v>
      </c>
      <c r="E128" s="9" t="s">
        <v>1002</v>
      </c>
      <c r="F128" s="9" t="s">
        <v>36</v>
      </c>
      <c r="G128" s="17">
        <v>0.92083333333333339</v>
      </c>
      <c r="H128" s="17">
        <v>0.9555555555555556</v>
      </c>
      <c r="I128" s="9">
        <v>9785</v>
      </c>
      <c r="J128" s="9">
        <v>4070</v>
      </c>
      <c r="K128" s="10">
        <f t="shared" si="5"/>
        <v>5715</v>
      </c>
      <c r="L128" s="10">
        <v>26563</v>
      </c>
      <c r="M128" s="11" t="s">
        <v>1768</v>
      </c>
      <c r="N128" s="12">
        <v>5715</v>
      </c>
      <c r="O128" s="13" t="s">
        <v>32</v>
      </c>
      <c r="P128" s="14"/>
    </row>
    <row r="129" spans="1:17" x14ac:dyDescent="0.25">
      <c r="A129" s="6"/>
      <c r="B129" s="7">
        <v>44261</v>
      </c>
      <c r="C129" s="8" t="s">
        <v>142</v>
      </c>
      <c r="D129" s="8" t="s">
        <v>1753</v>
      </c>
      <c r="E129" s="9" t="s">
        <v>1754</v>
      </c>
      <c r="F129" s="9" t="s">
        <v>36</v>
      </c>
      <c r="G129" s="17">
        <v>0.9902777777777777</v>
      </c>
      <c r="H129" s="17">
        <v>0.24166666666666667</v>
      </c>
      <c r="I129" s="9">
        <v>19050</v>
      </c>
      <c r="J129" s="9">
        <v>11600</v>
      </c>
      <c r="K129" s="10">
        <f t="shared" si="5"/>
        <v>7450</v>
      </c>
      <c r="L129" s="10">
        <v>776</v>
      </c>
      <c r="M129" s="11" t="s">
        <v>1770</v>
      </c>
      <c r="N129" s="12">
        <v>7578</v>
      </c>
      <c r="O129" s="13" t="s">
        <v>683</v>
      </c>
      <c r="P129" s="40"/>
    </row>
    <row r="130" spans="1:17" x14ac:dyDescent="0.25">
      <c r="A130" s="6"/>
      <c r="B130" s="7">
        <v>44261</v>
      </c>
      <c r="C130" s="8" t="s">
        <v>142</v>
      </c>
      <c r="D130" s="8" t="s">
        <v>1656</v>
      </c>
      <c r="E130" s="9" t="s">
        <v>87</v>
      </c>
      <c r="F130" s="9" t="s">
        <v>88</v>
      </c>
      <c r="G130" s="17">
        <v>3.4722222222222224E-2</v>
      </c>
      <c r="H130" s="17">
        <v>4.7222222222222221E-2</v>
      </c>
      <c r="I130" s="9">
        <v>31720</v>
      </c>
      <c r="J130" s="9">
        <v>17390</v>
      </c>
      <c r="K130" s="10">
        <f t="shared" si="5"/>
        <v>14330</v>
      </c>
      <c r="L130" s="10">
        <v>777</v>
      </c>
      <c r="M130" s="11" t="s">
        <v>257</v>
      </c>
      <c r="N130" s="12">
        <v>14330</v>
      </c>
      <c r="O130" s="13" t="s">
        <v>683</v>
      </c>
      <c r="P130" s="14"/>
    </row>
    <row r="131" spans="1:17" x14ac:dyDescent="0.25">
      <c r="A131" s="6"/>
      <c r="B131" s="15">
        <v>44262</v>
      </c>
      <c r="C131" s="16" t="s">
        <v>294</v>
      </c>
      <c r="D131" s="8" t="s">
        <v>458</v>
      </c>
      <c r="E131" s="9" t="s">
        <v>699</v>
      </c>
      <c r="F131" s="9" t="s">
        <v>459</v>
      </c>
      <c r="G131" s="17">
        <v>0.41319444444444442</v>
      </c>
      <c r="H131" s="17">
        <v>0.70694444444444438</v>
      </c>
      <c r="I131" s="9">
        <v>21760</v>
      </c>
      <c r="J131" s="9">
        <v>8250</v>
      </c>
      <c r="K131" s="10">
        <f t="shared" si="5"/>
        <v>13510</v>
      </c>
      <c r="L131" s="10" t="s">
        <v>1771</v>
      </c>
      <c r="M131" s="11" t="s">
        <v>1437</v>
      </c>
      <c r="N131" s="12">
        <v>22310</v>
      </c>
      <c r="O131" s="13" t="s">
        <v>49</v>
      </c>
      <c r="P131" s="14"/>
    </row>
    <row r="132" spans="1:17" x14ac:dyDescent="0.25">
      <c r="A132" s="6"/>
      <c r="B132" s="7">
        <v>44262</v>
      </c>
      <c r="C132" s="8" t="s">
        <v>1772</v>
      </c>
      <c r="D132" s="8" t="s">
        <v>1773</v>
      </c>
      <c r="E132" s="9" t="s">
        <v>1774</v>
      </c>
      <c r="F132" s="9" t="s">
        <v>1775</v>
      </c>
      <c r="G132" s="17">
        <v>0.46597222222222223</v>
      </c>
      <c r="H132" s="17">
        <v>0.47986111111111113</v>
      </c>
      <c r="I132" s="9">
        <v>17730</v>
      </c>
      <c r="J132" s="9">
        <v>7510</v>
      </c>
      <c r="K132" s="10">
        <f t="shared" si="5"/>
        <v>10220</v>
      </c>
      <c r="L132" s="10" t="s">
        <v>1776</v>
      </c>
      <c r="M132" s="11" t="s">
        <v>1777</v>
      </c>
      <c r="N132" s="12">
        <v>10.199999999999999</v>
      </c>
      <c r="O132" s="13" t="s">
        <v>855</v>
      </c>
      <c r="P132" s="14"/>
    </row>
    <row r="133" spans="1:17" x14ac:dyDescent="0.25">
      <c r="A133" s="6"/>
      <c r="B133" s="7">
        <v>44262</v>
      </c>
      <c r="C133" s="8" t="s">
        <v>1778</v>
      </c>
      <c r="D133" s="8" t="s">
        <v>899</v>
      </c>
      <c r="E133" s="9" t="s">
        <v>490</v>
      </c>
      <c r="F133" s="9" t="s">
        <v>491</v>
      </c>
      <c r="G133" s="17">
        <v>0.49861111111111112</v>
      </c>
      <c r="H133" s="17">
        <v>0.51111111111111118</v>
      </c>
      <c r="I133" s="9">
        <v>35790</v>
      </c>
      <c r="J133" s="9">
        <v>15820</v>
      </c>
      <c r="K133" s="10">
        <f t="shared" si="5"/>
        <v>19970</v>
      </c>
      <c r="L133" s="10" t="s">
        <v>1779</v>
      </c>
      <c r="M133" s="11" t="s">
        <v>1780</v>
      </c>
      <c r="N133" s="12">
        <v>19.8</v>
      </c>
      <c r="O133" s="13" t="s">
        <v>855</v>
      </c>
      <c r="P133" s="14"/>
    </row>
    <row r="134" spans="1:17" x14ac:dyDescent="0.25">
      <c r="A134" s="6"/>
      <c r="B134" s="7">
        <v>44262</v>
      </c>
      <c r="C134" s="8" t="s">
        <v>1781</v>
      </c>
      <c r="D134" s="8" t="s">
        <v>299</v>
      </c>
      <c r="E134" s="9" t="s">
        <v>813</v>
      </c>
      <c r="F134" s="9" t="s">
        <v>814</v>
      </c>
      <c r="G134" s="17">
        <v>0.51041666666666663</v>
      </c>
      <c r="H134" s="17">
        <v>0.51944444444444449</v>
      </c>
      <c r="I134" s="9">
        <v>35480</v>
      </c>
      <c r="J134" s="9">
        <v>14830</v>
      </c>
      <c r="K134" s="10">
        <f t="shared" si="5"/>
        <v>20650</v>
      </c>
      <c r="L134" s="10" t="s">
        <v>1782</v>
      </c>
      <c r="M134" s="11" t="s">
        <v>1783</v>
      </c>
      <c r="N134" s="12">
        <v>20.399999999999999</v>
      </c>
      <c r="O134" s="13" t="s">
        <v>855</v>
      </c>
      <c r="P134" s="14"/>
    </row>
    <row r="135" spans="1:17" x14ac:dyDescent="0.25">
      <c r="A135" s="6"/>
      <c r="B135" s="7">
        <v>44262</v>
      </c>
      <c r="C135" s="8" t="s">
        <v>1417</v>
      </c>
      <c r="D135" s="8" t="s">
        <v>853</v>
      </c>
      <c r="E135" s="9" t="s">
        <v>51</v>
      </c>
      <c r="F135" s="9" t="s">
        <v>52</v>
      </c>
      <c r="G135" s="17">
        <v>0.52361111111111114</v>
      </c>
      <c r="H135" s="17">
        <v>0.53472222222222221</v>
      </c>
      <c r="I135" s="9">
        <v>36750</v>
      </c>
      <c r="J135" s="9">
        <v>16060</v>
      </c>
      <c r="K135" s="10">
        <f t="shared" si="5"/>
        <v>20690</v>
      </c>
      <c r="L135" s="10">
        <v>23500</v>
      </c>
      <c r="M135" s="11" t="s">
        <v>1041</v>
      </c>
      <c r="N135" s="12">
        <v>21</v>
      </c>
      <c r="O135" s="13" t="s">
        <v>855</v>
      </c>
      <c r="P135" s="14"/>
      <c r="Q135" s="19"/>
    </row>
    <row r="136" spans="1:17" x14ac:dyDescent="0.25">
      <c r="A136" s="6"/>
      <c r="B136" s="7">
        <v>44262</v>
      </c>
      <c r="C136" s="8" t="s">
        <v>1062</v>
      </c>
      <c r="D136" s="8" t="s">
        <v>1773</v>
      </c>
      <c r="E136" s="9" t="s">
        <v>1774</v>
      </c>
      <c r="F136" s="9" t="s">
        <v>1775</v>
      </c>
      <c r="G136" s="17">
        <v>0.5541666666666667</v>
      </c>
      <c r="H136" s="17">
        <v>0.57847222222222217</v>
      </c>
      <c r="I136" s="9">
        <v>16700</v>
      </c>
      <c r="J136" s="9">
        <v>7520</v>
      </c>
      <c r="K136" s="10">
        <f t="shared" si="5"/>
        <v>9180</v>
      </c>
      <c r="L136" s="10">
        <v>23501</v>
      </c>
      <c r="M136" s="11" t="s">
        <v>1784</v>
      </c>
      <c r="N136" s="12">
        <v>9.52</v>
      </c>
      <c r="O136" s="13" t="s">
        <v>855</v>
      </c>
      <c r="P136" s="14"/>
    </row>
    <row r="137" spans="1:17" x14ac:dyDescent="0.25">
      <c r="A137" s="6"/>
      <c r="B137" s="7">
        <v>44262</v>
      </c>
      <c r="C137" s="8" t="s">
        <v>1062</v>
      </c>
      <c r="D137" s="8" t="s">
        <v>1355</v>
      </c>
      <c r="E137" s="9" t="s">
        <v>1048</v>
      </c>
      <c r="F137" s="9" t="s">
        <v>526</v>
      </c>
      <c r="G137" s="17">
        <v>0.55972222222222223</v>
      </c>
      <c r="H137" s="17">
        <v>0.57430555555555551</v>
      </c>
      <c r="I137" s="9">
        <v>26370</v>
      </c>
      <c r="J137" s="9">
        <v>17050</v>
      </c>
      <c r="K137" s="10">
        <f t="shared" si="5"/>
        <v>9320</v>
      </c>
      <c r="L137" s="10">
        <v>23501</v>
      </c>
      <c r="M137" s="11" t="s">
        <v>1784</v>
      </c>
      <c r="N137" s="12">
        <v>9.52</v>
      </c>
      <c r="O137" s="13" t="s">
        <v>855</v>
      </c>
      <c r="P137" s="14"/>
    </row>
    <row r="138" spans="1:17" x14ac:dyDescent="0.25">
      <c r="A138" s="6"/>
      <c r="B138" s="7">
        <v>44262</v>
      </c>
      <c r="C138" s="8" t="s">
        <v>1785</v>
      </c>
      <c r="D138" s="8" t="s">
        <v>1773</v>
      </c>
      <c r="E138" s="9" t="s">
        <v>1774</v>
      </c>
      <c r="F138" s="9" t="s">
        <v>1775</v>
      </c>
      <c r="G138" s="17">
        <v>0.64444444444444449</v>
      </c>
      <c r="H138" s="17">
        <v>0.66527777777777775</v>
      </c>
      <c r="I138" s="9">
        <v>16770</v>
      </c>
      <c r="J138" s="9">
        <v>7510</v>
      </c>
      <c r="K138" s="10">
        <f t="shared" si="5"/>
        <v>9260</v>
      </c>
      <c r="L138" s="10">
        <v>23502</v>
      </c>
      <c r="M138" s="11" t="s">
        <v>1786</v>
      </c>
      <c r="N138" s="12">
        <v>9.6</v>
      </c>
      <c r="O138" s="13" t="s">
        <v>855</v>
      </c>
      <c r="P138" s="14"/>
    </row>
    <row r="139" spans="1:17" x14ac:dyDescent="0.25">
      <c r="A139" s="6"/>
      <c r="B139" s="7">
        <v>44262</v>
      </c>
      <c r="C139" s="8" t="s">
        <v>1616</v>
      </c>
      <c r="D139" s="8" t="s">
        <v>1787</v>
      </c>
      <c r="E139" s="9" t="s">
        <v>1788</v>
      </c>
      <c r="F139" s="85" t="s">
        <v>36</v>
      </c>
      <c r="G139" s="17">
        <v>0.8125</v>
      </c>
      <c r="H139" s="17">
        <v>0.86736111111111114</v>
      </c>
      <c r="I139" s="9">
        <v>14355</v>
      </c>
      <c r="J139" s="9">
        <v>4880</v>
      </c>
      <c r="K139" s="10">
        <v>9475</v>
      </c>
      <c r="L139" s="10">
        <v>26565</v>
      </c>
      <c r="M139" s="11" t="s">
        <v>1769</v>
      </c>
      <c r="N139" s="12">
        <v>9475</v>
      </c>
      <c r="O139" s="13" t="s">
        <v>772</v>
      </c>
      <c r="P139" s="14"/>
    </row>
    <row r="140" spans="1:17" x14ac:dyDescent="0.25">
      <c r="A140" s="6"/>
      <c r="B140" s="7">
        <v>44262</v>
      </c>
      <c r="C140" s="8" t="s">
        <v>1789</v>
      </c>
      <c r="D140" s="8" t="s">
        <v>1790</v>
      </c>
      <c r="E140" s="9" t="s">
        <v>1206</v>
      </c>
      <c r="F140" s="9" t="s">
        <v>154</v>
      </c>
      <c r="G140" s="17">
        <v>0.81458333333333333</v>
      </c>
      <c r="H140" s="17">
        <v>0.83333333333333337</v>
      </c>
      <c r="I140" s="9">
        <v>15770</v>
      </c>
      <c r="J140" s="9">
        <v>6670</v>
      </c>
      <c r="K140" s="10">
        <f t="shared" si="5"/>
        <v>9100</v>
      </c>
      <c r="L140" s="10">
        <v>26564</v>
      </c>
      <c r="M140" s="11" t="s">
        <v>1461</v>
      </c>
      <c r="N140" s="12">
        <v>9100</v>
      </c>
      <c r="O140" s="13" t="s">
        <v>32</v>
      </c>
      <c r="P140" s="14"/>
    </row>
    <row r="141" spans="1:17" x14ac:dyDescent="0.25">
      <c r="A141" s="6"/>
      <c r="B141" s="7">
        <v>44262</v>
      </c>
      <c r="C141" s="8" t="s">
        <v>1673</v>
      </c>
      <c r="D141" s="8" t="s">
        <v>1655</v>
      </c>
      <c r="E141" s="9" t="s">
        <v>628</v>
      </c>
      <c r="F141" s="9" t="s">
        <v>629</v>
      </c>
      <c r="G141" s="17">
        <v>0.91111111111111109</v>
      </c>
      <c r="H141" s="17">
        <v>0.91736111111111107</v>
      </c>
      <c r="I141" s="9">
        <v>14270</v>
      </c>
      <c r="J141" s="9">
        <v>4570</v>
      </c>
      <c r="K141" s="10">
        <f t="shared" ref="K141:K207" si="6">+I141-J141</f>
        <v>9700</v>
      </c>
      <c r="L141" s="10">
        <v>26566</v>
      </c>
      <c r="M141" s="11" t="s">
        <v>1791</v>
      </c>
      <c r="N141" s="12">
        <v>9700</v>
      </c>
      <c r="O141" s="13" t="s">
        <v>683</v>
      </c>
      <c r="P141" s="14"/>
    </row>
    <row r="142" spans="1:17" x14ac:dyDescent="0.25">
      <c r="A142" s="6"/>
      <c r="B142" s="7">
        <v>44263</v>
      </c>
      <c r="C142" s="8" t="s">
        <v>1793</v>
      </c>
      <c r="D142" s="8" t="s">
        <v>458</v>
      </c>
      <c r="E142" s="9" t="s">
        <v>699</v>
      </c>
      <c r="F142" s="9" t="s">
        <v>459</v>
      </c>
      <c r="G142" s="17">
        <v>0.14097222222222222</v>
      </c>
      <c r="H142" s="17">
        <v>0.27777777777777779</v>
      </c>
      <c r="I142" s="9">
        <v>14940</v>
      </c>
      <c r="J142" s="9">
        <v>6640</v>
      </c>
      <c r="K142" s="10">
        <f t="shared" si="6"/>
        <v>8300</v>
      </c>
      <c r="L142" s="10" t="s">
        <v>1792</v>
      </c>
      <c r="M142" s="11" t="s">
        <v>48</v>
      </c>
      <c r="N142" s="12">
        <v>14392</v>
      </c>
      <c r="O142" s="13" t="s">
        <v>49</v>
      </c>
      <c r="P142" s="14"/>
    </row>
    <row r="143" spans="1:17" x14ac:dyDescent="0.25">
      <c r="A143" s="6"/>
      <c r="B143" s="15">
        <v>44263</v>
      </c>
      <c r="C143" s="16" t="s">
        <v>469</v>
      </c>
      <c r="D143" s="8" t="s">
        <v>853</v>
      </c>
      <c r="E143" s="9" t="s">
        <v>51</v>
      </c>
      <c r="F143" s="9" t="s">
        <v>52</v>
      </c>
      <c r="G143" s="17">
        <v>0.34097222222222223</v>
      </c>
      <c r="H143" s="17">
        <v>0.41944444444444445</v>
      </c>
      <c r="I143" s="9">
        <v>17830</v>
      </c>
      <c r="J143" s="9">
        <v>37910</v>
      </c>
      <c r="K143" s="10">
        <f t="shared" si="6"/>
        <v>-20080</v>
      </c>
      <c r="L143" s="10">
        <v>58222</v>
      </c>
      <c r="M143" s="11" t="s">
        <v>664</v>
      </c>
      <c r="N143" s="12">
        <v>5779</v>
      </c>
      <c r="O143" s="13" t="s">
        <v>84</v>
      </c>
      <c r="P143" s="14"/>
    </row>
    <row r="144" spans="1:17" x14ac:dyDescent="0.25">
      <c r="A144" s="6"/>
      <c r="B144" s="7">
        <v>44263</v>
      </c>
      <c r="C144" s="8" t="s">
        <v>164</v>
      </c>
      <c r="D144" s="8" t="s">
        <v>299</v>
      </c>
      <c r="E144" s="9" t="s">
        <v>813</v>
      </c>
      <c r="F144" s="9" t="s">
        <v>814</v>
      </c>
      <c r="G144" s="17">
        <v>0.36874999999999997</v>
      </c>
      <c r="H144" s="17">
        <v>0.41736111111111113</v>
      </c>
      <c r="I144" s="9">
        <v>16260</v>
      </c>
      <c r="J144" s="9">
        <v>41620</v>
      </c>
      <c r="K144" s="10">
        <f t="shared" si="6"/>
        <v>-25360</v>
      </c>
      <c r="L144" s="10">
        <v>15875</v>
      </c>
      <c r="M144" s="11" t="s">
        <v>53</v>
      </c>
      <c r="N144" s="12">
        <v>506</v>
      </c>
      <c r="O144" s="13" t="s">
        <v>1099</v>
      </c>
      <c r="P144" s="14"/>
    </row>
    <row r="145" spans="1:16" x14ac:dyDescent="0.25">
      <c r="A145" s="6"/>
      <c r="B145" s="7">
        <v>44263</v>
      </c>
      <c r="C145" s="8" t="s">
        <v>164</v>
      </c>
      <c r="D145" s="8" t="s">
        <v>1355</v>
      </c>
      <c r="E145" s="9" t="s">
        <v>1048</v>
      </c>
      <c r="F145" s="9" t="s">
        <v>526</v>
      </c>
      <c r="G145" s="17">
        <v>0.37986111111111115</v>
      </c>
      <c r="H145" s="17">
        <v>0.44027777777777777</v>
      </c>
      <c r="I145" s="9">
        <v>19160</v>
      </c>
      <c r="J145" s="9">
        <v>44420</v>
      </c>
      <c r="K145" s="10">
        <f t="shared" si="6"/>
        <v>-25260</v>
      </c>
      <c r="L145" s="10">
        <v>15876</v>
      </c>
      <c r="M145" s="11" t="s">
        <v>53</v>
      </c>
      <c r="N145" s="12">
        <v>504</v>
      </c>
      <c r="O145" s="13" t="s">
        <v>1099</v>
      </c>
      <c r="P145" s="14"/>
    </row>
    <row r="146" spans="1:16" x14ac:dyDescent="0.25">
      <c r="A146" s="6"/>
      <c r="B146" s="7">
        <v>44263</v>
      </c>
      <c r="C146" s="8" t="s">
        <v>1186</v>
      </c>
      <c r="D146" s="8" t="s">
        <v>880</v>
      </c>
      <c r="E146" s="9" t="s">
        <v>1661</v>
      </c>
      <c r="F146" s="9" t="s">
        <v>1276</v>
      </c>
      <c r="G146" s="17">
        <v>0.41597222222222219</v>
      </c>
      <c r="H146" s="17">
        <v>0.42430555555555555</v>
      </c>
      <c r="I146" s="9">
        <v>27970</v>
      </c>
      <c r="J146" s="9">
        <v>15330</v>
      </c>
      <c r="K146" s="10">
        <f t="shared" si="6"/>
        <v>12640</v>
      </c>
      <c r="L146" s="10">
        <v>23503</v>
      </c>
      <c r="M146" s="11" t="s">
        <v>965</v>
      </c>
      <c r="N146" s="12">
        <v>12</v>
      </c>
      <c r="O146" s="13" t="s">
        <v>855</v>
      </c>
      <c r="P146" s="14"/>
    </row>
    <row r="147" spans="1:16" x14ac:dyDescent="0.25">
      <c r="A147" s="6"/>
      <c r="B147" s="7">
        <v>44263</v>
      </c>
      <c r="C147" s="8" t="s">
        <v>1668</v>
      </c>
      <c r="D147" s="8" t="s">
        <v>94</v>
      </c>
      <c r="E147" s="9" t="s">
        <v>1774</v>
      </c>
      <c r="F147" s="9" t="s">
        <v>1775</v>
      </c>
      <c r="G147" s="17">
        <v>0.43611111111111112</v>
      </c>
      <c r="H147" s="17">
        <v>0.4465277777777778</v>
      </c>
      <c r="I147" s="9">
        <v>10640</v>
      </c>
      <c r="J147" s="9">
        <v>7490</v>
      </c>
      <c r="K147" s="10">
        <f t="shared" si="6"/>
        <v>3150</v>
      </c>
      <c r="L147" s="10">
        <v>23504</v>
      </c>
      <c r="M147" s="11" t="s">
        <v>1482</v>
      </c>
      <c r="N147" s="12">
        <v>3</v>
      </c>
      <c r="O147" s="13" t="s">
        <v>855</v>
      </c>
      <c r="P147" s="14"/>
    </row>
    <row r="148" spans="1:16" x14ac:dyDescent="0.25">
      <c r="A148" s="6"/>
      <c r="B148" s="7">
        <v>44263</v>
      </c>
      <c r="C148" s="8" t="s">
        <v>1096</v>
      </c>
      <c r="D148" s="8" t="s">
        <v>1794</v>
      </c>
      <c r="E148" s="9" t="s">
        <v>628</v>
      </c>
      <c r="F148" s="9" t="s">
        <v>629</v>
      </c>
      <c r="G148" s="17">
        <v>0.45277777777777778</v>
      </c>
      <c r="H148" s="17">
        <v>0.46249999999999997</v>
      </c>
      <c r="I148" s="9">
        <v>15220</v>
      </c>
      <c r="J148" s="9">
        <v>9690</v>
      </c>
      <c r="K148" s="10">
        <f t="shared" si="6"/>
        <v>5530</v>
      </c>
      <c r="L148" s="10">
        <v>23505</v>
      </c>
      <c r="M148" s="11" t="s">
        <v>1795</v>
      </c>
      <c r="N148" s="12">
        <v>6</v>
      </c>
      <c r="O148" s="13" t="s">
        <v>855</v>
      </c>
      <c r="P148" s="14"/>
    </row>
    <row r="149" spans="1:16" x14ac:dyDescent="0.25">
      <c r="A149" s="6"/>
      <c r="B149" s="7">
        <v>44263</v>
      </c>
      <c r="C149" s="8" t="s">
        <v>1062</v>
      </c>
      <c r="D149" s="8" t="s">
        <v>1672</v>
      </c>
      <c r="E149" s="9" t="s">
        <v>881</v>
      </c>
      <c r="F149" s="9" t="s">
        <v>749</v>
      </c>
      <c r="G149" s="17">
        <v>0.47569444444444442</v>
      </c>
      <c r="H149" s="17">
        <v>0.48472222222222222</v>
      </c>
      <c r="I149" s="9">
        <v>37260</v>
      </c>
      <c r="J149" s="9">
        <v>16740</v>
      </c>
      <c r="K149" s="10">
        <f t="shared" si="6"/>
        <v>20520</v>
      </c>
      <c r="L149" s="10">
        <v>23506</v>
      </c>
      <c r="M149" s="11" t="s">
        <v>1041</v>
      </c>
      <c r="N149" s="12">
        <v>21.6</v>
      </c>
      <c r="O149" s="13" t="s">
        <v>855</v>
      </c>
      <c r="P149" s="14"/>
    </row>
    <row r="150" spans="1:16" x14ac:dyDescent="0.25">
      <c r="A150" s="6"/>
      <c r="B150" s="7">
        <v>44263</v>
      </c>
      <c r="C150" s="8" t="s">
        <v>164</v>
      </c>
      <c r="D150" s="8" t="s">
        <v>299</v>
      </c>
      <c r="E150" s="9" t="s">
        <v>813</v>
      </c>
      <c r="F150" s="9" t="s">
        <v>814</v>
      </c>
      <c r="G150" s="17">
        <v>0.4770833333333333</v>
      </c>
      <c r="H150" s="17">
        <v>0.50763888888888886</v>
      </c>
      <c r="I150" s="9">
        <v>16270</v>
      </c>
      <c r="J150" s="9">
        <v>41560</v>
      </c>
      <c r="K150" s="10">
        <f t="shared" si="6"/>
        <v>-25290</v>
      </c>
      <c r="L150" s="10">
        <v>15877</v>
      </c>
      <c r="M150" s="11" t="s">
        <v>166</v>
      </c>
      <c r="N150" s="12">
        <v>504</v>
      </c>
      <c r="O150" s="13" t="s">
        <v>1099</v>
      </c>
      <c r="P150" s="14"/>
    </row>
    <row r="151" spans="1:16" x14ac:dyDescent="0.25">
      <c r="A151" s="6"/>
      <c r="B151" s="7">
        <v>44263</v>
      </c>
      <c r="C151" s="8" t="s">
        <v>310</v>
      </c>
      <c r="D151" s="8" t="s">
        <v>311</v>
      </c>
      <c r="E151" s="9" t="s">
        <v>312</v>
      </c>
      <c r="F151" s="9" t="s">
        <v>36</v>
      </c>
      <c r="G151" s="17">
        <v>0.50347222222222221</v>
      </c>
      <c r="H151" s="17">
        <v>0.50972222222222219</v>
      </c>
      <c r="I151" s="9">
        <v>4320</v>
      </c>
      <c r="J151" s="9">
        <v>3270</v>
      </c>
      <c r="K151" s="10">
        <f t="shared" ref="K151" si="7">+I151-J151</f>
        <v>1050</v>
      </c>
      <c r="L151" s="10">
        <v>11054</v>
      </c>
      <c r="M151" s="11" t="s">
        <v>1797</v>
      </c>
      <c r="N151" s="12">
        <v>1050</v>
      </c>
      <c r="O151" s="13" t="s">
        <v>32</v>
      </c>
      <c r="P151" s="14"/>
    </row>
    <row r="152" spans="1:16" x14ac:dyDescent="0.25">
      <c r="A152" s="6"/>
      <c r="B152" s="7">
        <v>44263</v>
      </c>
      <c r="C152" s="8" t="s">
        <v>1796</v>
      </c>
      <c r="D152" s="8" t="s">
        <v>899</v>
      </c>
      <c r="E152" s="9" t="s">
        <v>490</v>
      </c>
      <c r="F152" s="9" t="s">
        <v>491</v>
      </c>
      <c r="G152" s="17">
        <v>0.50624999999999998</v>
      </c>
      <c r="H152" s="17">
        <v>0.52569444444444446</v>
      </c>
      <c r="I152" s="9">
        <v>30060</v>
      </c>
      <c r="J152" s="9">
        <v>15970</v>
      </c>
      <c r="K152" s="10">
        <f t="shared" si="6"/>
        <v>14090</v>
      </c>
      <c r="L152" s="10" t="s">
        <v>1798</v>
      </c>
      <c r="M152" s="11" t="s">
        <v>1799</v>
      </c>
      <c r="N152" s="12">
        <v>14.4</v>
      </c>
      <c r="O152" s="13" t="s">
        <v>855</v>
      </c>
      <c r="P152" s="14"/>
    </row>
    <row r="153" spans="1:16" x14ac:dyDescent="0.25">
      <c r="A153" s="6"/>
      <c r="B153" s="7">
        <v>44263</v>
      </c>
      <c r="C153" s="8" t="s">
        <v>164</v>
      </c>
      <c r="D153" s="8" t="s">
        <v>1355</v>
      </c>
      <c r="E153" s="9" t="s">
        <v>1048</v>
      </c>
      <c r="F153" s="9" t="s">
        <v>526</v>
      </c>
      <c r="G153" s="17">
        <v>0.54166666666666663</v>
      </c>
      <c r="H153" s="17">
        <v>0.57222222222222219</v>
      </c>
      <c r="I153" s="9">
        <v>45730</v>
      </c>
      <c r="J153" s="9">
        <v>19510</v>
      </c>
      <c r="K153" s="10">
        <f t="shared" si="6"/>
        <v>26220</v>
      </c>
      <c r="L153" s="10">
        <v>15638</v>
      </c>
      <c r="M153" s="11" t="s">
        <v>398</v>
      </c>
      <c r="N153" s="12">
        <v>521</v>
      </c>
      <c r="O153" s="13" t="s">
        <v>1099</v>
      </c>
      <c r="P153" s="14"/>
    </row>
    <row r="154" spans="1:16" x14ac:dyDescent="0.25">
      <c r="A154" s="6"/>
      <c r="B154" s="7">
        <v>44263</v>
      </c>
      <c r="C154" s="8" t="s">
        <v>1800</v>
      </c>
      <c r="D154" s="8" t="s">
        <v>284</v>
      </c>
      <c r="E154" s="9" t="s">
        <v>1650</v>
      </c>
      <c r="F154" s="9" t="s">
        <v>178</v>
      </c>
      <c r="G154" s="17">
        <v>0.5444444444444444</v>
      </c>
      <c r="H154" s="17">
        <v>0.56111111111111112</v>
      </c>
      <c r="I154" s="9">
        <v>37000</v>
      </c>
      <c r="J154" s="9">
        <v>16420</v>
      </c>
      <c r="K154" s="10">
        <f t="shared" si="6"/>
        <v>20580</v>
      </c>
      <c r="L154" s="10" t="s">
        <v>1801</v>
      </c>
      <c r="M154" s="11" t="s">
        <v>1802</v>
      </c>
      <c r="N154" s="12">
        <v>21.6</v>
      </c>
      <c r="O154" s="13" t="s">
        <v>855</v>
      </c>
      <c r="P154" s="14"/>
    </row>
    <row r="155" spans="1:16" x14ac:dyDescent="0.25">
      <c r="A155" s="6"/>
      <c r="B155" s="7">
        <v>44263</v>
      </c>
      <c r="C155" s="8" t="s">
        <v>1042</v>
      </c>
      <c r="D155" s="8" t="s">
        <v>880</v>
      </c>
      <c r="E155" s="9" t="s">
        <v>1661</v>
      </c>
      <c r="F155" s="9" t="s">
        <v>1276</v>
      </c>
      <c r="G155" s="17">
        <v>0.54513888888888895</v>
      </c>
      <c r="H155" s="17">
        <v>0.55902777777777779</v>
      </c>
      <c r="I155" s="9">
        <v>36330</v>
      </c>
      <c r="J155" s="9">
        <v>15340</v>
      </c>
      <c r="K155" s="10">
        <f t="shared" si="6"/>
        <v>20990</v>
      </c>
      <c r="L155" s="10">
        <v>23509</v>
      </c>
      <c r="M155" s="11" t="s">
        <v>1041</v>
      </c>
      <c r="N155" s="12">
        <v>21.6</v>
      </c>
      <c r="O155" s="13" t="s">
        <v>855</v>
      </c>
      <c r="P155" s="14"/>
    </row>
    <row r="156" spans="1:16" x14ac:dyDescent="0.25">
      <c r="A156" s="6"/>
      <c r="B156" s="7">
        <v>44263</v>
      </c>
      <c r="C156" s="8" t="s">
        <v>1042</v>
      </c>
      <c r="D156" s="8" t="s">
        <v>1794</v>
      </c>
      <c r="E156" s="9" t="s">
        <v>628</v>
      </c>
      <c r="F156" s="9" t="s">
        <v>629</v>
      </c>
      <c r="G156" s="17">
        <v>0.54861111111111105</v>
      </c>
      <c r="H156" s="17">
        <v>0.55486111111111114</v>
      </c>
      <c r="I156" s="9">
        <v>21690</v>
      </c>
      <c r="J156" s="9">
        <v>9690</v>
      </c>
      <c r="K156" s="10">
        <f t="shared" si="6"/>
        <v>12000</v>
      </c>
      <c r="L156" s="10">
        <v>23509</v>
      </c>
      <c r="M156" s="11" t="s">
        <v>1041</v>
      </c>
      <c r="N156" s="12">
        <v>12</v>
      </c>
      <c r="O156" s="13" t="s">
        <v>855</v>
      </c>
      <c r="P156" s="14"/>
    </row>
    <row r="157" spans="1:16" x14ac:dyDescent="0.25">
      <c r="A157" s="6"/>
      <c r="B157" s="7">
        <v>44263</v>
      </c>
      <c r="C157" s="8" t="s">
        <v>1803</v>
      </c>
      <c r="D157" s="8" t="s">
        <v>1804</v>
      </c>
      <c r="E157" s="9" t="s">
        <v>1805</v>
      </c>
      <c r="F157" s="9" t="s">
        <v>1806</v>
      </c>
      <c r="G157" s="17">
        <v>0.57500000000000007</v>
      </c>
      <c r="H157" s="17">
        <v>0.60277777777777775</v>
      </c>
      <c r="I157" s="9">
        <v>3730</v>
      </c>
      <c r="J157" s="9">
        <v>7680</v>
      </c>
      <c r="K157" s="10">
        <f t="shared" si="6"/>
        <v>-3950</v>
      </c>
      <c r="L157" s="10">
        <v>15878</v>
      </c>
      <c r="M157" s="11" t="s">
        <v>1809</v>
      </c>
      <c r="N157" s="12">
        <v>3950</v>
      </c>
      <c r="O157" s="13" t="s">
        <v>32</v>
      </c>
      <c r="P157" s="14"/>
    </row>
    <row r="158" spans="1:16" x14ac:dyDescent="0.25">
      <c r="A158" s="6"/>
      <c r="B158" s="7">
        <v>44263</v>
      </c>
      <c r="C158" s="8" t="s">
        <v>1670</v>
      </c>
      <c r="D158" s="8" t="s">
        <v>1184</v>
      </c>
      <c r="E158" s="9" t="s">
        <v>1247</v>
      </c>
      <c r="F158" s="9" t="s">
        <v>1806</v>
      </c>
      <c r="G158" s="17">
        <v>0.57777777777777783</v>
      </c>
      <c r="H158" s="17">
        <v>0.80347222222222225</v>
      </c>
      <c r="I158" s="9">
        <v>17820</v>
      </c>
      <c r="J158" s="9">
        <v>38440</v>
      </c>
      <c r="K158" s="10">
        <f t="shared" ref="K158:K159" si="8">+I158-J158</f>
        <v>-20620</v>
      </c>
      <c r="L158" s="10">
        <v>5826</v>
      </c>
      <c r="M158" s="11" t="s">
        <v>53</v>
      </c>
      <c r="N158" s="12">
        <v>400</v>
      </c>
      <c r="O158" s="13" t="s">
        <v>1099</v>
      </c>
      <c r="P158" s="14" t="s">
        <v>1817</v>
      </c>
    </row>
    <row r="159" spans="1:16" x14ac:dyDescent="0.25">
      <c r="A159" s="6"/>
      <c r="B159" s="7">
        <v>44263</v>
      </c>
      <c r="C159" s="8" t="s">
        <v>1670</v>
      </c>
      <c r="D159" s="8" t="s">
        <v>917</v>
      </c>
      <c r="E159" s="9" t="s">
        <v>918</v>
      </c>
      <c r="F159" s="9" t="s">
        <v>1806</v>
      </c>
      <c r="G159" s="17">
        <v>0.58124999999999993</v>
      </c>
      <c r="H159" s="17">
        <v>0.67708333333333337</v>
      </c>
      <c r="I159" s="9">
        <v>17180</v>
      </c>
      <c r="J159" s="9">
        <v>37280</v>
      </c>
      <c r="K159" s="10">
        <f t="shared" si="8"/>
        <v>-20100</v>
      </c>
      <c r="L159" s="10">
        <v>5824</v>
      </c>
      <c r="M159" s="11" t="s">
        <v>53</v>
      </c>
      <c r="N159" s="12">
        <v>400</v>
      </c>
      <c r="O159" s="13" t="s">
        <v>1099</v>
      </c>
      <c r="P159" s="14"/>
    </row>
    <row r="160" spans="1:16" x14ac:dyDescent="0.25">
      <c r="A160" s="6"/>
      <c r="B160" s="7">
        <v>44263</v>
      </c>
      <c r="C160" s="8" t="s">
        <v>1807</v>
      </c>
      <c r="D160" s="8" t="s">
        <v>1652</v>
      </c>
      <c r="E160" s="9" t="s">
        <v>144</v>
      </c>
      <c r="F160" s="9" t="s">
        <v>626</v>
      </c>
      <c r="G160" s="17">
        <v>0.58194444444444449</v>
      </c>
      <c r="H160" s="17">
        <v>0.59930555555555554</v>
      </c>
      <c r="I160" s="9">
        <v>37710</v>
      </c>
      <c r="J160" s="9">
        <v>15750</v>
      </c>
      <c r="K160" s="10">
        <f t="shared" si="6"/>
        <v>21960</v>
      </c>
      <c r="L160" s="10" t="s">
        <v>1808</v>
      </c>
      <c r="M160" s="11" t="s">
        <v>1041</v>
      </c>
      <c r="N160" s="12">
        <v>22.2</v>
      </c>
      <c r="O160" s="13" t="s">
        <v>855</v>
      </c>
      <c r="P160" s="14"/>
    </row>
    <row r="161" spans="1:21" x14ac:dyDescent="0.25">
      <c r="A161" s="6"/>
      <c r="B161" s="7">
        <v>44263</v>
      </c>
      <c r="C161" s="8" t="s">
        <v>977</v>
      </c>
      <c r="D161" s="8" t="s">
        <v>1672</v>
      </c>
      <c r="E161" s="9" t="s">
        <v>881</v>
      </c>
      <c r="F161" s="9" t="s">
        <v>749</v>
      </c>
      <c r="G161" s="17">
        <v>0.5854166666666667</v>
      </c>
      <c r="H161" s="17">
        <v>0.61111111111111105</v>
      </c>
      <c r="I161" s="9">
        <v>37610</v>
      </c>
      <c r="J161" s="9">
        <v>16700</v>
      </c>
      <c r="K161" s="10">
        <f t="shared" si="6"/>
        <v>20910</v>
      </c>
      <c r="L161" s="10">
        <v>23510</v>
      </c>
      <c r="M161" s="11" t="s">
        <v>1041</v>
      </c>
      <c r="N161" s="12">
        <v>21.6</v>
      </c>
      <c r="O161" s="13" t="s">
        <v>855</v>
      </c>
      <c r="P161" s="14"/>
    </row>
    <row r="162" spans="1:21" x14ac:dyDescent="0.25">
      <c r="A162" s="6"/>
      <c r="B162" s="7">
        <v>44263</v>
      </c>
      <c r="C162" s="8" t="s">
        <v>1096</v>
      </c>
      <c r="D162" s="8" t="s">
        <v>94</v>
      </c>
      <c r="E162" s="9" t="s">
        <v>1774</v>
      </c>
      <c r="F162" s="9" t="s">
        <v>1775</v>
      </c>
      <c r="G162" s="17">
        <v>0.58680555555555558</v>
      </c>
      <c r="H162" s="17">
        <v>0.59722222222222221</v>
      </c>
      <c r="I162" s="9">
        <v>8570</v>
      </c>
      <c r="J162" s="9">
        <v>7490</v>
      </c>
      <c r="K162" s="10">
        <f t="shared" si="6"/>
        <v>1080</v>
      </c>
      <c r="L162" s="10">
        <v>23511</v>
      </c>
      <c r="M162" s="11" t="s">
        <v>1548</v>
      </c>
      <c r="N162" s="12">
        <v>1080</v>
      </c>
      <c r="O162" s="13" t="s">
        <v>32</v>
      </c>
      <c r="P162" s="14" t="s">
        <v>1810</v>
      </c>
    </row>
    <row r="163" spans="1:21" x14ac:dyDescent="0.25">
      <c r="A163" s="6"/>
      <c r="B163" s="7">
        <v>44263</v>
      </c>
      <c r="C163" s="8" t="s">
        <v>977</v>
      </c>
      <c r="D163" s="8" t="s">
        <v>899</v>
      </c>
      <c r="E163" s="9" t="s">
        <v>490</v>
      </c>
      <c r="F163" s="9" t="s">
        <v>491</v>
      </c>
      <c r="G163" s="17">
        <v>0.59513888888888888</v>
      </c>
      <c r="H163" s="17">
        <v>0.60902777777777783</v>
      </c>
      <c r="I163" s="9">
        <v>37060</v>
      </c>
      <c r="J163" s="9">
        <v>15950</v>
      </c>
      <c r="K163" s="10">
        <f t="shared" si="6"/>
        <v>21110</v>
      </c>
      <c r="L163" s="10">
        <v>23510</v>
      </c>
      <c r="M163" s="11" t="s">
        <v>1041</v>
      </c>
      <c r="N163" s="12">
        <v>21.6</v>
      </c>
      <c r="O163" s="13" t="s">
        <v>855</v>
      </c>
      <c r="P163" s="14"/>
    </row>
    <row r="164" spans="1:21" x14ac:dyDescent="0.25">
      <c r="A164" s="6"/>
      <c r="B164" s="7">
        <v>44263</v>
      </c>
      <c r="C164" s="8" t="s">
        <v>977</v>
      </c>
      <c r="D164" s="8" t="s">
        <v>284</v>
      </c>
      <c r="E164" s="9" t="s">
        <v>1650</v>
      </c>
      <c r="F164" s="9" t="s">
        <v>178</v>
      </c>
      <c r="G164" s="17">
        <v>0.61458333333333337</v>
      </c>
      <c r="H164" s="17">
        <v>0.62986111111111109</v>
      </c>
      <c r="I164" s="9">
        <v>38640</v>
      </c>
      <c r="J164" s="9">
        <v>16410</v>
      </c>
      <c r="K164" s="10">
        <f t="shared" si="6"/>
        <v>22230</v>
      </c>
      <c r="L164" s="10">
        <v>23510</v>
      </c>
      <c r="M164" s="11" t="s">
        <v>1041</v>
      </c>
      <c r="N164" s="12">
        <v>22.2</v>
      </c>
      <c r="O164" s="13" t="s">
        <v>855</v>
      </c>
      <c r="P164" s="14"/>
      <c r="Q164" s="2"/>
    </row>
    <row r="165" spans="1:21" x14ac:dyDescent="0.25">
      <c r="A165" s="6"/>
      <c r="B165" s="7">
        <v>44263</v>
      </c>
      <c r="C165" s="8" t="s">
        <v>1811</v>
      </c>
      <c r="D165" s="8" t="s">
        <v>1794</v>
      </c>
      <c r="E165" s="9" t="s">
        <v>628</v>
      </c>
      <c r="F165" s="9" t="s">
        <v>629</v>
      </c>
      <c r="G165" s="17">
        <v>0.65</v>
      </c>
      <c r="H165" s="17">
        <v>0.65625</v>
      </c>
      <c r="I165" s="9">
        <v>21530</v>
      </c>
      <c r="J165" s="9">
        <v>9680</v>
      </c>
      <c r="K165" s="10">
        <f t="shared" si="6"/>
        <v>11850</v>
      </c>
      <c r="L165" s="10">
        <v>23512</v>
      </c>
      <c r="M165" s="11" t="s">
        <v>965</v>
      </c>
      <c r="N165" s="12">
        <v>12</v>
      </c>
      <c r="O165" s="13" t="s">
        <v>855</v>
      </c>
      <c r="P165" s="14"/>
      <c r="R165" s="1">
        <v>20620</v>
      </c>
      <c r="S165" s="1">
        <f>+R165-20080</f>
        <v>540</v>
      </c>
    </row>
    <row r="166" spans="1:21" x14ac:dyDescent="0.25">
      <c r="A166" s="6"/>
      <c r="B166" s="7">
        <v>44263</v>
      </c>
      <c r="C166" s="8" t="s">
        <v>1812</v>
      </c>
      <c r="D166" s="8" t="s">
        <v>1813</v>
      </c>
      <c r="E166" s="9" t="s">
        <v>1814</v>
      </c>
      <c r="F166" s="9" t="s">
        <v>338</v>
      </c>
      <c r="G166" s="17">
        <v>0.66527777777777775</v>
      </c>
      <c r="H166" s="17">
        <v>0.6972222222222223</v>
      </c>
      <c r="I166" s="9">
        <v>9490</v>
      </c>
      <c r="J166" s="9">
        <v>5570</v>
      </c>
      <c r="K166" s="10">
        <f t="shared" si="6"/>
        <v>3920</v>
      </c>
      <c r="L166" s="10">
        <v>26567</v>
      </c>
      <c r="M166" s="11" t="s">
        <v>965</v>
      </c>
      <c r="N166" s="12">
        <v>3920</v>
      </c>
      <c r="O166" s="13" t="s">
        <v>32</v>
      </c>
      <c r="P166" s="14"/>
    </row>
    <row r="167" spans="1:21" x14ac:dyDescent="0.25">
      <c r="A167" s="6"/>
      <c r="B167" s="7">
        <v>44263</v>
      </c>
      <c r="C167" s="8" t="s">
        <v>1811</v>
      </c>
      <c r="D167" s="8" t="s">
        <v>1672</v>
      </c>
      <c r="E167" s="9" t="s">
        <v>881</v>
      </c>
      <c r="F167" s="9" t="s">
        <v>749</v>
      </c>
      <c r="G167" s="17">
        <v>0.66597222222222219</v>
      </c>
      <c r="H167" s="17">
        <v>0.67152777777777783</v>
      </c>
      <c r="I167" s="9">
        <v>18220</v>
      </c>
      <c r="J167" s="9">
        <v>16690</v>
      </c>
      <c r="K167" s="10">
        <f t="shared" si="6"/>
        <v>1530</v>
      </c>
      <c r="L167" s="10">
        <v>23512</v>
      </c>
      <c r="M167" s="11" t="s">
        <v>965</v>
      </c>
      <c r="N167" s="12">
        <v>1.2</v>
      </c>
      <c r="O167" s="13" t="s">
        <v>855</v>
      </c>
      <c r="P167" s="14"/>
      <c r="U167" s="23"/>
    </row>
    <row r="168" spans="1:21" x14ac:dyDescent="0.25">
      <c r="A168" s="6"/>
      <c r="B168" s="7">
        <v>44263</v>
      </c>
      <c r="C168" s="8" t="s">
        <v>1534</v>
      </c>
      <c r="D168" s="8" t="s">
        <v>1084</v>
      </c>
      <c r="E168" s="9" t="s">
        <v>502</v>
      </c>
      <c r="F168" s="9" t="s">
        <v>1647</v>
      </c>
      <c r="G168" s="17">
        <v>0.66736111111111107</v>
      </c>
      <c r="H168" s="17">
        <v>0.68194444444444446</v>
      </c>
      <c r="I168" s="9">
        <v>6760</v>
      </c>
      <c r="J168" s="9">
        <v>5580</v>
      </c>
      <c r="K168" s="10">
        <f t="shared" si="6"/>
        <v>1180</v>
      </c>
      <c r="L168" s="10">
        <v>20185</v>
      </c>
      <c r="M168" s="11" t="s">
        <v>1749</v>
      </c>
      <c r="N168" s="12">
        <v>1180</v>
      </c>
      <c r="O168" s="13" t="s">
        <v>32</v>
      </c>
      <c r="P168" s="14" t="s">
        <v>992</v>
      </c>
    </row>
    <row r="169" spans="1:21" x14ac:dyDescent="0.25">
      <c r="A169" s="6"/>
      <c r="B169" s="7">
        <v>44263</v>
      </c>
      <c r="C169" s="8" t="s">
        <v>1815</v>
      </c>
      <c r="D169" s="8" t="s">
        <v>94</v>
      </c>
      <c r="E169" s="9" t="s">
        <v>1774</v>
      </c>
      <c r="F169" s="9" t="s">
        <v>1775</v>
      </c>
      <c r="G169" s="17">
        <v>0.75694444444444453</v>
      </c>
      <c r="H169" s="17">
        <v>0.76666666666666661</v>
      </c>
      <c r="I169" s="9">
        <v>8260</v>
      </c>
      <c r="J169" s="9">
        <v>7490</v>
      </c>
      <c r="K169" s="10">
        <f t="shared" si="6"/>
        <v>770</v>
      </c>
      <c r="L169" s="10">
        <v>23513</v>
      </c>
      <c r="M169" s="11" t="s">
        <v>1816</v>
      </c>
      <c r="N169" s="12">
        <v>770</v>
      </c>
      <c r="O169" s="13" t="s">
        <v>32</v>
      </c>
      <c r="P169" s="14" t="s">
        <v>883</v>
      </c>
    </row>
    <row r="170" spans="1:21" x14ac:dyDescent="0.25">
      <c r="A170" s="6"/>
      <c r="B170" s="7">
        <v>44263</v>
      </c>
      <c r="C170" s="8" t="s">
        <v>1789</v>
      </c>
      <c r="D170" s="8" t="s">
        <v>994</v>
      </c>
      <c r="E170" s="9" t="s">
        <v>995</v>
      </c>
      <c r="F170" s="9" t="s">
        <v>338</v>
      </c>
      <c r="G170" s="17">
        <v>0.7583333333333333</v>
      </c>
      <c r="H170" s="17">
        <v>0.77222222222222225</v>
      </c>
      <c r="I170" s="9">
        <v>3700</v>
      </c>
      <c r="J170" s="9">
        <v>3130</v>
      </c>
      <c r="K170" s="10">
        <f t="shared" si="6"/>
        <v>570</v>
      </c>
      <c r="L170" s="10">
        <v>26568</v>
      </c>
      <c r="M170" s="11" t="s">
        <v>965</v>
      </c>
      <c r="N170" s="12">
        <v>570</v>
      </c>
      <c r="O170" s="13" t="s">
        <v>32</v>
      </c>
      <c r="P170" s="14"/>
    </row>
    <row r="171" spans="1:21" x14ac:dyDescent="0.25">
      <c r="A171" s="6"/>
      <c r="B171" s="7">
        <v>44263</v>
      </c>
      <c r="C171" s="8" t="s">
        <v>208</v>
      </c>
      <c r="D171" s="8" t="s">
        <v>899</v>
      </c>
      <c r="E171" s="9" t="s">
        <v>490</v>
      </c>
      <c r="F171" s="9" t="s">
        <v>491</v>
      </c>
      <c r="G171" s="17">
        <v>0.82638888888888884</v>
      </c>
      <c r="H171" s="17">
        <v>0.35069444444444442</v>
      </c>
      <c r="I171" s="9">
        <v>51160</v>
      </c>
      <c r="J171" s="9">
        <v>16930</v>
      </c>
      <c r="K171" s="10">
        <f t="shared" si="6"/>
        <v>34230</v>
      </c>
      <c r="L171" s="10">
        <v>40947</v>
      </c>
      <c r="M171" s="11" t="s">
        <v>1730</v>
      </c>
      <c r="N171" s="12">
        <v>34320</v>
      </c>
      <c r="O171" s="13" t="s">
        <v>32</v>
      </c>
      <c r="P171" s="14"/>
    </row>
    <row r="172" spans="1:21" x14ac:dyDescent="0.25">
      <c r="A172" s="6"/>
      <c r="B172" s="7">
        <v>44263</v>
      </c>
      <c r="C172" s="8" t="s">
        <v>1616</v>
      </c>
      <c r="D172" s="8" t="s">
        <v>1055</v>
      </c>
      <c r="E172" s="9" t="s">
        <v>1788</v>
      </c>
      <c r="F172" s="9" t="s">
        <v>338</v>
      </c>
      <c r="G172" s="17">
        <v>0.91736111111111107</v>
      </c>
      <c r="H172" s="17">
        <v>0.95694444444444438</v>
      </c>
      <c r="I172" s="9">
        <v>17850</v>
      </c>
      <c r="J172" s="9">
        <v>4910</v>
      </c>
      <c r="K172" s="10">
        <f t="shared" si="6"/>
        <v>12940</v>
      </c>
      <c r="L172" s="10">
        <v>26569</v>
      </c>
      <c r="M172" s="11" t="s">
        <v>1818</v>
      </c>
      <c r="N172" s="12">
        <v>12940</v>
      </c>
      <c r="O172" s="13" t="s">
        <v>32</v>
      </c>
      <c r="P172" s="14"/>
    </row>
    <row r="173" spans="1:21" x14ac:dyDescent="0.25">
      <c r="A173" s="6"/>
      <c r="B173" s="7">
        <v>44263</v>
      </c>
      <c r="C173" s="8" t="s">
        <v>1673</v>
      </c>
      <c r="D173" s="8" t="s">
        <v>1686</v>
      </c>
      <c r="E173" s="9" t="s">
        <v>1206</v>
      </c>
      <c r="F173" s="9" t="s">
        <v>338</v>
      </c>
      <c r="G173" s="17">
        <v>0.95624999999999993</v>
      </c>
      <c r="H173" s="17">
        <v>0.99236111111111114</v>
      </c>
      <c r="I173" s="9">
        <v>16570</v>
      </c>
      <c r="J173" s="9">
        <v>6690</v>
      </c>
      <c r="K173" s="10">
        <f t="shared" si="6"/>
        <v>9880</v>
      </c>
      <c r="L173" s="10">
        <v>26570</v>
      </c>
      <c r="M173" s="11" t="s">
        <v>1208</v>
      </c>
      <c r="N173" s="12">
        <v>9880</v>
      </c>
      <c r="O173" s="13" t="s">
        <v>32</v>
      </c>
      <c r="P173" s="14"/>
    </row>
    <row r="174" spans="1:21" x14ac:dyDescent="0.25">
      <c r="A174" s="6"/>
      <c r="B174" s="7">
        <v>44263</v>
      </c>
      <c r="C174" s="8" t="s">
        <v>457</v>
      </c>
      <c r="D174" s="8" t="s">
        <v>458</v>
      </c>
      <c r="E174" s="9" t="s">
        <v>699</v>
      </c>
      <c r="F174" s="9" t="s">
        <v>459</v>
      </c>
      <c r="G174" s="17">
        <v>0.99722222222222223</v>
      </c>
      <c r="H174" s="17">
        <v>0.25763888888888892</v>
      </c>
      <c r="I174" s="9">
        <v>15670</v>
      </c>
      <c r="J174" s="9">
        <v>8200</v>
      </c>
      <c r="K174" s="10">
        <f t="shared" si="6"/>
        <v>7470</v>
      </c>
      <c r="L174" s="10" t="s">
        <v>1819</v>
      </c>
      <c r="M174" s="11" t="s">
        <v>48</v>
      </c>
      <c r="N174" s="12">
        <f>7190+10690</f>
        <v>17880</v>
      </c>
      <c r="O174" s="13" t="s">
        <v>49</v>
      </c>
      <c r="P174" s="14"/>
    </row>
    <row r="175" spans="1:21" x14ac:dyDescent="0.25">
      <c r="A175" s="6"/>
      <c r="B175" s="7">
        <v>44263</v>
      </c>
      <c r="C175" s="8" t="s">
        <v>1673</v>
      </c>
      <c r="D175" s="8" t="s">
        <v>94</v>
      </c>
      <c r="E175" s="9" t="s">
        <v>1774</v>
      </c>
      <c r="F175" s="9" t="s">
        <v>1775</v>
      </c>
      <c r="G175" s="17">
        <v>0.99861111111111101</v>
      </c>
      <c r="H175" s="17">
        <v>9.0277777777777787E-3</v>
      </c>
      <c r="I175" s="9">
        <v>12750</v>
      </c>
      <c r="J175" s="9">
        <v>7460</v>
      </c>
      <c r="K175" s="10">
        <f t="shared" si="6"/>
        <v>5290</v>
      </c>
      <c r="L175" s="10">
        <v>26571</v>
      </c>
      <c r="M175" s="11" t="s">
        <v>1208</v>
      </c>
      <c r="N175" s="12">
        <v>5290</v>
      </c>
      <c r="O175" s="13" t="s">
        <v>32</v>
      </c>
      <c r="P175" s="14"/>
      <c r="Q175" s="2"/>
    </row>
    <row r="176" spans="1:21" x14ac:dyDescent="0.25">
      <c r="A176" s="6"/>
      <c r="B176" s="7">
        <v>44264</v>
      </c>
      <c r="C176" s="8" t="s">
        <v>366</v>
      </c>
      <c r="D176" s="8" t="s">
        <v>1076</v>
      </c>
      <c r="E176" s="9" t="s">
        <v>220</v>
      </c>
      <c r="F176" s="9" t="s">
        <v>924</v>
      </c>
      <c r="G176" s="17">
        <v>3.2638888888888891E-2</v>
      </c>
      <c r="H176" s="17">
        <v>0.13819444444444443</v>
      </c>
      <c r="I176" s="9">
        <v>22200</v>
      </c>
      <c r="J176" s="9">
        <v>9330</v>
      </c>
      <c r="K176" s="10">
        <f t="shared" si="6"/>
        <v>12870</v>
      </c>
      <c r="L176" s="10" t="s">
        <v>1820</v>
      </c>
      <c r="M176" s="11" t="s">
        <v>1103</v>
      </c>
      <c r="N176" s="12">
        <f>10364+2564</f>
        <v>12928</v>
      </c>
      <c r="O176" s="13" t="s">
        <v>32</v>
      </c>
      <c r="P176" s="14"/>
    </row>
    <row r="177" spans="1:16" x14ac:dyDescent="0.25">
      <c r="A177" s="6"/>
      <c r="B177" s="7">
        <v>44264</v>
      </c>
      <c r="C177" s="8" t="s">
        <v>1821</v>
      </c>
      <c r="D177" s="8" t="s">
        <v>1822</v>
      </c>
      <c r="E177" s="9" t="s">
        <v>1823</v>
      </c>
      <c r="F177" s="9" t="s">
        <v>338</v>
      </c>
      <c r="G177" s="17">
        <v>3.4722222222222224E-2</v>
      </c>
      <c r="H177" s="17">
        <v>0.29305555555555557</v>
      </c>
      <c r="I177" s="9">
        <v>10880</v>
      </c>
      <c r="J177" s="9">
        <v>4680</v>
      </c>
      <c r="K177" s="10">
        <f t="shared" si="6"/>
        <v>6200</v>
      </c>
      <c r="L177" s="10">
        <v>26572</v>
      </c>
      <c r="M177" s="11" t="s">
        <v>1824</v>
      </c>
      <c r="N177" s="12">
        <v>6200</v>
      </c>
      <c r="O177" s="13" t="s">
        <v>32</v>
      </c>
      <c r="P177" s="14"/>
    </row>
    <row r="178" spans="1:16" x14ac:dyDescent="0.25">
      <c r="A178" s="6"/>
      <c r="B178" s="7">
        <v>44264</v>
      </c>
      <c r="C178" s="8" t="s">
        <v>142</v>
      </c>
      <c r="D178" s="8" t="s">
        <v>1656</v>
      </c>
      <c r="E178" s="9" t="s">
        <v>87</v>
      </c>
      <c r="F178" s="9" t="s">
        <v>88</v>
      </c>
      <c r="G178" s="17">
        <v>0.27847222222222223</v>
      </c>
      <c r="H178" s="17">
        <v>0.28472222222222221</v>
      </c>
      <c r="I178" s="9">
        <v>41580</v>
      </c>
      <c r="J178" s="9">
        <v>17320</v>
      </c>
      <c r="K178" s="10">
        <f t="shared" si="6"/>
        <v>24260</v>
      </c>
      <c r="L178" s="10">
        <v>778</v>
      </c>
      <c r="M178" s="11" t="s">
        <v>1825</v>
      </c>
      <c r="N178" s="12">
        <v>24476</v>
      </c>
      <c r="O178" s="13" t="s">
        <v>683</v>
      </c>
      <c r="P178" s="14"/>
    </row>
    <row r="179" spans="1:16" x14ac:dyDescent="0.25">
      <c r="A179" s="6"/>
      <c r="B179" s="15">
        <v>44264</v>
      </c>
      <c r="C179" s="16" t="s">
        <v>971</v>
      </c>
      <c r="D179" s="8" t="s">
        <v>1655</v>
      </c>
      <c r="E179" s="9" t="s">
        <v>110</v>
      </c>
      <c r="F179" s="9" t="s">
        <v>1699</v>
      </c>
      <c r="G179" s="17">
        <v>0.33749999999999997</v>
      </c>
      <c r="H179" s="17">
        <v>0.38611111111111113</v>
      </c>
      <c r="I179" s="9">
        <v>11490</v>
      </c>
      <c r="J179" s="9">
        <v>6550</v>
      </c>
      <c r="K179" s="10">
        <f t="shared" si="6"/>
        <v>4940</v>
      </c>
      <c r="L179" s="10">
        <v>109</v>
      </c>
      <c r="M179" s="11" t="s">
        <v>1826</v>
      </c>
      <c r="N179" s="12">
        <v>10648</v>
      </c>
      <c r="O179" s="13" t="s">
        <v>49</v>
      </c>
      <c r="P179" s="14"/>
    </row>
    <row r="180" spans="1:16" x14ac:dyDescent="0.25">
      <c r="A180" s="6"/>
      <c r="B180" s="7">
        <v>44264</v>
      </c>
      <c r="C180" s="8" t="s">
        <v>185</v>
      </c>
      <c r="D180" s="8" t="s">
        <v>1232</v>
      </c>
      <c r="E180" s="9" t="s">
        <v>1233</v>
      </c>
      <c r="F180" s="9" t="s">
        <v>338</v>
      </c>
      <c r="G180" s="17">
        <v>0.36736111111111108</v>
      </c>
      <c r="H180" s="17">
        <v>0.3840277777777778</v>
      </c>
      <c r="I180" s="9">
        <v>7130</v>
      </c>
      <c r="J180" s="9">
        <v>5280</v>
      </c>
      <c r="K180" s="10">
        <f t="shared" si="6"/>
        <v>1850</v>
      </c>
      <c r="L180" s="10">
        <v>140856</v>
      </c>
      <c r="M180" s="11" t="s">
        <v>478</v>
      </c>
      <c r="N180" s="12">
        <v>15029</v>
      </c>
      <c r="O180" s="13" t="s">
        <v>1099</v>
      </c>
      <c r="P180" s="14"/>
    </row>
    <row r="181" spans="1:16" x14ac:dyDescent="0.25">
      <c r="A181" s="6"/>
      <c r="B181" s="7">
        <v>44264</v>
      </c>
      <c r="C181" s="43" t="s">
        <v>1630</v>
      </c>
      <c r="D181" s="43" t="s">
        <v>602</v>
      </c>
      <c r="E181" s="44" t="s">
        <v>1632</v>
      </c>
      <c r="F181" s="44" t="s">
        <v>266</v>
      </c>
      <c r="G181" s="17">
        <v>0.43055555555555558</v>
      </c>
      <c r="H181" s="17">
        <v>0.43611111111111112</v>
      </c>
      <c r="I181" s="9">
        <v>6680</v>
      </c>
      <c r="J181" s="9">
        <v>5570</v>
      </c>
      <c r="K181" s="10">
        <f>+I181-J181</f>
        <v>1110</v>
      </c>
      <c r="L181" s="10" t="s">
        <v>1828</v>
      </c>
      <c r="M181" s="47" t="s">
        <v>1827</v>
      </c>
      <c r="N181" s="12">
        <v>1110</v>
      </c>
      <c r="O181" s="13" t="s">
        <v>32</v>
      </c>
      <c r="P181" s="14"/>
    </row>
    <row r="182" spans="1:16" x14ac:dyDescent="0.25">
      <c r="A182" s="6"/>
      <c r="B182" s="7">
        <v>44264</v>
      </c>
      <c r="C182" s="8" t="s">
        <v>1042</v>
      </c>
      <c r="D182" s="8" t="s">
        <v>880</v>
      </c>
      <c r="E182" s="9" t="s">
        <v>1661</v>
      </c>
      <c r="F182" s="9" t="s">
        <v>1276</v>
      </c>
      <c r="G182" s="17">
        <v>0.46180555555555558</v>
      </c>
      <c r="H182" s="17">
        <v>0.47430555555555554</v>
      </c>
      <c r="I182" s="9">
        <v>39160</v>
      </c>
      <c r="J182" s="9">
        <v>15350</v>
      </c>
      <c r="K182" s="10">
        <f t="shared" si="6"/>
        <v>23810</v>
      </c>
      <c r="L182" s="10">
        <v>23514</v>
      </c>
      <c r="M182" s="11" t="s">
        <v>1041</v>
      </c>
      <c r="N182" s="12">
        <v>21.6</v>
      </c>
      <c r="O182" s="13" t="s">
        <v>855</v>
      </c>
      <c r="P182" s="14"/>
    </row>
    <row r="183" spans="1:16" x14ac:dyDescent="0.25">
      <c r="A183" s="6"/>
      <c r="B183" s="7">
        <v>44264</v>
      </c>
      <c r="C183" s="8" t="s">
        <v>1042</v>
      </c>
      <c r="D183" s="8" t="s">
        <v>1672</v>
      </c>
      <c r="E183" s="9" t="s">
        <v>881</v>
      </c>
      <c r="F183" s="9" t="s">
        <v>749</v>
      </c>
      <c r="G183" s="17">
        <v>0.46736111111111112</v>
      </c>
      <c r="H183" s="17">
        <v>0.47291666666666665</v>
      </c>
      <c r="I183" s="9">
        <v>40730</v>
      </c>
      <c r="J183" s="9">
        <v>16740</v>
      </c>
      <c r="K183" s="10">
        <f t="shared" si="6"/>
        <v>23990</v>
      </c>
      <c r="L183" s="10">
        <v>23514</v>
      </c>
      <c r="M183" s="11" t="s">
        <v>1041</v>
      </c>
      <c r="N183" s="12">
        <v>21.6</v>
      </c>
      <c r="O183" s="13" t="s">
        <v>855</v>
      </c>
      <c r="P183" s="14"/>
    </row>
    <row r="184" spans="1:16" x14ac:dyDescent="0.25">
      <c r="A184" s="6"/>
      <c r="B184" s="7">
        <v>44264</v>
      </c>
      <c r="C184" s="8" t="s">
        <v>1042</v>
      </c>
      <c r="D184" s="8" t="s">
        <v>299</v>
      </c>
      <c r="E184" s="9" t="s">
        <v>813</v>
      </c>
      <c r="F184" s="9" t="s">
        <v>814</v>
      </c>
      <c r="G184" s="17">
        <v>0.47638888888888892</v>
      </c>
      <c r="H184" s="17">
        <v>0.48125000000000001</v>
      </c>
      <c r="I184" s="9">
        <v>41440</v>
      </c>
      <c r="J184" s="9">
        <v>17340</v>
      </c>
      <c r="K184" s="10">
        <f t="shared" si="6"/>
        <v>24100</v>
      </c>
      <c r="L184" s="10">
        <v>23514</v>
      </c>
      <c r="M184" s="11" t="s">
        <v>1041</v>
      </c>
      <c r="N184" s="12">
        <v>21.6</v>
      </c>
      <c r="O184" s="13" t="s">
        <v>855</v>
      </c>
      <c r="P184" s="14"/>
    </row>
    <row r="185" spans="1:16" x14ac:dyDescent="0.25">
      <c r="A185" s="6"/>
      <c r="B185" s="7">
        <v>44264</v>
      </c>
      <c r="C185" s="8" t="s">
        <v>1042</v>
      </c>
      <c r="D185" s="8" t="s">
        <v>94</v>
      </c>
      <c r="E185" s="9" t="s">
        <v>1774</v>
      </c>
      <c r="F185" s="9" t="s">
        <v>1775</v>
      </c>
      <c r="G185" s="17">
        <v>0.4770833333333333</v>
      </c>
      <c r="H185" s="17">
        <v>0.48472222222222222</v>
      </c>
      <c r="I185" s="9">
        <v>17790</v>
      </c>
      <c r="J185" s="9">
        <v>7460</v>
      </c>
      <c r="K185" s="10">
        <f t="shared" si="6"/>
        <v>10330</v>
      </c>
      <c r="L185" s="10">
        <v>23514</v>
      </c>
      <c r="M185" s="11" t="s">
        <v>1041</v>
      </c>
      <c r="N185" s="12">
        <v>9.6</v>
      </c>
      <c r="O185" s="13" t="s">
        <v>855</v>
      </c>
      <c r="P185" s="14"/>
    </row>
    <row r="186" spans="1:16" x14ac:dyDescent="0.25">
      <c r="A186" s="6"/>
      <c r="B186" s="7">
        <v>44264</v>
      </c>
      <c r="C186" s="8" t="s">
        <v>1042</v>
      </c>
      <c r="D186" s="8" t="s">
        <v>1355</v>
      </c>
      <c r="E186" s="9" t="s">
        <v>1048</v>
      </c>
      <c r="F186" s="9" t="s">
        <v>526</v>
      </c>
      <c r="G186" s="17">
        <v>0.48680555555555555</v>
      </c>
      <c r="H186" s="17">
        <v>0.49236111111111108</v>
      </c>
      <c r="I186" s="9">
        <v>37850</v>
      </c>
      <c r="J186" s="9">
        <v>16850</v>
      </c>
      <c r="K186" s="10">
        <f t="shared" si="6"/>
        <v>21000</v>
      </c>
      <c r="L186" s="10">
        <v>23514</v>
      </c>
      <c r="M186" s="11" t="s">
        <v>1041</v>
      </c>
      <c r="N186" s="12">
        <v>19.2</v>
      </c>
      <c r="O186" s="13" t="s">
        <v>855</v>
      </c>
      <c r="P186" s="14"/>
    </row>
    <row r="187" spans="1:16" x14ac:dyDescent="0.25">
      <c r="A187" s="6"/>
      <c r="B187" s="7">
        <v>44264</v>
      </c>
      <c r="C187" s="8" t="s">
        <v>1042</v>
      </c>
      <c r="D187" s="8" t="s">
        <v>1794</v>
      </c>
      <c r="E187" s="9" t="s">
        <v>628</v>
      </c>
      <c r="F187" s="9" t="s">
        <v>629</v>
      </c>
      <c r="G187" s="17">
        <v>0.48819444444444443</v>
      </c>
      <c r="H187" s="17">
        <v>0.49444444444444446</v>
      </c>
      <c r="I187" s="9">
        <v>22620</v>
      </c>
      <c r="J187" s="9">
        <v>9690</v>
      </c>
      <c r="K187" s="10">
        <f t="shared" si="6"/>
        <v>12930</v>
      </c>
      <c r="L187" s="10">
        <v>23514</v>
      </c>
      <c r="M187" s="11" t="s">
        <v>1041</v>
      </c>
      <c r="N187" s="12">
        <v>12</v>
      </c>
      <c r="O187" s="13" t="s">
        <v>855</v>
      </c>
      <c r="P187" s="14"/>
    </row>
    <row r="188" spans="1:16" x14ac:dyDescent="0.25">
      <c r="A188" s="6"/>
      <c r="B188" s="7">
        <v>44264</v>
      </c>
      <c r="C188" s="8" t="s">
        <v>1042</v>
      </c>
      <c r="D188" s="8" t="s">
        <v>284</v>
      </c>
      <c r="E188" s="9" t="s">
        <v>1650</v>
      </c>
      <c r="F188" s="9" t="s">
        <v>178</v>
      </c>
      <c r="G188" s="17">
        <v>0.49583333333333335</v>
      </c>
      <c r="H188" s="17">
        <v>0.50624999999999998</v>
      </c>
      <c r="I188" s="9">
        <v>40740</v>
      </c>
      <c r="J188" s="9">
        <v>16460</v>
      </c>
      <c r="K188" s="10">
        <f t="shared" si="6"/>
        <v>24280</v>
      </c>
      <c r="L188" s="10">
        <v>23514</v>
      </c>
      <c r="M188" s="11" t="s">
        <v>1041</v>
      </c>
      <c r="N188" s="12">
        <v>21.6</v>
      </c>
      <c r="O188" s="13" t="s">
        <v>855</v>
      </c>
      <c r="P188" s="14"/>
    </row>
    <row r="189" spans="1:16" x14ac:dyDescent="0.25">
      <c r="A189" s="6"/>
      <c r="B189" s="7">
        <v>44264</v>
      </c>
      <c r="C189" s="8" t="s">
        <v>1042</v>
      </c>
      <c r="D189" s="8" t="s">
        <v>899</v>
      </c>
      <c r="E189" s="9" t="s">
        <v>490</v>
      </c>
      <c r="F189" s="9" t="s">
        <v>491</v>
      </c>
      <c r="G189" s="17">
        <v>0.5083333333333333</v>
      </c>
      <c r="H189" s="17">
        <v>0.53680555555555554</v>
      </c>
      <c r="I189" s="9">
        <v>33280</v>
      </c>
      <c r="J189" s="9">
        <v>15970</v>
      </c>
      <c r="K189" s="10">
        <f t="shared" si="6"/>
        <v>17310</v>
      </c>
      <c r="L189" s="10">
        <v>23514</v>
      </c>
      <c r="M189" s="11" t="s">
        <v>1041</v>
      </c>
      <c r="N189" s="12">
        <v>21.6</v>
      </c>
      <c r="O189" s="13" t="s">
        <v>855</v>
      </c>
      <c r="P189" s="14"/>
    </row>
    <row r="190" spans="1:16" x14ac:dyDescent="0.25">
      <c r="A190" s="6"/>
      <c r="B190" s="7">
        <v>44264</v>
      </c>
      <c r="C190" s="8" t="s">
        <v>1582</v>
      </c>
      <c r="D190" s="8" t="s">
        <v>1646</v>
      </c>
      <c r="E190" s="9" t="s">
        <v>747</v>
      </c>
      <c r="F190" s="9" t="s">
        <v>36</v>
      </c>
      <c r="G190" s="17">
        <v>0.54583333333333328</v>
      </c>
      <c r="H190" s="17">
        <v>0.60486111111111118</v>
      </c>
      <c r="I190" s="9">
        <v>52910</v>
      </c>
      <c r="J190" s="9">
        <v>17580</v>
      </c>
      <c r="K190" s="10">
        <f t="shared" si="6"/>
        <v>35330</v>
      </c>
      <c r="L190" s="10">
        <v>952</v>
      </c>
      <c r="M190" s="11" t="s">
        <v>306</v>
      </c>
      <c r="N190" s="12">
        <v>10000</v>
      </c>
      <c r="O190" s="13" t="s">
        <v>84</v>
      </c>
      <c r="P190" s="14"/>
    </row>
    <row r="191" spans="1:16" x14ac:dyDescent="0.25">
      <c r="A191" s="6"/>
      <c r="B191" s="7">
        <v>44264</v>
      </c>
      <c r="C191" s="8" t="s">
        <v>1829</v>
      </c>
      <c r="D191" s="8" t="s">
        <v>853</v>
      </c>
      <c r="E191" s="9" t="s">
        <v>51</v>
      </c>
      <c r="F191" s="9" t="s">
        <v>52</v>
      </c>
      <c r="G191" s="17">
        <v>0.56527777777777777</v>
      </c>
      <c r="H191" s="17">
        <v>0.57361111111111118</v>
      </c>
      <c r="I191" s="9">
        <v>38780</v>
      </c>
      <c r="J191" s="9">
        <v>16070</v>
      </c>
      <c r="K191" s="10">
        <f t="shared" si="6"/>
        <v>22710</v>
      </c>
      <c r="L191" s="10" t="s">
        <v>1830</v>
      </c>
      <c r="M191" s="11" t="s">
        <v>1831</v>
      </c>
      <c r="N191" s="12">
        <v>21.6</v>
      </c>
      <c r="O191" s="13" t="s">
        <v>855</v>
      </c>
      <c r="P191" s="14"/>
    </row>
    <row r="192" spans="1:16" x14ac:dyDescent="0.25">
      <c r="A192" s="6"/>
      <c r="B192" s="7">
        <v>44264</v>
      </c>
      <c r="C192" s="8" t="s">
        <v>1417</v>
      </c>
      <c r="D192" s="8" t="s">
        <v>94</v>
      </c>
      <c r="E192" s="9" t="s">
        <v>1774</v>
      </c>
      <c r="F192" s="9" t="s">
        <v>1775</v>
      </c>
      <c r="G192" s="17">
        <v>0.5805555555555556</v>
      </c>
      <c r="H192" s="17">
        <v>0.59097222222222223</v>
      </c>
      <c r="I192" s="9">
        <v>16500</v>
      </c>
      <c r="J192" s="9">
        <v>7470</v>
      </c>
      <c r="K192" s="10">
        <f t="shared" si="6"/>
        <v>9030</v>
      </c>
      <c r="L192" s="10">
        <v>23518</v>
      </c>
      <c r="M192" s="11" t="s">
        <v>1832</v>
      </c>
      <c r="N192" s="12">
        <v>9030</v>
      </c>
      <c r="O192" s="13" t="s">
        <v>32</v>
      </c>
      <c r="P192" s="14" t="s">
        <v>414</v>
      </c>
    </row>
    <row r="193" spans="1:17" x14ac:dyDescent="0.25">
      <c r="A193" s="6"/>
      <c r="B193" s="7">
        <v>44264</v>
      </c>
      <c r="C193" s="8" t="s">
        <v>1558</v>
      </c>
      <c r="D193" s="8" t="s">
        <v>299</v>
      </c>
      <c r="E193" s="9" t="s">
        <v>87</v>
      </c>
      <c r="F193" s="9" t="s">
        <v>88</v>
      </c>
      <c r="G193" s="17">
        <v>0.59375</v>
      </c>
      <c r="H193" s="17">
        <v>0.60138888888888886</v>
      </c>
      <c r="I193" s="9">
        <v>34550</v>
      </c>
      <c r="J193" s="9">
        <v>17360</v>
      </c>
      <c r="K193" s="10">
        <f t="shared" si="6"/>
        <v>17190</v>
      </c>
      <c r="L193" s="10">
        <v>23517</v>
      </c>
      <c r="M193" s="11" t="s">
        <v>1833</v>
      </c>
      <c r="N193" s="12">
        <v>12.6</v>
      </c>
      <c r="O193" s="13" t="s">
        <v>855</v>
      </c>
      <c r="P193" s="14"/>
    </row>
    <row r="194" spans="1:17" x14ac:dyDescent="0.25">
      <c r="A194" s="6"/>
      <c r="B194" s="7">
        <v>44264</v>
      </c>
      <c r="C194" s="8" t="s">
        <v>1417</v>
      </c>
      <c r="D194" s="8" t="s">
        <v>880</v>
      </c>
      <c r="E194" s="9" t="s">
        <v>1661</v>
      </c>
      <c r="F194" s="9" t="s">
        <v>1276</v>
      </c>
      <c r="G194" s="17">
        <v>0.60763888888888895</v>
      </c>
      <c r="H194" s="17">
        <v>0.61249999999999993</v>
      </c>
      <c r="I194" s="9">
        <v>40360</v>
      </c>
      <c r="J194" s="9">
        <v>15500</v>
      </c>
      <c r="K194" s="10">
        <f t="shared" si="6"/>
        <v>24860</v>
      </c>
      <c r="L194" s="10">
        <v>23519</v>
      </c>
      <c r="M194" s="11" t="s">
        <v>1041</v>
      </c>
      <c r="N194" s="12">
        <v>21.6</v>
      </c>
      <c r="O194" s="13" t="s">
        <v>855</v>
      </c>
      <c r="P194" s="14"/>
    </row>
    <row r="195" spans="1:17" x14ac:dyDescent="0.25">
      <c r="A195" s="6"/>
      <c r="B195" s="7">
        <v>44264</v>
      </c>
      <c r="C195" s="8" t="s">
        <v>1417</v>
      </c>
      <c r="D195" s="8" t="s">
        <v>1672</v>
      </c>
      <c r="E195" s="9" t="s">
        <v>881</v>
      </c>
      <c r="F195" s="9" t="s">
        <v>749</v>
      </c>
      <c r="G195" s="17">
        <v>0.61111111111111105</v>
      </c>
      <c r="H195" s="17">
        <v>0.61597222222222225</v>
      </c>
      <c r="I195" s="9">
        <v>41100</v>
      </c>
      <c r="J195" s="9">
        <v>16710</v>
      </c>
      <c r="K195" s="10">
        <f t="shared" si="6"/>
        <v>24390</v>
      </c>
      <c r="L195" s="10">
        <v>23519</v>
      </c>
      <c r="M195" s="11" t="s">
        <v>1041</v>
      </c>
      <c r="N195" s="12">
        <v>21.6</v>
      </c>
      <c r="O195" s="13" t="s">
        <v>855</v>
      </c>
      <c r="P195" s="14"/>
    </row>
    <row r="196" spans="1:17" x14ac:dyDescent="0.25">
      <c r="A196" s="6"/>
      <c r="B196" s="7">
        <v>44264</v>
      </c>
      <c r="C196" s="8" t="s">
        <v>1417</v>
      </c>
      <c r="D196" s="8" t="s">
        <v>1355</v>
      </c>
      <c r="E196" s="9" t="s">
        <v>1048</v>
      </c>
      <c r="F196" s="9" t="s">
        <v>526</v>
      </c>
      <c r="G196" s="17">
        <v>0.61458333333333337</v>
      </c>
      <c r="H196" s="17">
        <v>0.62013888888888891</v>
      </c>
      <c r="I196" s="9">
        <v>38960</v>
      </c>
      <c r="J196" s="9">
        <v>16850</v>
      </c>
      <c r="K196" s="10">
        <f t="shared" si="6"/>
        <v>22110</v>
      </c>
      <c r="L196" s="10">
        <v>23519</v>
      </c>
      <c r="M196" s="11" t="s">
        <v>1041</v>
      </c>
      <c r="N196" s="12">
        <v>19.2</v>
      </c>
      <c r="O196" s="13" t="s">
        <v>855</v>
      </c>
      <c r="P196" s="14"/>
    </row>
    <row r="197" spans="1:17" x14ac:dyDescent="0.25">
      <c r="A197" s="6"/>
      <c r="B197" s="7">
        <v>44264</v>
      </c>
      <c r="C197" s="8" t="s">
        <v>1417</v>
      </c>
      <c r="D197" s="8" t="s">
        <v>1794</v>
      </c>
      <c r="E197" s="9" t="s">
        <v>628</v>
      </c>
      <c r="F197" s="9" t="s">
        <v>629</v>
      </c>
      <c r="G197" s="17">
        <v>0.62152777777777779</v>
      </c>
      <c r="H197" s="17">
        <v>0.62986111111111109</v>
      </c>
      <c r="I197" s="9">
        <v>23580</v>
      </c>
      <c r="J197" s="9">
        <v>9660</v>
      </c>
      <c r="K197" s="10">
        <f t="shared" si="6"/>
        <v>13920</v>
      </c>
      <c r="L197" s="10">
        <v>23519</v>
      </c>
      <c r="M197" s="11" t="s">
        <v>1041</v>
      </c>
      <c r="N197" s="12">
        <v>12</v>
      </c>
      <c r="O197" s="13" t="s">
        <v>855</v>
      </c>
      <c r="P197" s="14"/>
    </row>
    <row r="198" spans="1:17" x14ac:dyDescent="0.25">
      <c r="A198" s="6"/>
      <c r="B198" s="7">
        <v>44264</v>
      </c>
      <c r="C198" s="8" t="s">
        <v>1834</v>
      </c>
      <c r="D198" s="8" t="s">
        <v>1835</v>
      </c>
      <c r="E198" s="9" t="s">
        <v>160</v>
      </c>
      <c r="F198" s="9" t="s">
        <v>1836</v>
      </c>
      <c r="G198" s="17">
        <v>0.62569444444444444</v>
      </c>
      <c r="H198" s="17">
        <v>0.64930555555555558</v>
      </c>
      <c r="I198" s="9">
        <v>18390</v>
      </c>
      <c r="J198" s="9">
        <v>43700</v>
      </c>
      <c r="K198" s="10">
        <f t="shared" si="6"/>
        <v>-25310</v>
      </c>
      <c r="L198" s="10">
        <v>15882</v>
      </c>
      <c r="M198" s="11" t="s">
        <v>1837</v>
      </c>
      <c r="N198" s="12">
        <v>504</v>
      </c>
      <c r="O198" s="13" t="s">
        <v>1099</v>
      </c>
      <c r="P198" s="22" t="s">
        <v>1841</v>
      </c>
    </row>
    <row r="199" spans="1:17" x14ac:dyDescent="0.25">
      <c r="A199" s="6"/>
      <c r="B199" s="7">
        <v>44264</v>
      </c>
      <c r="C199" s="8" t="s">
        <v>1417</v>
      </c>
      <c r="D199" s="8" t="s">
        <v>284</v>
      </c>
      <c r="E199" s="9" t="s">
        <v>1650</v>
      </c>
      <c r="F199" s="9" t="s">
        <v>178</v>
      </c>
      <c r="G199" s="17">
        <v>0.62847222222222221</v>
      </c>
      <c r="H199" s="17">
        <v>0.63541666666666663</v>
      </c>
      <c r="I199" s="9">
        <v>41410</v>
      </c>
      <c r="J199" s="9">
        <v>16440</v>
      </c>
      <c r="K199" s="10">
        <f t="shared" si="6"/>
        <v>24970</v>
      </c>
      <c r="L199" s="10">
        <v>23519</v>
      </c>
      <c r="M199" s="11" t="s">
        <v>1041</v>
      </c>
      <c r="N199" s="12">
        <v>21.6</v>
      </c>
      <c r="O199" s="13" t="s">
        <v>855</v>
      </c>
      <c r="P199" s="14"/>
    </row>
    <row r="200" spans="1:17" x14ac:dyDescent="0.25">
      <c r="A200" s="6"/>
      <c r="B200" s="7">
        <v>44264</v>
      </c>
      <c r="C200" s="8" t="s">
        <v>1812</v>
      </c>
      <c r="D200" s="8" t="s">
        <v>1813</v>
      </c>
      <c r="E200" s="9" t="s">
        <v>1838</v>
      </c>
      <c r="F200" s="9" t="s">
        <v>338</v>
      </c>
      <c r="G200" s="17">
        <v>0.63124999999999998</v>
      </c>
      <c r="H200" s="17">
        <v>0.66180555555555554</v>
      </c>
      <c r="I200" s="9">
        <v>4860</v>
      </c>
      <c r="J200" s="9">
        <v>2710</v>
      </c>
      <c r="K200" s="10">
        <f t="shared" si="6"/>
        <v>2150</v>
      </c>
      <c r="L200" s="10">
        <v>26573</v>
      </c>
      <c r="M200" s="11" t="s">
        <v>965</v>
      </c>
      <c r="N200" s="12">
        <v>2150</v>
      </c>
      <c r="O200" s="13" t="s">
        <v>32</v>
      </c>
      <c r="P200" s="14"/>
    </row>
    <row r="201" spans="1:17" x14ac:dyDescent="0.25">
      <c r="A201" s="6"/>
      <c r="B201" s="7">
        <v>44264</v>
      </c>
      <c r="C201" s="8" t="s">
        <v>1839</v>
      </c>
      <c r="D201" s="8" t="s">
        <v>899</v>
      </c>
      <c r="E201" s="9" t="s">
        <v>490</v>
      </c>
      <c r="F201" s="9" t="s">
        <v>491</v>
      </c>
      <c r="G201" s="17">
        <v>0.64652777777777781</v>
      </c>
      <c r="H201" s="17">
        <v>0.65208333333333335</v>
      </c>
      <c r="I201" s="9">
        <v>37990</v>
      </c>
      <c r="J201" s="9">
        <v>15970</v>
      </c>
      <c r="K201" s="10">
        <f t="shared" si="6"/>
        <v>22020</v>
      </c>
      <c r="L201" s="10" t="s">
        <v>1840</v>
      </c>
      <c r="M201" s="11" t="s">
        <v>1041</v>
      </c>
      <c r="N201" s="12">
        <v>20.399999999999999</v>
      </c>
      <c r="O201" s="13" t="s">
        <v>855</v>
      </c>
      <c r="P201" s="14"/>
    </row>
    <row r="202" spans="1:17" x14ac:dyDescent="0.25">
      <c r="A202" s="6"/>
      <c r="B202" s="7">
        <v>44264</v>
      </c>
      <c r="C202" s="8" t="s">
        <v>1062</v>
      </c>
      <c r="D202" s="8" t="s">
        <v>853</v>
      </c>
      <c r="E202" s="9" t="s">
        <v>51</v>
      </c>
      <c r="F202" s="9" t="s">
        <v>52</v>
      </c>
      <c r="G202" s="17">
        <v>0.6479166666666667</v>
      </c>
      <c r="H202" s="17">
        <v>0.65833333333333333</v>
      </c>
      <c r="I202" s="9">
        <v>38760</v>
      </c>
      <c r="J202" s="9">
        <v>15920</v>
      </c>
      <c r="K202" s="10">
        <f t="shared" si="6"/>
        <v>22840</v>
      </c>
      <c r="L202" s="10">
        <v>23520</v>
      </c>
      <c r="M202" s="11" t="s">
        <v>1041</v>
      </c>
      <c r="N202" s="12">
        <v>21.6</v>
      </c>
      <c r="O202" s="13" t="s">
        <v>855</v>
      </c>
      <c r="P202" s="14"/>
      <c r="Q202" s="2"/>
    </row>
    <row r="203" spans="1:17" x14ac:dyDescent="0.25">
      <c r="A203" s="6"/>
      <c r="B203" s="7">
        <v>44264</v>
      </c>
      <c r="C203" s="8" t="s">
        <v>1673</v>
      </c>
      <c r="D203" s="8" t="s">
        <v>1686</v>
      </c>
      <c r="E203" s="9" t="s">
        <v>1206</v>
      </c>
      <c r="F203" s="9" t="s">
        <v>338</v>
      </c>
      <c r="G203" s="17">
        <v>0.66319444444444442</v>
      </c>
      <c r="H203" s="17">
        <v>0.70277777777777783</v>
      </c>
      <c r="I203" s="9">
        <v>14610</v>
      </c>
      <c r="J203" s="9">
        <v>6670</v>
      </c>
      <c r="K203" s="10">
        <f t="shared" si="6"/>
        <v>7940</v>
      </c>
      <c r="L203" s="10">
        <v>26574</v>
      </c>
      <c r="M203" s="11" t="s">
        <v>1515</v>
      </c>
      <c r="N203" s="12">
        <v>7940</v>
      </c>
      <c r="O203" s="13" t="s">
        <v>32</v>
      </c>
      <c r="P203" s="14"/>
    </row>
    <row r="204" spans="1:17" x14ac:dyDescent="0.25">
      <c r="A204" s="6"/>
      <c r="B204" s="7">
        <v>44264</v>
      </c>
      <c r="C204" s="8" t="s">
        <v>1673</v>
      </c>
      <c r="D204" s="8" t="s">
        <v>1842</v>
      </c>
      <c r="E204" s="9" t="s">
        <v>1000</v>
      </c>
      <c r="F204" s="9" t="s">
        <v>338</v>
      </c>
      <c r="G204" s="17">
        <v>0.66875000000000007</v>
      </c>
      <c r="H204" s="17">
        <v>0.67847222222222225</v>
      </c>
      <c r="I204" s="9">
        <v>2950</v>
      </c>
      <c r="J204" s="9">
        <v>1900</v>
      </c>
      <c r="K204" s="10">
        <f t="shared" si="6"/>
        <v>1050</v>
      </c>
      <c r="L204" s="10">
        <v>26575</v>
      </c>
      <c r="M204" s="11" t="s">
        <v>965</v>
      </c>
      <c r="N204" s="12">
        <v>1050</v>
      </c>
      <c r="O204" s="13" t="s">
        <v>32</v>
      </c>
      <c r="P204" s="14"/>
    </row>
    <row r="205" spans="1:17" x14ac:dyDescent="0.25">
      <c r="A205" s="6"/>
      <c r="B205" s="7">
        <v>44264</v>
      </c>
      <c r="C205" s="8" t="s">
        <v>1062</v>
      </c>
      <c r="D205" s="8" t="s">
        <v>880</v>
      </c>
      <c r="E205" s="9" t="s">
        <v>1661</v>
      </c>
      <c r="F205" s="9" t="s">
        <v>1276</v>
      </c>
      <c r="G205" s="17">
        <v>0.6743055555555556</v>
      </c>
      <c r="H205" s="17">
        <v>0.68263888888888891</v>
      </c>
      <c r="I205" s="9">
        <v>38220</v>
      </c>
      <c r="J205" s="9">
        <v>15440</v>
      </c>
      <c r="K205" s="10">
        <f t="shared" si="6"/>
        <v>22780</v>
      </c>
      <c r="L205" s="10">
        <v>23520</v>
      </c>
      <c r="M205" s="11" t="s">
        <v>1041</v>
      </c>
      <c r="N205" s="12">
        <v>21.6</v>
      </c>
      <c r="O205" s="13" t="s">
        <v>855</v>
      </c>
      <c r="P205" s="14"/>
    </row>
    <row r="206" spans="1:17" x14ac:dyDescent="0.25">
      <c r="A206" s="6"/>
      <c r="B206" s="7">
        <v>44264</v>
      </c>
      <c r="C206" s="8" t="s">
        <v>1062</v>
      </c>
      <c r="D206" s="8" t="s">
        <v>1672</v>
      </c>
      <c r="E206" s="9" t="s">
        <v>881</v>
      </c>
      <c r="F206" s="9" t="s">
        <v>749</v>
      </c>
      <c r="G206" s="17">
        <v>0.68125000000000002</v>
      </c>
      <c r="H206" s="17">
        <v>0.69027777777777777</v>
      </c>
      <c r="I206" s="9">
        <v>39730</v>
      </c>
      <c r="J206" s="9">
        <v>16690</v>
      </c>
      <c r="K206" s="10">
        <f t="shared" si="6"/>
        <v>23040</v>
      </c>
      <c r="L206" s="10">
        <v>23520</v>
      </c>
      <c r="M206" s="11" t="s">
        <v>1041</v>
      </c>
      <c r="N206" s="12">
        <v>21.6</v>
      </c>
      <c r="O206" s="13" t="s">
        <v>855</v>
      </c>
      <c r="P206" s="14"/>
    </row>
    <row r="207" spans="1:17" x14ac:dyDescent="0.25">
      <c r="A207" s="6"/>
      <c r="B207" s="7">
        <v>44264</v>
      </c>
      <c r="C207" s="8" t="s">
        <v>1843</v>
      </c>
      <c r="D207" s="8" t="s">
        <v>1844</v>
      </c>
      <c r="E207" s="9" t="s">
        <v>1845</v>
      </c>
      <c r="F207" s="9" t="s">
        <v>1125</v>
      </c>
      <c r="G207" s="17">
        <v>0.69166666666666676</v>
      </c>
      <c r="H207" s="17">
        <v>0.51388888888888895</v>
      </c>
      <c r="I207" s="9">
        <v>11450</v>
      </c>
      <c r="J207" s="9">
        <v>7360</v>
      </c>
      <c r="K207" s="10">
        <f t="shared" si="6"/>
        <v>4090</v>
      </c>
      <c r="L207" s="10">
        <v>20186</v>
      </c>
      <c r="M207" s="11" t="s">
        <v>1846</v>
      </c>
      <c r="N207" s="12">
        <v>4090</v>
      </c>
      <c r="O207" s="13" t="s">
        <v>32</v>
      </c>
      <c r="P207" s="14" t="s">
        <v>1357</v>
      </c>
    </row>
    <row r="208" spans="1:17" x14ac:dyDescent="0.25">
      <c r="A208" s="6"/>
      <c r="B208" s="7">
        <v>44264</v>
      </c>
      <c r="C208" s="8" t="s">
        <v>1062</v>
      </c>
      <c r="D208" s="8" t="s">
        <v>299</v>
      </c>
      <c r="E208" s="9" t="s">
        <v>813</v>
      </c>
      <c r="F208" s="9" t="s">
        <v>814</v>
      </c>
      <c r="G208" s="17">
        <v>0.69930555555555562</v>
      </c>
      <c r="H208" s="17">
        <v>0.7090277777777777</v>
      </c>
      <c r="I208" s="9">
        <v>35050</v>
      </c>
      <c r="J208" s="9">
        <v>14970</v>
      </c>
      <c r="K208" s="10">
        <f t="shared" ref="K208:K272" si="9">+I208-J208</f>
        <v>20080</v>
      </c>
      <c r="L208" s="10">
        <v>23520</v>
      </c>
      <c r="M208" s="11" t="s">
        <v>1041</v>
      </c>
      <c r="N208" s="12">
        <v>19.2</v>
      </c>
      <c r="O208" s="13" t="s">
        <v>855</v>
      </c>
      <c r="P208" s="14"/>
    </row>
    <row r="209" spans="1:17" x14ac:dyDescent="0.25">
      <c r="A209" s="6"/>
      <c r="B209" s="7">
        <v>44264</v>
      </c>
      <c r="C209" s="8" t="s">
        <v>1673</v>
      </c>
      <c r="D209" s="8" t="s">
        <v>1847</v>
      </c>
      <c r="E209" s="9" t="s">
        <v>1848</v>
      </c>
      <c r="F209" s="9" t="s">
        <v>338</v>
      </c>
      <c r="G209" s="17">
        <v>0.72986111111111107</v>
      </c>
      <c r="H209" s="17">
        <v>0.74444444444444446</v>
      </c>
      <c r="I209" s="9">
        <v>6040</v>
      </c>
      <c r="J209" s="9">
        <v>2580</v>
      </c>
      <c r="K209" s="10">
        <f t="shared" si="9"/>
        <v>3460</v>
      </c>
      <c r="L209" s="10">
        <v>26576</v>
      </c>
      <c r="M209" s="11" t="s">
        <v>965</v>
      </c>
      <c r="N209" s="12">
        <v>3460</v>
      </c>
      <c r="O209" s="13" t="s">
        <v>32</v>
      </c>
      <c r="P209" s="14"/>
    </row>
    <row r="210" spans="1:17" x14ac:dyDescent="0.25">
      <c r="A210" s="6"/>
      <c r="B210" s="7">
        <v>44264</v>
      </c>
      <c r="C210" s="8" t="s">
        <v>1849</v>
      </c>
      <c r="D210" s="8" t="s">
        <v>1355</v>
      </c>
      <c r="E210" s="9" t="s">
        <v>1048</v>
      </c>
      <c r="F210" s="9" t="s">
        <v>526</v>
      </c>
      <c r="G210" s="17">
        <v>0.75347222222222221</v>
      </c>
      <c r="H210" s="17">
        <v>0.79999999999999993</v>
      </c>
      <c r="I210" s="9">
        <v>32690</v>
      </c>
      <c r="J210" s="9">
        <v>16790</v>
      </c>
      <c r="K210" s="10">
        <f t="shared" si="9"/>
        <v>15900</v>
      </c>
      <c r="L210" s="10">
        <v>23521</v>
      </c>
      <c r="M210" s="11" t="s">
        <v>1041</v>
      </c>
      <c r="N210" s="12">
        <v>13.2</v>
      </c>
      <c r="O210" s="13" t="s">
        <v>855</v>
      </c>
      <c r="P210" s="14"/>
    </row>
    <row r="211" spans="1:17" x14ac:dyDescent="0.25">
      <c r="A211" s="6"/>
      <c r="B211" s="7">
        <v>44264</v>
      </c>
      <c r="C211" s="8" t="s">
        <v>1834</v>
      </c>
      <c r="D211" s="8" t="s">
        <v>1850</v>
      </c>
      <c r="E211" s="9" t="s">
        <v>95</v>
      </c>
      <c r="F211" s="9" t="s">
        <v>99</v>
      </c>
      <c r="G211" s="17">
        <v>0.75555555555555554</v>
      </c>
      <c r="H211" s="17">
        <v>0.76736111111111116</v>
      </c>
      <c r="I211" s="9">
        <v>17110</v>
      </c>
      <c r="J211" s="9">
        <v>6020</v>
      </c>
      <c r="K211" s="10">
        <f t="shared" si="9"/>
        <v>11090</v>
      </c>
      <c r="L211" s="10">
        <v>15640</v>
      </c>
      <c r="M211" s="11" t="s">
        <v>398</v>
      </c>
      <c r="N211" s="12">
        <v>210</v>
      </c>
      <c r="O211" s="13" t="s">
        <v>1099</v>
      </c>
      <c r="P211" s="14" t="s">
        <v>322</v>
      </c>
    </row>
    <row r="212" spans="1:17" x14ac:dyDescent="0.25">
      <c r="A212" s="6"/>
      <c r="B212" s="7">
        <v>44264</v>
      </c>
      <c r="C212" s="8" t="s">
        <v>1070</v>
      </c>
      <c r="D212" s="8" t="s">
        <v>1794</v>
      </c>
      <c r="E212" s="9" t="s">
        <v>628</v>
      </c>
      <c r="F212" s="9" t="s">
        <v>629</v>
      </c>
      <c r="G212" s="17">
        <v>0.7583333333333333</v>
      </c>
      <c r="H212" s="17">
        <v>0.77777777777777779</v>
      </c>
      <c r="I212" s="9">
        <v>15950</v>
      </c>
      <c r="J212" s="9">
        <v>9720</v>
      </c>
      <c r="K212" s="10">
        <f t="shared" si="9"/>
        <v>6230</v>
      </c>
      <c r="L212" s="10">
        <v>23522</v>
      </c>
      <c r="M212" s="11" t="s">
        <v>1816</v>
      </c>
      <c r="N212" s="12">
        <v>6</v>
      </c>
      <c r="O212" s="13" t="s">
        <v>855</v>
      </c>
      <c r="P212" s="14"/>
    </row>
    <row r="213" spans="1:17" x14ac:dyDescent="0.25">
      <c r="A213" s="6"/>
      <c r="B213" s="7">
        <v>44264</v>
      </c>
      <c r="C213" s="8" t="s">
        <v>1815</v>
      </c>
      <c r="D213" s="8" t="s">
        <v>94</v>
      </c>
      <c r="E213" s="9" t="s">
        <v>1774</v>
      </c>
      <c r="F213" s="9" t="s">
        <v>1775</v>
      </c>
      <c r="G213" s="17">
        <v>0.76041666666666663</v>
      </c>
      <c r="H213" s="17">
        <v>0.76944444444444438</v>
      </c>
      <c r="I213" s="9">
        <v>8120</v>
      </c>
      <c r="J213" s="9">
        <v>7560</v>
      </c>
      <c r="K213" s="10">
        <f t="shared" si="9"/>
        <v>560</v>
      </c>
      <c r="L213" s="10">
        <v>23523</v>
      </c>
      <c r="M213" s="11" t="s">
        <v>1816</v>
      </c>
      <c r="N213" s="12">
        <v>560</v>
      </c>
      <c r="O213" s="13" t="s">
        <v>32</v>
      </c>
      <c r="P213" s="14" t="s">
        <v>883</v>
      </c>
    </row>
    <row r="214" spans="1:17" x14ac:dyDescent="0.25">
      <c r="A214" s="6"/>
      <c r="B214" s="7">
        <v>44264</v>
      </c>
      <c r="C214" s="8" t="s">
        <v>1851</v>
      </c>
      <c r="D214" s="8" t="s">
        <v>284</v>
      </c>
      <c r="E214" s="9" t="s">
        <v>1650</v>
      </c>
      <c r="F214" s="9" t="s">
        <v>178</v>
      </c>
      <c r="G214" s="17">
        <v>0.7631944444444444</v>
      </c>
      <c r="H214" s="17">
        <v>0.78333333333333333</v>
      </c>
      <c r="I214" s="9">
        <v>23700</v>
      </c>
      <c r="J214" s="9">
        <v>16390</v>
      </c>
      <c r="K214" s="10">
        <f t="shared" si="9"/>
        <v>7310</v>
      </c>
      <c r="L214" s="10">
        <v>23524</v>
      </c>
      <c r="M214" s="11" t="s">
        <v>1852</v>
      </c>
      <c r="N214" s="12">
        <v>6.6</v>
      </c>
      <c r="O214" s="13" t="s">
        <v>855</v>
      </c>
      <c r="P214" s="14"/>
    </row>
    <row r="215" spans="1:17" x14ac:dyDescent="0.25">
      <c r="A215" s="6"/>
      <c r="B215" s="7">
        <v>44264</v>
      </c>
      <c r="C215" s="8" t="s">
        <v>208</v>
      </c>
      <c r="D215" s="8" t="s">
        <v>899</v>
      </c>
      <c r="E215" s="9" t="s">
        <v>490</v>
      </c>
      <c r="F215" s="9" t="s">
        <v>491</v>
      </c>
      <c r="G215" s="17">
        <v>0.77986111111111101</v>
      </c>
      <c r="H215" s="17">
        <v>0.35138888888888892</v>
      </c>
      <c r="I215" s="9">
        <v>43740</v>
      </c>
      <c r="J215" s="9">
        <v>16810</v>
      </c>
      <c r="K215" s="10">
        <f t="shared" si="9"/>
        <v>26930</v>
      </c>
      <c r="L215" s="10">
        <v>40984</v>
      </c>
      <c r="M215" s="11" t="s">
        <v>1730</v>
      </c>
      <c r="N215" s="12">
        <v>26900</v>
      </c>
      <c r="O215" s="13" t="s">
        <v>32</v>
      </c>
      <c r="P215" s="14"/>
    </row>
    <row r="216" spans="1:17" x14ac:dyDescent="0.25">
      <c r="A216" s="6"/>
      <c r="B216" s="7">
        <v>44264</v>
      </c>
      <c r="C216" s="8" t="s">
        <v>1789</v>
      </c>
      <c r="D216" s="8" t="s">
        <v>994</v>
      </c>
      <c r="E216" s="9" t="s">
        <v>995</v>
      </c>
      <c r="F216" s="9" t="s">
        <v>338</v>
      </c>
      <c r="G216" s="17">
        <v>0.8340277777777777</v>
      </c>
      <c r="H216" s="17">
        <v>0.85416666666666663</v>
      </c>
      <c r="I216" s="9">
        <v>4540</v>
      </c>
      <c r="J216" s="9">
        <v>3120</v>
      </c>
      <c r="K216" s="10">
        <f t="shared" si="9"/>
        <v>1420</v>
      </c>
      <c r="L216" s="10">
        <v>26577</v>
      </c>
      <c r="M216" s="11" t="s">
        <v>965</v>
      </c>
      <c r="N216" s="12">
        <v>1420</v>
      </c>
      <c r="O216" s="13" t="s">
        <v>32</v>
      </c>
      <c r="P216" s="14"/>
    </row>
    <row r="217" spans="1:17" x14ac:dyDescent="0.25">
      <c r="A217" s="6"/>
      <c r="B217" s="7">
        <v>44264</v>
      </c>
      <c r="C217" s="8" t="s">
        <v>1789</v>
      </c>
      <c r="D217" s="8" t="s">
        <v>1853</v>
      </c>
      <c r="E217" s="9" t="s">
        <v>1231</v>
      </c>
      <c r="F217" s="9" t="s">
        <v>338</v>
      </c>
      <c r="G217" s="17">
        <v>0.85833333333333339</v>
      </c>
      <c r="H217" s="17">
        <v>0.9291666666666667</v>
      </c>
      <c r="I217" s="9">
        <v>11130</v>
      </c>
      <c r="J217" s="9">
        <v>4060</v>
      </c>
      <c r="K217" s="10">
        <f t="shared" si="9"/>
        <v>7070</v>
      </c>
      <c r="L217" s="10">
        <v>26578</v>
      </c>
      <c r="M217" s="11" t="s">
        <v>1208</v>
      </c>
      <c r="N217" s="12">
        <v>7070</v>
      </c>
      <c r="O217" s="13" t="s">
        <v>32</v>
      </c>
      <c r="P217" s="14"/>
    </row>
    <row r="218" spans="1:17" x14ac:dyDescent="0.25">
      <c r="A218" s="6"/>
      <c r="B218" s="7">
        <v>44264</v>
      </c>
      <c r="C218" s="8" t="s">
        <v>1616</v>
      </c>
      <c r="D218" s="8" t="s">
        <v>1055</v>
      </c>
      <c r="E218" s="9" t="s">
        <v>39</v>
      </c>
      <c r="F218" s="9" t="s">
        <v>338</v>
      </c>
      <c r="G218" s="17">
        <v>0.92499999999999993</v>
      </c>
      <c r="H218" s="17">
        <v>0.98055555555555562</v>
      </c>
      <c r="I218" s="9">
        <v>20215</v>
      </c>
      <c r="J218" s="9">
        <v>6270</v>
      </c>
      <c r="K218" s="10">
        <f t="shared" si="9"/>
        <v>13945</v>
      </c>
      <c r="L218" s="10">
        <v>26579</v>
      </c>
      <c r="M218" s="11" t="s">
        <v>1818</v>
      </c>
      <c r="N218" s="12">
        <v>13945</v>
      </c>
      <c r="O218" s="13" t="s">
        <v>32</v>
      </c>
      <c r="P218" s="14"/>
    </row>
    <row r="219" spans="1:17" x14ac:dyDescent="0.25">
      <c r="A219" s="6"/>
      <c r="B219" s="7">
        <v>44265</v>
      </c>
      <c r="C219" s="8" t="s">
        <v>1017</v>
      </c>
      <c r="D219" s="8" t="s">
        <v>458</v>
      </c>
      <c r="E219" s="9" t="s">
        <v>699</v>
      </c>
      <c r="F219" s="9" t="s">
        <v>459</v>
      </c>
      <c r="G219" s="17">
        <v>0.1013888888888889</v>
      </c>
      <c r="H219" s="17">
        <v>0.12222222222222223</v>
      </c>
      <c r="I219" s="9">
        <v>15170</v>
      </c>
      <c r="J219" s="9">
        <v>8280</v>
      </c>
      <c r="K219" s="10">
        <f t="shared" si="9"/>
        <v>6890</v>
      </c>
      <c r="L219" s="10" t="s">
        <v>1854</v>
      </c>
      <c r="M219" s="11" t="s">
        <v>48</v>
      </c>
      <c r="N219" s="12">
        <f>7448+5332</f>
        <v>12780</v>
      </c>
      <c r="O219" s="13" t="s">
        <v>49</v>
      </c>
      <c r="P219" s="14"/>
    </row>
    <row r="220" spans="1:17" x14ac:dyDescent="0.25">
      <c r="A220" s="6"/>
      <c r="B220" s="7">
        <v>44265</v>
      </c>
      <c r="C220" s="8" t="s">
        <v>142</v>
      </c>
      <c r="D220" s="8" t="s">
        <v>1656</v>
      </c>
      <c r="E220" s="9" t="s">
        <v>87</v>
      </c>
      <c r="F220" s="9" t="s">
        <v>88</v>
      </c>
      <c r="G220" s="17">
        <v>0.25138888888888888</v>
      </c>
      <c r="H220" s="17">
        <v>0.25763888888888892</v>
      </c>
      <c r="I220" s="9">
        <v>41520</v>
      </c>
      <c r="J220" s="9">
        <v>17600</v>
      </c>
      <c r="K220" s="10">
        <f t="shared" si="9"/>
        <v>23920</v>
      </c>
      <c r="L220" s="10">
        <v>779</v>
      </c>
      <c r="M220" s="11" t="s">
        <v>1825</v>
      </c>
      <c r="N220" s="12">
        <v>23844</v>
      </c>
      <c r="O220" s="13" t="s">
        <v>683</v>
      </c>
      <c r="P220" s="14"/>
    </row>
    <row r="221" spans="1:17" x14ac:dyDescent="0.25">
      <c r="A221" s="6"/>
      <c r="B221" s="15">
        <v>44265</v>
      </c>
      <c r="C221" s="16" t="s">
        <v>1855</v>
      </c>
      <c r="D221" s="8" t="s">
        <v>1855</v>
      </c>
      <c r="E221" s="9" t="s">
        <v>1856</v>
      </c>
      <c r="F221" s="9" t="s">
        <v>338</v>
      </c>
      <c r="G221" s="17">
        <v>0.4152777777777778</v>
      </c>
      <c r="H221" s="17">
        <v>0.4513888888888889</v>
      </c>
      <c r="I221" s="9">
        <v>6930</v>
      </c>
      <c r="J221" s="9">
        <v>4500</v>
      </c>
      <c r="K221" s="10">
        <f t="shared" si="9"/>
        <v>2430</v>
      </c>
      <c r="L221" s="10">
        <v>26580</v>
      </c>
      <c r="M221" s="11" t="s">
        <v>1857</v>
      </c>
      <c r="N221" s="12">
        <v>2430</v>
      </c>
      <c r="O221" s="13" t="s">
        <v>32</v>
      </c>
      <c r="P221" s="14"/>
      <c r="Q221" s="2"/>
    </row>
    <row r="222" spans="1:17" x14ac:dyDescent="0.25">
      <c r="A222" s="6"/>
      <c r="B222" s="7">
        <v>44265</v>
      </c>
      <c r="C222" s="8" t="s">
        <v>1668</v>
      </c>
      <c r="D222" s="8" t="s">
        <v>94</v>
      </c>
      <c r="E222" s="9" t="s">
        <v>1774</v>
      </c>
      <c r="F222" s="9" t="s">
        <v>1775</v>
      </c>
      <c r="G222" s="17">
        <v>0.45277777777777778</v>
      </c>
      <c r="H222" s="17">
        <v>0.47152777777777777</v>
      </c>
      <c r="I222" s="9">
        <v>17930</v>
      </c>
      <c r="J222" s="9">
        <v>7550</v>
      </c>
      <c r="K222" s="10">
        <f t="shared" si="9"/>
        <v>10380</v>
      </c>
      <c r="L222" s="10">
        <v>23525</v>
      </c>
      <c r="M222" s="11" t="s">
        <v>1041</v>
      </c>
      <c r="N222" s="12">
        <v>9.6</v>
      </c>
      <c r="O222" s="13" t="s">
        <v>855</v>
      </c>
      <c r="P222" s="14"/>
    </row>
    <row r="223" spans="1:17" x14ac:dyDescent="0.25">
      <c r="A223" s="6"/>
      <c r="B223" s="7">
        <v>44265</v>
      </c>
      <c r="C223" s="8" t="s">
        <v>1858</v>
      </c>
      <c r="D223" s="8" t="s">
        <v>1859</v>
      </c>
      <c r="E223" s="9" t="s">
        <v>1860</v>
      </c>
      <c r="F223" s="9" t="s">
        <v>338</v>
      </c>
      <c r="G223" s="17">
        <v>0.4548611111111111</v>
      </c>
      <c r="H223" s="17">
        <v>1247</v>
      </c>
      <c r="I223" s="9">
        <v>18450</v>
      </c>
      <c r="J223" s="9">
        <v>9440</v>
      </c>
      <c r="K223" s="10">
        <f t="shared" si="9"/>
        <v>9010</v>
      </c>
      <c r="L223" s="10">
        <v>26581</v>
      </c>
      <c r="M223" s="11" t="s">
        <v>1482</v>
      </c>
      <c r="N223" s="12">
        <v>9010</v>
      </c>
      <c r="O223" s="13" t="s">
        <v>32</v>
      </c>
      <c r="P223" s="14"/>
    </row>
    <row r="224" spans="1:17" x14ac:dyDescent="0.25">
      <c r="A224" s="6"/>
      <c r="B224" s="7">
        <v>44265</v>
      </c>
      <c r="C224" s="8" t="s">
        <v>1668</v>
      </c>
      <c r="D224" s="8" t="s">
        <v>1794</v>
      </c>
      <c r="E224" s="9" t="s">
        <v>628</v>
      </c>
      <c r="F224" s="9" t="s">
        <v>629</v>
      </c>
      <c r="G224" s="17">
        <v>0.45694444444444443</v>
      </c>
      <c r="H224" s="17">
        <v>0.46875</v>
      </c>
      <c r="I224" s="9">
        <v>22790</v>
      </c>
      <c r="J224" s="9">
        <v>9640</v>
      </c>
      <c r="K224" s="10">
        <f t="shared" si="9"/>
        <v>13150</v>
      </c>
      <c r="L224" s="10">
        <v>23525</v>
      </c>
      <c r="M224" s="11" t="s">
        <v>1041</v>
      </c>
      <c r="N224" s="12">
        <v>12</v>
      </c>
      <c r="O224" s="13" t="s">
        <v>855</v>
      </c>
      <c r="P224" s="14"/>
    </row>
    <row r="225" spans="1:16" x14ac:dyDescent="0.25">
      <c r="A225" s="6"/>
      <c r="B225" s="7">
        <v>44265</v>
      </c>
      <c r="C225" s="8" t="s">
        <v>1668</v>
      </c>
      <c r="D225" s="8" t="s">
        <v>1355</v>
      </c>
      <c r="E225" s="9" t="s">
        <v>1048</v>
      </c>
      <c r="F225" s="9" t="s">
        <v>526</v>
      </c>
      <c r="G225" s="17">
        <v>0.47430555555555554</v>
      </c>
      <c r="H225" s="17">
        <v>0.48541666666666666</v>
      </c>
      <c r="I225" s="9">
        <v>28570</v>
      </c>
      <c r="J225" s="9">
        <v>16780</v>
      </c>
      <c r="K225" s="10">
        <f t="shared" si="9"/>
        <v>11790</v>
      </c>
      <c r="L225" s="10">
        <v>23525</v>
      </c>
      <c r="M225" s="11" t="s">
        <v>1041</v>
      </c>
      <c r="N225" s="12">
        <v>8.4</v>
      </c>
      <c r="O225" s="13" t="s">
        <v>855</v>
      </c>
      <c r="P225" s="14"/>
    </row>
    <row r="226" spans="1:16" x14ac:dyDescent="0.25">
      <c r="A226" s="6"/>
      <c r="B226" s="7">
        <v>44265</v>
      </c>
      <c r="C226" s="8" t="s">
        <v>1070</v>
      </c>
      <c r="D226" s="8" t="s">
        <v>1672</v>
      </c>
      <c r="E226" s="9" t="s">
        <v>881</v>
      </c>
      <c r="F226" s="9" t="s">
        <v>749</v>
      </c>
      <c r="G226" s="17">
        <v>0.49374999999999997</v>
      </c>
      <c r="H226" s="17">
        <v>0.50486111111111109</v>
      </c>
      <c r="I226" s="9">
        <v>39670</v>
      </c>
      <c r="J226" s="9">
        <v>16810</v>
      </c>
      <c r="K226" s="10">
        <f t="shared" si="9"/>
        <v>22860</v>
      </c>
      <c r="L226" s="10">
        <v>23526</v>
      </c>
      <c r="M226" s="11" t="s">
        <v>1041</v>
      </c>
      <c r="N226" s="12">
        <v>21</v>
      </c>
      <c r="O226" s="13" t="s">
        <v>855</v>
      </c>
      <c r="P226" s="14"/>
    </row>
    <row r="227" spans="1:16" x14ac:dyDescent="0.25">
      <c r="A227" s="6"/>
      <c r="B227" s="7">
        <v>44265</v>
      </c>
      <c r="C227" s="8" t="s">
        <v>1861</v>
      </c>
      <c r="D227" s="8" t="s">
        <v>853</v>
      </c>
      <c r="E227" s="9" t="s">
        <v>51</v>
      </c>
      <c r="F227" s="9" t="s">
        <v>52</v>
      </c>
      <c r="G227" s="17">
        <v>0.5180555555555556</v>
      </c>
      <c r="H227" s="17">
        <v>0.52569444444444446</v>
      </c>
      <c r="I227" s="9">
        <v>39160</v>
      </c>
      <c r="J227" s="9">
        <v>15860</v>
      </c>
      <c r="K227" s="10">
        <f t="shared" si="9"/>
        <v>23300</v>
      </c>
      <c r="L227" s="10">
        <v>23527</v>
      </c>
      <c r="M227" s="11" t="s">
        <v>1041</v>
      </c>
      <c r="N227" s="12">
        <v>21.6</v>
      </c>
      <c r="O227" s="13" t="s">
        <v>855</v>
      </c>
      <c r="P227" s="14"/>
    </row>
    <row r="228" spans="1:16" x14ac:dyDescent="0.25">
      <c r="A228" s="6"/>
      <c r="B228" s="7">
        <v>44265</v>
      </c>
      <c r="C228" s="8" t="s">
        <v>1861</v>
      </c>
      <c r="D228" s="8" t="s">
        <v>299</v>
      </c>
      <c r="E228" s="9" t="s">
        <v>813</v>
      </c>
      <c r="F228" s="9" t="s">
        <v>814</v>
      </c>
      <c r="G228" s="17">
        <v>0.52777777777777779</v>
      </c>
      <c r="H228" s="17">
        <v>0.54722222222222217</v>
      </c>
      <c r="I228" s="9">
        <v>30290</v>
      </c>
      <c r="J228" s="9">
        <v>14970</v>
      </c>
      <c r="K228" s="10">
        <f t="shared" si="9"/>
        <v>15320</v>
      </c>
      <c r="L228" s="10">
        <v>23527</v>
      </c>
      <c r="M228" s="11" t="s">
        <v>1041</v>
      </c>
      <c r="N228" s="12">
        <v>14.4</v>
      </c>
      <c r="O228" s="13" t="s">
        <v>855</v>
      </c>
      <c r="P228" s="14"/>
    </row>
    <row r="229" spans="1:16" x14ac:dyDescent="0.25">
      <c r="A229" s="6"/>
      <c r="B229" s="7">
        <v>44265</v>
      </c>
      <c r="C229" s="8" t="s">
        <v>1186</v>
      </c>
      <c r="D229" s="8" t="s">
        <v>880</v>
      </c>
      <c r="E229" s="9" t="s">
        <v>1661</v>
      </c>
      <c r="F229" s="9" t="s">
        <v>1276</v>
      </c>
      <c r="G229" s="17">
        <v>0.55069444444444449</v>
      </c>
      <c r="H229" s="17">
        <v>0.56180555555555556</v>
      </c>
      <c r="I229" s="9">
        <v>30710</v>
      </c>
      <c r="J229" s="9">
        <v>15460</v>
      </c>
      <c r="K229" s="10">
        <f t="shared" si="9"/>
        <v>15250</v>
      </c>
      <c r="L229" s="10">
        <v>23528</v>
      </c>
      <c r="M229" s="11" t="s">
        <v>1041</v>
      </c>
      <c r="N229" s="12">
        <v>12</v>
      </c>
      <c r="O229" s="13" t="s">
        <v>855</v>
      </c>
      <c r="P229" s="14"/>
    </row>
    <row r="230" spans="1:16" x14ac:dyDescent="0.25">
      <c r="A230" s="6"/>
      <c r="B230" s="7">
        <v>44265</v>
      </c>
      <c r="C230" s="8" t="s">
        <v>1582</v>
      </c>
      <c r="D230" s="8" t="s">
        <v>1862</v>
      </c>
      <c r="E230" s="9" t="s">
        <v>1863</v>
      </c>
      <c r="F230" s="9" t="s">
        <v>338</v>
      </c>
      <c r="G230" s="17">
        <v>0.55277777777777781</v>
      </c>
      <c r="H230" s="17">
        <v>0.6118055555555556</v>
      </c>
      <c r="I230" s="9">
        <v>53960</v>
      </c>
      <c r="J230" s="9">
        <v>18720</v>
      </c>
      <c r="K230" s="10">
        <f t="shared" si="9"/>
        <v>35240</v>
      </c>
      <c r="L230" s="10">
        <v>956</v>
      </c>
      <c r="M230" s="11" t="s">
        <v>306</v>
      </c>
      <c r="N230" s="12">
        <v>10000</v>
      </c>
      <c r="O230" s="13" t="s">
        <v>84</v>
      </c>
      <c r="P230" s="14"/>
    </row>
    <row r="231" spans="1:16" x14ac:dyDescent="0.25">
      <c r="A231" s="6"/>
      <c r="B231" s="7">
        <v>44265</v>
      </c>
      <c r="C231" s="8" t="s">
        <v>1864</v>
      </c>
      <c r="D231" s="8" t="s">
        <v>899</v>
      </c>
      <c r="E231" s="9" t="s">
        <v>490</v>
      </c>
      <c r="F231" s="9" t="s">
        <v>491</v>
      </c>
      <c r="G231" s="17">
        <v>0.57847222222222217</v>
      </c>
      <c r="H231" s="17">
        <v>0.58333333333333337</v>
      </c>
      <c r="I231" s="9">
        <v>32560</v>
      </c>
      <c r="J231" s="9">
        <v>15910</v>
      </c>
      <c r="K231" s="10">
        <f t="shared" si="9"/>
        <v>16650</v>
      </c>
      <c r="L231" s="10">
        <v>23529</v>
      </c>
      <c r="M231" s="11" t="s">
        <v>1041</v>
      </c>
      <c r="N231" s="12">
        <v>13.8</v>
      </c>
      <c r="O231" s="13" t="s">
        <v>855</v>
      </c>
      <c r="P231" s="14"/>
    </row>
    <row r="232" spans="1:16" x14ac:dyDescent="0.25">
      <c r="A232" s="6"/>
      <c r="B232" s="7">
        <v>44265</v>
      </c>
      <c r="C232" s="8" t="s">
        <v>164</v>
      </c>
      <c r="D232" s="8" t="s">
        <v>1652</v>
      </c>
      <c r="E232" s="9" t="s">
        <v>144</v>
      </c>
      <c r="F232" s="9" t="s">
        <v>626</v>
      </c>
      <c r="G232" s="17">
        <v>0.58958333333333335</v>
      </c>
      <c r="H232" s="17">
        <v>0.61805555555555558</v>
      </c>
      <c r="I232" s="9">
        <v>17010</v>
      </c>
      <c r="J232" s="9">
        <v>42260</v>
      </c>
      <c r="K232" s="10">
        <f t="shared" si="9"/>
        <v>-25250</v>
      </c>
      <c r="L232" s="10">
        <v>15883</v>
      </c>
      <c r="M232" s="11" t="s">
        <v>166</v>
      </c>
      <c r="N232" s="12">
        <v>504</v>
      </c>
      <c r="O232" s="13" t="s">
        <v>1099</v>
      </c>
      <c r="P232" s="14"/>
    </row>
    <row r="233" spans="1:16" x14ac:dyDescent="0.25">
      <c r="A233" s="6"/>
      <c r="B233" s="7">
        <v>44265</v>
      </c>
      <c r="C233" s="8" t="s">
        <v>1849</v>
      </c>
      <c r="D233" s="8" t="s">
        <v>284</v>
      </c>
      <c r="E233" s="9" t="s">
        <v>1650</v>
      </c>
      <c r="F233" s="9" t="s">
        <v>178</v>
      </c>
      <c r="G233" s="17">
        <v>0.59791666666666665</v>
      </c>
      <c r="H233" s="17">
        <v>0.61388888888888882</v>
      </c>
      <c r="I233" s="9">
        <v>39390</v>
      </c>
      <c r="J233" s="9">
        <v>16380</v>
      </c>
      <c r="K233" s="10">
        <f t="shared" ref="K233" si="10">+I233-J233</f>
        <v>23010</v>
      </c>
      <c r="L233" s="10">
        <v>23530</v>
      </c>
      <c r="M233" s="11" t="s">
        <v>1041</v>
      </c>
      <c r="N233" s="12">
        <v>21.6</v>
      </c>
      <c r="O233" s="13" t="s">
        <v>855</v>
      </c>
      <c r="P233" s="14"/>
    </row>
    <row r="234" spans="1:16" x14ac:dyDescent="0.25">
      <c r="A234" s="6"/>
      <c r="B234" s="7">
        <v>44265</v>
      </c>
      <c r="C234" s="8" t="s">
        <v>164</v>
      </c>
      <c r="D234" s="8" t="s">
        <v>899</v>
      </c>
      <c r="E234" s="9" t="s">
        <v>490</v>
      </c>
      <c r="F234" s="9" t="s">
        <v>491</v>
      </c>
      <c r="G234" s="17">
        <v>0.60277777777777775</v>
      </c>
      <c r="H234" s="17">
        <v>0.63402777777777775</v>
      </c>
      <c r="I234" s="9">
        <v>17840</v>
      </c>
      <c r="J234" s="9">
        <v>43190</v>
      </c>
      <c r="K234" s="10">
        <f t="shared" si="9"/>
        <v>-25350</v>
      </c>
      <c r="L234" s="10">
        <v>15884</v>
      </c>
      <c r="M234" s="11" t="s">
        <v>166</v>
      </c>
      <c r="N234" s="12">
        <v>504</v>
      </c>
      <c r="O234" s="13" t="s">
        <v>1099</v>
      </c>
      <c r="P234" s="14"/>
    </row>
    <row r="235" spans="1:16" x14ac:dyDescent="0.25">
      <c r="A235" s="6"/>
      <c r="B235" s="7">
        <v>44265</v>
      </c>
      <c r="C235" s="8" t="s">
        <v>1865</v>
      </c>
      <c r="D235" s="8" t="s">
        <v>1794</v>
      </c>
      <c r="E235" s="9" t="s">
        <v>628</v>
      </c>
      <c r="F235" s="9" t="s">
        <v>629</v>
      </c>
      <c r="G235" s="17">
        <v>0.61944444444444446</v>
      </c>
      <c r="H235" s="17">
        <v>0.62361111111111112</v>
      </c>
      <c r="I235" s="9">
        <v>21070</v>
      </c>
      <c r="J235" s="9">
        <v>9610</v>
      </c>
      <c r="K235" s="10">
        <f t="shared" si="9"/>
        <v>11460</v>
      </c>
      <c r="L235" s="10" t="s">
        <v>1866</v>
      </c>
      <c r="M235" s="11" t="s">
        <v>1041</v>
      </c>
      <c r="N235" s="12">
        <v>8.4</v>
      </c>
      <c r="O235" s="13" t="s">
        <v>855</v>
      </c>
      <c r="P235" s="14"/>
    </row>
    <row r="236" spans="1:16" x14ac:dyDescent="0.25">
      <c r="A236" s="6"/>
      <c r="B236" s="7">
        <v>44265</v>
      </c>
      <c r="C236" s="8" t="s">
        <v>1089</v>
      </c>
      <c r="D236" s="8" t="s">
        <v>1355</v>
      </c>
      <c r="E236" s="9" t="s">
        <v>1048</v>
      </c>
      <c r="F236" s="9" t="s">
        <v>526</v>
      </c>
      <c r="G236" s="17">
        <v>0.62638888888888888</v>
      </c>
      <c r="H236" s="17">
        <v>0.64166666666666672</v>
      </c>
      <c r="I236" s="9">
        <v>36070</v>
      </c>
      <c r="J236" s="9">
        <v>16750</v>
      </c>
      <c r="K236" s="10">
        <f t="shared" si="9"/>
        <v>19320</v>
      </c>
      <c r="L236" s="10">
        <v>23531</v>
      </c>
      <c r="M236" s="11" t="s">
        <v>1041</v>
      </c>
      <c r="N236" s="12">
        <v>16.8</v>
      </c>
      <c r="O236" s="13" t="s">
        <v>855</v>
      </c>
      <c r="P236" s="14"/>
    </row>
    <row r="237" spans="1:16" x14ac:dyDescent="0.25">
      <c r="A237" s="6"/>
      <c r="B237" s="7">
        <v>44265</v>
      </c>
      <c r="C237" s="8" t="s">
        <v>973</v>
      </c>
      <c r="D237" s="8" t="s">
        <v>94</v>
      </c>
      <c r="E237" s="9" t="s">
        <v>1774</v>
      </c>
      <c r="F237" s="9" t="s">
        <v>1775</v>
      </c>
      <c r="G237" s="17">
        <v>0.62916666666666665</v>
      </c>
      <c r="H237" s="17">
        <v>0.63750000000000007</v>
      </c>
      <c r="I237" s="9">
        <v>13695</v>
      </c>
      <c r="J237" s="9">
        <v>7570</v>
      </c>
      <c r="K237" s="10">
        <f t="shared" si="9"/>
        <v>6125</v>
      </c>
      <c r="L237" s="10">
        <v>23532</v>
      </c>
      <c r="M237" s="11" t="s">
        <v>1867</v>
      </c>
      <c r="N237" s="12">
        <v>6395</v>
      </c>
      <c r="O237" s="13" t="s">
        <v>32</v>
      </c>
      <c r="P237" s="14" t="s">
        <v>1868</v>
      </c>
    </row>
    <row r="238" spans="1:16" x14ac:dyDescent="0.25">
      <c r="A238" s="6"/>
      <c r="B238" s="7">
        <v>44265</v>
      </c>
      <c r="C238" s="8" t="s">
        <v>1089</v>
      </c>
      <c r="D238" s="8" t="s">
        <v>1672</v>
      </c>
      <c r="E238" s="9" t="s">
        <v>881</v>
      </c>
      <c r="F238" s="9" t="s">
        <v>749</v>
      </c>
      <c r="G238" s="17">
        <v>0.63194444444444442</v>
      </c>
      <c r="H238" s="17">
        <v>0.63888888888888895</v>
      </c>
      <c r="I238" s="9">
        <v>38990</v>
      </c>
      <c r="J238" s="9">
        <v>16700</v>
      </c>
      <c r="K238" s="10">
        <f t="shared" si="9"/>
        <v>22290</v>
      </c>
      <c r="L238" s="10">
        <v>23531</v>
      </c>
      <c r="M238" s="11" t="s">
        <v>1041</v>
      </c>
      <c r="N238" s="12">
        <v>21.6</v>
      </c>
      <c r="O238" s="13" t="s">
        <v>855</v>
      </c>
      <c r="P238" s="14"/>
    </row>
    <row r="239" spans="1:16" x14ac:dyDescent="0.25">
      <c r="A239" s="6"/>
      <c r="B239" s="7">
        <v>44265</v>
      </c>
      <c r="C239" s="8" t="s">
        <v>1089</v>
      </c>
      <c r="D239" s="8" t="s">
        <v>299</v>
      </c>
      <c r="E239" s="9" t="s">
        <v>813</v>
      </c>
      <c r="F239" s="9" t="s">
        <v>814</v>
      </c>
      <c r="G239" s="17">
        <v>0.6430555555555556</v>
      </c>
      <c r="H239" s="17">
        <v>0.65694444444444444</v>
      </c>
      <c r="I239" s="9">
        <v>22490</v>
      </c>
      <c r="J239" s="9">
        <v>14960</v>
      </c>
      <c r="K239" s="10">
        <f t="shared" si="9"/>
        <v>7530</v>
      </c>
      <c r="L239" s="10">
        <v>23531</v>
      </c>
      <c r="M239" s="11" t="s">
        <v>1041</v>
      </c>
      <c r="N239" s="12">
        <v>7.2</v>
      </c>
      <c r="O239" s="13" t="s">
        <v>855</v>
      </c>
      <c r="P239" s="14"/>
    </row>
    <row r="240" spans="1:16" x14ac:dyDescent="0.25">
      <c r="A240" s="6"/>
      <c r="B240" s="7">
        <v>44265</v>
      </c>
      <c r="C240" s="8" t="s">
        <v>1869</v>
      </c>
      <c r="D240" s="8" t="s">
        <v>853</v>
      </c>
      <c r="E240" s="9" t="s">
        <v>51</v>
      </c>
      <c r="F240" s="9" t="s">
        <v>52</v>
      </c>
      <c r="G240" s="17">
        <v>0.65208333333333335</v>
      </c>
      <c r="H240" s="17">
        <v>0.66388888888888886</v>
      </c>
      <c r="I240" s="9">
        <v>36990</v>
      </c>
      <c r="J240" s="9">
        <v>15830</v>
      </c>
      <c r="K240" s="10">
        <f t="shared" si="9"/>
        <v>21160</v>
      </c>
      <c r="L240" s="10">
        <v>23533</v>
      </c>
      <c r="M240" s="11" t="s">
        <v>1515</v>
      </c>
      <c r="N240" s="12">
        <v>19.8</v>
      </c>
      <c r="O240" s="13" t="s">
        <v>855</v>
      </c>
      <c r="P240" s="14"/>
    </row>
    <row r="241" spans="1:24" x14ac:dyDescent="0.25">
      <c r="A241" s="6"/>
      <c r="B241" s="7">
        <v>44265</v>
      </c>
      <c r="C241" s="8" t="s">
        <v>1869</v>
      </c>
      <c r="D241" s="8" t="s">
        <v>880</v>
      </c>
      <c r="E241" s="9" t="s">
        <v>1661</v>
      </c>
      <c r="F241" s="9" t="s">
        <v>1276</v>
      </c>
      <c r="G241" s="17">
        <v>0.65763888888888888</v>
      </c>
      <c r="H241" s="17">
        <v>0.66875000000000007</v>
      </c>
      <c r="I241" s="9">
        <v>24190</v>
      </c>
      <c r="J241" s="9">
        <v>15470</v>
      </c>
      <c r="K241" s="10">
        <f t="shared" si="9"/>
        <v>8720</v>
      </c>
      <c r="L241" s="10">
        <v>23533</v>
      </c>
      <c r="M241" s="11" t="s">
        <v>1515</v>
      </c>
      <c r="N241" s="12">
        <v>8.25</v>
      </c>
      <c r="O241" s="13" t="s">
        <v>855</v>
      </c>
      <c r="P241" s="14"/>
    </row>
    <row r="242" spans="1:24" x14ac:dyDescent="0.25">
      <c r="A242" s="6"/>
      <c r="B242" s="7">
        <v>44265</v>
      </c>
      <c r="C242" s="8" t="s">
        <v>1855</v>
      </c>
      <c r="D242" s="8" t="s">
        <v>1855</v>
      </c>
      <c r="E242" s="9" t="s">
        <v>1870</v>
      </c>
      <c r="F242" s="9" t="s">
        <v>338</v>
      </c>
      <c r="G242" s="17">
        <v>0.66597222222222219</v>
      </c>
      <c r="H242" s="17">
        <v>0.71250000000000002</v>
      </c>
      <c r="I242" s="9">
        <v>5680</v>
      </c>
      <c r="J242" s="9">
        <v>2950</v>
      </c>
      <c r="K242" s="10">
        <f t="shared" si="9"/>
        <v>2730</v>
      </c>
      <c r="L242" s="10">
        <v>26582</v>
      </c>
      <c r="M242" s="11" t="s">
        <v>1871</v>
      </c>
      <c r="N242" s="12">
        <v>2730</v>
      </c>
      <c r="O242" s="13" t="s">
        <v>32</v>
      </c>
      <c r="P242" s="14"/>
    </row>
    <row r="243" spans="1:24" x14ac:dyDescent="0.25">
      <c r="A243" s="6"/>
      <c r="B243" s="7">
        <v>44265</v>
      </c>
      <c r="C243" s="8" t="s">
        <v>55</v>
      </c>
      <c r="D243" s="8" t="s">
        <v>1652</v>
      </c>
      <c r="E243" s="9" t="s">
        <v>144</v>
      </c>
      <c r="F243" s="9" t="s">
        <v>626</v>
      </c>
      <c r="G243" s="17">
        <v>0.70347222222222217</v>
      </c>
      <c r="H243" s="17">
        <v>0.7597222222222223</v>
      </c>
      <c r="I243" s="9">
        <v>15740</v>
      </c>
      <c r="J243" s="9">
        <v>39110</v>
      </c>
      <c r="K243" s="10">
        <f t="shared" si="9"/>
        <v>-23370</v>
      </c>
      <c r="L243" s="10">
        <v>5827</v>
      </c>
      <c r="M243" s="11" t="s">
        <v>1872</v>
      </c>
      <c r="N243" s="12">
        <v>22201</v>
      </c>
      <c r="O243" s="13" t="s">
        <v>32</v>
      </c>
      <c r="P243" s="14" t="s">
        <v>1875</v>
      </c>
    </row>
    <row r="244" spans="1:24" x14ac:dyDescent="0.25">
      <c r="A244" s="6"/>
      <c r="B244" s="7">
        <v>44265</v>
      </c>
      <c r="C244" s="8" t="s">
        <v>1789</v>
      </c>
      <c r="D244" s="8" t="s">
        <v>994</v>
      </c>
      <c r="E244" s="9" t="s">
        <v>995</v>
      </c>
      <c r="F244" s="9" t="s">
        <v>338</v>
      </c>
      <c r="G244" s="17">
        <v>0.71319444444444446</v>
      </c>
      <c r="H244" s="17">
        <v>0.73333333333333339</v>
      </c>
      <c r="I244" s="9">
        <v>4490</v>
      </c>
      <c r="J244" s="9">
        <v>3150</v>
      </c>
      <c r="K244" s="10">
        <f t="shared" si="9"/>
        <v>1340</v>
      </c>
      <c r="L244" s="10">
        <v>26583</v>
      </c>
      <c r="M244" s="11" t="s">
        <v>965</v>
      </c>
      <c r="N244" s="12">
        <v>1340</v>
      </c>
      <c r="O244" s="13" t="s">
        <v>32</v>
      </c>
      <c r="P244" s="14"/>
    </row>
    <row r="245" spans="1:24" x14ac:dyDescent="0.25">
      <c r="A245" s="6"/>
      <c r="B245" s="7">
        <v>44265</v>
      </c>
      <c r="C245" s="8" t="s">
        <v>1534</v>
      </c>
      <c r="D245" s="8" t="s">
        <v>1084</v>
      </c>
      <c r="E245" s="9" t="s">
        <v>502</v>
      </c>
      <c r="F245" s="9" t="s">
        <v>1647</v>
      </c>
      <c r="G245" s="17">
        <v>0.72569444444444453</v>
      </c>
      <c r="H245" s="17">
        <v>0.7416666666666667</v>
      </c>
      <c r="I245" s="9">
        <v>7060</v>
      </c>
      <c r="J245" s="9">
        <v>5600</v>
      </c>
      <c r="K245" s="10">
        <f t="shared" si="9"/>
        <v>1460</v>
      </c>
      <c r="L245" s="10">
        <v>20187</v>
      </c>
      <c r="M245" s="11" t="s">
        <v>1873</v>
      </c>
      <c r="N245" s="12">
        <v>1460</v>
      </c>
      <c r="O245" s="13" t="s">
        <v>32</v>
      </c>
      <c r="P245" s="14" t="s">
        <v>992</v>
      </c>
    </row>
    <row r="246" spans="1:24" x14ac:dyDescent="0.25">
      <c r="A246" s="6"/>
      <c r="B246" s="7">
        <v>44265</v>
      </c>
      <c r="C246" s="8" t="s">
        <v>1789</v>
      </c>
      <c r="D246" s="8" t="s">
        <v>1874</v>
      </c>
      <c r="E246" s="9" t="s">
        <v>1678</v>
      </c>
      <c r="F246" s="9" t="s">
        <v>338</v>
      </c>
      <c r="G246" s="17">
        <v>0.73541666666666661</v>
      </c>
      <c r="H246" s="17">
        <v>0.77361111111111114</v>
      </c>
      <c r="I246" s="9">
        <v>5680</v>
      </c>
      <c r="J246" s="9">
        <v>2210</v>
      </c>
      <c r="K246" s="10">
        <f t="shared" si="9"/>
        <v>3470</v>
      </c>
      <c r="L246" s="10">
        <v>26584</v>
      </c>
      <c r="M246" s="11" t="s">
        <v>965</v>
      </c>
      <c r="N246" s="12">
        <v>3470</v>
      </c>
      <c r="O246" s="13" t="s">
        <v>32</v>
      </c>
      <c r="P246" s="14"/>
      <c r="S246" s="1" t="s">
        <v>91</v>
      </c>
      <c r="T246" s="1">
        <v>57</v>
      </c>
      <c r="U246" s="18">
        <v>11</v>
      </c>
      <c r="V246" s="1">
        <f>+U246*T246</f>
        <v>627</v>
      </c>
    </row>
    <row r="247" spans="1:24" x14ac:dyDescent="0.25">
      <c r="A247" s="6"/>
      <c r="B247" s="7">
        <v>44265</v>
      </c>
      <c r="C247" s="8" t="s">
        <v>164</v>
      </c>
      <c r="D247" s="8" t="s">
        <v>899</v>
      </c>
      <c r="E247" s="9" t="s">
        <v>490</v>
      </c>
      <c r="F247" s="9" t="s">
        <v>491</v>
      </c>
      <c r="G247" s="17">
        <v>0.73749999999999993</v>
      </c>
      <c r="H247" s="17">
        <v>0.76527777777777783</v>
      </c>
      <c r="I247" s="9">
        <v>43290</v>
      </c>
      <c r="J247" s="9">
        <v>17880</v>
      </c>
      <c r="K247" s="10">
        <f t="shared" si="9"/>
        <v>25410</v>
      </c>
      <c r="L247" s="10">
        <v>15639</v>
      </c>
      <c r="M247" s="11" t="s">
        <v>1606</v>
      </c>
      <c r="N247" s="12">
        <v>504</v>
      </c>
      <c r="O247" s="13" t="s">
        <v>1099</v>
      </c>
      <c r="P247" s="14"/>
      <c r="S247" s="1" t="s">
        <v>646</v>
      </c>
      <c r="T247" s="1">
        <v>58</v>
      </c>
      <c r="U247" s="18">
        <v>5</v>
      </c>
      <c r="V247" s="1">
        <f t="shared" ref="V247:V248" si="11">+U247*T247</f>
        <v>290</v>
      </c>
    </row>
    <row r="248" spans="1:24" x14ac:dyDescent="0.25">
      <c r="A248" s="6"/>
      <c r="B248" s="7">
        <v>44265</v>
      </c>
      <c r="C248" s="8" t="s">
        <v>1535</v>
      </c>
      <c r="D248" s="8" t="s">
        <v>1794</v>
      </c>
      <c r="E248" s="9" t="s">
        <v>628</v>
      </c>
      <c r="F248" s="9" t="s">
        <v>629</v>
      </c>
      <c r="G248" s="17">
        <v>0.74583333333333324</v>
      </c>
      <c r="H248" s="17">
        <v>0.77083333333333337</v>
      </c>
      <c r="I248" s="9">
        <v>18190</v>
      </c>
      <c r="J248" s="9">
        <v>9590</v>
      </c>
      <c r="K248" s="10">
        <f t="shared" si="9"/>
        <v>8600</v>
      </c>
      <c r="L248" s="10">
        <v>23534</v>
      </c>
      <c r="M248" s="11" t="s">
        <v>1482</v>
      </c>
      <c r="N248" s="12">
        <v>9</v>
      </c>
      <c r="O248" s="13" t="s">
        <v>855</v>
      </c>
      <c r="P248" s="14"/>
      <c r="S248" s="1" t="s">
        <v>669</v>
      </c>
      <c r="T248" s="1">
        <v>63</v>
      </c>
      <c r="U248" s="18">
        <v>4</v>
      </c>
      <c r="V248" s="1">
        <f t="shared" si="11"/>
        <v>252</v>
      </c>
    </row>
    <row r="249" spans="1:24" x14ac:dyDescent="0.25">
      <c r="A249" s="6"/>
      <c r="B249" s="7">
        <v>44265</v>
      </c>
      <c r="C249" s="8" t="s">
        <v>1789</v>
      </c>
      <c r="D249" s="8" t="s">
        <v>1674</v>
      </c>
      <c r="E249" s="9" t="s">
        <v>1838</v>
      </c>
      <c r="F249" s="9" t="s">
        <v>338</v>
      </c>
      <c r="G249" s="17">
        <v>0.77569444444444446</v>
      </c>
      <c r="H249" s="17">
        <v>0.79375000000000007</v>
      </c>
      <c r="I249" s="9">
        <v>5090</v>
      </c>
      <c r="J249" s="9">
        <v>2440</v>
      </c>
      <c r="K249" s="10">
        <f t="shared" si="9"/>
        <v>2650</v>
      </c>
      <c r="L249" s="10">
        <v>26585</v>
      </c>
      <c r="M249" s="11" t="s">
        <v>965</v>
      </c>
      <c r="N249" s="12">
        <v>2440</v>
      </c>
      <c r="O249" s="13" t="s">
        <v>32</v>
      </c>
      <c r="P249" s="14"/>
      <c r="U249" s="18">
        <f>SUM(U246:U248)</f>
        <v>20</v>
      </c>
      <c r="V249" s="18">
        <f>SUM(V246:V248)</f>
        <v>1169</v>
      </c>
      <c r="W249" s="18">
        <v>23370</v>
      </c>
      <c r="X249" s="18">
        <f>+W249-V249</f>
        <v>22201</v>
      </c>
    </row>
    <row r="250" spans="1:24" x14ac:dyDescent="0.25">
      <c r="A250" s="6"/>
      <c r="B250" s="7">
        <v>44265</v>
      </c>
      <c r="C250" s="8" t="s">
        <v>1876</v>
      </c>
      <c r="D250" s="8" t="s">
        <v>94</v>
      </c>
      <c r="E250" s="9" t="s">
        <v>1774</v>
      </c>
      <c r="F250" s="9" t="s">
        <v>1775</v>
      </c>
      <c r="G250" s="17">
        <v>0.78472222222222221</v>
      </c>
      <c r="H250" s="17">
        <v>0.79513888888888884</v>
      </c>
      <c r="I250" s="9">
        <v>16730</v>
      </c>
      <c r="J250" s="9">
        <v>9200</v>
      </c>
      <c r="K250" s="10">
        <f t="shared" si="9"/>
        <v>7530</v>
      </c>
      <c r="L250" s="10">
        <v>23535</v>
      </c>
      <c r="M250" s="11" t="s">
        <v>1877</v>
      </c>
      <c r="N250" s="12">
        <v>9200</v>
      </c>
      <c r="O250" s="13" t="s">
        <v>32</v>
      </c>
      <c r="P250" s="14"/>
    </row>
    <row r="251" spans="1:24" x14ac:dyDescent="0.25">
      <c r="A251" s="6"/>
      <c r="B251" s="7">
        <v>44265</v>
      </c>
      <c r="C251" s="8" t="s">
        <v>208</v>
      </c>
      <c r="D251" s="8" t="s">
        <v>284</v>
      </c>
      <c r="E251" s="9" t="s">
        <v>177</v>
      </c>
      <c r="F251" s="9" t="s">
        <v>178</v>
      </c>
      <c r="G251" s="17">
        <v>0.80763888888888891</v>
      </c>
      <c r="H251" s="17">
        <v>0.35972222222222222</v>
      </c>
      <c r="I251" s="9">
        <v>43070</v>
      </c>
      <c r="J251" s="9">
        <v>15460</v>
      </c>
      <c r="K251" s="10">
        <f t="shared" si="9"/>
        <v>27610</v>
      </c>
      <c r="L251" s="10">
        <v>41014</v>
      </c>
      <c r="M251" s="11" t="s">
        <v>1730</v>
      </c>
      <c r="N251" s="12">
        <v>27630</v>
      </c>
      <c r="O251" s="13" t="s">
        <v>32</v>
      </c>
      <c r="P251" s="14"/>
    </row>
    <row r="252" spans="1:24" x14ac:dyDescent="0.25">
      <c r="A252" s="6"/>
      <c r="B252" s="7">
        <v>44265</v>
      </c>
      <c r="C252" s="8" t="s">
        <v>1789</v>
      </c>
      <c r="D252" s="8" t="s">
        <v>1686</v>
      </c>
      <c r="E252" s="9" t="s">
        <v>1206</v>
      </c>
      <c r="F252" s="9" t="s">
        <v>36</v>
      </c>
      <c r="G252" s="17">
        <v>0.81319444444444444</v>
      </c>
      <c r="H252" s="17">
        <v>0.83124999999999993</v>
      </c>
      <c r="I252" s="9">
        <v>8700</v>
      </c>
      <c r="J252" s="9">
        <v>6670</v>
      </c>
      <c r="K252" s="10">
        <f t="shared" si="9"/>
        <v>2030</v>
      </c>
      <c r="L252" s="10">
        <v>26587</v>
      </c>
      <c r="M252" s="11" t="s">
        <v>1041</v>
      </c>
      <c r="N252" s="12">
        <v>2030</v>
      </c>
      <c r="O252" s="13" t="s">
        <v>32</v>
      </c>
      <c r="P252" s="14"/>
    </row>
    <row r="253" spans="1:24" x14ac:dyDescent="0.25">
      <c r="A253" s="6"/>
      <c r="B253" s="7">
        <v>44265</v>
      </c>
      <c r="C253" s="8" t="s">
        <v>1789</v>
      </c>
      <c r="D253" s="8" t="s">
        <v>1853</v>
      </c>
      <c r="E253" s="9" t="s">
        <v>1231</v>
      </c>
      <c r="F253" s="9" t="s">
        <v>36</v>
      </c>
      <c r="G253" s="17">
        <v>0.81736111111111109</v>
      </c>
      <c r="H253" s="17">
        <v>0.8652777777777777</v>
      </c>
      <c r="I253" s="9">
        <v>7180</v>
      </c>
      <c r="J253" s="9">
        <v>4070</v>
      </c>
      <c r="K253" s="10">
        <f t="shared" si="9"/>
        <v>3110</v>
      </c>
      <c r="L253" s="10">
        <v>26588</v>
      </c>
      <c r="M253" s="11" t="s">
        <v>1461</v>
      </c>
      <c r="N253" s="12">
        <v>3110</v>
      </c>
      <c r="O253" s="13" t="s">
        <v>32</v>
      </c>
      <c r="P253" s="14"/>
    </row>
    <row r="254" spans="1:24" x14ac:dyDescent="0.25">
      <c r="A254" s="6"/>
      <c r="B254" s="7">
        <v>44265</v>
      </c>
      <c r="C254" s="8" t="s">
        <v>1876</v>
      </c>
      <c r="D254" s="8" t="s">
        <v>1794</v>
      </c>
      <c r="E254" s="9" t="s">
        <v>628</v>
      </c>
      <c r="F254" s="9" t="s">
        <v>629</v>
      </c>
      <c r="G254" s="17">
        <v>0.81874999999999998</v>
      </c>
      <c r="H254" s="17">
        <v>0.82500000000000007</v>
      </c>
      <c r="I254" s="9">
        <v>15450</v>
      </c>
      <c r="J254" s="9">
        <v>9580</v>
      </c>
      <c r="K254" s="10">
        <f t="shared" si="9"/>
        <v>5870</v>
      </c>
      <c r="L254" s="10">
        <v>23535</v>
      </c>
      <c r="M254" s="11" t="s">
        <v>1878</v>
      </c>
      <c r="N254" s="12">
        <v>5.4</v>
      </c>
      <c r="O254" s="13" t="s">
        <v>855</v>
      </c>
      <c r="P254" s="14"/>
      <c r="Q254" s="2"/>
    </row>
    <row r="255" spans="1:24" x14ac:dyDescent="0.25">
      <c r="A255" s="6"/>
      <c r="B255" s="7">
        <v>44265</v>
      </c>
      <c r="C255" s="8" t="s">
        <v>1887</v>
      </c>
      <c r="D255" s="8" t="s">
        <v>1879</v>
      </c>
      <c r="E255" s="9" t="s">
        <v>881</v>
      </c>
      <c r="F255" s="9" t="s">
        <v>749</v>
      </c>
      <c r="G255" s="17">
        <v>0.8222222222222223</v>
      </c>
      <c r="H255" s="17">
        <v>0.82847222222222217</v>
      </c>
      <c r="I255" s="9">
        <v>40470</v>
      </c>
      <c r="J255" s="9">
        <v>16680</v>
      </c>
      <c r="K255" s="10">
        <f t="shared" si="9"/>
        <v>23790</v>
      </c>
      <c r="L255" s="10">
        <v>26586</v>
      </c>
      <c r="M255" s="11" t="s">
        <v>1041</v>
      </c>
      <c r="N255" s="12">
        <v>23790</v>
      </c>
      <c r="O255" s="13" t="s">
        <v>32</v>
      </c>
      <c r="P255" s="14"/>
      <c r="Q255" s="2"/>
    </row>
    <row r="256" spans="1:24" x14ac:dyDescent="0.25">
      <c r="A256" s="6"/>
      <c r="B256" s="7">
        <v>44265</v>
      </c>
      <c r="C256" s="8" t="s">
        <v>1887</v>
      </c>
      <c r="D256" s="8" t="s">
        <v>1355</v>
      </c>
      <c r="E256" s="9" t="s">
        <v>1048</v>
      </c>
      <c r="F256" s="9" t="s">
        <v>526</v>
      </c>
      <c r="G256" s="17">
        <v>0.83750000000000002</v>
      </c>
      <c r="H256" s="17">
        <v>0.89236111111111116</v>
      </c>
      <c r="I256" s="9">
        <v>43000</v>
      </c>
      <c r="J256" s="9">
        <v>18790</v>
      </c>
      <c r="K256" s="10">
        <f t="shared" si="9"/>
        <v>24210</v>
      </c>
      <c r="L256" s="10">
        <v>26589</v>
      </c>
      <c r="M256" s="11" t="s">
        <v>1784</v>
      </c>
      <c r="N256" s="12">
        <v>24210</v>
      </c>
      <c r="O256" s="13" t="s">
        <v>32</v>
      </c>
      <c r="P256" s="14"/>
      <c r="Q256" s="2"/>
    </row>
    <row r="257" spans="1:23" x14ac:dyDescent="0.25">
      <c r="A257" s="6"/>
      <c r="B257" s="7">
        <v>44265</v>
      </c>
      <c r="C257" s="8" t="s">
        <v>1880</v>
      </c>
      <c r="D257" s="8" t="s">
        <v>94</v>
      </c>
      <c r="E257" s="9" t="s">
        <v>1774</v>
      </c>
      <c r="F257" s="9" t="s">
        <v>1775</v>
      </c>
      <c r="G257" s="17">
        <v>0.84236111111111101</v>
      </c>
      <c r="H257" s="17">
        <v>0.86041666666666661</v>
      </c>
      <c r="I257" s="9">
        <v>9820</v>
      </c>
      <c r="J257" s="9">
        <v>7530</v>
      </c>
      <c r="K257" s="10">
        <f t="shared" si="9"/>
        <v>2290</v>
      </c>
      <c r="L257" s="10">
        <v>23536</v>
      </c>
      <c r="M257" s="11" t="s">
        <v>1041</v>
      </c>
      <c r="N257" s="12">
        <v>2290</v>
      </c>
      <c r="O257" s="13" t="s">
        <v>32</v>
      </c>
      <c r="P257" s="14" t="s">
        <v>992</v>
      </c>
      <c r="Q257" s="2"/>
    </row>
    <row r="258" spans="1:23" x14ac:dyDescent="0.25">
      <c r="A258" s="6"/>
      <c r="B258" s="7">
        <v>44265</v>
      </c>
      <c r="C258" s="8" t="s">
        <v>1789</v>
      </c>
      <c r="D258" s="8" t="s">
        <v>1874</v>
      </c>
      <c r="E258" s="9" t="s">
        <v>1678</v>
      </c>
      <c r="F258" s="9" t="s">
        <v>338</v>
      </c>
      <c r="G258" s="17">
        <v>0.92569444444444438</v>
      </c>
      <c r="H258" s="17">
        <v>0.93541666666666667</v>
      </c>
      <c r="I258" s="9">
        <v>2600</v>
      </c>
      <c r="J258" s="9">
        <v>2150</v>
      </c>
      <c r="K258" s="10">
        <f t="shared" si="9"/>
        <v>450</v>
      </c>
      <c r="L258" s="10">
        <v>26590</v>
      </c>
      <c r="M258" s="11" t="s">
        <v>965</v>
      </c>
      <c r="N258" s="12">
        <v>450</v>
      </c>
      <c r="O258" s="13" t="s">
        <v>32</v>
      </c>
      <c r="P258" s="14"/>
      <c r="Q258" s="2"/>
    </row>
    <row r="259" spans="1:23" x14ac:dyDescent="0.25">
      <c r="A259" s="6"/>
      <c r="B259" s="7">
        <v>44265</v>
      </c>
      <c r="C259" s="8" t="s">
        <v>1691</v>
      </c>
      <c r="D259" s="8" t="s">
        <v>1881</v>
      </c>
      <c r="E259" s="9" t="s">
        <v>1693</v>
      </c>
      <c r="F259" s="9" t="s">
        <v>338</v>
      </c>
      <c r="G259" s="17">
        <v>0.94097222222222221</v>
      </c>
      <c r="H259" s="17">
        <v>0.98888888888888893</v>
      </c>
      <c r="I259" s="9">
        <v>13040</v>
      </c>
      <c r="J259" s="9">
        <v>5690</v>
      </c>
      <c r="K259" s="10">
        <f t="shared" si="9"/>
        <v>7350</v>
      </c>
      <c r="L259" s="10">
        <v>26591</v>
      </c>
      <c r="M259" s="11" t="s">
        <v>1041</v>
      </c>
      <c r="N259" s="12">
        <v>7350</v>
      </c>
      <c r="O259" s="13" t="s">
        <v>32</v>
      </c>
      <c r="P259" s="14"/>
      <c r="Q259" s="2"/>
      <c r="U259" s="27"/>
    </row>
    <row r="260" spans="1:23" x14ac:dyDescent="0.25">
      <c r="A260" s="6"/>
      <c r="B260" s="7">
        <v>44265</v>
      </c>
      <c r="C260" s="8" t="s">
        <v>37</v>
      </c>
      <c r="D260" s="8" t="s">
        <v>1055</v>
      </c>
      <c r="E260" s="9" t="s">
        <v>39</v>
      </c>
      <c r="F260" s="9" t="s">
        <v>338</v>
      </c>
      <c r="G260" s="17">
        <v>0.96180555555555547</v>
      </c>
      <c r="H260" s="17">
        <v>6.9444444444444447E-4</v>
      </c>
      <c r="I260" s="9">
        <v>20095</v>
      </c>
      <c r="J260" s="9">
        <v>6320</v>
      </c>
      <c r="K260" s="10">
        <f t="shared" si="9"/>
        <v>13775</v>
      </c>
      <c r="L260" s="10">
        <v>26592</v>
      </c>
      <c r="M260" s="11" t="s">
        <v>1882</v>
      </c>
      <c r="N260" s="12">
        <v>13775</v>
      </c>
      <c r="O260" s="13" t="s">
        <v>32</v>
      </c>
      <c r="P260" s="14"/>
      <c r="Q260" s="2"/>
      <c r="U260" s="27"/>
    </row>
    <row r="261" spans="1:23" x14ac:dyDescent="0.25">
      <c r="A261" s="6"/>
      <c r="B261" s="7">
        <v>44265</v>
      </c>
      <c r="C261" s="8" t="s">
        <v>1883</v>
      </c>
      <c r="D261" s="8" t="s">
        <v>880</v>
      </c>
      <c r="E261" s="9" t="s">
        <v>1661</v>
      </c>
      <c r="F261" s="9" t="s">
        <v>1276</v>
      </c>
      <c r="G261" s="17">
        <v>0.98541666666666661</v>
      </c>
      <c r="H261" s="17">
        <v>0.99722222222222223</v>
      </c>
      <c r="I261" s="9">
        <v>39410</v>
      </c>
      <c r="J261" s="9">
        <v>15470</v>
      </c>
      <c r="K261" s="10">
        <f t="shared" si="9"/>
        <v>23940</v>
      </c>
      <c r="L261" s="10">
        <v>23537</v>
      </c>
      <c r="M261" s="11" t="s">
        <v>1884</v>
      </c>
      <c r="N261" s="12">
        <v>19.16</v>
      </c>
      <c r="O261" s="13" t="s">
        <v>855</v>
      </c>
      <c r="P261" s="14"/>
      <c r="Q261" s="2"/>
      <c r="U261" s="27"/>
    </row>
    <row r="262" spans="1:23" x14ac:dyDescent="0.25">
      <c r="A262" s="6"/>
      <c r="B262" s="7">
        <v>44265</v>
      </c>
      <c r="C262" s="8" t="s">
        <v>1883</v>
      </c>
      <c r="D262" s="8" t="s">
        <v>853</v>
      </c>
      <c r="E262" s="9" t="s">
        <v>51</v>
      </c>
      <c r="F262" s="9" t="s">
        <v>52</v>
      </c>
      <c r="G262" s="17">
        <v>0.98749999999999993</v>
      </c>
      <c r="H262" s="17">
        <v>0.99583333333333324</v>
      </c>
      <c r="I262" s="9">
        <v>38410</v>
      </c>
      <c r="J262" s="9">
        <v>15900</v>
      </c>
      <c r="K262" s="10">
        <f t="shared" si="9"/>
        <v>22510</v>
      </c>
      <c r="L262" s="10">
        <v>23537</v>
      </c>
      <c r="M262" s="11" t="s">
        <v>1884</v>
      </c>
      <c r="N262" s="12">
        <v>19.16</v>
      </c>
      <c r="O262" s="13" t="s">
        <v>855</v>
      </c>
      <c r="P262" s="14"/>
      <c r="Q262" s="2"/>
      <c r="U262" s="27"/>
    </row>
    <row r="263" spans="1:23" x14ac:dyDescent="0.25">
      <c r="A263" s="6"/>
      <c r="B263" s="7">
        <v>44266</v>
      </c>
      <c r="C263" s="8" t="s">
        <v>1883</v>
      </c>
      <c r="D263" s="8" t="s">
        <v>1672</v>
      </c>
      <c r="E263" s="9" t="s">
        <v>881</v>
      </c>
      <c r="F263" s="9" t="s">
        <v>749</v>
      </c>
      <c r="G263" s="17">
        <v>2.7777777777777779E-3</v>
      </c>
      <c r="H263" s="17">
        <v>1.3194444444444444E-2</v>
      </c>
      <c r="I263" s="9">
        <v>39850</v>
      </c>
      <c r="J263" s="9">
        <v>16690</v>
      </c>
      <c r="K263" s="10">
        <f t="shared" si="9"/>
        <v>23160</v>
      </c>
      <c r="L263" s="10">
        <v>23537</v>
      </c>
      <c r="M263" s="11" t="s">
        <v>1884</v>
      </c>
      <c r="N263" s="12">
        <v>19.96</v>
      </c>
      <c r="O263" s="13" t="s">
        <v>855</v>
      </c>
      <c r="P263" s="14"/>
      <c r="Q263" s="2"/>
      <c r="U263" s="27"/>
    </row>
    <row r="264" spans="1:23" x14ac:dyDescent="0.25">
      <c r="A264" s="6"/>
      <c r="B264" s="7">
        <v>44266</v>
      </c>
      <c r="C264" s="8" t="s">
        <v>1883</v>
      </c>
      <c r="D264" s="8" t="s">
        <v>1355</v>
      </c>
      <c r="E264" s="9" t="s">
        <v>1048</v>
      </c>
      <c r="F264" s="9" t="s">
        <v>526</v>
      </c>
      <c r="G264" s="17">
        <v>1.1111111111111112E-2</v>
      </c>
      <c r="H264" s="17">
        <v>1.9444444444444445E-2</v>
      </c>
      <c r="I264" s="9">
        <v>28800</v>
      </c>
      <c r="J264" s="9">
        <v>18820</v>
      </c>
      <c r="K264" s="10">
        <f t="shared" si="9"/>
        <v>9980</v>
      </c>
      <c r="L264" s="10">
        <v>23537</v>
      </c>
      <c r="M264" s="11" t="s">
        <v>1884</v>
      </c>
      <c r="N264" s="12">
        <v>7.6</v>
      </c>
      <c r="O264" s="13" t="s">
        <v>855</v>
      </c>
      <c r="P264" s="14"/>
      <c r="Q264" s="2"/>
      <c r="W264" s="1" t="s">
        <v>19</v>
      </c>
    </row>
    <row r="265" spans="1:23" x14ac:dyDescent="0.25">
      <c r="A265" s="6"/>
      <c r="B265" s="7">
        <v>44266</v>
      </c>
      <c r="C265" s="8" t="s">
        <v>366</v>
      </c>
      <c r="D265" s="8" t="s">
        <v>1076</v>
      </c>
      <c r="E265" s="9" t="s">
        <v>220</v>
      </c>
      <c r="F265" s="9" t="s">
        <v>924</v>
      </c>
      <c r="G265" s="17">
        <v>7.2222222222222229E-2</v>
      </c>
      <c r="H265" s="17">
        <v>0.25555555555555559</v>
      </c>
      <c r="I265" s="9">
        <v>21480</v>
      </c>
      <c r="J265" s="9">
        <v>9300</v>
      </c>
      <c r="K265" s="10">
        <f t="shared" si="9"/>
        <v>12180</v>
      </c>
      <c r="L265" s="10" t="s">
        <v>1885</v>
      </c>
      <c r="M265" s="11" t="s">
        <v>1103</v>
      </c>
      <c r="N265" s="12">
        <f>2612+9572</f>
        <v>12184</v>
      </c>
      <c r="O265" s="13" t="s">
        <v>32</v>
      </c>
      <c r="P265" s="14"/>
      <c r="Q265" s="2"/>
      <c r="W265" s="1" t="s">
        <v>20</v>
      </c>
    </row>
    <row r="266" spans="1:23" x14ac:dyDescent="0.25">
      <c r="A266" s="6"/>
      <c r="B266" s="7">
        <v>44266</v>
      </c>
      <c r="C266" s="8" t="s">
        <v>1017</v>
      </c>
      <c r="D266" s="8" t="s">
        <v>458</v>
      </c>
      <c r="E266" s="9" t="s">
        <v>699</v>
      </c>
      <c r="F266" s="9" t="s">
        <v>459</v>
      </c>
      <c r="G266" s="17">
        <v>0.15486111111111112</v>
      </c>
      <c r="H266" s="17">
        <v>0.19097222222222221</v>
      </c>
      <c r="I266" s="9">
        <v>17220</v>
      </c>
      <c r="J266" s="9">
        <v>8300</v>
      </c>
      <c r="K266" s="10">
        <f t="shared" ref="K266:K267" si="12">+I266-J266</f>
        <v>8920</v>
      </c>
      <c r="L266" s="10" t="s">
        <v>1886</v>
      </c>
      <c r="M266" s="11" t="s">
        <v>48</v>
      </c>
      <c r="N266" s="12">
        <f>9567+4132</f>
        <v>13699</v>
      </c>
      <c r="O266" s="13" t="s">
        <v>49</v>
      </c>
      <c r="P266" s="14"/>
      <c r="Q266" s="2"/>
      <c r="W266" s="1" t="s">
        <v>21</v>
      </c>
    </row>
    <row r="267" spans="1:23" x14ac:dyDescent="0.25">
      <c r="A267" s="6"/>
      <c r="B267" s="7">
        <v>44266</v>
      </c>
      <c r="C267" s="8" t="s">
        <v>142</v>
      </c>
      <c r="D267" s="8" t="s">
        <v>1656</v>
      </c>
      <c r="E267" s="9" t="s">
        <v>87</v>
      </c>
      <c r="F267" s="9" t="s">
        <v>88</v>
      </c>
      <c r="G267" s="17">
        <v>0.19305555555555554</v>
      </c>
      <c r="H267" s="17">
        <v>0.20486111111111113</v>
      </c>
      <c r="I267" s="9">
        <v>40580</v>
      </c>
      <c r="J267" s="9">
        <v>17300</v>
      </c>
      <c r="K267" s="10">
        <f t="shared" si="12"/>
        <v>23280</v>
      </c>
      <c r="L267" s="10">
        <v>780</v>
      </c>
      <c r="M267" s="11" t="s">
        <v>1825</v>
      </c>
      <c r="N267" s="12">
        <v>22140</v>
      </c>
      <c r="O267" s="13" t="s">
        <v>683</v>
      </c>
      <c r="P267" s="14"/>
      <c r="Q267" s="2"/>
    </row>
    <row r="268" spans="1:23" x14ac:dyDescent="0.25">
      <c r="A268" s="6"/>
      <c r="B268" s="7">
        <v>44266</v>
      </c>
      <c r="C268" s="16" t="s">
        <v>1855</v>
      </c>
      <c r="D268" s="8" t="s">
        <v>1855</v>
      </c>
      <c r="E268" s="9" t="s">
        <v>1856</v>
      </c>
      <c r="F268" s="9" t="s">
        <v>338</v>
      </c>
      <c r="G268" s="17">
        <v>0.34791666666666665</v>
      </c>
      <c r="H268" s="17">
        <v>0.3923611111111111</v>
      </c>
      <c r="I268" s="9">
        <v>9040</v>
      </c>
      <c r="J268" s="9">
        <v>4520</v>
      </c>
      <c r="K268" s="10">
        <f t="shared" si="9"/>
        <v>4520</v>
      </c>
      <c r="L268" s="10">
        <v>26593</v>
      </c>
      <c r="M268" s="11" t="s">
        <v>1871</v>
      </c>
      <c r="N268" s="12">
        <v>4520</v>
      </c>
      <c r="O268" s="13" t="s">
        <v>32</v>
      </c>
      <c r="P268" s="14"/>
      <c r="Q268" s="2"/>
    </row>
    <row r="269" spans="1:23" x14ac:dyDescent="0.25">
      <c r="A269" s="6"/>
      <c r="B269" s="7">
        <v>44266</v>
      </c>
      <c r="C269" s="8" t="s">
        <v>1888</v>
      </c>
      <c r="D269" s="8" t="s">
        <v>1889</v>
      </c>
      <c r="E269" s="9" t="s">
        <v>1890</v>
      </c>
      <c r="F269" s="9" t="s">
        <v>338</v>
      </c>
      <c r="G269" s="17">
        <v>0.36458333333333331</v>
      </c>
      <c r="H269" s="17">
        <v>0.3833333333333333</v>
      </c>
      <c r="I269" s="9">
        <v>5070</v>
      </c>
      <c r="J269" s="9">
        <v>15090</v>
      </c>
      <c r="K269" s="10">
        <f t="shared" si="9"/>
        <v>-10020</v>
      </c>
      <c r="L269" s="10">
        <v>5828</v>
      </c>
      <c r="M269" s="11" t="s">
        <v>53</v>
      </c>
      <c r="N269" s="12">
        <v>200</v>
      </c>
      <c r="O269" s="13" t="s">
        <v>1099</v>
      </c>
      <c r="P269" s="14"/>
      <c r="Q269" s="2"/>
    </row>
    <row r="270" spans="1:23" x14ac:dyDescent="0.25">
      <c r="A270" s="6"/>
      <c r="B270" s="7">
        <v>44266</v>
      </c>
      <c r="C270" s="8" t="s">
        <v>1891</v>
      </c>
      <c r="D270" s="8" t="s">
        <v>1892</v>
      </c>
      <c r="E270" s="9" t="s">
        <v>1893</v>
      </c>
      <c r="F270" s="9" t="s">
        <v>338</v>
      </c>
      <c r="G270" s="17">
        <v>0.37638888888888888</v>
      </c>
      <c r="H270" s="17">
        <v>0.4597222222222222</v>
      </c>
      <c r="I270" s="9">
        <v>3780</v>
      </c>
      <c r="J270" s="9">
        <v>5210</v>
      </c>
      <c r="K270" s="10">
        <f t="shared" si="9"/>
        <v>-1430</v>
      </c>
      <c r="L270" s="10">
        <v>4434</v>
      </c>
      <c r="M270" s="11" t="s">
        <v>1894</v>
      </c>
      <c r="N270" s="12">
        <v>1430</v>
      </c>
      <c r="O270" s="13" t="s">
        <v>32</v>
      </c>
      <c r="P270" s="14"/>
      <c r="Q270" s="2"/>
    </row>
    <row r="271" spans="1:23" x14ac:dyDescent="0.25">
      <c r="A271" s="6"/>
      <c r="B271" s="7">
        <v>44266</v>
      </c>
      <c r="C271" s="8" t="s">
        <v>1891</v>
      </c>
      <c r="D271" s="8" t="s">
        <v>1895</v>
      </c>
      <c r="E271" s="9" t="s">
        <v>1896</v>
      </c>
      <c r="F271" s="9" t="s">
        <v>338</v>
      </c>
      <c r="G271" s="17">
        <v>0.37777777777777777</v>
      </c>
      <c r="H271" s="17">
        <v>0.45833333333333331</v>
      </c>
      <c r="I271" s="9">
        <v>3450</v>
      </c>
      <c r="J271" s="9">
        <v>4280</v>
      </c>
      <c r="K271" s="10">
        <f t="shared" si="9"/>
        <v>-830</v>
      </c>
      <c r="L271" s="10">
        <v>4435</v>
      </c>
      <c r="M271" s="11" t="s">
        <v>1897</v>
      </c>
      <c r="N271" s="12">
        <v>830</v>
      </c>
      <c r="O271" s="13" t="s">
        <v>32</v>
      </c>
      <c r="P271" s="14"/>
      <c r="Q271" s="2"/>
    </row>
    <row r="272" spans="1:23" x14ac:dyDescent="0.25">
      <c r="A272" s="6"/>
      <c r="B272" s="7">
        <v>44266</v>
      </c>
      <c r="C272" s="8" t="s">
        <v>1898</v>
      </c>
      <c r="D272" s="8" t="s">
        <v>1899</v>
      </c>
      <c r="E272" s="9" t="s">
        <v>1900</v>
      </c>
      <c r="F272" s="9" t="s">
        <v>338</v>
      </c>
      <c r="G272" s="17">
        <v>0.4236111111111111</v>
      </c>
      <c r="H272" s="17">
        <v>0.49374999999999997</v>
      </c>
      <c r="I272" s="9">
        <v>2760</v>
      </c>
      <c r="J272" s="9">
        <v>2800</v>
      </c>
      <c r="K272" s="10">
        <f t="shared" si="9"/>
        <v>-40</v>
      </c>
      <c r="L272" s="10">
        <v>34961</v>
      </c>
      <c r="M272" s="11" t="s">
        <v>1901</v>
      </c>
      <c r="N272" s="12">
        <v>5769</v>
      </c>
      <c r="O272" s="13" t="s">
        <v>1099</v>
      </c>
      <c r="P272" s="14"/>
      <c r="Q272" s="2"/>
    </row>
    <row r="273" spans="1:17" x14ac:dyDescent="0.25">
      <c r="A273" s="6"/>
      <c r="B273" s="7">
        <v>44266</v>
      </c>
      <c r="C273" s="8" t="s">
        <v>164</v>
      </c>
      <c r="D273" s="8" t="s">
        <v>899</v>
      </c>
      <c r="E273" s="9" t="s">
        <v>490</v>
      </c>
      <c r="F273" s="9" t="s">
        <v>491</v>
      </c>
      <c r="G273" s="17">
        <v>0.44097222222222227</v>
      </c>
      <c r="H273" s="17">
        <v>0.46180555555555558</v>
      </c>
      <c r="I273" s="9">
        <v>41630</v>
      </c>
      <c r="J273" s="9">
        <v>18290</v>
      </c>
      <c r="K273" s="10">
        <f t="shared" ref="K273:K336" si="13">+I273-J273</f>
        <v>23340</v>
      </c>
      <c r="L273" s="10">
        <v>15619</v>
      </c>
      <c r="M273" s="11" t="s">
        <v>398</v>
      </c>
      <c r="N273" s="12">
        <v>462</v>
      </c>
      <c r="O273" s="13" t="s">
        <v>1099</v>
      </c>
      <c r="P273" s="14"/>
      <c r="Q273" s="2"/>
    </row>
    <row r="274" spans="1:17" x14ac:dyDescent="0.25">
      <c r="A274" s="6"/>
      <c r="B274" s="7">
        <v>44266</v>
      </c>
      <c r="C274" s="8" t="s">
        <v>1534</v>
      </c>
      <c r="D274" s="8" t="s">
        <v>1084</v>
      </c>
      <c r="E274" s="9" t="s">
        <v>502</v>
      </c>
      <c r="F274" s="9" t="s">
        <v>1647</v>
      </c>
      <c r="G274" s="17">
        <v>0.44861111111111113</v>
      </c>
      <c r="H274" s="17">
        <v>0.46736111111111112</v>
      </c>
      <c r="I274" s="9">
        <v>8930</v>
      </c>
      <c r="J274" s="9">
        <v>5310</v>
      </c>
      <c r="K274" s="10">
        <f t="shared" si="13"/>
        <v>3620</v>
      </c>
      <c r="L274" s="10">
        <v>4432</v>
      </c>
      <c r="M274" s="11" t="s">
        <v>1902</v>
      </c>
      <c r="N274" s="12">
        <v>3620</v>
      </c>
      <c r="O274" s="13" t="s">
        <v>32</v>
      </c>
      <c r="P274" s="14"/>
      <c r="Q274" s="2"/>
    </row>
    <row r="275" spans="1:17" x14ac:dyDescent="0.25">
      <c r="A275" s="6"/>
      <c r="B275" s="7">
        <v>44266</v>
      </c>
      <c r="C275" s="8" t="s">
        <v>1903</v>
      </c>
      <c r="D275" s="8" t="s">
        <v>1892</v>
      </c>
      <c r="E275" s="9" t="s">
        <v>1893</v>
      </c>
      <c r="F275" s="9" t="s">
        <v>338</v>
      </c>
      <c r="G275" s="17">
        <v>0.4604166666666667</v>
      </c>
      <c r="H275" s="17">
        <v>0.50763888888888886</v>
      </c>
      <c r="I275" s="9">
        <v>5200</v>
      </c>
      <c r="J275" s="9">
        <v>6340</v>
      </c>
      <c r="K275" s="10">
        <f t="shared" si="13"/>
        <v>-1140</v>
      </c>
      <c r="L275" s="10">
        <v>15683</v>
      </c>
      <c r="M275" s="11" t="s">
        <v>1904</v>
      </c>
      <c r="N275" s="12">
        <v>1140</v>
      </c>
      <c r="O275" s="13" t="s">
        <v>32</v>
      </c>
      <c r="P275" s="14"/>
      <c r="Q275" s="2"/>
    </row>
    <row r="276" spans="1:17" x14ac:dyDescent="0.25">
      <c r="A276" s="6"/>
      <c r="B276" s="7">
        <v>44266</v>
      </c>
      <c r="C276" s="8" t="s">
        <v>164</v>
      </c>
      <c r="D276" s="8" t="s">
        <v>899</v>
      </c>
      <c r="E276" s="9" t="s">
        <v>490</v>
      </c>
      <c r="F276" s="9" t="s">
        <v>491</v>
      </c>
      <c r="G276" s="17">
        <v>0.46597222222222223</v>
      </c>
      <c r="H276" s="17">
        <v>0.4993055555555555</v>
      </c>
      <c r="I276" s="9">
        <v>17750</v>
      </c>
      <c r="J276" s="9">
        <v>43110</v>
      </c>
      <c r="K276" s="10">
        <f t="shared" si="13"/>
        <v>-25360</v>
      </c>
      <c r="L276" s="10">
        <v>15885</v>
      </c>
      <c r="M276" s="11" t="s">
        <v>166</v>
      </c>
      <c r="N276" s="12">
        <v>504</v>
      </c>
      <c r="O276" s="13" t="s">
        <v>1099</v>
      </c>
      <c r="P276" s="14"/>
    </row>
    <row r="277" spans="1:17" x14ac:dyDescent="0.25">
      <c r="A277" s="6"/>
      <c r="B277" s="7">
        <v>44266</v>
      </c>
      <c r="C277" s="8" t="s">
        <v>1905</v>
      </c>
      <c r="D277" s="8" t="s">
        <v>1355</v>
      </c>
      <c r="E277" s="9" t="s">
        <v>1048</v>
      </c>
      <c r="F277" s="9" t="s">
        <v>526</v>
      </c>
      <c r="G277" s="17">
        <v>0.48888888888888887</v>
      </c>
      <c r="H277" s="17">
        <v>0.51111111111111118</v>
      </c>
      <c r="I277" s="9">
        <v>40300</v>
      </c>
      <c r="J277" s="9">
        <v>18740</v>
      </c>
      <c r="K277" s="10">
        <f t="shared" si="13"/>
        <v>21560</v>
      </c>
      <c r="L277" s="10" t="s">
        <v>1906</v>
      </c>
      <c r="M277" s="11" t="s">
        <v>1907</v>
      </c>
      <c r="N277" s="12">
        <v>22.2</v>
      </c>
      <c r="O277" s="13" t="s">
        <v>855</v>
      </c>
      <c r="P277" s="14"/>
    </row>
    <row r="278" spans="1:17" x14ac:dyDescent="0.25">
      <c r="A278" s="6"/>
      <c r="B278" s="7">
        <v>44266</v>
      </c>
      <c r="C278" s="8" t="s">
        <v>1081</v>
      </c>
      <c r="D278" s="8" t="s">
        <v>299</v>
      </c>
      <c r="E278" s="9" t="s">
        <v>813</v>
      </c>
      <c r="F278" s="9" t="s">
        <v>814</v>
      </c>
      <c r="G278" s="17">
        <v>0.49027777777777781</v>
      </c>
      <c r="H278" s="17">
        <v>0.51527777777777783</v>
      </c>
      <c r="I278" s="9">
        <v>36260</v>
      </c>
      <c r="J278" s="9">
        <v>15100</v>
      </c>
      <c r="K278" s="10">
        <f t="shared" si="13"/>
        <v>21160</v>
      </c>
      <c r="L278" s="10">
        <v>23539</v>
      </c>
      <c r="M278" s="11" t="s">
        <v>1041</v>
      </c>
      <c r="N278" s="12">
        <v>21.6</v>
      </c>
      <c r="O278" s="13" t="s">
        <v>855</v>
      </c>
      <c r="P278" s="14"/>
    </row>
    <row r="279" spans="1:17" x14ac:dyDescent="0.25">
      <c r="A279" s="6"/>
      <c r="B279" s="7">
        <v>44266</v>
      </c>
      <c r="C279" s="8" t="s">
        <v>1081</v>
      </c>
      <c r="D279" s="8" t="s">
        <v>94</v>
      </c>
      <c r="E279" s="9" t="s">
        <v>1774</v>
      </c>
      <c r="F279" s="9" t="s">
        <v>1775</v>
      </c>
      <c r="G279" s="17">
        <v>0.4916666666666667</v>
      </c>
      <c r="H279" s="17">
        <v>0.51388888888888895</v>
      </c>
      <c r="I279" s="9">
        <v>16930</v>
      </c>
      <c r="J279" s="9">
        <v>7480</v>
      </c>
      <c r="K279" s="10">
        <f t="shared" si="13"/>
        <v>9450</v>
      </c>
      <c r="L279" s="10">
        <v>23539</v>
      </c>
      <c r="M279" s="11" t="s">
        <v>1041</v>
      </c>
      <c r="N279" s="12">
        <v>9.6</v>
      </c>
      <c r="O279" s="13" t="s">
        <v>855</v>
      </c>
      <c r="P279" s="14"/>
    </row>
    <row r="280" spans="1:17" x14ac:dyDescent="0.25">
      <c r="A280" s="6"/>
      <c r="B280" s="7">
        <v>44266</v>
      </c>
      <c r="C280" s="8" t="s">
        <v>1081</v>
      </c>
      <c r="D280" s="8" t="s">
        <v>1672</v>
      </c>
      <c r="E280" s="9" t="s">
        <v>881</v>
      </c>
      <c r="F280" s="9" t="s">
        <v>749</v>
      </c>
      <c r="G280" s="17">
        <v>0.51666666666666672</v>
      </c>
      <c r="H280" s="17">
        <v>0.52430555555555558</v>
      </c>
      <c r="I280" s="9">
        <v>37340</v>
      </c>
      <c r="J280" s="9">
        <v>16650</v>
      </c>
      <c r="K280" s="10">
        <f t="shared" si="13"/>
        <v>20690</v>
      </c>
      <c r="L280" s="10">
        <v>23539</v>
      </c>
      <c r="M280" s="11" t="s">
        <v>1041</v>
      </c>
      <c r="N280" s="12">
        <v>21.6</v>
      </c>
      <c r="O280" s="13" t="s">
        <v>855</v>
      </c>
      <c r="P280" s="14"/>
    </row>
    <row r="281" spans="1:17" x14ac:dyDescent="0.25">
      <c r="A281" s="6"/>
      <c r="B281" s="7">
        <v>44266</v>
      </c>
      <c r="C281" s="8" t="s">
        <v>1081</v>
      </c>
      <c r="D281" s="8" t="s">
        <v>1794</v>
      </c>
      <c r="E281" s="9" t="s">
        <v>628</v>
      </c>
      <c r="F281" s="9" t="s">
        <v>629</v>
      </c>
      <c r="G281" s="17">
        <v>0.52916666666666667</v>
      </c>
      <c r="H281" s="17">
        <v>0.53819444444444442</v>
      </c>
      <c r="I281" s="9">
        <v>21240</v>
      </c>
      <c r="J281" s="9">
        <v>9700</v>
      </c>
      <c r="K281" s="10">
        <f t="shared" si="13"/>
        <v>11540</v>
      </c>
      <c r="L281" s="10">
        <v>23539</v>
      </c>
      <c r="M281" s="11" t="s">
        <v>1041</v>
      </c>
      <c r="N281" s="12">
        <v>12</v>
      </c>
      <c r="O281" s="13" t="s">
        <v>855</v>
      </c>
      <c r="P281" s="14"/>
    </row>
    <row r="282" spans="1:17" x14ac:dyDescent="0.25">
      <c r="A282" s="6"/>
      <c r="B282" s="7">
        <v>44266</v>
      </c>
      <c r="C282" s="8" t="s">
        <v>1908</v>
      </c>
      <c r="D282" s="8" t="s">
        <v>284</v>
      </c>
      <c r="E282" s="9" t="s">
        <v>177</v>
      </c>
      <c r="F282" s="9" t="s">
        <v>178</v>
      </c>
      <c r="G282" s="17">
        <v>0.54652777777777783</v>
      </c>
      <c r="H282" s="17">
        <v>0.57638888888888895</v>
      </c>
      <c r="I282" s="9">
        <v>41150</v>
      </c>
      <c r="J282" s="9">
        <v>16990</v>
      </c>
      <c r="K282" s="10">
        <f t="shared" si="13"/>
        <v>24160</v>
      </c>
      <c r="L282" s="10" t="s">
        <v>1909</v>
      </c>
      <c r="M282" s="11" t="s">
        <v>1041</v>
      </c>
      <c r="N282" s="12">
        <v>22.2</v>
      </c>
      <c r="O282" s="13" t="s">
        <v>855</v>
      </c>
      <c r="P282" s="14"/>
    </row>
    <row r="283" spans="1:17" x14ac:dyDescent="0.25">
      <c r="A283" s="6"/>
      <c r="B283" s="7">
        <v>44266</v>
      </c>
      <c r="C283" s="8" t="s">
        <v>1910</v>
      </c>
      <c r="D283" s="8" t="s">
        <v>853</v>
      </c>
      <c r="E283" s="9" t="s">
        <v>51</v>
      </c>
      <c r="F283" s="9" t="s">
        <v>52</v>
      </c>
      <c r="G283" s="17">
        <v>0.55069444444444449</v>
      </c>
      <c r="H283" s="17">
        <v>0.57013888888888886</v>
      </c>
      <c r="I283" s="9">
        <v>38240</v>
      </c>
      <c r="J283" s="9">
        <v>16070</v>
      </c>
      <c r="K283" s="10">
        <f t="shared" si="13"/>
        <v>22170</v>
      </c>
      <c r="L283" s="10">
        <v>23540</v>
      </c>
      <c r="M283" s="11" t="s">
        <v>1041</v>
      </c>
      <c r="N283" s="12">
        <v>20.399999999999999</v>
      </c>
      <c r="O283" s="13" t="s">
        <v>855</v>
      </c>
      <c r="P283" s="14"/>
    </row>
    <row r="284" spans="1:17" x14ac:dyDescent="0.25">
      <c r="A284" s="6"/>
      <c r="B284" s="7">
        <v>44266</v>
      </c>
      <c r="C284" s="8" t="s">
        <v>1911</v>
      </c>
      <c r="D284" s="8" t="s">
        <v>1912</v>
      </c>
      <c r="E284" s="9" t="s">
        <v>237</v>
      </c>
      <c r="F284" s="9" t="s">
        <v>338</v>
      </c>
      <c r="G284" s="17">
        <v>0.55625000000000002</v>
      </c>
      <c r="H284" s="17">
        <v>0.56319444444444444</v>
      </c>
      <c r="I284" s="9">
        <v>5440</v>
      </c>
      <c r="J284" s="9">
        <v>4750</v>
      </c>
      <c r="K284" s="10">
        <f t="shared" si="13"/>
        <v>690</v>
      </c>
      <c r="L284" s="10">
        <v>140936</v>
      </c>
      <c r="M284" s="11" t="s">
        <v>1604</v>
      </c>
      <c r="N284" s="12">
        <v>5645</v>
      </c>
      <c r="O284" s="13" t="s">
        <v>1099</v>
      </c>
      <c r="P284" s="14"/>
    </row>
    <row r="285" spans="1:17" x14ac:dyDescent="0.25">
      <c r="A285" s="6"/>
      <c r="B285" s="7">
        <v>44266</v>
      </c>
      <c r="C285" s="8" t="s">
        <v>1081</v>
      </c>
      <c r="D285" s="8" t="s">
        <v>880</v>
      </c>
      <c r="E285" s="9" t="s">
        <v>1661</v>
      </c>
      <c r="F285" s="9" t="s">
        <v>1276</v>
      </c>
      <c r="G285" s="17">
        <v>0.57222222222222219</v>
      </c>
      <c r="H285" s="17">
        <v>0.58124999999999993</v>
      </c>
      <c r="I285" s="9">
        <v>36060</v>
      </c>
      <c r="J285" s="9">
        <v>15470</v>
      </c>
      <c r="K285" s="10">
        <f t="shared" si="13"/>
        <v>20590</v>
      </c>
      <c r="L285" s="10">
        <v>23539</v>
      </c>
      <c r="M285" s="11" t="s">
        <v>1041</v>
      </c>
      <c r="N285" s="12">
        <v>21.6</v>
      </c>
      <c r="O285" s="13" t="s">
        <v>855</v>
      </c>
      <c r="P285" s="14"/>
    </row>
    <row r="286" spans="1:17" x14ac:dyDescent="0.25">
      <c r="A286" s="6"/>
      <c r="B286" s="7">
        <v>44266</v>
      </c>
      <c r="C286" s="8" t="s">
        <v>1042</v>
      </c>
      <c r="D286" s="8" t="s">
        <v>1355</v>
      </c>
      <c r="E286" s="9" t="s">
        <v>1048</v>
      </c>
      <c r="F286" s="9" t="s">
        <v>526</v>
      </c>
      <c r="G286" s="17">
        <v>0.58472222222222225</v>
      </c>
      <c r="H286" s="17">
        <v>0.59166666666666667</v>
      </c>
      <c r="I286" s="9">
        <v>39980</v>
      </c>
      <c r="J286" s="9">
        <v>18730</v>
      </c>
      <c r="K286" s="10">
        <f t="shared" si="13"/>
        <v>21250</v>
      </c>
      <c r="L286" s="10">
        <v>23541</v>
      </c>
      <c r="M286" s="11" t="s">
        <v>1041</v>
      </c>
      <c r="N286" s="12">
        <v>21.6</v>
      </c>
      <c r="O286" s="13" t="s">
        <v>855</v>
      </c>
      <c r="P286" s="14"/>
    </row>
    <row r="287" spans="1:17" x14ac:dyDescent="0.25">
      <c r="A287" s="6"/>
      <c r="B287" s="7">
        <v>44266</v>
      </c>
      <c r="C287" s="8" t="s">
        <v>1789</v>
      </c>
      <c r="D287" s="8" t="s">
        <v>1686</v>
      </c>
      <c r="E287" s="9" t="s">
        <v>1206</v>
      </c>
      <c r="F287" s="9" t="s">
        <v>36</v>
      </c>
      <c r="G287" s="17">
        <v>0.58750000000000002</v>
      </c>
      <c r="H287" s="17">
        <v>0.60833333333333328</v>
      </c>
      <c r="I287" s="9">
        <v>11150</v>
      </c>
      <c r="J287" s="9">
        <v>6690</v>
      </c>
      <c r="K287" s="10">
        <f t="shared" si="13"/>
        <v>4460</v>
      </c>
      <c r="L287" s="10">
        <v>26594</v>
      </c>
      <c r="M287" s="11" t="s">
        <v>1041</v>
      </c>
      <c r="N287" s="12">
        <v>4460</v>
      </c>
      <c r="O287" s="13" t="s">
        <v>32</v>
      </c>
      <c r="P287" s="14"/>
    </row>
    <row r="288" spans="1:17" x14ac:dyDescent="0.25">
      <c r="A288" s="6"/>
      <c r="B288" s="7">
        <v>44266</v>
      </c>
      <c r="C288" s="8" t="s">
        <v>1042</v>
      </c>
      <c r="D288" s="8" t="s">
        <v>299</v>
      </c>
      <c r="E288" s="9" t="s">
        <v>813</v>
      </c>
      <c r="F288" s="9" t="s">
        <v>814</v>
      </c>
      <c r="G288" s="17">
        <v>0.59375</v>
      </c>
      <c r="H288" s="17">
        <v>0.63472222222222219</v>
      </c>
      <c r="I288" s="9">
        <v>36180</v>
      </c>
      <c r="J288" s="9">
        <v>14700</v>
      </c>
      <c r="K288" s="10">
        <f t="shared" si="13"/>
        <v>21480</v>
      </c>
      <c r="L288" s="10">
        <v>23541</v>
      </c>
      <c r="M288" s="11" t="s">
        <v>1041</v>
      </c>
      <c r="N288" s="12">
        <v>21.6</v>
      </c>
      <c r="O288" s="13" t="s">
        <v>855</v>
      </c>
      <c r="P288" s="14"/>
    </row>
    <row r="289" spans="1:20" x14ac:dyDescent="0.25">
      <c r="A289" s="6"/>
      <c r="B289" s="7">
        <v>44266</v>
      </c>
      <c r="C289" s="8" t="s">
        <v>1042</v>
      </c>
      <c r="D289" s="8" t="s">
        <v>94</v>
      </c>
      <c r="E289" s="9" t="s">
        <v>1774</v>
      </c>
      <c r="F289" s="9" t="s">
        <v>1775</v>
      </c>
      <c r="G289" s="17">
        <v>0.59444444444444444</v>
      </c>
      <c r="H289" s="17">
        <v>0.60277777777777775</v>
      </c>
      <c r="I289" s="9">
        <v>17080</v>
      </c>
      <c r="J289" s="9">
        <v>7470</v>
      </c>
      <c r="K289" s="10">
        <f t="shared" si="13"/>
        <v>9610</v>
      </c>
      <c r="L289" s="10">
        <v>23541</v>
      </c>
      <c r="M289" s="11" t="s">
        <v>1041</v>
      </c>
      <c r="N289" s="12">
        <v>9.6</v>
      </c>
      <c r="O289" s="13" t="s">
        <v>855</v>
      </c>
      <c r="P289" s="14"/>
    </row>
    <row r="290" spans="1:20" x14ac:dyDescent="0.25">
      <c r="A290" s="6"/>
      <c r="B290" s="7">
        <v>44266</v>
      </c>
      <c r="C290" s="8" t="s">
        <v>1042</v>
      </c>
      <c r="D290" s="8" t="s">
        <v>1672</v>
      </c>
      <c r="E290" s="9" t="s">
        <v>881</v>
      </c>
      <c r="F290" s="9" t="s">
        <v>749</v>
      </c>
      <c r="G290" s="17">
        <v>0.59513888888888888</v>
      </c>
      <c r="H290" s="17">
        <v>0.61319444444444449</v>
      </c>
      <c r="I290" s="9">
        <v>38220</v>
      </c>
      <c r="J290" s="9">
        <v>16630</v>
      </c>
      <c r="K290" s="10">
        <f t="shared" si="13"/>
        <v>21590</v>
      </c>
      <c r="L290" s="10">
        <v>23541</v>
      </c>
      <c r="M290" s="11" t="s">
        <v>1041</v>
      </c>
      <c r="N290" s="12">
        <v>21.6</v>
      </c>
      <c r="O290" s="13" t="s">
        <v>855</v>
      </c>
      <c r="P290" s="14"/>
    </row>
    <row r="291" spans="1:20" x14ac:dyDescent="0.25">
      <c r="A291" s="6"/>
      <c r="B291" s="7">
        <v>44266</v>
      </c>
      <c r="C291" s="8" t="s">
        <v>1042</v>
      </c>
      <c r="D291" s="8" t="s">
        <v>1794</v>
      </c>
      <c r="E291" s="9" t="s">
        <v>628</v>
      </c>
      <c r="F291" s="9" t="s">
        <v>629</v>
      </c>
      <c r="G291" s="17">
        <v>0.60486111111111118</v>
      </c>
      <c r="H291" s="17">
        <v>0.60972222222222217</v>
      </c>
      <c r="I291" s="9">
        <v>19340</v>
      </c>
      <c r="J291" s="9">
        <v>9680</v>
      </c>
      <c r="K291" s="10">
        <f t="shared" si="13"/>
        <v>9660</v>
      </c>
      <c r="L291" s="10">
        <v>23541</v>
      </c>
      <c r="M291" s="11" t="s">
        <v>1041</v>
      </c>
      <c r="N291" s="12">
        <v>9.6</v>
      </c>
      <c r="O291" s="13" t="s">
        <v>855</v>
      </c>
      <c r="P291" s="14"/>
    </row>
    <row r="292" spans="1:20" x14ac:dyDescent="0.25">
      <c r="A292" s="6"/>
      <c r="B292" s="7">
        <v>44266</v>
      </c>
      <c r="C292" s="8" t="s">
        <v>1042</v>
      </c>
      <c r="D292" s="8" t="s">
        <v>284</v>
      </c>
      <c r="E292" s="9" t="s">
        <v>177</v>
      </c>
      <c r="F292" s="9" t="s">
        <v>178</v>
      </c>
      <c r="G292" s="17">
        <v>0.63194444444444442</v>
      </c>
      <c r="H292" s="17">
        <v>0.64861111111111114</v>
      </c>
      <c r="I292" s="9">
        <v>35310</v>
      </c>
      <c r="J292" s="9">
        <v>16970</v>
      </c>
      <c r="K292" s="10">
        <f t="shared" si="13"/>
        <v>18340</v>
      </c>
      <c r="L292" s="10">
        <v>23541</v>
      </c>
      <c r="M292" s="11" t="s">
        <v>1784</v>
      </c>
      <c r="N292" s="12">
        <v>18</v>
      </c>
      <c r="O292" s="13" t="s">
        <v>855</v>
      </c>
      <c r="P292" s="14"/>
    </row>
    <row r="293" spans="1:20" x14ac:dyDescent="0.25">
      <c r="A293" s="6"/>
      <c r="B293" s="7">
        <v>44266</v>
      </c>
      <c r="C293" s="8" t="s">
        <v>1042</v>
      </c>
      <c r="D293" s="8" t="s">
        <v>853</v>
      </c>
      <c r="E293" s="9" t="s">
        <v>51</v>
      </c>
      <c r="F293" s="9" t="s">
        <v>52</v>
      </c>
      <c r="G293" s="17">
        <v>0.63750000000000007</v>
      </c>
      <c r="H293" s="17">
        <v>0.64444444444444449</v>
      </c>
      <c r="I293" s="9">
        <v>30120</v>
      </c>
      <c r="J293" s="9">
        <v>16030</v>
      </c>
      <c r="K293" s="10">
        <f t="shared" si="13"/>
        <v>14090</v>
      </c>
      <c r="L293" s="10">
        <v>23541</v>
      </c>
      <c r="M293" s="11" t="s">
        <v>1784</v>
      </c>
      <c r="N293" s="12">
        <v>14</v>
      </c>
      <c r="O293" s="13" t="s">
        <v>855</v>
      </c>
      <c r="P293" s="14"/>
      <c r="T293" s="1">
        <f>20*46</f>
        <v>920</v>
      </c>
    </row>
    <row r="294" spans="1:20" x14ac:dyDescent="0.25">
      <c r="A294" s="6"/>
      <c r="B294" s="7">
        <v>44266</v>
      </c>
      <c r="C294" s="8" t="s">
        <v>1913</v>
      </c>
      <c r="D294" s="8" t="s">
        <v>1355</v>
      </c>
      <c r="E294" s="9" t="s">
        <v>1048</v>
      </c>
      <c r="F294" s="9" t="s">
        <v>526</v>
      </c>
      <c r="G294" s="17">
        <v>0.65833333333333333</v>
      </c>
      <c r="H294" s="17">
        <v>0.6645833333333333</v>
      </c>
      <c r="I294" s="9">
        <v>34560</v>
      </c>
      <c r="J294" s="9">
        <v>18720</v>
      </c>
      <c r="K294" s="10">
        <f t="shared" si="13"/>
        <v>15840</v>
      </c>
      <c r="L294" s="10">
        <v>23542</v>
      </c>
      <c r="M294" s="11" t="s">
        <v>1041</v>
      </c>
      <c r="N294" s="12">
        <v>12</v>
      </c>
      <c r="O294" s="13" t="s">
        <v>855</v>
      </c>
      <c r="P294" s="14"/>
    </row>
    <row r="295" spans="1:20" x14ac:dyDescent="0.25">
      <c r="A295" s="6"/>
      <c r="B295" s="7">
        <v>44266</v>
      </c>
      <c r="C295" s="8" t="s">
        <v>1914</v>
      </c>
      <c r="D295" s="8" t="s">
        <v>880</v>
      </c>
      <c r="E295" s="9" t="s">
        <v>1661</v>
      </c>
      <c r="F295" s="9" t="s">
        <v>1276</v>
      </c>
      <c r="G295" s="17">
        <v>0.67361111111111116</v>
      </c>
      <c r="H295" s="17">
        <v>0.6791666666666667</v>
      </c>
      <c r="I295" s="9">
        <v>35810</v>
      </c>
      <c r="J295" s="9">
        <v>17100</v>
      </c>
      <c r="K295" s="10">
        <f t="shared" si="13"/>
        <v>18710</v>
      </c>
      <c r="L295" s="10" t="s">
        <v>1915</v>
      </c>
      <c r="M295" s="11" t="s">
        <v>1041</v>
      </c>
      <c r="N295" s="12">
        <v>16.8</v>
      </c>
      <c r="O295" s="13" t="s">
        <v>855</v>
      </c>
      <c r="P295" s="14"/>
    </row>
    <row r="296" spans="1:20" x14ac:dyDescent="0.25">
      <c r="A296" s="6"/>
      <c r="B296" s="7">
        <v>44266</v>
      </c>
      <c r="C296" s="43" t="s">
        <v>1630</v>
      </c>
      <c r="D296" s="43" t="s">
        <v>602</v>
      </c>
      <c r="E296" s="44" t="s">
        <v>1632</v>
      </c>
      <c r="F296" s="44" t="s">
        <v>266</v>
      </c>
      <c r="G296" s="17">
        <v>0.69236111111111109</v>
      </c>
      <c r="H296" s="17">
        <v>0.69930555555555562</v>
      </c>
      <c r="I296" s="9">
        <v>7110</v>
      </c>
      <c r="J296" s="9">
        <v>5620</v>
      </c>
      <c r="K296" s="10">
        <f>+I296-J296</f>
        <v>1490</v>
      </c>
      <c r="L296" s="10" t="s">
        <v>1916</v>
      </c>
      <c r="M296" s="47" t="s">
        <v>1917</v>
      </c>
      <c r="N296" s="12">
        <v>1490</v>
      </c>
      <c r="O296" s="13" t="s">
        <v>32</v>
      </c>
      <c r="P296" s="14"/>
      <c r="R296" s="82">
        <v>35090</v>
      </c>
    </row>
    <row r="297" spans="1:20" s="39" customFormat="1" x14ac:dyDescent="0.25">
      <c r="A297" s="29"/>
      <c r="B297" s="30">
        <v>44266</v>
      </c>
      <c r="C297" s="31" t="s">
        <v>1888</v>
      </c>
      <c r="D297" s="31" t="s">
        <v>1355</v>
      </c>
      <c r="E297" s="32" t="s">
        <v>1048</v>
      </c>
      <c r="F297" s="32" t="s">
        <v>526</v>
      </c>
      <c r="G297" s="33">
        <v>0.69513888888888886</v>
      </c>
      <c r="H297" s="33">
        <v>0.21319444444444444</v>
      </c>
      <c r="I297" s="32">
        <v>17620</v>
      </c>
      <c r="J297" s="32">
        <v>54690</v>
      </c>
      <c r="K297" s="34">
        <f t="shared" si="13"/>
        <v>-37070</v>
      </c>
      <c r="L297" s="34">
        <v>5830</v>
      </c>
      <c r="M297" s="35" t="s">
        <v>1918</v>
      </c>
      <c r="N297" s="36">
        <v>700</v>
      </c>
      <c r="O297" s="37" t="s">
        <v>1099</v>
      </c>
      <c r="P297" s="14" t="s">
        <v>1930</v>
      </c>
    </row>
    <row r="298" spans="1:20" x14ac:dyDescent="0.25">
      <c r="A298" s="6"/>
      <c r="B298" s="7">
        <v>44266</v>
      </c>
      <c r="C298" s="8" t="s">
        <v>1919</v>
      </c>
      <c r="D298" s="8" t="s">
        <v>94</v>
      </c>
      <c r="E298" s="9" t="s">
        <v>1774</v>
      </c>
      <c r="F298" s="9" t="s">
        <v>1775</v>
      </c>
      <c r="G298" s="17">
        <v>0.70277777777777783</v>
      </c>
      <c r="H298" s="17">
        <v>0.7104166666666667</v>
      </c>
      <c r="I298" s="9">
        <v>17670</v>
      </c>
      <c r="J298" s="9">
        <v>7470</v>
      </c>
      <c r="K298" s="10">
        <f t="shared" si="13"/>
        <v>10200</v>
      </c>
      <c r="L298" s="10">
        <v>23544</v>
      </c>
      <c r="M298" s="11" t="s">
        <v>1041</v>
      </c>
      <c r="N298" s="12">
        <v>9.6</v>
      </c>
      <c r="O298" s="13" t="s">
        <v>855</v>
      </c>
      <c r="P298" s="14"/>
      <c r="Q298" s="1">
        <v>17620</v>
      </c>
      <c r="T298" s="1">
        <v>36500</v>
      </c>
    </row>
    <row r="299" spans="1:20" x14ac:dyDescent="0.25">
      <c r="A299" s="6"/>
      <c r="B299" s="7">
        <v>44266</v>
      </c>
      <c r="C299" s="8" t="s">
        <v>1534</v>
      </c>
      <c r="D299" s="8" t="s">
        <v>1084</v>
      </c>
      <c r="E299" s="9" t="s">
        <v>502</v>
      </c>
      <c r="F299" s="9" t="s">
        <v>1647</v>
      </c>
      <c r="G299" s="17">
        <v>0.70763888888888893</v>
      </c>
      <c r="H299" s="17">
        <v>0.71388888888888891</v>
      </c>
      <c r="I299" s="9">
        <v>6280</v>
      </c>
      <c r="J299" s="9">
        <v>5450</v>
      </c>
      <c r="K299" s="10">
        <f t="shared" si="13"/>
        <v>830</v>
      </c>
      <c r="L299" s="10">
        <v>20188</v>
      </c>
      <c r="M299" s="11" t="s">
        <v>1873</v>
      </c>
      <c r="N299" s="12">
        <v>830</v>
      </c>
      <c r="O299" s="13" t="s">
        <v>32</v>
      </c>
      <c r="P299" s="14"/>
    </row>
    <row r="300" spans="1:20" x14ac:dyDescent="0.25">
      <c r="A300" s="6"/>
      <c r="B300" s="7">
        <v>44266</v>
      </c>
      <c r="C300" s="8" t="s">
        <v>413</v>
      </c>
      <c r="D300" s="8" t="s">
        <v>1920</v>
      </c>
      <c r="E300" s="9" t="s">
        <v>1921</v>
      </c>
      <c r="F300" s="9" t="s">
        <v>36</v>
      </c>
      <c r="G300" s="17">
        <v>0.72083333333333333</v>
      </c>
      <c r="H300" s="17">
        <v>0.73541666666666661</v>
      </c>
      <c r="I300" s="9">
        <v>10300</v>
      </c>
      <c r="J300" s="9">
        <v>8530</v>
      </c>
      <c r="K300" s="10">
        <f t="shared" si="13"/>
        <v>1770</v>
      </c>
      <c r="L300" s="10">
        <v>39</v>
      </c>
      <c r="M300" s="11" t="s">
        <v>413</v>
      </c>
      <c r="N300" s="12">
        <v>2</v>
      </c>
      <c r="O300" s="13" t="s">
        <v>80</v>
      </c>
      <c r="P300" s="14" t="s">
        <v>1922</v>
      </c>
    </row>
    <row r="301" spans="1:20" x14ac:dyDescent="0.25">
      <c r="A301" s="6"/>
      <c r="B301" s="7">
        <v>44266</v>
      </c>
      <c r="C301" s="8" t="s">
        <v>1923</v>
      </c>
      <c r="D301" s="8" t="s">
        <v>1672</v>
      </c>
      <c r="E301" s="9" t="s">
        <v>881</v>
      </c>
      <c r="F301" s="9" t="s">
        <v>749</v>
      </c>
      <c r="G301" s="17">
        <v>0.76736111111111116</v>
      </c>
      <c r="H301" s="17">
        <v>0.78263888888888899</v>
      </c>
      <c r="I301" s="9">
        <v>37460</v>
      </c>
      <c r="J301" s="9">
        <v>16600</v>
      </c>
      <c r="K301" s="10">
        <f t="shared" si="13"/>
        <v>20860</v>
      </c>
      <c r="L301" s="10" t="s">
        <v>1924</v>
      </c>
      <c r="M301" s="11" t="s">
        <v>1383</v>
      </c>
      <c r="N301" s="12">
        <f>13.8+7.8</f>
        <v>21.6</v>
      </c>
      <c r="O301" s="13" t="s">
        <v>855</v>
      </c>
      <c r="P301" s="14"/>
    </row>
    <row r="302" spans="1:20" x14ac:dyDescent="0.25">
      <c r="A302" s="6"/>
      <c r="B302" s="7">
        <v>44266</v>
      </c>
      <c r="C302" s="8" t="s">
        <v>55</v>
      </c>
      <c r="D302" s="8" t="s">
        <v>1652</v>
      </c>
      <c r="E302" s="9" t="s">
        <v>144</v>
      </c>
      <c r="F302" s="9" t="s">
        <v>626</v>
      </c>
      <c r="G302" s="17">
        <v>0.77777777777777779</v>
      </c>
      <c r="H302" s="17">
        <v>0.41805555555555557</v>
      </c>
      <c r="I302" s="9">
        <v>17860</v>
      </c>
      <c r="J302" s="9">
        <v>15800</v>
      </c>
      <c r="K302" s="10">
        <f t="shared" si="13"/>
        <v>2060</v>
      </c>
      <c r="L302" s="10">
        <v>2613</v>
      </c>
      <c r="M302" s="11" t="s">
        <v>1925</v>
      </c>
      <c r="N302" s="12">
        <v>34</v>
      </c>
      <c r="O302" s="13" t="s">
        <v>80</v>
      </c>
      <c r="P302" s="14"/>
    </row>
    <row r="303" spans="1:20" x14ac:dyDescent="0.25">
      <c r="A303" s="6"/>
      <c r="B303" s="7">
        <v>44266</v>
      </c>
      <c r="C303" s="8" t="s">
        <v>208</v>
      </c>
      <c r="D303" s="8" t="s">
        <v>284</v>
      </c>
      <c r="E303" s="9" t="s">
        <v>177</v>
      </c>
      <c r="F303" s="9" t="s">
        <v>178</v>
      </c>
      <c r="G303" s="17">
        <v>0.79305555555555562</v>
      </c>
      <c r="H303" s="17">
        <v>0.34236111111111112</v>
      </c>
      <c r="I303" s="9">
        <v>44730</v>
      </c>
      <c r="J303" s="9">
        <v>15410</v>
      </c>
      <c r="K303" s="10">
        <f t="shared" si="13"/>
        <v>29320</v>
      </c>
      <c r="L303" s="10">
        <v>72691</v>
      </c>
      <c r="M303" s="11" t="s">
        <v>1730</v>
      </c>
      <c r="N303" s="12">
        <v>29340</v>
      </c>
      <c r="O303" s="13" t="s">
        <v>32</v>
      </c>
      <c r="P303" s="14"/>
    </row>
    <row r="304" spans="1:20" x14ac:dyDescent="0.25">
      <c r="A304" s="6"/>
      <c r="B304" s="7">
        <v>44266</v>
      </c>
      <c r="C304" s="8" t="s">
        <v>1789</v>
      </c>
      <c r="D304" s="8" t="s">
        <v>994</v>
      </c>
      <c r="E304" s="9" t="s">
        <v>995</v>
      </c>
      <c r="F304" s="9" t="s">
        <v>36</v>
      </c>
      <c r="G304" s="17">
        <v>0.8354166666666667</v>
      </c>
      <c r="H304" s="17">
        <v>0.85625000000000007</v>
      </c>
      <c r="I304" s="9">
        <v>3440</v>
      </c>
      <c r="J304" s="9">
        <v>3100</v>
      </c>
      <c r="K304" s="10">
        <f t="shared" si="13"/>
        <v>340</v>
      </c>
      <c r="L304" s="10">
        <v>26595</v>
      </c>
      <c r="M304" s="11" t="s">
        <v>965</v>
      </c>
      <c r="N304" s="12">
        <v>340</v>
      </c>
      <c r="O304" s="13" t="s">
        <v>32</v>
      </c>
      <c r="P304" s="14"/>
    </row>
    <row r="305" spans="1:16" x14ac:dyDescent="0.25">
      <c r="A305" s="6"/>
      <c r="B305" s="7">
        <v>44266</v>
      </c>
      <c r="C305" s="43" t="s">
        <v>1630</v>
      </c>
      <c r="D305" s="43" t="s">
        <v>602</v>
      </c>
      <c r="E305" s="44" t="s">
        <v>1632</v>
      </c>
      <c r="F305" s="44" t="s">
        <v>266</v>
      </c>
      <c r="G305" s="17">
        <v>0.84027777777777779</v>
      </c>
      <c r="H305" s="17">
        <v>0.84305555555555556</v>
      </c>
      <c r="I305" s="9">
        <v>6210</v>
      </c>
      <c r="J305" s="9">
        <v>5610</v>
      </c>
      <c r="K305" s="10">
        <f t="shared" si="13"/>
        <v>600</v>
      </c>
      <c r="L305" s="10" t="s">
        <v>1916</v>
      </c>
      <c r="M305" s="47" t="s">
        <v>1917</v>
      </c>
      <c r="N305" s="12">
        <v>600</v>
      </c>
      <c r="O305" s="13" t="s">
        <v>32</v>
      </c>
      <c r="P305" s="14"/>
    </row>
    <row r="306" spans="1:16" x14ac:dyDescent="0.25">
      <c r="A306" s="6"/>
      <c r="B306" s="7">
        <v>44266</v>
      </c>
      <c r="C306" s="8" t="s">
        <v>1726</v>
      </c>
      <c r="D306" s="8" t="s">
        <v>1853</v>
      </c>
      <c r="E306" s="9" t="s">
        <v>1231</v>
      </c>
      <c r="F306" s="9" t="s">
        <v>36</v>
      </c>
      <c r="G306" s="17">
        <v>0.90694444444444444</v>
      </c>
      <c r="H306" s="17">
        <v>0.9243055555555556</v>
      </c>
      <c r="I306" s="9">
        <v>9510</v>
      </c>
      <c r="J306" s="9">
        <v>7530</v>
      </c>
      <c r="K306" s="10">
        <f t="shared" si="13"/>
        <v>1980</v>
      </c>
      <c r="L306" s="10">
        <v>26596</v>
      </c>
      <c r="M306" s="11" t="s">
        <v>1400</v>
      </c>
      <c r="N306" s="12">
        <v>1980</v>
      </c>
      <c r="O306" s="13" t="s">
        <v>32</v>
      </c>
      <c r="P306" s="14"/>
    </row>
    <row r="307" spans="1:16" x14ac:dyDescent="0.25">
      <c r="A307" s="6"/>
      <c r="B307" s="7">
        <v>44266</v>
      </c>
      <c r="C307" s="8" t="s">
        <v>37</v>
      </c>
      <c r="D307" s="8" t="s">
        <v>1055</v>
      </c>
      <c r="E307" s="9" t="s">
        <v>39</v>
      </c>
      <c r="F307" s="9" t="s">
        <v>36</v>
      </c>
      <c r="G307" s="17">
        <v>0.9194444444444444</v>
      </c>
      <c r="H307" s="17">
        <v>0.97986111111111107</v>
      </c>
      <c r="I307" s="9">
        <v>19150</v>
      </c>
      <c r="J307" s="9">
        <v>6250</v>
      </c>
      <c r="K307" s="10">
        <f t="shared" si="13"/>
        <v>12900</v>
      </c>
      <c r="L307" s="10">
        <v>26598</v>
      </c>
      <c r="M307" s="11" t="s">
        <v>1926</v>
      </c>
      <c r="N307" s="12">
        <v>12900</v>
      </c>
      <c r="O307" s="13" t="s">
        <v>32</v>
      </c>
      <c r="P307" s="14"/>
    </row>
    <row r="308" spans="1:16" x14ac:dyDescent="0.25">
      <c r="A308" s="6"/>
      <c r="B308" s="7">
        <v>44266</v>
      </c>
      <c r="C308" s="8" t="s">
        <v>1726</v>
      </c>
      <c r="D308" s="8" t="s">
        <v>1853</v>
      </c>
      <c r="E308" s="9" t="s">
        <v>1231</v>
      </c>
      <c r="F308" s="9" t="s">
        <v>36</v>
      </c>
      <c r="G308" s="17">
        <v>0.92499999999999993</v>
      </c>
      <c r="H308" s="17">
        <v>0.96527777777777779</v>
      </c>
      <c r="I308" s="9">
        <v>7530</v>
      </c>
      <c r="J308" s="9">
        <v>4110</v>
      </c>
      <c r="K308" s="10">
        <f t="shared" si="13"/>
        <v>3420</v>
      </c>
      <c r="L308" s="10">
        <v>26597</v>
      </c>
      <c r="M308" s="11" t="s">
        <v>966</v>
      </c>
      <c r="N308" s="12">
        <v>3420</v>
      </c>
      <c r="O308" s="13" t="s">
        <v>32</v>
      </c>
      <c r="P308" s="14"/>
    </row>
    <row r="309" spans="1:16" x14ac:dyDescent="0.25">
      <c r="A309" s="6"/>
      <c r="B309" s="7">
        <v>44266</v>
      </c>
      <c r="C309" s="43" t="s">
        <v>1630</v>
      </c>
      <c r="D309" s="43" t="s">
        <v>464</v>
      </c>
      <c r="E309" s="44" t="s">
        <v>1632</v>
      </c>
      <c r="F309" s="44" t="s">
        <v>266</v>
      </c>
      <c r="G309" s="17">
        <v>0.93333333333333324</v>
      </c>
      <c r="H309" s="17">
        <v>0.93541666666666667</v>
      </c>
      <c r="I309" s="9">
        <v>6060</v>
      </c>
      <c r="J309" s="9">
        <v>5600</v>
      </c>
      <c r="K309" s="10">
        <f t="shared" si="13"/>
        <v>460</v>
      </c>
      <c r="L309" s="10" t="s">
        <v>1916</v>
      </c>
      <c r="M309" s="47" t="s">
        <v>1917</v>
      </c>
      <c r="N309" s="12">
        <v>460</v>
      </c>
      <c r="O309" s="13" t="s">
        <v>32</v>
      </c>
      <c r="P309" s="14"/>
    </row>
    <row r="310" spans="1:16" x14ac:dyDescent="0.25">
      <c r="A310" s="6"/>
      <c r="B310" s="7">
        <v>44266</v>
      </c>
      <c r="C310" s="8" t="s">
        <v>1927</v>
      </c>
      <c r="D310" s="8" t="s">
        <v>1655</v>
      </c>
      <c r="E310" s="9" t="s">
        <v>110</v>
      </c>
      <c r="F310" s="9" t="s">
        <v>1699</v>
      </c>
      <c r="G310" s="17">
        <v>0.95277777777777783</v>
      </c>
      <c r="H310" s="17">
        <v>4.1666666666666664E-2</v>
      </c>
      <c r="I310" s="9">
        <v>10830</v>
      </c>
      <c r="J310" s="9">
        <v>6470</v>
      </c>
      <c r="K310" s="10">
        <f t="shared" si="13"/>
        <v>4360</v>
      </c>
      <c r="L310" s="10">
        <v>8901</v>
      </c>
      <c r="M310" s="11" t="s">
        <v>1928</v>
      </c>
      <c r="N310" s="12">
        <v>4360</v>
      </c>
      <c r="O310" s="13" t="s">
        <v>32</v>
      </c>
      <c r="P310" s="14"/>
    </row>
    <row r="311" spans="1:16" x14ac:dyDescent="0.25">
      <c r="A311" s="6"/>
      <c r="B311" s="7">
        <v>44267</v>
      </c>
      <c r="C311" s="8" t="s">
        <v>1017</v>
      </c>
      <c r="D311" s="8" t="s">
        <v>458</v>
      </c>
      <c r="E311" s="9" t="s">
        <v>699</v>
      </c>
      <c r="F311" s="9" t="s">
        <v>459</v>
      </c>
      <c r="G311" s="17">
        <v>6.3888888888888884E-2</v>
      </c>
      <c r="H311" s="17">
        <v>0.13125000000000001</v>
      </c>
      <c r="I311" s="9">
        <v>15240</v>
      </c>
      <c r="J311" s="9">
        <v>8330</v>
      </c>
      <c r="K311" s="10">
        <f t="shared" si="13"/>
        <v>6910</v>
      </c>
      <c r="L311" s="10" t="s">
        <v>1929</v>
      </c>
      <c r="M311" s="11" t="s">
        <v>48</v>
      </c>
      <c r="N311" s="12">
        <v>13981</v>
      </c>
      <c r="O311" s="13" t="s">
        <v>49</v>
      </c>
      <c r="P311" s="14"/>
    </row>
    <row r="312" spans="1:16" x14ac:dyDescent="0.25">
      <c r="A312" s="6"/>
      <c r="B312" s="7">
        <v>44267</v>
      </c>
      <c r="C312" s="8" t="s">
        <v>1089</v>
      </c>
      <c r="D312" s="8" t="s">
        <v>880</v>
      </c>
      <c r="E312" s="9" t="s">
        <v>1661</v>
      </c>
      <c r="F312" s="9" t="s">
        <v>1276</v>
      </c>
      <c r="G312" s="17">
        <v>7.7083333333333337E-2</v>
      </c>
      <c r="H312" s="17">
        <v>8.819444444444445E-2</v>
      </c>
      <c r="I312" s="9">
        <v>28050</v>
      </c>
      <c r="J312" s="9">
        <v>15620</v>
      </c>
      <c r="K312" s="10">
        <f t="shared" si="13"/>
        <v>12430</v>
      </c>
      <c r="L312" s="10">
        <v>23547</v>
      </c>
      <c r="M312" s="11" t="s">
        <v>1041</v>
      </c>
      <c r="N312" s="12">
        <v>12</v>
      </c>
      <c r="O312" s="13" t="s">
        <v>855</v>
      </c>
      <c r="P312" s="14"/>
    </row>
    <row r="313" spans="1:16" x14ac:dyDescent="0.25">
      <c r="A313" s="6"/>
      <c r="B313" s="7">
        <v>44267</v>
      </c>
      <c r="C313" s="8" t="s">
        <v>142</v>
      </c>
      <c r="D313" s="8" t="s">
        <v>1656</v>
      </c>
      <c r="E313" s="9" t="s">
        <v>87</v>
      </c>
      <c r="F313" s="9" t="s">
        <v>88</v>
      </c>
      <c r="G313" s="17">
        <v>0.12222222222222223</v>
      </c>
      <c r="H313" s="17">
        <v>0.13541666666666666</v>
      </c>
      <c r="I313" s="9">
        <v>34680</v>
      </c>
      <c r="J313" s="9">
        <v>17300</v>
      </c>
      <c r="K313" s="10">
        <f t="shared" si="13"/>
        <v>17380</v>
      </c>
      <c r="L313" s="10">
        <v>781</v>
      </c>
      <c r="M313" s="11" t="s">
        <v>1825</v>
      </c>
      <c r="N313" s="12">
        <v>17695</v>
      </c>
      <c r="O313" s="13" t="s">
        <v>32</v>
      </c>
      <c r="P313" s="14"/>
    </row>
    <row r="314" spans="1:16" x14ac:dyDescent="0.25">
      <c r="A314" s="6"/>
      <c r="B314" s="15">
        <v>44267</v>
      </c>
      <c r="C314" s="16" t="s">
        <v>164</v>
      </c>
      <c r="D314" s="8" t="s">
        <v>299</v>
      </c>
      <c r="E314" s="9" t="s">
        <v>813</v>
      </c>
      <c r="F314" s="9" t="s">
        <v>814</v>
      </c>
      <c r="G314" s="17">
        <v>0.33888888888888885</v>
      </c>
      <c r="H314" s="17">
        <v>0.375</v>
      </c>
      <c r="I314" s="9">
        <v>16030</v>
      </c>
      <c r="J314" s="9">
        <v>41460</v>
      </c>
      <c r="K314" s="10">
        <f t="shared" si="13"/>
        <v>-25430</v>
      </c>
      <c r="L314" s="10">
        <v>15888</v>
      </c>
      <c r="M314" s="11" t="s">
        <v>166</v>
      </c>
      <c r="N314" s="12">
        <v>504</v>
      </c>
      <c r="O314" s="13" t="s">
        <v>1099</v>
      </c>
      <c r="P314" s="14"/>
    </row>
    <row r="315" spans="1:16" x14ac:dyDescent="0.25">
      <c r="A315" s="6"/>
      <c r="B315" s="7">
        <v>44267</v>
      </c>
      <c r="C315" s="8" t="s">
        <v>1931</v>
      </c>
      <c r="D315" s="8" t="s">
        <v>1932</v>
      </c>
      <c r="E315" s="9" t="s">
        <v>1933</v>
      </c>
      <c r="F315" s="9" t="s">
        <v>154</v>
      </c>
      <c r="G315" s="17">
        <v>0.35416666666666669</v>
      </c>
      <c r="H315" s="17">
        <v>0.6430555555555556</v>
      </c>
      <c r="I315" s="9">
        <v>13900</v>
      </c>
      <c r="J315" s="9">
        <v>40400</v>
      </c>
      <c r="K315" s="10">
        <f t="shared" si="13"/>
        <v>-26500</v>
      </c>
      <c r="L315" s="10">
        <v>5831</v>
      </c>
      <c r="M315" s="11" t="s">
        <v>53</v>
      </c>
      <c r="N315" s="12">
        <v>530</v>
      </c>
      <c r="O315" s="13" t="s">
        <v>1099</v>
      </c>
      <c r="P315" s="14"/>
    </row>
    <row r="316" spans="1:16" x14ac:dyDescent="0.25">
      <c r="A316" s="6"/>
      <c r="B316" s="7">
        <v>44267</v>
      </c>
      <c r="C316" s="8" t="s">
        <v>1931</v>
      </c>
      <c r="D316" s="8" t="s">
        <v>1934</v>
      </c>
      <c r="E316" s="9" t="s">
        <v>1935</v>
      </c>
      <c r="F316" s="9" t="s">
        <v>154</v>
      </c>
      <c r="G316" s="17">
        <v>0.35694444444444445</v>
      </c>
      <c r="H316" s="17">
        <v>0.6479166666666667</v>
      </c>
      <c r="I316" s="9">
        <v>16800</v>
      </c>
      <c r="J316" s="9">
        <v>43300</v>
      </c>
      <c r="K316" s="10">
        <f t="shared" si="13"/>
        <v>-26500</v>
      </c>
      <c r="L316" s="10">
        <v>5833</v>
      </c>
      <c r="M316" s="11" t="s">
        <v>53</v>
      </c>
      <c r="N316" s="12">
        <v>530</v>
      </c>
      <c r="O316" s="13" t="s">
        <v>1099</v>
      </c>
      <c r="P316" s="14"/>
    </row>
    <row r="317" spans="1:16" x14ac:dyDescent="0.25">
      <c r="A317" s="6"/>
      <c r="B317" s="7">
        <v>44267</v>
      </c>
      <c r="C317" s="8" t="s">
        <v>1931</v>
      </c>
      <c r="D317" s="8" t="s">
        <v>1936</v>
      </c>
      <c r="E317" s="9" t="s">
        <v>1937</v>
      </c>
      <c r="F317" s="9" t="s">
        <v>154</v>
      </c>
      <c r="G317" s="17">
        <v>0.3611111111111111</v>
      </c>
      <c r="H317" s="17">
        <v>0.62708333333333333</v>
      </c>
      <c r="I317" s="9">
        <v>13780</v>
      </c>
      <c r="J317" s="9">
        <v>40280</v>
      </c>
      <c r="K317" s="10">
        <f t="shared" si="13"/>
        <v>-26500</v>
      </c>
      <c r="L317" s="10">
        <v>5832</v>
      </c>
      <c r="M317" s="11" t="s">
        <v>53</v>
      </c>
      <c r="N317" s="12">
        <v>530</v>
      </c>
      <c r="O317" s="13" t="s">
        <v>1099</v>
      </c>
      <c r="P317" s="14"/>
    </row>
    <row r="318" spans="1:16" x14ac:dyDescent="0.25">
      <c r="A318" s="6"/>
      <c r="B318" s="7">
        <v>44267</v>
      </c>
      <c r="C318" s="8" t="s">
        <v>164</v>
      </c>
      <c r="D318" s="8" t="s">
        <v>899</v>
      </c>
      <c r="E318" s="9" t="s">
        <v>490</v>
      </c>
      <c r="F318" s="9" t="s">
        <v>491</v>
      </c>
      <c r="G318" s="17">
        <v>0.36319444444444443</v>
      </c>
      <c r="H318" s="17">
        <v>0.39166666666666666</v>
      </c>
      <c r="I318" s="9">
        <v>17670</v>
      </c>
      <c r="J318" s="9">
        <v>43080</v>
      </c>
      <c r="K318" s="10">
        <f t="shared" si="13"/>
        <v>-25410</v>
      </c>
      <c r="L318" s="10">
        <v>15890</v>
      </c>
      <c r="M318" s="11" t="s">
        <v>166</v>
      </c>
      <c r="N318" s="12">
        <v>504</v>
      </c>
      <c r="O318" s="13" t="s">
        <v>1099</v>
      </c>
      <c r="P318" s="14"/>
    </row>
    <row r="319" spans="1:16" x14ac:dyDescent="0.25">
      <c r="A319" s="6"/>
      <c r="B319" s="7">
        <v>44267</v>
      </c>
      <c r="C319" s="8" t="s">
        <v>1931</v>
      </c>
      <c r="D319" s="8" t="s">
        <v>1938</v>
      </c>
      <c r="E319" s="9" t="s">
        <v>1939</v>
      </c>
      <c r="F319" s="9" t="s">
        <v>36</v>
      </c>
      <c r="G319" s="17">
        <v>0.39513888888888887</v>
      </c>
      <c r="H319" s="17">
        <v>0.76041666666666663</v>
      </c>
      <c r="I319" s="9">
        <v>13430</v>
      </c>
      <c r="J319" s="9">
        <v>39930</v>
      </c>
      <c r="K319" s="10">
        <f t="shared" si="13"/>
        <v>-26500</v>
      </c>
      <c r="L319" s="10">
        <v>5836</v>
      </c>
      <c r="M319" s="11" t="s">
        <v>53</v>
      </c>
      <c r="N319" s="12">
        <v>530</v>
      </c>
      <c r="O319" s="13" t="s">
        <v>1099</v>
      </c>
      <c r="P319" s="14"/>
    </row>
    <row r="320" spans="1:16" x14ac:dyDescent="0.25">
      <c r="A320" s="6"/>
      <c r="B320" s="7">
        <v>44267</v>
      </c>
      <c r="C320" s="8" t="s">
        <v>1673</v>
      </c>
      <c r="D320" s="8" t="s">
        <v>1842</v>
      </c>
      <c r="E320" s="9" t="s">
        <v>1000</v>
      </c>
      <c r="F320" s="9" t="s">
        <v>338</v>
      </c>
      <c r="G320" s="17">
        <v>0.4597222222222222</v>
      </c>
      <c r="H320" s="17">
        <v>0.4680555555555555</v>
      </c>
      <c r="I320" s="9">
        <v>2250</v>
      </c>
      <c r="J320" s="9">
        <v>1890</v>
      </c>
      <c r="K320" s="10">
        <f t="shared" si="13"/>
        <v>360</v>
      </c>
      <c r="L320" s="10">
        <v>26599</v>
      </c>
      <c r="M320" s="11" t="s">
        <v>1940</v>
      </c>
      <c r="N320" s="12">
        <v>360</v>
      </c>
      <c r="O320" s="13" t="s">
        <v>32</v>
      </c>
      <c r="P320" s="14"/>
    </row>
    <row r="321" spans="1:16" x14ac:dyDescent="0.25">
      <c r="A321" s="6"/>
      <c r="B321" s="7">
        <v>44267</v>
      </c>
      <c r="C321" s="8" t="s">
        <v>164</v>
      </c>
      <c r="D321" s="8" t="s">
        <v>299</v>
      </c>
      <c r="E321" s="9" t="s">
        <v>813</v>
      </c>
      <c r="F321" s="9" t="s">
        <v>814</v>
      </c>
      <c r="G321" s="17">
        <v>0.46527777777777773</v>
      </c>
      <c r="H321" s="17">
        <v>0.49583333333333335</v>
      </c>
      <c r="I321" s="9">
        <v>16200</v>
      </c>
      <c r="J321" s="9">
        <v>41440</v>
      </c>
      <c r="K321" s="10">
        <f t="shared" si="13"/>
        <v>-25240</v>
      </c>
      <c r="L321" s="10">
        <v>15891</v>
      </c>
      <c r="M321" s="11" t="s">
        <v>166</v>
      </c>
      <c r="N321" s="12">
        <v>504</v>
      </c>
      <c r="O321" s="13" t="s">
        <v>1099</v>
      </c>
      <c r="P321" s="14"/>
    </row>
    <row r="322" spans="1:16" x14ac:dyDescent="0.25">
      <c r="A322" s="6"/>
      <c r="B322" s="7">
        <v>44267</v>
      </c>
      <c r="C322" s="8" t="s">
        <v>164</v>
      </c>
      <c r="D322" s="8" t="s">
        <v>899</v>
      </c>
      <c r="E322" s="9" t="s">
        <v>490</v>
      </c>
      <c r="F322" s="9" t="s">
        <v>491</v>
      </c>
      <c r="G322" s="17">
        <v>0.47986111111111113</v>
      </c>
      <c r="H322" s="17">
        <v>0.54236111111111118</v>
      </c>
      <c r="I322" s="9">
        <v>17840</v>
      </c>
      <c r="J322" s="9">
        <v>43050</v>
      </c>
      <c r="K322" s="10">
        <f t="shared" si="13"/>
        <v>-25210</v>
      </c>
      <c r="L322" s="10">
        <v>15892</v>
      </c>
      <c r="M322" s="11" t="s">
        <v>166</v>
      </c>
      <c r="N322" s="12">
        <v>504</v>
      </c>
      <c r="O322" s="13" t="s">
        <v>1099</v>
      </c>
      <c r="P322" s="14"/>
    </row>
    <row r="323" spans="1:16" x14ac:dyDescent="0.25">
      <c r="A323" s="6"/>
      <c r="B323" s="7">
        <v>44267</v>
      </c>
      <c r="C323" s="8" t="s">
        <v>1931</v>
      </c>
      <c r="D323" s="8" t="s">
        <v>1941</v>
      </c>
      <c r="E323" s="9" t="s">
        <v>565</v>
      </c>
      <c r="F323" s="9" t="s">
        <v>338</v>
      </c>
      <c r="G323" s="17">
        <v>0.51250000000000007</v>
      </c>
      <c r="H323" s="17">
        <v>0.73958333333333337</v>
      </c>
      <c r="I323" s="9">
        <v>14920</v>
      </c>
      <c r="J323" s="9">
        <v>41420</v>
      </c>
      <c r="K323" s="10">
        <f t="shared" si="13"/>
        <v>-26500</v>
      </c>
      <c r="L323" s="10">
        <v>5834</v>
      </c>
      <c r="M323" s="11" t="s">
        <v>53</v>
      </c>
      <c r="N323" s="12">
        <v>530</v>
      </c>
      <c r="O323" s="13" t="s">
        <v>1099</v>
      </c>
      <c r="P323" s="14"/>
    </row>
    <row r="324" spans="1:16" x14ac:dyDescent="0.25">
      <c r="A324" s="6"/>
      <c r="B324" s="7">
        <v>44267</v>
      </c>
      <c r="C324" s="8" t="s">
        <v>1931</v>
      </c>
      <c r="D324" s="8" t="s">
        <v>1942</v>
      </c>
      <c r="E324" s="9" t="s">
        <v>1557</v>
      </c>
      <c r="F324" s="9" t="s">
        <v>338</v>
      </c>
      <c r="G324" s="17">
        <v>0.51388888888888895</v>
      </c>
      <c r="H324" s="17">
        <v>0.74652777777777779</v>
      </c>
      <c r="I324" s="9">
        <v>16640</v>
      </c>
      <c r="J324" s="9">
        <v>43140</v>
      </c>
      <c r="K324" s="10">
        <f t="shared" si="13"/>
        <v>-26500</v>
      </c>
      <c r="L324" s="10">
        <v>5835</v>
      </c>
      <c r="M324" s="11" t="s">
        <v>53</v>
      </c>
      <c r="N324" s="12">
        <v>530</v>
      </c>
      <c r="O324" s="13" t="s">
        <v>1099</v>
      </c>
      <c r="P324" s="14"/>
    </row>
    <row r="325" spans="1:16" x14ac:dyDescent="0.25">
      <c r="A325" s="6"/>
      <c r="B325" s="7">
        <v>44267</v>
      </c>
      <c r="C325" s="8" t="s">
        <v>1943</v>
      </c>
      <c r="D325" s="8" t="s">
        <v>853</v>
      </c>
      <c r="E325" s="9" t="s">
        <v>51</v>
      </c>
      <c r="F325" s="9" t="s">
        <v>52</v>
      </c>
      <c r="G325" s="17">
        <v>0.55694444444444446</v>
      </c>
      <c r="H325" s="17">
        <v>0.56666666666666665</v>
      </c>
      <c r="I325" s="9">
        <v>28970</v>
      </c>
      <c r="J325" s="9">
        <v>16000</v>
      </c>
      <c r="K325" s="10">
        <f t="shared" si="13"/>
        <v>12970</v>
      </c>
      <c r="L325" s="10" t="s">
        <v>1944</v>
      </c>
      <c r="M325" s="11" t="s">
        <v>1041</v>
      </c>
      <c r="N325" s="12">
        <v>12</v>
      </c>
      <c r="O325" s="13" t="s">
        <v>855</v>
      </c>
      <c r="P325" s="14"/>
    </row>
    <row r="326" spans="1:16" x14ac:dyDescent="0.25">
      <c r="A326" s="6"/>
      <c r="B326" s="7">
        <v>44267</v>
      </c>
      <c r="C326" s="8" t="s">
        <v>1945</v>
      </c>
      <c r="D326" s="8" t="s">
        <v>1794</v>
      </c>
      <c r="E326" s="9" t="s">
        <v>628</v>
      </c>
      <c r="F326" s="9" t="s">
        <v>629</v>
      </c>
      <c r="G326" s="17">
        <v>0.57500000000000007</v>
      </c>
      <c r="H326" s="17">
        <v>0.58750000000000002</v>
      </c>
      <c r="I326" s="9">
        <v>14700</v>
      </c>
      <c r="J326" s="9">
        <v>9770</v>
      </c>
      <c r="K326" s="10">
        <f t="shared" si="13"/>
        <v>4930</v>
      </c>
      <c r="L326" s="10">
        <v>23550</v>
      </c>
      <c r="M326" s="11" t="s">
        <v>1041</v>
      </c>
      <c r="N326" s="12">
        <v>4.8</v>
      </c>
      <c r="O326" s="13" t="s">
        <v>855</v>
      </c>
      <c r="P326" s="14"/>
    </row>
    <row r="327" spans="1:16" x14ac:dyDescent="0.25">
      <c r="A327" s="6"/>
      <c r="B327" s="7">
        <v>44267</v>
      </c>
      <c r="C327" s="8" t="s">
        <v>164</v>
      </c>
      <c r="D327" s="8" t="s">
        <v>299</v>
      </c>
      <c r="E327" s="9" t="s">
        <v>813</v>
      </c>
      <c r="F327" s="9" t="s">
        <v>814</v>
      </c>
      <c r="G327" s="17">
        <v>0.58402777777777781</v>
      </c>
      <c r="H327" s="17">
        <v>0.65416666666666667</v>
      </c>
      <c r="I327" s="9">
        <v>16180</v>
      </c>
      <c r="J327" s="9">
        <v>41420</v>
      </c>
      <c r="K327" s="10">
        <f t="shared" si="13"/>
        <v>-25240</v>
      </c>
      <c r="L327" s="10">
        <v>15893</v>
      </c>
      <c r="M327" s="11" t="s">
        <v>166</v>
      </c>
      <c r="N327" s="12">
        <v>504</v>
      </c>
      <c r="O327" s="13" t="s">
        <v>1099</v>
      </c>
      <c r="P327" s="14"/>
    </row>
    <row r="328" spans="1:16" x14ac:dyDescent="0.25">
      <c r="A328" s="6"/>
      <c r="B328" s="7">
        <v>44267</v>
      </c>
      <c r="C328" s="8" t="s">
        <v>1582</v>
      </c>
      <c r="D328" s="8" t="s">
        <v>607</v>
      </c>
      <c r="E328" s="9" t="s">
        <v>318</v>
      </c>
      <c r="F328" s="9" t="s">
        <v>338</v>
      </c>
      <c r="G328" s="17">
        <v>0.62152777777777779</v>
      </c>
      <c r="H328" s="17">
        <v>0.68958333333333333</v>
      </c>
      <c r="I328" s="9">
        <v>55650</v>
      </c>
      <c r="J328" s="9">
        <v>20320</v>
      </c>
      <c r="K328" s="10">
        <f t="shared" si="13"/>
        <v>35330</v>
      </c>
      <c r="L328" s="10">
        <v>958</v>
      </c>
      <c r="M328" s="11" t="s">
        <v>306</v>
      </c>
      <c r="N328" s="12">
        <v>10000</v>
      </c>
      <c r="O328" s="13" t="s">
        <v>84</v>
      </c>
      <c r="P328" s="14"/>
    </row>
    <row r="329" spans="1:16" x14ac:dyDescent="0.25">
      <c r="A329" s="6"/>
      <c r="B329" s="7">
        <v>44267</v>
      </c>
      <c r="C329" s="8" t="s">
        <v>1946</v>
      </c>
      <c r="D329" s="8" t="s">
        <v>880</v>
      </c>
      <c r="E329" s="9" t="s">
        <v>1661</v>
      </c>
      <c r="F329" s="9" t="s">
        <v>1276</v>
      </c>
      <c r="G329" s="17">
        <v>0.62986111111111109</v>
      </c>
      <c r="H329" s="17">
        <v>0.66388888888888886</v>
      </c>
      <c r="I329" s="9">
        <v>27950</v>
      </c>
      <c r="J329" s="9">
        <v>15400</v>
      </c>
      <c r="K329" s="10">
        <f t="shared" si="13"/>
        <v>12550</v>
      </c>
      <c r="L329" s="10" t="s">
        <v>1947</v>
      </c>
      <c r="M329" s="11" t="s">
        <v>1041</v>
      </c>
      <c r="N329" s="12">
        <f>7.2+4.8</f>
        <v>12</v>
      </c>
      <c r="O329" s="13" t="s">
        <v>855</v>
      </c>
      <c r="P329" s="14"/>
    </row>
    <row r="330" spans="1:16" x14ac:dyDescent="0.25">
      <c r="A330" s="6"/>
      <c r="B330" s="7">
        <v>44267</v>
      </c>
      <c r="C330" s="8" t="s">
        <v>1948</v>
      </c>
      <c r="D330" s="8" t="s">
        <v>1672</v>
      </c>
      <c r="E330" s="9" t="s">
        <v>881</v>
      </c>
      <c r="F330" s="9" t="s">
        <v>749</v>
      </c>
      <c r="G330" s="17">
        <v>0.64513888888888882</v>
      </c>
      <c r="H330" s="17">
        <v>0.65555555555555556</v>
      </c>
      <c r="I330" s="9">
        <v>31410</v>
      </c>
      <c r="J330" s="9">
        <v>16790</v>
      </c>
      <c r="K330" s="10">
        <f t="shared" si="13"/>
        <v>14620</v>
      </c>
      <c r="L330" s="10">
        <v>23548</v>
      </c>
      <c r="M330" s="11" t="s">
        <v>1041</v>
      </c>
      <c r="N330" s="12">
        <v>13.8</v>
      </c>
      <c r="O330" s="13" t="s">
        <v>855</v>
      </c>
      <c r="P330" s="14"/>
    </row>
    <row r="331" spans="1:16" x14ac:dyDescent="0.25">
      <c r="A331" s="6"/>
      <c r="B331" s="7">
        <v>44267</v>
      </c>
      <c r="C331" s="8" t="s">
        <v>1948</v>
      </c>
      <c r="D331" s="8" t="s">
        <v>1652</v>
      </c>
      <c r="E331" s="9" t="s">
        <v>144</v>
      </c>
      <c r="F331" s="9" t="s">
        <v>626</v>
      </c>
      <c r="G331" s="17">
        <v>0.67499999999999993</v>
      </c>
      <c r="H331" s="17">
        <v>0.68125000000000002</v>
      </c>
      <c r="I331" s="9">
        <v>26830</v>
      </c>
      <c r="J331" s="9">
        <v>15740</v>
      </c>
      <c r="K331" s="10">
        <f t="shared" si="13"/>
        <v>11090</v>
      </c>
      <c r="L331" s="10">
        <v>23552</v>
      </c>
      <c r="M331" s="11" t="s">
        <v>1041</v>
      </c>
      <c r="N331" s="12">
        <v>11090</v>
      </c>
      <c r="O331" s="13" t="s">
        <v>32</v>
      </c>
      <c r="P331" s="14" t="s">
        <v>1949</v>
      </c>
    </row>
    <row r="332" spans="1:16" x14ac:dyDescent="0.25">
      <c r="A332" s="6"/>
      <c r="B332" s="7">
        <v>44267</v>
      </c>
      <c r="C332" s="8" t="s">
        <v>1950</v>
      </c>
      <c r="D332" s="8" t="s">
        <v>1951</v>
      </c>
      <c r="E332" s="9" t="s">
        <v>184</v>
      </c>
      <c r="F332" s="9" t="s">
        <v>338</v>
      </c>
      <c r="G332" s="17">
        <v>0.6972222222222223</v>
      </c>
      <c r="H332" s="17">
        <v>0.72222222222222221</v>
      </c>
      <c r="I332" s="9">
        <v>4060</v>
      </c>
      <c r="J332" s="9">
        <v>3420</v>
      </c>
      <c r="K332" s="10">
        <f t="shared" si="13"/>
        <v>640</v>
      </c>
      <c r="L332" s="10">
        <v>44</v>
      </c>
      <c r="M332" s="11" t="s">
        <v>1952</v>
      </c>
      <c r="N332" s="12">
        <v>10</v>
      </c>
      <c r="O332" s="13" t="s">
        <v>80</v>
      </c>
      <c r="P332" s="14"/>
    </row>
    <row r="333" spans="1:16" x14ac:dyDescent="0.25">
      <c r="A333" s="6"/>
      <c r="B333" s="7">
        <v>44267</v>
      </c>
      <c r="C333" s="8" t="s">
        <v>941</v>
      </c>
      <c r="D333" s="8" t="s">
        <v>1794</v>
      </c>
      <c r="E333" s="9" t="s">
        <v>628</v>
      </c>
      <c r="F333" s="9" t="s">
        <v>629</v>
      </c>
      <c r="G333" s="17">
        <v>0.69930555555555562</v>
      </c>
      <c r="H333" s="17">
        <v>0.70486111111111116</v>
      </c>
      <c r="I333" s="9">
        <v>12400</v>
      </c>
      <c r="J333" s="9">
        <v>9670</v>
      </c>
      <c r="K333" s="10">
        <f t="shared" si="13"/>
        <v>2730</v>
      </c>
      <c r="L333" s="10">
        <v>23553</v>
      </c>
      <c r="M333" s="11" t="s">
        <v>1953</v>
      </c>
      <c r="N333" s="12">
        <v>2.4</v>
      </c>
      <c r="O333" s="13" t="s">
        <v>855</v>
      </c>
      <c r="P333" s="14"/>
    </row>
    <row r="334" spans="1:16" x14ac:dyDescent="0.25">
      <c r="A334" s="6"/>
      <c r="B334" s="7">
        <v>44267</v>
      </c>
      <c r="C334" s="8" t="s">
        <v>208</v>
      </c>
      <c r="D334" s="8" t="s">
        <v>284</v>
      </c>
      <c r="E334" s="9" t="s">
        <v>177</v>
      </c>
      <c r="F334" s="9" t="s">
        <v>178</v>
      </c>
      <c r="G334" s="17">
        <v>0.78888888888888886</v>
      </c>
      <c r="H334" s="17">
        <v>0.33611111111111108</v>
      </c>
      <c r="I334" s="9">
        <v>47170</v>
      </c>
      <c r="J334" s="9">
        <v>15350</v>
      </c>
      <c r="K334" s="10">
        <f t="shared" si="13"/>
        <v>31820</v>
      </c>
      <c r="L334" s="10">
        <v>41081</v>
      </c>
      <c r="M334" s="11" t="s">
        <v>1730</v>
      </c>
      <c r="N334" s="12">
        <v>31770</v>
      </c>
      <c r="O334" s="13" t="s">
        <v>32</v>
      </c>
      <c r="P334" s="14"/>
    </row>
    <row r="335" spans="1:16" x14ac:dyDescent="0.25">
      <c r="A335" s="6"/>
      <c r="B335" s="7">
        <v>44267</v>
      </c>
      <c r="C335" s="8" t="s">
        <v>1954</v>
      </c>
      <c r="D335" s="8" t="s">
        <v>94</v>
      </c>
      <c r="E335" s="9" t="s">
        <v>1774</v>
      </c>
      <c r="F335" s="9" t="s">
        <v>1775</v>
      </c>
      <c r="G335" s="17">
        <v>0.79236111111111107</v>
      </c>
      <c r="H335" s="17">
        <v>0.12152777777777778</v>
      </c>
      <c r="I335" s="9">
        <v>14030</v>
      </c>
      <c r="J335" s="9">
        <v>7450</v>
      </c>
      <c r="K335" s="10">
        <f t="shared" si="13"/>
        <v>6580</v>
      </c>
      <c r="L335" s="10">
        <v>23554</v>
      </c>
      <c r="M335" s="11" t="s">
        <v>942</v>
      </c>
      <c r="N335" s="12">
        <v>7.2</v>
      </c>
      <c r="O335" s="13" t="s">
        <v>855</v>
      </c>
      <c r="P335" s="14"/>
    </row>
    <row r="336" spans="1:16" x14ac:dyDescent="0.25">
      <c r="A336" s="6"/>
      <c r="B336" s="7">
        <v>44267</v>
      </c>
      <c r="C336" s="8" t="s">
        <v>1785</v>
      </c>
      <c r="D336" s="8" t="s">
        <v>1672</v>
      </c>
      <c r="E336" s="9" t="s">
        <v>881</v>
      </c>
      <c r="F336" s="9" t="s">
        <v>749</v>
      </c>
      <c r="G336" s="17">
        <v>0.89027777777777783</v>
      </c>
      <c r="H336" s="17">
        <v>0.11458333333333333</v>
      </c>
      <c r="I336" s="9">
        <v>23050</v>
      </c>
      <c r="J336" s="9">
        <v>16780</v>
      </c>
      <c r="K336" s="10">
        <f t="shared" si="13"/>
        <v>6270</v>
      </c>
      <c r="L336" s="10">
        <v>23557</v>
      </c>
      <c r="M336" s="11" t="s">
        <v>942</v>
      </c>
      <c r="N336" s="12">
        <v>6270</v>
      </c>
      <c r="O336" s="13" t="s">
        <v>32</v>
      </c>
      <c r="P336" s="14" t="s">
        <v>1504</v>
      </c>
    </row>
    <row r="337" spans="1:16" x14ac:dyDescent="0.25">
      <c r="A337" s="6"/>
      <c r="B337" s="7">
        <v>44267</v>
      </c>
      <c r="C337" s="8" t="s">
        <v>37</v>
      </c>
      <c r="D337" s="8" t="s">
        <v>1055</v>
      </c>
      <c r="E337" s="9" t="s">
        <v>39</v>
      </c>
      <c r="F337" s="9" t="s">
        <v>36</v>
      </c>
      <c r="G337" s="17">
        <v>0.87708333333333333</v>
      </c>
      <c r="H337" s="17">
        <v>0.91319444444444453</v>
      </c>
      <c r="I337" s="9">
        <v>18060</v>
      </c>
      <c r="J337" s="9">
        <v>6300</v>
      </c>
      <c r="K337" s="10">
        <f t="shared" ref="K337" si="14">+I337-J337</f>
        <v>11760</v>
      </c>
      <c r="L337" s="10">
        <v>26600</v>
      </c>
      <c r="M337" s="11" t="s">
        <v>1926</v>
      </c>
      <c r="N337" s="12">
        <v>11760</v>
      </c>
      <c r="O337" s="13" t="s">
        <v>32</v>
      </c>
      <c r="P337" s="14"/>
    </row>
    <row r="338" spans="1:16" x14ac:dyDescent="0.25">
      <c r="A338" s="6"/>
      <c r="B338" s="7">
        <v>44267</v>
      </c>
      <c r="C338" s="8" t="s">
        <v>603</v>
      </c>
      <c r="D338" s="8" t="s">
        <v>175</v>
      </c>
      <c r="E338" s="9" t="s">
        <v>176</v>
      </c>
      <c r="F338" s="9" t="s">
        <v>36</v>
      </c>
      <c r="G338" s="17">
        <v>0.9291666666666667</v>
      </c>
      <c r="H338" s="17">
        <v>0.9506944444444444</v>
      </c>
      <c r="I338" s="9">
        <v>6750</v>
      </c>
      <c r="J338" s="9">
        <v>4260</v>
      </c>
      <c r="K338" s="10">
        <f t="shared" ref="K338:K400" si="15">+I338-J338</f>
        <v>2490</v>
      </c>
      <c r="L338" s="10">
        <v>26601</v>
      </c>
      <c r="M338" s="11" t="s">
        <v>1955</v>
      </c>
      <c r="N338" s="12">
        <v>2490</v>
      </c>
      <c r="O338" s="13" t="s">
        <v>32</v>
      </c>
      <c r="P338" s="14"/>
    </row>
    <row r="339" spans="1:16" x14ac:dyDescent="0.25">
      <c r="A339" s="6"/>
      <c r="B339" s="7">
        <v>44267</v>
      </c>
      <c r="C339" s="8" t="s">
        <v>1673</v>
      </c>
      <c r="D339" s="8" t="s">
        <v>1853</v>
      </c>
      <c r="E339" s="9" t="s">
        <v>1231</v>
      </c>
      <c r="F339" s="9" t="s">
        <v>1956</v>
      </c>
      <c r="G339" s="17">
        <v>0.96180555555555547</v>
      </c>
      <c r="H339" s="17">
        <v>5.5555555555555558E-3</v>
      </c>
      <c r="I339" s="9">
        <v>6690</v>
      </c>
      <c r="J339" s="9">
        <v>4030</v>
      </c>
      <c r="K339" s="10">
        <f t="shared" si="15"/>
        <v>2660</v>
      </c>
      <c r="L339" s="10">
        <v>26602</v>
      </c>
      <c r="M339" s="11" t="s">
        <v>1482</v>
      </c>
      <c r="N339" s="12">
        <v>2660</v>
      </c>
      <c r="O339" s="13" t="s">
        <v>32</v>
      </c>
      <c r="P339" s="14"/>
    </row>
    <row r="340" spans="1:16" x14ac:dyDescent="0.25">
      <c r="A340" s="6"/>
      <c r="B340" s="7">
        <v>44267</v>
      </c>
      <c r="C340" s="8" t="s">
        <v>1186</v>
      </c>
      <c r="D340" s="8" t="s">
        <v>1850</v>
      </c>
      <c r="E340" s="9" t="s">
        <v>144</v>
      </c>
      <c r="F340" s="9" t="s">
        <v>626</v>
      </c>
      <c r="G340" s="17" t="s">
        <v>1957</v>
      </c>
      <c r="H340" s="17">
        <v>0.10625</v>
      </c>
      <c r="I340" s="9">
        <v>38820</v>
      </c>
      <c r="J340" s="9">
        <v>15710</v>
      </c>
      <c r="K340" s="10">
        <f t="shared" si="15"/>
        <v>23110</v>
      </c>
      <c r="L340" s="10">
        <v>23558</v>
      </c>
      <c r="M340" s="11" t="s">
        <v>1958</v>
      </c>
      <c r="N340" s="12">
        <v>24</v>
      </c>
      <c r="O340" s="13" t="s">
        <v>855</v>
      </c>
      <c r="P340" s="14"/>
    </row>
    <row r="341" spans="1:16" x14ac:dyDescent="0.25">
      <c r="A341" s="6"/>
      <c r="B341" s="7">
        <v>44267</v>
      </c>
      <c r="C341" s="8" t="s">
        <v>1691</v>
      </c>
      <c r="D341" s="8" t="s">
        <v>1959</v>
      </c>
      <c r="E341" s="9" t="s">
        <v>1693</v>
      </c>
      <c r="F341" s="9" t="s">
        <v>36</v>
      </c>
      <c r="G341" s="17">
        <v>0.98333333333333339</v>
      </c>
      <c r="H341" s="17">
        <v>7.2222222222222229E-2</v>
      </c>
      <c r="I341" s="9">
        <v>16810</v>
      </c>
      <c r="J341" s="9">
        <v>5670</v>
      </c>
      <c r="K341" s="10">
        <f t="shared" si="15"/>
        <v>11140</v>
      </c>
      <c r="L341" s="10">
        <v>26603</v>
      </c>
      <c r="M341" s="11" t="s">
        <v>1041</v>
      </c>
      <c r="N341" s="12">
        <v>11140</v>
      </c>
      <c r="O341" s="13" t="s">
        <v>32</v>
      </c>
      <c r="P341" s="14"/>
    </row>
    <row r="342" spans="1:16" x14ac:dyDescent="0.25">
      <c r="A342" s="6"/>
      <c r="B342" s="7">
        <v>44268</v>
      </c>
      <c r="C342" s="8" t="s">
        <v>366</v>
      </c>
      <c r="D342" s="8" t="s">
        <v>1076</v>
      </c>
      <c r="E342" s="9" t="s">
        <v>220</v>
      </c>
      <c r="F342" s="9" t="s">
        <v>924</v>
      </c>
      <c r="G342" s="17">
        <v>5.2777777777777778E-2</v>
      </c>
      <c r="H342" s="17">
        <v>0.28263888888888888</v>
      </c>
      <c r="I342" s="9">
        <v>20750</v>
      </c>
      <c r="J342" s="9">
        <v>9260</v>
      </c>
      <c r="K342" s="10">
        <f t="shared" si="15"/>
        <v>11490</v>
      </c>
      <c r="L342" s="10" t="s">
        <v>1960</v>
      </c>
      <c r="M342" s="11" t="s">
        <v>1103</v>
      </c>
      <c r="N342" s="12">
        <v>11490</v>
      </c>
      <c r="O342" s="13" t="s">
        <v>32</v>
      </c>
      <c r="P342" s="14"/>
    </row>
    <row r="343" spans="1:16" x14ac:dyDescent="0.25">
      <c r="A343" s="6"/>
      <c r="B343" s="7">
        <v>44268</v>
      </c>
      <c r="C343" s="8" t="s">
        <v>1961</v>
      </c>
      <c r="D343" s="8" t="s">
        <v>880</v>
      </c>
      <c r="E343" s="9" t="s">
        <v>1661</v>
      </c>
      <c r="F343" s="9" t="s">
        <v>1276</v>
      </c>
      <c r="G343" s="17">
        <v>8.4722222222222213E-2</v>
      </c>
      <c r="H343" s="17">
        <v>9.3055555555555558E-2</v>
      </c>
      <c r="I343" s="9">
        <v>26310</v>
      </c>
      <c r="J343" s="9">
        <v>15350</v>
      </c>
      <c r="K343" s="10">
        <f t="shared" si="15"/>
        <v>10960</v>
      </c>
      <c r="L343" s="10" t="s">
        <v>1962</v>
      </c>
      <c r="M343" s="11" t="s">
        <v>1963</v>
      </c>
      <c r="N343" s="12">
        <v>10960</v>
      </c>
      <c r="O343" s="13" t="s">
        <v>32</v>
      </c>
      <c r="P343" s="14"/>
    </row>
    <row r="344" spans="1:16" x14ac:dyDescent="0.25">
      <c r="A344" s="6"/>
      <c r="B344" s="7">
        <v>44268</v>
      </c>
      <c r="C344" s="8" t="s">
        <v>1673</v>
      </c>
      <c r="D344" s="8" t="s">
        <v>1686</v>
      </c>
      <c r="E344" s="9" t="s">
        <v>1206</v>
      </c>
      <c r="F344" s="9" t="s">
        <v>36</v>
      </c>
      <c r="G344" s="17">
        <v>8.8888888888888892E-2</v>
      </c>
      <c r="H344" s="17">
        <v>0.1361111111111111</v>
      </c>
      <c r="I344" s="9">
        <v>11330</v>
      </c>
      <c r="J344" s="9">
        <v>6660</v>
      </c>
      <c r="K344" s="10">
        <f t="shared" si="15"/>
        <v>4670</v>
      </c>
      <c r="L344" s="10">
        <v>26604</v>
      </c>
      <c r="M344" s="11" t="s">
        <v>1953</v>
      </c>
      <c r="N344" s="12">
        <v>4670</v>
      </c>
      <c r="O344" s="13" t="s">
        <v>32</v>
      </c>
      <c r="P344" s="14"/>
    </row>
    <row r="345" spans="1:16" x14ac:dyDescent="0.25">
      <c r="A345" s="6"/>
      <c r="B345" s="7">
        <v>44268</v>
      </c>
      <c r="C345" s="8" t="s">
        <v>1964</v>
      </c>
      <c r="D345" s="8" t="s">
        <v>458</v>
      </c>
      <c r="E345" s="9" t="s">
        <v>699</v>
      </c>
      <c r="F345" s="9" t="s">
        <v>1965</v>
      </c>
      <c r="G345" s="17">
        <v>0.12291666666666667</v>
      </c>
      <c r="H345" s="17">
        <v>0.13472222222222222</v>
      </c>
      <c r="I345" s="9">
        <v>18510</v>
      </c>
      <c r="J345" s="9">
        <v>8370</v>
      </c>
      <c r="K345" s="10">
        <f t="shared" si="15"/>
        <v>10140</v>
      </c>
      <c r="L345" s="10" t="s">
        <v>1966</v>
      </c>
      <c r="M345" s="11" t="s">
        <v>1967</v>
      </c>
      <c r="N345" s="12">
        <v>23805.8</v>
      </c>
      <c r="O345" s="13" t="s">
        <v>32</v>
      </c>
      <c r="P345" s="14"/>
    </row>
    <row r="346" spans="1:16" x14ac:dyDescent="0.25">
      <c r="A346" s="6"/>
      <c r="B346" s="7">
        <v>44268</v>
      </c>
      <c r="C346" s="8" t="s">
        <v>142</v>
      </c>
      <c r="D346" s="8" t="s">
        <v>1656</v>
      </c>
      <c r="E346" s="9" t="s">
        <v>87</v>
      </c>
      <c r="F346" s="9" t="s">
        <v>88</v>
      </c>
      <c r="G346" s="17">
        <v>0.12569444444444444</v>
      </c>
      <c r="H346" s="17">
        <v>0.13749999999999998</v>
      </c>
      <c r="I346" s="9">
        <v>39480</v>
      </c>
      <c r="J346" s="9">
        <v>17240</v>
      </c>
      <c r="K346" s="10">
        <f t="shared" si="15"/>
        <v>22240</v>
      </c>
      <c r="L346" s="10">
        <v>782</v>
      </c>
      <c r="M346" s="11" t="s">
        <v>684</v>
      </c>
      <c r="N346" s="12">
        <v>23637</v>
      </c>
      <c r="O346" s="13" t="s">
        <v>32</v>
      </c>
      <c r="P346" s="14"/>
    </row>
    <row r="347" spans="1:16" x14ac:dyDescent="0.25">
      <c r="A347" s="6"/>
      <c r="B347" s="15">
        <v>44268</v>
      </c>
      <c r="C347" s="16" t="s">
        <v>1968</v>
      </c>
      <c r="D347" s="8" t="s">
        <v>1969</v>
      </c>
      <c r="E347" s="9" t="s">
        <v>1970</v>
      </c>
      <c r="F347" s="9" t="s">
        <v>36</v>
      </c>
      <c r="G347" s="17">
        <v>0.35069444444444442</v>
      </c>
      <c r="H347" s="17">
        <v>0.55208333333333337</v>
      </c>
      <c r="I347" s="9">
        <v>16690</v>
      </c>
      <c r="J347" s="9">
        <v>43190</v>
      </c>
      <c r="K347" s="10">
        <f t="shared" si="15"/>
        <v>-26500</v>
      </c>
      <c r="L347" s="10">
        <v>5837</v>
      </c>
      <c r="M347" s="11" t="s">
        <v>53</v>
      </c>
      <c r="N347" s="12">
        <v>530</v>
      </c>
      <c r="O347" s="13" t="s">
        <v>1099</v>
      </c>
      <c r="P347" s="14"/>
    </row>
    <row r="348" spans="1:16" x14ac:dyDescent="0.25">
      <c r="A348" s="6"/>
      <c r="B348" s="7">
        <v>44268</v>
      </c>
      <c r="C348" s="8" t="s">
        <v>1968</v>
      </c>
      <c r="D348" s="8" t="s">
        <v>1971</v>
      </c>
      <c r="E348" s="9" t="s">
        <v>1972</v>
      </c>
      <c r="F348" s="9" t="s">
        <v>36</v>
      </c>
      <c r="G348" s="17">
        <v>0.35347222222222219</v>
      </c>
      <c r="H348" s="17">
        <v>0.56388888888888888</v>
      </c>
      <c r="I348" s="9">
        <v>17700</v>
      </c>
      <c r="J348" s="9">
        <v>44200</v>
      </c>
      <c r="K348" s="10">
        <f t="shared" si="15"/>
        <v>-26500</v>
      </c>
      <c r="L348" s="10">
        <v>5840</v>
      </c>
      <c r="M348" s="11" t="s">
        <v>53</v>
      </c>
      <c r="N348" s="12">
        <v>530</v>
      </c>
      <c r="O348" s="13" t="s">
        <v>1099</v>
      </c>
      <c r="P348" s="14"/>
    </row>
    <row r="349" spans="1:16" x14ac:dyDescent="0.25">
      <c r="A349" s="6"/>
      <c r="B349" s="7">
        <v>44268</v>
      </c>
      <c r="C349" s="8" t="s">
        <v>1968</v>
      </c>
      <c r="D349" s="8" t="s">
        <v>1973</v>
      </c>
      <c r="E349" s="9" t="s">
        <v>543</v>
      </c>
      <c r="F349" s="9" t="s">
        <v>36</v>
      </c>
      <c r="G349" s="17">
        <v>0.3576388888888889</v>
      </c>
      <c r="H349" s="17">
        <v>0.54999999999999993</v>
      </c>
      <c r="I349" s="9">
        <v>16590</v>
      </c>
      <c r="J349" s="9">
        <v>43090</v>
      </c>
      <c r="K349" s="10">
        <f t="shared" si="15"/>
        <v>-26500</v>
      </c>
      <c r="L349" s="10">
        <v>5838</v>
      </c>
      <c r="M349" s="11" t="s">
        <v>53</v>
      </c>
      <c r="N349" s="12">
        <v>530</v>
      </c>
      <c r="O349" s="13" t="s">
        <v>1099</v>
      </c>
      <c r="P349" s="14"/>
    </row>
    <row r="350" spans="1:16" x14ac:dyDescent="0.25">
      <c r="A350" s="6"/>
      <c r="B350" s="7">
        <v>44268</v>
      </c>
      <c r="C350" s="8" t="s">
        <v>1864</v>
      </c>
      <c r="D350" s="8" t="s">
        <v>853</v>
      </c>
      <c r="E350" s="9" t="s">
        <v>51</v>
      </c>
      <c r="F350" s="9" t="s">
        <v>52</v>
      </c>
      <c r="G350" s="17">
        <v>0.35555555555555557</v>
      </c>
      <c r="H350" s="17">
        <v>0.3611111111111111</v>
      </c>
      <c r="I350" s="9">
        <v>38990</v>
      </c>
      <c r="J350" s="9">
        <v>16040</v>
      </c>
      <c r="K350" s="10">
        <f t="shared" si="15"/>
        <v>22950</v>
      </c>
      <c r="L350" s="10">
        <v>23559</v>
      </c>
      <c r="M350" s="11" t="s">
        <v>1400</v>
      </c>
      <c r="N350" s="12">
        <v>21.6</v>
      </c>
      <c r="O350" s="13" t="s">
        <v>855</v>
      </c>
      <c r="P350" s="14"/>
    </row>
    <row r="351" spans="1:16" x14ac:dyDescent="0.25">
      <c r="A351" s="6"/>
      <c r="B351" s="7">
        <v>44268</v>
      </c>
      <c r="C351" s="8" t="s">
        <v>1864</v>
      </c>
      <c r="D351" s="8" t="s">
        <v>880</v>
      </c>
      <c r="E351" s="9" t="s">
        <v>1661</v>
      </c>
      <c r="F351" s="9" t="s">
        <v>1276</v>
      </c>
      <c r="G351" s="17">
        <v>0.36249999999999999</v>
      </c>
      <c r="H351" s="17">
        <v>0.36944444444444446</v>
      </c>
      <c r="I351" s="9">
        <v>38590</v>
      </c>
      <c r="J351" s="9">
        <v>15380</v>
      </c>
      <c r="K351" s="10">
        <f t="shared" si="15"/>
        <v>23210</v>
      </c>
      <c r="L351" s="10">
        <v>23559</v>
      </c>
      <c r="M351" s="11" t="s">
        <v>1400</v>
      </c>
      <c r="N351" s="12">
        <v>21.6</v>
      </c>
      <c r="O351" s="13" t="s">
        <v>855</v>
      </c>
      <c r="P351" s="14"/>
    </row>
    <row r="352" spans="1:16" x14ac:dyDescent="0.25">
      <c r="A352" s="6"/>
      <c r="B352" s="7">
        <v>44268</v>
      </c>
      <c r="C352" s="8" t="s">
        <v>164</v>
      </c>
      <c r="D352" s="8" t="s">
        <v>1672</v>
      </c>
      <c r="E352" s="9" t="s">
        <v>881</v>
      </c>
      <c r="F352" s="9" t="s">
        <v>749</v>
      </c>
      <c r="G352" s="17">
        <v>0.3743055555555555</v>
      </c>
      <c r="H352" s="17">
        <v>0.38263888888888892</v>
      </c>
      <c r="I352" s="9">
        <v>16410</v>
      </c>
      <c r="J352" s="9">
        <v>18230</v>
      </c>
      <c r="K352" s="10">
        <f t="shared" si="15"/>
        <v>-1820</v>
      </c>
      <c r="L352" s="10">
        <v>15894</v>
      </c>
      <c r="M352" s="11" t="s">
        <v>166</v>
      </c>
      <c r="N352" s="12">
        <v>42</v>
      </c>
      <c r="O352" s="13" t="s">
        <v>1099</v>
      </c>
      <c r="P352" s="14"/>
    </row>
    <row r="353" spans="1:16" x14ac:dyDescent="0.25">
      <c r="A353" s="6"/>
      <c r="B353" s="7">
        <v>44268</v>
      </c>
      <c r="C353" s="8" t="s">
        <v>1673</v>
      </c>
      <c r="D353" s="8" t="s">
        <v>1853</v>
      </c>
      <c r="E353" s="9" t="s">
        <v>1231</v>
      </c>
      <c r="F353" s="9" t="s">
        <v>1956</v>
      </c>
      <c r="G353" s="17">
        <v>0.41597222222222219</v>
      </c>
      <c r="H353" s="17">
        <v>0.43541666666666662</v>
      </c>
      <c r="I353" s="9">
        <v>8070</v>
      </c>
      <c r="J353" s="9">
        <v>4040</v>
      </c>
      <c r="K353" s="10">
        <f t="shared" si="15"/>
        <v>4030</v>
      </c>
      <c r="L353" s="10">
        <v>26605</v>
      </c>
      <c r="M353" s="11" t="s">
        <v>1400</v>
      </c>
      <c r="N353" s="12">
        <v>4030</v>
      </c>
      <c r="O353" s="13" t="s">
        <v>32</v>
      </c>
      <c r="P353" s="14"/>
    </row>
    <row r="354" spans="1:16" x14ac:dyDescent="0.25">
      <c r="A354" s="6"/>
      <c r="B354" s="7">
        <v>44268</v>
      </c>
      <c r="C354" s="8" t="s">
        <v>1931</v>
      </c>
      <c r="D354" s="8" t="s">
        <v>1932</v>
      </c>
      <c r="E354" s="9" t="s">
        <v>1933</v>
      </c>
      <c r="F354" s="9" t="s">
        <v>154</v>
      </c>
      <c r="G354" s="17">
        <v>0.42152777777777778</v>
      </c>
      <c r="H354" s="17">
        <v>0.56180555555555556</v>
      </c>
      <c r="I354" s="9">
        <v>13830</v>
      </c>
      <c r="J354" s="9">
        <v>40330</v>
      </c>
      <c r="K354" s="10">
        <f t="shared" si="15"/>
        <v>-26500</v>
      </c>
      <c r="L354" s="10">
        <v>5839</v>
      </c>
      <c r="M354" s="11" t="s">
        <v>53</v>
      </c>
      <c r="N354" s="12">
        <v>530</v>
      </c>
      <c r="O354" s="13" t="s">
        <v>32</v>
      </c>
      <c r="P354" s="14"/>
    </row>
    <row r="355" spans="1:16" x14ac:dyDescent="0.25">
      <c r="A355" s="6"/>
      <c r="B355" s="7">
        <v>44268</v>
      </c>
      <c r="C355" s="8" t="s">
        <v>164</v>
      </c>
      <c r="D355" s="8" t="s">
        <v>1672</v>
      </c>
      <c r="E355" s="9" t="s">
        <v>881</v>
      </c>
      <c r="F355" s="9" t="s">
        <v>749</v>
      </c>
      <c r="G355" s="17">
        <v>0.45416666666666666</v>
      </c>
      <c r="H355" s="17">
        <v>0.4909722222222222</v>
      </c>
      <c r="I355" s="9">
        <v>17530</v>
      </c>
      <c r="J355" s="9">
        <v>42940</v>
      </c>
      <c r="K355" s="10">
        <f t="shared" si="15"/>
        <v>-25410</v>
      </c>
      <c r="L355" s="10">
        <v>15896</v>
      </c>
      <c r="M355" s="11" t="s">
        <v>166</v>
      </c>
      <c r="N355" s="12">
        <v>504</v>
      </c>
      <c r="O355" s="13" t="s">
        <v>1099</v>
      </c>
      <c r="P355" s="14"/>
    </row>
    <row r="356" spans="1:16" x14ac:dyDescent="0.25">
      <c r="A356" s="6"/>
      <c r="B356" s="7">
        <v>44268</v>
      </c>
      <c r="C356" s="8" t="s">
        <v>1974</v>
      </c>
      <c r="D356" s="8" t="s">
        <v>1355</v>
      </c>
      <c r="E356" s="9" t="s">
        <v>1048</v>
      </c>
      <c r="F356" s="9" t="s">
        <v>526</v>
      </c>
      <c r="G356" s="17">
        <v>0.45833333333333331</v>
      </c>
      <c r="H356" s="17">
        <v>0.46388888888888885</v>
      </c>
      <c r="I356" s="9">
        <v>38490</v>
      </c>
      <c r="J356" s="9">
        <v>16470</v>
      </c>
      <c r="K356" s="10">
        <f t="shared" si="15"/>
        <v>22020</v>
      </c>
      <c r="L356" s="10" t="s">
        <v>1975</v>
      </c>
      <c r="M356" s="11" t="s">
        <v>1976</v>
      </c>
      <c r="N356" s="12">
        <v>21.6</v>
      </c>
      <c r="O356" s="13" t="s">
        <v>855</v>
      </c>
      <c r="P356" s="14"/>
    </row>
    <row r="357" spans="1:16" x14ac:dyDescent="0.25">
      <c r="A357" s="6"/>
      <c r="B357" s="7">
        <v>44268</v>
      </c>
      <c r="C357" s="8" t="s">
        <v>1977</v>
      </c>
      <c r="D357" s="8" t="s">
        <v>299</v>
      </c>
      <c r="E357" s="9" t="s">
        <v>813</v>
      </c>
      <c r="F357" s="9" t="s">
        <v>814</v>
      </c>
      <c r="G357" s="17">
        <v>0.4777777777777778</v>
      </c>
      <c r="H357" s="17">
        <v>0.4826388888888889</v>
      </c>
      <c r="I357" s="9">
        <v>40440</v>
      </c>
      <c r="J357" s="9">
        <v>17400</v>
      </c>
      <c r="K357" s="10">
        <f t="shared" si="15"/>
        <v>23040</v>
      </c>
      <c r="L357" s="10" t="s">
        <v>1978</v>
      </c>
      <c r="M357" s="11" t="s">
        <v>1041</v>
      </c>
      <c r="N357" s="12">
        <v>22.8</v>
      </c>
      <c r="O357" s="13" t="s">
        <v>855</v>
      </c>
      <c r="P357" s="14"/>
    </row>
    <row r="358" spans="1:16" x14ac:dyDescent="0.25">
      <c r="A358" s="6"/>
      <c r="B358" s="7">
        <v>44268</v>
      </c>
      <c r="C358" s="8" t="s">
        <v>1968</v>
      </c>
      <c r="D358" s="8" t="s">
        <v>1941</v>
      </c>
      <c r="E358" s="9" t="s">
        <v>565</v>
      </c>
      <c r="F358" s="9" t="s">
        <v>338</v>
      </c>
      <c r="G358" s="17">
        <v>0.47986111111111113</v>
      </c>
      <c r="H358" s="17">
        <v>0.69791666666666663</v>
      </c>
      <c r="I358" s="9">
        <v>14840</v>
      </c>
      <c r="J358" s="9">
        <v>41340</v>
      </c>
      <c r="K358" s="10">
        <f t="shared" si="15"/>
        <v>-26500</v>
      </c>
      <c r="L358" s="10">
        <v>5843</v>
      </c>
      <c r="M358" s="11" t="s">
        <v>53</v>
      </c>
      <c r="N358" s="12">
        <v>530</v>
      </c>
      <c r="O358" s="13" t="s">
        <v>1099</v>
      </c>
      <c r="P358" s="14"/>
    </row>
    <row r="359" spans="1:16" x14ac:dyDescent="0.25">
      <c r="A359" s="6"/>
      <c r="B359" s="7">
        <v>44268</v>
      </c>
      <c r="C359" s="8" t="s">
        <v>1968</v>
      </c>
      <c r="D359" s="8" t="s">
        <v>1942</v>
      </c>
      <c r="E359" s="9" t="s">
        <v>1557</v>
      </c>
      <c r="F359" s="9" t="s">
        <v>338</v>
      </c>
      <c r="G359" s="17">
        <v>0.48125000000000001</v>
      </c>
      <c r="H359" s="17">
        <v>0.70138888888888884</v>
      </c>
      <c r="I359" s="9">
        <v>15570</v>
      </c>
      <c r="J359" s="9">
        <v>42070</v>
      </c>
      <c r="K359" s="10">
        <f t="shared" si="15"/>
        <v>-26500</v>
      </c>
      <c r="L359" s="10">
        <v>5842</v>
      </c>
      <c r="M359" s="11" t="s">
        <v>53</v>
      </c>
      <c r="N359" s="12">
        <v>530</v>
      </c>
      <c r="O359" s="13" t="s">
        <v>1099</v>
      </c>
      <c r="P359" s="14"/>
    </row>
    <row r="360" spans="1:16" x14ac:dyDescent="0.25">
      <c r="A360" s="6"/>
      <c r="B360" s="7">
        <v>44268</v>
      </c>
      <c r="C360" s="8" t="s">
        <v>977</v>
      </c>
      <c r="D360" s="8" t="s">
        <v>1794</v>
      </c>
      <c r="E360" s="9" t="s">
        <v>628</v>
      </c>
      <c r="F360" s="9" t="s">
        <v>629</v>
      </c>
      <c r="G360" s="17">
        <v>0.48472222222222222</v>
      </c>
      <c r="H360" s="17">
        <v>0.48749999999999999</v>
      </c>
      <c r="I360" s="9">
        <v>21110</v>
      </c>
      <c r="J360" s="9">
        <v>9660</v>
      </c>
      <c r="K360" s="10">
        <f t="shared" si="15"/>
        <v>11450</v>
      </c>
      <c r="L360" s="10">
        <v>23561</v>
      </c>
      <c r="M360" s="11" t="s">
        <v>1041</v>
      </c>
      <c r="N360" s="12">
        <v>12</v>
      </c>
      <c r="O360" s="13" t="s">
        <v>855</v>
      </c>
      <c r="P360" s="14"/>
    </row>
    <row r="361" spans="1:16" x14ac:dyDescent="0.25">
      <c r="A361" s="6"/>
      <c r="B361" s="7">
        <v>44268</v>
      </c>
      <c r="C361" s="8" t="s">
        <v>977</v>
      </c>
      <c r="D361" s="8" t="s">
        <v>1850</v>
      </c>
      <c r="E361" s="9" t="s">
        <v>144</v>
      </c>
      <c r="F361" s="9" t="s">
        <v>626</v>
      </c>
      <c r="G361" s="17">
        <v>0.49374999999999997</v>
      </c>
      <c r="H361" s="17">
        <v>0.50138888888888888</v>
      </c>
      <c r="I361" s="9">
        <v>36460</v>
      </c>
      <c r="J361" s="9">
        <v>15690</v>
      </c>
      <c r="K361" s="10">
        <f t="shared" si="15"/>
        <v>20770</v>
      </c>
      <c r="L361" s="10">
        <v>23561</v>
      </c>
      <c r="M361" s="11" t="s">
        <v>1041</v>
      </c>
      <c r="N361" s="12">
        <v>21.6</v>
      </c>
      <c r="O361" s="13" t="s">
        <v>855</v>
      </c>
      <c r="P361" s="14"/>
    </row>
    <row r="362" spans="1:16" x14ac:dyDescent="0.25">
      <c r="A362" s="6"/>
      <c r="B362" s="7">
        <v>44268</v>
      </c>
      <c r="C362" s="8" t="s">
        <v>977</v>
      </c>
      <c r="D362" s="8" t="s">
        <v>899</v>
      </c>
      <c r="E362" s="9" t="s">
        <v>490</v>
      </c>
      <c r="F362" s="9" t="s">
        <v>491</v>
      </c>
      <c r="G362" s="17">
        <v>0.49791666666666662</v>
      </c>
      <c r="H362" s="17">
        <v>0.5083333333333333</v>
      </c>
      <c r="I362" s="9">
        <v>36700</v>
      </c>
      <c r="J362" s="9">
        <v>15790</v>
      </c>
      <c r="K362" s="10">
        <f t="shared" si="15"/>
        <v>20910</v>
      </c>
      <c r="L362" s="10">
        <v>23561</v>
      </c>
      <c r="M362" s="11" t="s">
        <v>1041</v>
      </c>
      <c r="N362" s="12">
        <v>21.6</v>
      </c>
      <c r="O362" s="13" t="s">
        <v>855</v>
      </c>
      <c r="P362" s="14"/>
    </row>
    <row r="363" spans="1:16" x14ac:dyDescent="0.25">
      <c r="A363" s="6"/>
      <c r="B363" s="7">
        <v>44268</v>
      </c>
      <c r="C363" s="8" t="s">
        <v>977</v>
      </c>
      <c r="D363" s="8" t="s">
        <v>880</v>
      </c>
      <c r="E363" s="9" t="s">
        <v>1661</v>
      </c>
      <c r="F363" s="9" t="s">
        <v>1276</v>
      </c>
      <c r="G363" s="17">
        <v>0.50486111111111109</v>
      </c>
      <c r="H363" s="17">
        <v>0.50972222222222219</v>
      </c>
      <c r="I363" s="9">
        <v>37140</v>
      </c>
      <c r="J363" s="9">
        <v>15370</v>
      </c>
      <c r="K363" s="10">
        <f t="shared" si="15"/>
        <v>21770</v>
      </c>
      <c r="L363" s="10">
        <v>23561</v>
      </c>
      <c r="M363" s="11" t="s">
        <v>1041</v>
      </c>
      <c r="N363" s="12">
        <v>21.6</v>
      </c>
      <c r="O363" s="13" t="s">
        <v>855</v>
      </c>
      <c r="P363" s="14"/>
    </row>
    <row r="364" spans="1:16" x14ac:dyDescent="0.25">
      <c r="A364" s="6"/>
      <c r="B364" s="7">
        <v>44268</v>
      </c>
      <c r="C364" s="8" t="s">
        <v>977</v>
      </c>
      <c r="D364" s="8" t="s">
        <v>94</v>
      </c>
      <c r="E364" s="9" t="s">
        <v>1774</v>
      </c>
      <c r="F364" s="9" t="s">
        <v>1775</v>
      </c>
      <c r="G364" s="17">
        <v>0.50624999999999998</v>
      </c>
      <c r="H364" s="17">
        <v>0.51111111111111118</v>
      </c>
      <c r="I364" s="9">
        <v>17030</v>
      </c>
      <c r="J364" s="9">
        <v>7560</v>
      </c>
      <c r="K364" s="10">
        <f t="shared" si="15"/>
        <v>9470</v>
      </c>
      <c r="L364" s="10">
        <v>23561</v>
      </c>
      <c r="M364" s="11" t="s">
        <v>1041</v>
      </c>
      <c r="N364" s="12">
        <v>9.6</v>
      </c>
      <c r="O364" s="13" t="s">
        <v>855</v>
      </c>
      <c r="P364" s="14"/>
    </row>
    <row r="365" spans="1:16" x14ac:dyDescent="0.25">
      <c r="A365" s="6"/>
      <c r="B365" s="7">
        <v>44268</v>
      </c>
      <c r="C365" s="43" t="s">
        <v>1630</v>
      </c>
      <c r="D365" s="43" t="s">
        <v>602</v>
      </c>
      <c r="E365" s="44" t="s">
        <v>1632</v>
      </c>
      <c r="F365" s="44" t="s">
        <v>266</v>
      </c>
      <c r="G365" s="17">
        <v>0.50694444444444442</v>
      </c>
      <c r="H365" s="17">
        <v>0.51597222222222217</v>
      </c>
      <c r="I365" s="9">
        <v>7320</v>
      </c>
      <c r="J365" s="9">
        <v>5850</v>
      </c>
      <c r="K365" s="10">
        <f t="shared" si="15"/>
        <v>1470</v>
      </c>
      <c r="L365" s="10" t="s">
        <v>1979</v>
      </c>
      <c r="M365" s="47" t="s">
        <v>1980</v>
      </c>
      <c r="N365" s="12">
        <v>1470</v>
      </c>
      <c r="O365" s="13" t="s">
        <v>32</v>
      </c>
      <c r="P365" s="14"/>
    </row>
    <row r="366" spans="1:16" x14ac:dyDescent="0.25">
      <c r="A366" s="6"/>
      <c r="B366" s="7">
        <v>44268</v>
      </c>
      <c r="C366" s="8" t="s">
        <v>977</v>
      </c>
      <c r="D366" s="8" t="s">
        <v>853</v>
      </c>
      <c r="E366" s="9" t="s">
        <v>51</v>
      </c>
      <c r="F366" s="9" t="s">
        <v>52</v>
      </c>
      <c r="G366" s="17">
        <v>0.5229166666666667</v>
      </c>
      <c r="H366" s="17">
        <v>0.52777777777777779</v>
      </c>
      <c r="I366" s="9">
        <v>37670</v>
      </c>
      <c r="J366" s="9">
        <v>16100</v>
      </c>
      <c r="K366" s="10">
        <f t="shared" si="15"/>
        <v>21570</v>
      </c>
      <c r="L366" s="10">
        <v>23561</v>
      </c>
      <c r="M366" s="11" t="s">
        <v>1041</v>
      </c>
      <c r="N366" s="12">
        <v>21.6</v>
      </c>
      <c r="O366" s="13" t="s">
        <v>855</v>
      </c>
      <c r="P366" s="14"/>
    </row>
    <row r="367" spans="1:16" x14ac:dyDescent="0.25">
      <c r="A367" s="6"/>
      <c r="B367" s="7">
        <v>44268</v>
      </c>
      <c r="C367" s="8" t="s">
        <v>1981</v>
      </c>
      <c r="D367" s="8" t="s">
        <v>1355</v>
      </c>
      <c r="E367" s="9" t="s">
        <v>1048</v>
      </c>
      <c r="F367" s="9" t="s">
        <v>526</v>
      </c>
      <c r="G367" s="17">
        <v>0.55486111111111114</v>
      </c>
      <c r="H367" s="17">
        <v>0.5708333333333333</v>
      </c>
      <c r="I367" s="9">
        <v>37220</v>
      </c>
      <c r="J367" s="9">
        <v>16460</v>
      </c>
      <c r="K367" s="10">
        <f t="shared" si="15"/>
        <v>20760</v>
      </c>
      <c r="L367" s="10" t="s">
        <v>1982</v>
      </c>
      <c r="M367" s="11" t="s">
        <v>1041</v>
      </c>
      <c r="N367" s="12">
        <v>19.8</v>
      </c>
      <c r="O367" s="13" t="s">
        <v>855</v>
      </c>
      <c r="P367" s="14"/>
    </row>
    <row r="368" spans="1:16" x14ac:dyDescent="0.25">
      <c r="A368" s="6"/>
      <c r="B368" s="7">
        <v>44268</v>
      </c>
      <c r="C368" s="8" t="s">
        <v>1887</v>
      </c>
      <c r="D368" s="8" t="s">
        <v>299</v>
      </c>
      <c r="E368" s="9" t="s">
        <v>813</v>
      </c>
      <c r="F368" s="9" t="s">
        <v>814</v>
      </c>
      <c r="G368" s="17">
        <v>0.55694444444444446</v>
      </c>
      <c r="H368" s="17">
        <v>0.57222222222222219</v>
      </c>
      <c r="I368" s="9">
        <v>43960</v>
      </c>
      <c r="J368" s="9">
        <v>17340</v>
      </c>
      <c r="K368" s="10">
        <f t="shared" si="15"/>
        <v>26620</v>
      </c>
      <c r="L368" s="10">
        <v>26606</v>
      </c>
      <c r="M368" s="11" t="s">
        <v>1041</v>
      </c>
      <c r="N368" s="12">
        <v>26620</v>
      </c>
      <c r="O368" s="13" t="s">
        <v>32</v>
      </c>
      <c r="P368" s="14"/>
    </row>
    <row r="369" spans="1:16" x14ac:dyDescent="0.25">
      <c r="A369" s="6"/>
      <c r="B369" s="7">
        <v>44268</v>
      </c>
      <c r="C369" s="8" t="s">
        <v>164</v>
      </c>
      <c r="D369" s="8" t="s">
        <v>1672</v>
      </c>
      <c r="E369" s="9" t="s">
        <v>881</v>
      </c>
      <c r="F369" s="9" t="s">
        <v>749</v>
      </c>
      <c r="G369" s="17">
        <v>0.58194444444444449</v>
      </c>
      <c r="H369" s="17">
        <v>0.62152777777777779</v>
      </c>
      <c r="I369" s="9">
        <v>17550</v>
      </c>
      <c r="J369" s="9">
        <v>41330</v>
      </c>
      <c r="K369" s="10">
        <f t="shared" si="15"/>
        <v>-23780</v>
      </c>
      <c r="L369" s="10">
        <v>15897</v>
      </c>
      <c r="M369" s="11" t="s">
        <v>166</v>
      </c>
      <c r="N369" s="12">
        <v>474</v>
      </c>
      <c r="O369" s="13" t="s">
        <v>1099</v>
      </c>
      <c r="P369" s="14"/>
    </row>
    <row r="370" spans="1:16" x14ac:dyDescent="0.25">
      <c r="A370" s="6"/>
      <c r="B370" s="7">
        <v>44268</v>
      </c>
      <c r="C370" s="8" t="s">
        <v>1029</v>
      </c>
      <c r="D370" s="8" t="s">
        <v>94</v>
      </c>
      <c r="E370" s="9" t="s">
        <v>1774</v>
      </c>
      <c r="F370" s="9" t="s">
        <v>1775</v>
      </c>
      <c r="G370" s="17">
        <v>0.58888888888888891</v>
      </c>
      <c r="H370" s="17">
        <v>0.59583333333333333</v>
      </c>
      <c r="I370" s="9">
        <v>15675</v>
      </c>
      <c r="J370" s="9">
        <v>7550</v>
      </c>
      <c r="K370" s="10">
        <f t="shared" si="15"/>
        <v>8125</v>
      </c>
      <c r="L370" s="10">
        <v>23565</v>
      </c>
      <c r="M370" s="11" t="s">
        <v>1987</v>
      </c>
      <c r="N370" s="12">
        <v>8125</v>
      </c>
      <c r="O370" s="13" t="s">
        <v>32</v>
      </c>
      <c r="P370" s="14" t="s">
        <v>1983</v>
      </c>
    </row>
    <row r="371" spans="1:16" x14ac:dyDescent="0.25">
      <c r="A371" s="6"/>
      <c r="B371" s="7">
        <v>44268</v>
      </c>
      <c r="C371" s="8" t="s">
        <v>1984</v>
      </c>
      <c r="D371" s="8" t="s">
        <v>1794</v>
      </c>
      <c r="E371" s="9" t="s">
        <v>628</v>
      </c>
      <c r="F371" s="9" t="s">
        <v>629</v>
      </c>
      <c r="G371" s="17">
        <v>0.59236111111111112</v>
      </c>
      <c r="H371" s="17">
        <v>0.59791666666666665</v>
      </c>
      <c r="I371" s="9">
        <v>20820</v>
      </c>
      <c r="J371" s="9">
        <v>9650</v>
      </c>
      <c r="K371" s="10">
        <f t="shared" si="15"/>
        <v>11170</v>
      </c>
      <c r="L371" s="10" t="s">
        <v>1985</v>
      </c>
      <c r="M371" s="11" t="s">
        <v>1986</v>
      </c>
      <c r="N371" s="12">
        <v>10.8</v>
      </c>
      <c r="O371" s="13" t="s">
        <v>855</v>
      </c>
      <c r="P371" s="14"/>
    </row>
    <row r="372" spans="1:16" x14ac:dyDescent="0.25">
      <c r="A372" s="6"/>
      <c r="B372" s="7">
        <v>44268</v>
      </c>
      <c r="C372" s="8" t="s">
        <v>1062</v>
      </c>
      <c r="D372" s="8" t="s">
        <v>1850</v>
      </c>
      <c r="E372" s="9" t="s">
        <v>144</v>
      </c>
      <c r="F372" s="9" t="s">
        <v>626</v>
      </c>
      <c r="G372" s="17">
        <v>0.59930555555555554</v>
      </c>
      <c r="H372" s="17">
        <v>0.60416666666666663</v>
      </c>
      <c r="I372" s="9">
        <v>36000</v>
      </c>
      <c r="J372" s="9">
        <v>15660</v>
      </c>
      <c r="K372" s="10">
        <f t="shared" si="15"/>
        <v>20340</v>
      </c>
      <c r="L372" s="10">
        <v>23564</v>
      </c>
      <c r="M372" s="11" t="s">
        <v>1041</v>
      </c>
      <c r="N372" s="12">
        <v>21.6</v>
      </c>
      <c r="O372" s="13" t="s">
        <v>855</v>
      </c>
      <c r="P372" s="14"/>
    </row>
    <row r="373" spans="1:16" x14ac:dyDescent="0.25">
      <c r="A373" s="6"/>
      <c r="B373" s="7">
        <v>44268</v>
      </c>
      <c r="C373" s="8" t="s">
        <v>1062</v>
      </c>
      <c r="D373" s="8" t="s">
        <v>899</v>
      </c>
      <c r="E373" s="9" t="s">
        <v>490</v>
      </c>
      <c r="F373" s="9" t="s">
        <v>491</v>
      </c>
      <c r="G373" s="17">
        <v>0.60069444444444442</v>
      </c>
      <c r="H373" s="17">
        <v>0.6069444444444444</v>
      </c>
      <c r="I373" s="9">
        <v>39220</v>
      </c>
      <c r="J373" s="9">
        <v>15970</v>
      </c>
      <c r="K373" s="10">
        <f t="shared" si="15"/>
        <v>23250</v>
      </c>
      <c r="L373" s="10">
        <v>23564</v>
      </c>
      <c r="M373" s="11" t="s">
        <v>1988</v>
      </c>
      <c r="N373" s="12">
        <v>21.6</v>
      </c>
      <c r="O373" s="13" t="s">
        <v>855</v>
      </c>
      <c r="P373" s="14"/>
    </row>
    <row r="374" spans="1:16" x14ac:dyDescent="0.25">
      <c r="A374" s="6"/>
      <c r="B374" s="7">
        <v>44268</v>
      </c>
      <c r="C374" s="8" t="s">
        <v>1062</v>
      </c>
      <c r="D374" s="8" t="s">
        <v>853</v>
      </c>
      <c r="E374" s="9" t="s">
        <v>51</v>
      </c>
      <c r="F374" s="9" t="s">
        <v>52</v>
      </c>
      <c r="G374" s="17">
        <v>0.6020833333333333</v>
      </c>
      <c r="H374" s="17">
        <v>0.60902777777777783</v>
      </c>
      <c r="I374" s="9">
        <v>37330</v>
      </c>
      <c r="J374" s="9">
        <v>15880</v>
      </c>
      <c r="K374" s="10">
        <f t="shared" si="15"/>
        <v>21450</v>
      </c>
      <c r="L374" s="10">
        <v>23564</v>
      </c>
      <c r="M374" s="11" t="s">
        <v>1988</v>
      </c>
      <c r="N374" s="12">
        <v>21.6</v>
      </c>
      <c r="O374" s="13" t="s">
        <v>855</v>
      </c>
      <c r="P374" s="14"/>
    </row>
    <row r="375" spans="1:16" x14ac:dyDescent="0.25">
      <c r="A375" s="6"/>
      <c r="B375" s="7">
        <v>44268</v>
      </c>
      <c r="C375" s="8" t="s">
        <v>1062</v>
      </c>
      <c r="D375" s="8" t="s">
        <v>1355</v>
      </c>
      <c r="E375" s="9" t="s">
        <v>1048</v>
      </c>
      <c r="F375" s="9" t="s">
        <v>526</v>
      </c>
      <c r="G375" s="17">
        <v>0.61249999999999993</v>
      </c>
      <c r="H375" s="17">
        <v>0.61736111111111114</v>
      </c>
      <c r="I375" s="9">
        <v>37460</v>
      </c>
      <c r="J375" s="9">
        <v>16430</v>
      </c>
      <c r="K375" s="10">
        <f t="shared" si="15"/>
        <v>21030</v>
      </c>
      <c r="L375" s="10">
        <v>23564</v>
      </c>
      <c r="M375" s="11" t="s">
        <v>1988</v>
      </c>
      <c r="N375" s="12">
        <v>21.6</v>
      </c>
      <c r="O375" s="13" t="s">
        <v>855</v>
      </c>
      <c r="P375" s="14"/>
    </row>
    <row r="376" spans="1:16" x14ac:dyDescent="0.25">
      <c r="A376" s="6"/>
      <c r="B376" s="7">
        <v>44268</v>
      </c>
      <c r="C376" s="8" t="s">
        <v>1887</v>
      </c>
      <c r="D376" s="8" t="s">
        <v>880</v>
      </c>
      <c r="E376" s="9" t="s">
        <v>1661</v>
      </c>
      <c r="F376" s="9" t="s">
        <v>1276</v>
      </c>
      <c r="G376" s="17">
        <v>0.61458333333333337</v>
      </c>
      <c r="H376" s="17">
        <v>0.61944444444444446</v>
      </c>
      <c r="I376" s="9">
        <v>36530</v>
      </c>
      <c r="J376" s="9">
        <v>1560</v>
      </c>
      <c r="K376" s="10">
        <f t="shared" si="15"/>
        <v>34970</v>
      </c>
      <c r="L376" s="10">
        <v>26607</v>
      </c>
      <c r="M376" s="11" t="s">
        <v>1041</v>
      </c>
      <c r="N376" s="12">
        <v>20930</v>
      </c>
      <c r="O376" s="13" t="s">
        <v>32</v>
      </c>
      <c r="P376" s="14"/>
    </row>
    <row r="377" spans="1:16" x14ac:dyDescent="0.25">
      <c r="A377" s="6"/>
      <c r="B377" s="7">
        <v>44268</v>
      </c>
      <c r="C377" s="8" t="s">
        <v>164</v>
      </c>
      <c r="D377" s="8" t="s">
        <v>284</v>
      </c>
      <c r="E377" s="9" t="s">
        <v>177</v>
      </c>
      <c r="F377" s="9" t="s">
        <v>178</v>
      </c>
      <c r="G377" s="17">
        <v>0.61597222222222225</v>
      </c>
      <c r="H377" s="17">
        <v>0.65555555555555556</v>
      </c>
      <c r="I377" s="9">
        <v>14680</v>
      </c>
      <c r="J377" s="9">
        <v>40050</v>
      </c>
      <c r="K377" s="10">
        <f t="shared" si="15"/>
        <v>-25370</v>
      </c>
      <c r="L377" s="10">
        <v>15898</v>
      </c>
      <c r="M377" s="11" t="s">
        <v>166</v>
      </c>
      <c r="N377" s="12">
        <v>504</v>
      </c>
      <c r="O377" s="13" t="s">
        <v>1099</v>
      </c>
      <c r="P377" s="14"/>
    </row>
    <row r="378" spans="1:16" x14ac:dyDescent="0.25">
      <c r="A378" s="6"/>
      <c r="B378" s="7">
        <v>44268</v>
      </c>
      <c r="C378" s="8" t="s">
        <v>1062</v>
      </c>
      <c r="D378" s="8" t="s">
        <v>299</v>
      </c>
      <c r="E378" s="9" t="s">
        <v>813</v>
      </c>
      <c r="F378" s="9" t="s">
        <v>814</v>
      </c>
      <c r="G378" s="17">
        <v>0.62291666666666667</v>
      </c>
      <c r="H378" s="17">
        <v>0.62777777777777777</v>
      </c>
      <c r="I378" s="9">
        <v>38530</v>
      </c>
      <c r="J378" s="9">
        <v>17370</v>
      </c>
      <c r="K378" s="10">
        <f t="shared" si="15"/>
        <v>21160</v>
      </c>
      <c r="L378" s="10">
        <v>23564</v>
      </c>
      <c r="M378" s="11" t="s">
        <v>1041</v>
      </c>
      <c r="N378" s="12">
        <v>21.6</v>
      </c>
      <c r="O378" s="13" t="s">
        <v>855</v>
      </c>
      <c r="P378" s="14"/>
    </row>
    <row r="379" spans="1:16" x14ac:dyDescent="0.25">
      <c r="A379" s="6"/>
      <c r="B379" s="7">
        <v>44268</v>
      </c>
      <c r="C379" s="8" t="s">
        <v>1029</v>
      </c>
      <c r="D379" s="8" t="s">
        <v>94</v>
      </c>
      <c r="E379" s="9" t="s">
        <v>1774</v>
      </c>
      <c r="F379" s="9" t="s">
        <v>1775</v>
      </c>
      <c r="G379" s="17">
        <v>0.64652777777777781</v>
      </c>
      <c r="H379" s="17">
        <v>0.65763888888888888</v>
      </c>
      <c r="I379" s="9">
        <v>16120</v>
      </c>
      <c r="J379" s="9">
        <v>7530</v>
      </c>
      <c r="K379" s="10">
        <f t="shared" ref="K379" si="16">+I379-J379</f>
        <v>8590</v>
      </c>
      <c r="L379" s="10">
        <v>23565</v>
      </c>
      <c r="M379" s="11" t="s">
        <v>1987</v>
      </c>
      <c r="N379" s="12">
        <v>8590</v>
      </c>
      <c r="O379" s="13" t="s">
        <v>32</v>
      </c>
      <c r="P379" s="14" t="s">
        <v>263</v>
      </c>
    </row>
    <row r="380" spans="1:16" x14ac:dyDescent="0.25">
      <c r="A380" s="6"/>
      <c r="B380" s="7">
        <v>44268</v>
      </c>
      <c r="C380" s="8" t="s">
        <v>1062</v>
      </c>
      <c r="D380" s="8" t="s">
        <v>1794</v>
      </c>
      <c r="E380" s="9" t="s">
        <v>628</v>
      </c>
      <c r="F380" s="9" t="s">
        <v>629</v>
      </c>
      <c r="G380" s="17">
        <v>0.65138888888888891</v>
      </c>
      <c r="H380" s="17">
        <v>0.66041666666666665</v>
      </c>
      <c r="I380" s="9">
        <v>21740</v>
      </c>
      <c r="J380" s="9">
        <v>9640</v>
      </c>
      <c r="K380" s="10">
        <f t="shared" si="15"/>
        <v>12100</v>
      </c>
      <c r="L380" s="10">
        <v>23564</v>
      </c>
      <c r="M380" s="11" t="s">
        <v>1041</v>
      </c>
      <c r="N380" s="12">
        <v>12</v>
      </c>
      <c r="O380" s="13" t="s">
        <v>855</v>
      </c>
      <c r="P380" s="14"/>
    </row>
    <row r="381" spans="1:16" x14ac:dyDescent="0.25">
      <c r="A381" s="6"/>
      <c r="B381" s="7">
        <v>44268</v>
      </c>
      <c r="C381" s="8" t="s">
        <v>1989</v>
      </c>
      <c r="D381" s="8" t="s">
        <v>1850</v>
      </c>
      <c r="E381" s="9" t="s">
        <v>144</v>
      </c>
      <c r="F381" s="9" t="s">
        <v>626</v>
      </c>
      <c r="G381" s="17">
        <v>0.68333333333333324</v>
      </c>
      <c r="H381" s="17">
        <v>0.68819444444444444</v>
      </c>
      <c r="I381" s="9">
        <v>37750</v>
      </c>
      <c r="J381" s="9">
        <v>15650</v>
      </c>
      <c r="K381" s="10">
        <f t="shared" si="15"/>
        <v>22100</v>
      </c>
      <c r="L381" s="10" t="s">
        <v>1990</v>
      </c>
      <c r="M381" s="11" t="s">
        <v>1991</v>
      </c>
      <c r="N381" s="12">
        <v>22.8</v>
      </c>
      <c r="O381" s="13" t="s">
        <v>855</v>
      </c>
      <c r="P381" s="14"/>
    </row>
    <row r="382" spans="1:16" x14ac:dyDescent="0.25">
      <c r="A382" s="6"/>
      <c r="B382" s="7">
        <v>44268</v>
      </c>
      <c r="C382" s="8" t="s">
        <v>1855</v>
      </c>
      <c r="D382" s="8" t="s">
        <v>1855</v>
      </c>
      <c r="E382" s="9" t="s">
        <v>1856</v>
      </c>
      <c r="F382" s="9" t="s">
        <v>338</v>
      </c>
      <c r="G382" s="17">
        <v>0.69027777777777777</v>
      </c>
      <c r="H382" s="17">
        <v>0.79027777777777775</v>
      </c>
      <c r="I382" s="9">
        <v>10960</v>
      </c>
      <c r="J382" s="9">
        <v>4510</v>
      </c>
      <c r="K382" s="10">
        <f t="shared" si="15"/>
        <v>6450</v>
      </c>
      <c r="L382" s="10">
        <v>26608</v>
      </c>
      <c r="M382" s="11" t="s">
        <v>1857</v>
      </c>
      <c r="N382" s="12">
        <v>6450</v>
      </c>
      <c r="O382" s="13" t="s">
        <v>32</v>
      </c>
      <c r="P382" s="14"/>
    </row>
    <row r="383" spans="1:16" x14ac:dyDescent="0.25">
      <c r="A383" s="6"/>
      <c r="B383" s="7">
        <v>44268</v>
      </c>
      <c r="C383" s="8" t="s">
        <v>1042</v>
      </c>
      <c r="D383" s="8" t="s">
        <v>853</v>
      </c>
      <c r="E383" s="9" t="s">
        <v>51</v>
      </c>
      <c r="F383" s="9" t="s">
        <v>52</v>
      </c>
      <c r="G383" s="17">
        <v>0.69930555555555562</v>
      </c>
      <c r="H383" s="17">
        <v>0.70763888888888893</v>
      </c>
      <c r="I383" s="9">
        <v>36820</v>
      </c>
      <c r="J383" s="9">
        <v>15950</v>
      </c>
      <c r="K383" s="10">
        <f t="shared" si="15"/>
        <v>20870</v>
      </c>
      <c r="L383" s="10">
        <v>23567</v>
      </c>
      <c r="M383" s="11" t="s">
        <v>1041</v>
      </c>
      <c r="N383" s="12">
        <v>21.6</v>
      </c>
      <c r="O383" s="13" t="s">
        <v>855</v>
      </c>
      <c r="P383" s="14"/>
    </row>
    <row r="384" spans="1:16" x14ac:dyDescent="0.25">
      <c r="A384" s="6"/>
      <c r="B384" s="7">
        <v>44268</v>
      </c>
      <c r="C384" s="8" t="s">
        <v>1042</v>
      </c>
      <c r="D384" s="8" t="s">
        <v>899</v>
      </c>
      <c r="E384" s="9" t="s">
        <v>490</v>
      </c>
      <c r="F384" s="9" t="s">
        <v>491</v>
      </c>
      <c r="G384" s="17">
        <v>0.70277777777777783</v>
      </c>
      <c r="H384" s="17">
        <v>0.71805555555555556</v>
      </c>
      <c r="I384" s="9">
        <v>36670</v>
      </c>
      <c r="J384" s="9">
        <v>15790</v>
      </c>
      <c r="K384" s="10">
        <f t="shared" si="15"/>
        <v>20880</v>
      </c>
      <c r="L384" s="10">
        <v>23567</v>
      </c>
      <c r="M384" s="11" t="s">
        <v>1041</v>
      </c>
      <c r="N384" s="12">
        <v>21.6</v>
      </c>
      <c r="O384" s="13" t="s">
        <v>855</v>
      </c>
      <c r="P384" s="14"/>
    </row>
    <row r="385" spans="1:17" x14ac:dyDescent="0.25">
      <c r="A385" s="6"/>
      <c r="B385" s="7">
        <v>44268</v>
      </c>
      <c r="C385" s="8" t="s">
        <v>1534</v>
      </c>
      <c r="D385" s="8" t="s">
        <v>501</v>
      </c>
      <c r="E385" s="9" t="s">
        <v>1085</v>
      </c>
      <c r="F385" s="9" t="s">
        <v>1992</v>
      </c>
      <c r="G385" s="17">
        <v>0.70416666666666661</v>
      </c>
      <c r="H385" s="17">
        <v>0.36388888888888887</v>
      </c>
      <c r="I385" s="9">
        <v>10930</v>
      </c>
      <c r="J385" s="9">
        <v>6750</v>
      </c>
      <c r="K385" s="10">
        <f t="shared" si="15"/>
        <v>4180</v>
      </c>
      <c r="L385" s="10">
        <v>20189</v>
      </c>
      <c r="M385" s="11" t="s">
        <v>1087</v>
      </c>
      <c r="N385" s="12">
        <v>4180</v>
      </c>
      <c r="O385" s="13" t="s">
        <v>32</v>
      </c>
      <c r="P385" s="14" t="s">
        <v>1088</v>
      </c>
    </row>
    <row r="386" spans="1:17" x14ac:dyDescent="0.25">
      <c r="A386" s="6"/>
      <c r="B386" s="7">
        <v>44268</v>
      </c>
      <c r="C386" s="8" t="s">
        <v>1042</v>
      </c>
      <c r="D386" s="8" t="s">
        <v>1355</v>
      </c>
      <c r="E386" s="9" t="s">
        <v>1048</v>
      </c>
      <c r="F386" s="9" t="s">
        <v>526</v>
      </c>
      <c r="G386" s="17">
        <v>0.7055555555555556</v>
      </c>
      <c r="H386" s="17">
        <v>0.72152777777777777</v>
      </c>
      <c r="I386" s="9">
        <v>37680</v>
      </c>
      <c r="J386" s="9">
        <v>16410</v>
      </c>
      <c r="K386" s="10">
        <f t="shared" si="15"/>
        <v>21270</v>
      </c>
      <c r="L386" s="10">
        <v>23567</v>
      </c>
      <c r="M386" s="11" t="s">
        <v>1799</v>
      </c>
      <c r="N386" s="12">
        <v>21.6</v>
      </c>
      <c r="O386" s="28" t="s">
        <v>855</v>
      </c>
      <c r="P386" s="14"/>
    </row>
    <row r="387" spans="1:17" x14ac:dyDescent="0.25">
      <c r="A387" s="6"/>
      <c r="B387" s="7">
        <v>44268</v>
      </c>
      <c r="C387" s="8" t="s">
        <v>1042</v>
      </c>
      <c r="D387" s="8" t="s">
        <v>880</v>
      </c>
      <c r="E387" s="9" t="s">
        <v>1661</v>
      </c>
      <c r="F387" s="9" t="s">
        <v>1276</v>
      </c>
      <c r="G387" s="17">
        <v>0.70972222222222225</v>
      </c>
      <c r="H387" s="17">
        <v>0.72430555555555554</v>
      </c>
      <c r="I387" s="9">
        <v>38940</v>
      </c>
      <c r="J387" s="9">
        <v>15320</v>
      </c>
      <c r="K387" s="10">
        <f t="shared" si="15"/>
        <v>23620</v>
      </c>
      <c r="L387" s="10">
        <v>23567</v>
      </c>
      <c r="M387" s="11" t="s">
        <v>1799</v>
      </c>
      <c r="N387" s="12">
        <v>21.6</v>
      </c>
      <c r="O387" s="28" t="s">
        <v>855</v>
      </c>
      <c r="P387" s="14"/>
    </row>
    <row r="388" spans="1:17" x14ac:dyDescent="0.25">
      <c r="A388" s="6"/>
      <c r="B388" s="7">
        <v>44268</v>
      </c>
      <c r="C388" s="8" t="s">
        <v>1042</v>
      </c>
      <c r="D388" s="8" t="s">
        <v>299</v>
      </c>
      <c r="E388" s="9" t="s">
        <v>813</v>
      </c>
      <c r="F388" s="9" t="s">
        <v>814</v>
      </c>
      <c r="G388" s="17">
        <v>0.71111111111111114</v>
      </c>
      <c r="H388" s="17">
        <v>0.72916666666666663</v>
      </c>
      <c r="I388" s="9">
        <v>38910</v>
      </c>
      <c r="J388" s="9">
        <v>17310</v>
      </c>
      <c r="K388" s="10">
        <f t="shared" si="15"/>
        <v>21600</v>
      </c>
      <c r="L388" s="10">
        <v>23567</v>
      </c>
      <c r="M388" s="11" t="s">
        <v>1799</v>
      </c>
      <c r="N388" s="12">
        <v>21.6</v>
      </c>
      <c r="O388" s="28" t="s">
        <v>855</v>
      </c>
      <c r="P388" s="14"/>
    </row>
    <row r="389" spans="1:17" x14ac:dyDescent="0.25">
      <c r="A389" s="6"/>
      <c r="B389" s="7">
        <v>44268</v>
      </c>
      <c r="C389" s="8" t="s">
        <v>1042</v>
      </c>
      <c r="D389" s="8" t="s">
        <v>1794</v>
      </c>
      <c r="E389" s="9" t="s">
        <v>628</v>
      </c>
      <c r="F389" s="9" t="s">
        <v>629</v>
      </c>
      <c r="G389" s="17">
        <v>0.72083333333333333</v>
      </c>
      <c r="H389" s="17">
        <v>0.72638888888888886</v>
      </c>
      <c r="I389" s="9">
        <v>20710</v>
      </c>
      <c r="J389" s="9">
        <v>9630</v>
      </c>
      <c r="K389" s="10">
        <f t="shared" si="15"/>
        <v>11080</v>
      </c>
      <c r="L389" s="10">
        <v>23567</v>
      </c>
      <c r="M389" s="11" t="s">
        <v>1799</v>
      </c>
      <c r="N389" s="12">
        <v>10.8</v>
      </c>
      <c r="O389" s="13" t="s">
        <v>855</v>
      </c>
      <c r="P389" s="14"/>
    </row>
    <row r="390" spans="1:17" x14ac:dyDescent="0.25">
      <c r="A390" s="6"/>
      <c r="B390" s="7">
        <v>44268</v>
      </c>
      <c r="C390" s="8" t="s">
        <v>164</v>
      </c>
      <c r="D390" s="8" t="s">
        <v>284</v>
      </c>
      <c r="E390" s="9" t="s">
        <v>177</v>
      </c>
      <c r="F390" s="9" t="s">
        <v>178</v>
      </c>
      <c r="G390" s="17">
        <v>0.72291666666666676</v>
      </c>
      <c r="H390" s="17">
        <v>0.73333333333333339</v>
      </c>
      <c r="I390" s="9">
        <v>21190</v>
      </c>
      <c r="J390" s="9">
        <v>13560</v>
      </c>
      <c r="K390" s="10">
        <f t="shared" si="15"/>
        <v>7630</v>
      </c>
      <c r="L390" s="10">
        <v>15959</v>
      </c>
      <c r="M390" s="11" t="s">
        <v>1993</v>
      </c>
      <c r="N390" s="12">
        <v>72</v>
      </c>
      <c r="O390" s="13" t="s">
        <v>96</v>
      </c>
      <c r="P390" s="14"/>
    </row>
    <row r="391" spans="1:17" x14ac:dyDescent="0.25">
      <c r="A391" s="6"/>
      <c r="B391" s="7">
        <v>44268</v>
      </c>
      <c r="C391" s="16" t="s">
        <v>1535</v>
      </c>
      <c r="D391" s="8" t="s">
        <v>94</v>
      </c>
      <c r="E391" s="9" t="s">
        <v>1774</v>
      </c>
      <c r="F391" s="9" t="s">
        <v>1775</v>
      </c>
      <c r="G391" s="17">
        <v>0.73958333333333337</v>
      </c>
      <c r="H391" s="17">
        <v>0.74583333333333324</v>
      </c>
      <c r="I391" s="9">
        <v>12930</v>
      </c>
      <c r="J391" s="9">
        <v>7520</v>
      </c>
      <c r="K391" s="10">
        <f t="shared" si="15"/>
        <v>5410</v>
      </c>
      <c r="L391" s="10">
        <v>23568</v>
      </c>
      <c r="M391" s="11" t="s">
        <v>1963</v>
      </c>
      <c r="N391" s="12">
        <v>5.4</v>
      </c>
      <c r="O391" s="13" t="s">
        <v>855</v>
      </c>
      <c r="P391" s="14"/>
    </row>
    <row r="392" spans="1:17" x14ac:dyDescent="0.25">
      <c r="A392" s="6"/>
      <c r="B392" s="7">
        <v>44268</v>
      </c>
      <c r="C392" s="8" t="s">
        <v>1534</v>
      </c>
      <c r="D392" s="8" t="s">
        <v>1084</v>
      </c>
      <c r="E392" s="9" t="s">
        <v>502</v>
      </c>
      <c r="F392" s="9" t="s">
        <v>1647</v>
      </c>
      <c r="G392" s="17">
        <v>0.77361111111111114</v>
      </c>
      <c r="H392" s="17">
        <v>0.78888888888888886</v>
      </c>
      <c r="I392" s="9">
        <v>5820</v>
      </c>
      <c r="J392" s="9">
        <v>5440</v>
      </c>
      <c r="K392" s="10">
        <f t="shared" si="15"/>
        <v>380</v>
      </c>
      <c r="L392" s="10">
        <v>20190</v>
      </c>
      <c r="M392" s="11" t="s">
        <v>1873</v>
      </c>
      <c r="N392" s="12">
        <v>380</v>
      </c>
      <c r="O392" s="13" t="s">
        <v>32</v>
      </c>
      <c r="P392" s="14">
        <v>3</v>
      </c>
    </row>
    <row r="393" spans="1:17" x14ac:dyDescent="0.25">
      <c r="A393" s="6"/>
      <c r="B393" s="7">
        <v>44268</v>
      </c>
      <c r="C393" s="8" t="s">
        <v>1994</v>
      </c>
      <c r="D393" s="8" t="s">
        <v>880</v>
      </c>
      <c r="E393" s="9" t="s">
        <v>1661</v>
      </c>
      <c r="F393" s="9" t="s">
        <v>1276</v>
      </c>
      <c r="G393" s="17">
        <v>0.79305555555555562</v>
      </c>
      <c r="H393" s="17">
        <v>0.80763888888888891</v>
      </c>
      <c r="I393" s="9">
        <v>31540</v>
      </c>
      <c r="J393" s="9">
        <v>15320</v>
      </c>
      <c r="K393" s="10">
        <f t="shared" si="15"/>
        <v>16220</v>
      </c>
      <c r="L393" s="10">
        <v>23569</v>
      </c>
      <c r="M393" s="11" t="s">
        <v>1995</v>
      </c>
      <c r="N393" s="12">
        <v>16.2</v>
      </c>
      <c r="O393" s="13" t="s">
        <v>855</v>
      </c>
      <c r="P393" s="14">
        <v>3</v>
      </c>
    </row>
    <row r="394" spans="1:17" x14ac:dyDescent="0.25">
      <c r="A394" s="6"/>
      <c r="B394" s="7">
        <v>44268</v>
      </c>
      <c r="C394" s="8" t="s">
        <v>1996</v>
      </c>
      <c r="D394" s="8" t="s">
        <v>1794</v>
      </c>
      <c r="E394" s="9" t="s">
        <v>628</v>
      </c>
      <c r="F394" s="9" t="s">
        <v>629</v>
      </c>
      <c r="G394" s="17">
        <v>0.8208333333333333</v>
      </c>
      <c r="H394" s="17">
        <v>0.8256944444444444</v>
      </c>
      <c r="I394" s="9">
        <v>19140</v>
      </c>
      <c r="J394" s="9">
        <v>9620</v>
      </c>
      <c r="K394" s="10">
        <f t="shared" si="15"/>
        <v>9520</v>
      </c>
      <c r="L394" s="10">
        <v>23570</v>
      </c>
      <c r="M394" s="11" t="s">
        <v>1958</v>
      </c>
      <c r="N394" s="12">
        <v>9.6</v>
      </c>
      <c r="O394" s="13" t="s">
        <v>855</v>
      </c>
      <c r="P394" s="14">
        <v>3</v>
      </c>
      <c r="Q394" s="2"/>
    </row>
    <row r="395" spans="1:17" x14ac:dyDescent="0.25">
      <c r="A395" s="6"/>
      <c r="B395" s="7">
        <v>44268</v>
      </c>
      <c r="C395" s="8" t="s">
        <v>37</v>
      </c>
      <c r="D395" s="8" t="s">
        <v>1001</v>
      </c>
      <c r="E395" s="9" t="s">
        <v>1002</v>
      </c>
      <c r="F395" s="9" t="s">
        <v>36</v>
      </c>
      <c r="G395" s="17">
        <v>0.85416666666666663</v>
      </c>
      <c r="H395" s="17">
        <v>0.95208333333333339</v>
      </c>
      <c r="I395" s="9">
        <v>9350</v>
      </c>
      <c r="J395" s="9">
        <v>4080</v>
      </c>
      <c r="K395" s="10">
        <f t="shared" si="15"/>
        <v>5270</v>
      </c>
      <c r="L395" s="10">
        <v>26611</v>
      </c>
      <c r="M395" s="11" t="s">
        <v>1997</v>
      </c>
      <c r="N395" s="12">
        <v>5270</v>
      </c>
      <c r="O395" s="13" t="s">
        <v>32</v>
      </c>
      <c r="P395" s="14">
        <v>2</v>
      </c>
    </row>
    <row r="396" spans="1:17" x14ac:dyDescent="0.25">
      <c r="A396" s="6"/>
      <c r="B396" s="7">
        <v>44268</v>
      </c>
      <c r="C396" s="8" t="s">
        <v>1673</v>
      </c>
      <c r="D396" s="8" t="s">
        <v>1686</v>
      </c>
      <c r="E396" s="9" t="s">
        <v>1206</v>
      </c>
      <c r="F396" s="9" t="s">
        <v>36</v>
      </c>
      <c r="G396" s="17">
        <v>0.86944444444444446</v>
      </c>
      <c r="H396" s="17">
        <v>0.89027777777777783</v>
      </c>
      <c r="I396" s="9">
        <v>11750</v>
      </c>
      <c r="J396" s="9">
        <v>6670</v>
      </c>
      <c r="K396" s="10">
        <f t="shared" si="15"/>
        <v>5080</v>
      </c>
      <c r="L396" s="10">
        <v>26609</v>
      </c>
      <c r="M396" s="11" t="s">
        <v>1700</v>
      </c>
      <c r="N396" s="12">
        <v>5080</v>
      </c>
      <c r="O396" s="13" t="s">
        <v>32</v>
      </c>
      <c r="P396" s="14">
        <v>1</v>
      </c>
    </row>
    <row r="397" spans="1:17" x14ac:dyDescent="0.25">
      <c r="A397" s="6"/>
      <c r="B397" s="7">
        <v>44268</v>
      </c>
      <c r="C397" s="8" t="s">
        <v>1673</v>
      </c>
      <c r="D397" s="8" t="s">
        <v>1853</v>
      </c>
      <c r="E397" s="9" t="s">
        <v>1231</v>
      </c>
      <c r="F397" s="9" t="s">
        <v>36</v>
      </c>
      <c r="G397" s="17">
        <v>0.87430555555555556</v>
      </c>
      <c r="H397" s="17">
        <v>0.89444444444444438</v>
      </c>
      <c r="I397" s="9">
        <v>5260</v>
      </c>
      <c r="J397" s="9">
        <v>4050</v>
      </c>
      <c r="K397" s="10">
        <f t="shared" si="15"/>
        <v>1210</v>
      </c>
      <c r="L397" s="10">
        <v>26610</v>
      </c>
      <c r="M397" s="11" t="s">
        <v>1482</v>
      </c>
      <c r="N397" s="12">
        <v>1210</v>
      </c>
      <c r="O397" s="13" t="s">
        <v>32</v>
      </c>
      <c r="P397" s="14">
        <v>3</v>
      </c>
    </row>
    <row r="398" spans="1:17" x14ac:dyDescent="0.25">
      <c r="A398" s="6"/>
      <c r="B398" s="7">
        <v>44268</v>
      </c>
      <c r="C398" s="8" t="s">
        <v>37</v>
      </c>
      <c r="D398" s="8" t="s">
        <v>1055</v>
      </c>
      <c r="E398" s="9" t="s">
        <v>719</v>
      </c>
      <c r="F398" s="9" t="s">
        <v>36</v>
      </c>
      <c r="G398" s="17">
        <v>0.95416666666666661</v>
      </c>
      <c r="H398" s="17">
        <v>0.98333333333333339</v>
      </c>
      <c r="I398" s="9">
        <v>21985</v>
      </c>
      <c r="J398" s="9">
        <v>6270</v>
      </c>
      <c r="K398" s="10">
        <f>+I398-J398</f>
        <v>15715</v>
      </c>
      <c r="L398" s="10">
        <v>26612</v>
      </c>
      <c r="M398" s="11" t="s">
        <v>1998</v>
      </c>
      <c r="N398" s="12">
        <v>15715</v>
      </c>
      <c r="O398" s="13" t="s">
        <v>32</v>
      </c>
      <c r="P398" s="14">
        <v>2</v>
      </c>
    </row>
    <row r="399" spans="1:17" x14ac:dyDescent="0.25">
      <c r="A399" s="6"/>
      <c r="B399" s="7">
        <v>44268</v>
      </c>
      <c r="C399" s="8" t="s">
        <v>1999</v>
      </c>
      <c r="D399" s="8" t="s">
        <v>1692</v>
      </c>
      <c r="E399" s="9" t="s">
        <v>1693</v>
      </c>
      <c r="F399" s="9" t="s">
        <v>154</v>
      </c>
      <c r="G399" s="17">
        <v>0.97569444444444453</v>
      </c>
      <c r="H399" s="17">
        <v>2.9166666666666664E-2</v>
      </c>
      <c r="I399" s="9">
        <v>17650</v>
      </c>
      <c r="J399" s="9">
        <v>5680</v>
      </c>
      <c r="K399" s="10">
        <f>+I399-J399</f>
        <v>11970</v>
      </c>
      <c r="L399" s="10">
        <v>26613</v>
      </c>
      <c r="M399" s="11" t="s">
        <v>1359</v>
      </c>
      <c r="N399" s="12">
        <v>11970</v>
      </c>
      <c r="O399" s="13" t="s">
        <v>32</v>
      </c>
      <c r="P399" s="14">
        <v>4</v>
      </c>
      <c r="Q399" s="2"/>
    </row>
    <row r="400" spans="1:17" x14ac:dyDescent="0.25">
      <c r="A400" s="6"/>
      <c r="B400" s="7">
        <v>44269</v>
      </c>
      <c r="C400" s="8" t="s">
        <v>142</v>
      </c>
      <c r="D400" s="8" t="s">
        <v>1656</v>
      </c>
      <c r="E400" s="9" t="s">
        <v>87</v>
      </c>
      <c r="F400" s="9" t="s">
        <v>88</v>
      </c>
      <c r="G400" s="17">
        <v>8.9583333333333334E-2</v>
      </c>
      <c r="H400" s="17">
        <v>0.10347222222222223</v>
      </c>
      <c r="I400" s="9">
        <v>37110</v>
      </c>
      <c r="J400" s="9">
        <v>17220</v>
      </c>
      <c r="K400" s="10">
        <f t="shared" si="15"/>
        <v>19890</v>
      </c>
      <c r="L400" s="10">
        <v>783</v>
      </c>
      <c r="M400" s="11" t="s">
        <v>809</v>
      </c>
      <c r="N400" s="12">
        <v>20113</v>
      </c>
      <c r="O400" s="13" t="s">
        <v>32</v>
      </c>
      <c r="P400" s="14">
        <v>1</v>
      </c>
    </row>
    <row r="401" spans="1:17" x14ac:dyDescent="0.25">
      <c r="A401" s="6"/>
      <c r="B401" s="7">
        <v>44269</v>
      </c>
      <c r="C401" s="8" t="s">
        <v>1017</v>
      </c>
      <c r="D401" s="8" t="s">
        <v>458</v>
      </c>
      <c r="E401" s="9" t="s">
        <v>699</v>
      </c>
      <c r="F401" s="9" t="s">
        <v>459</v>
      </c>
      <c r="G401" s="17">
        <v>0.23472222222222219</v>
      </c>
      <c r="H401" s="17">
        <v>0.29930555555555555</v>
      </c>
      <c r="I401" s="9">
        <v>14440</v>
      </c>
      <c r="J401" s="9">
        <v>8230</v>
      </c>
      <c r="K401" s="10">
        <f t="shared" ref="K401:K466" si="17">+I401-J401</f>
        <v>6210</v>
      </c>
      <c r="L401" s="10" t="s">
        <v>2000</v>
      </c>
      <c r="M401" s="11" t="s">
        <v>718</v>
      </c>
      <c r="N401" s="12">
        <f>4812+9546</f>
        <v>14358</v>
      </c>
      <c r="O401" s="13" t="s">
        <v>49</v>
      </c>
      <c r="P401" s="14"/>
    </row>
    <row r="402" spans="1:17" x14ac:dyDescent="0.25">
      <c r="A402" s="6"/>
      <c r="B402" s="7">
        <v>44269</v>
      </c>
      <c r="C402" s="43" t="s">
        <v>1630</v>
      </c>
      <c r="D402" s="43" t="s">
        <v>602</v>
      </c>
      <c r="E402" s="44" t="s">
        <v>1632</v>
      </c>
      <c r="F402" s="44" t="s">
        <v>266</v>
      </c>
      <c r="G402" s="17">
        <v>0.38680555555555557</v>
      </c>
      <c r="H402" s="17">
        <v>0.48819444444444443</v>
      </c>
      <c r="I402" s="9">
        <v>5890</v>
      </c>
      <c r="J402" s="9">
        <v>5270</v>
      </c>
      <c r="K402" s="10">
        <f t="shared" si="17"/>
        <v>620</v>
      </c>
      <c r="L402" s="10" t="s">
        <v>1979</v>
      </c>
      <c r="M402" s="47" t="s">
        <v>1980</v>
      </c>
      <c r="N402" s="12">
        <v>620</v>
      </c>
      <c r="O402" s="13" t="s">
        <v>32</v>
      </c>
      <c r="P402" s="14"/>
    </row>
    <row r="403" spans="1:17" x14ac:dyDescent="0.25">
      <c r="A403" s="6"/>
      <c r="B403" s="15">
        <v>44269</v>
      </c>
      <c r="C403" s="8" t="s">
        <v>977</v>
      </c>
      <c r="D403" s="8" t="s">
        <v>94</v>
      </c>
      <c r="E403" s="9" t="s">
        <v>1774</v>
      </c>
      <c r="F403" s="9" t="s">
        <v>1775</v>
      </c>
      <c r="G403" s="17">
        <v>0.46180555555555558</v>
      </c>
      <c r="H403" s="17">
        <v>0.47222222222222227</v>
      </c>
      <c r="I403" s="9">
        <v>16630</v>
      </c>
      <c r="J403" s="9">
        <v>7540</v>
      </c>
      <c r="K403" s="10">
        <f t="shared" si="17"/>
        <v>9090</v>
      </c>
      <c r="L403" s="10">
        <v>23571</v>
      </c>
      <c r="M403" s="11" t="s">
        <v>1359</v>
      </c>
      <c r="N403" s="12">
        <v>9.6</v>
      </c>
      <c r="O403" s="13" t="s">
        <v>855</v>
      </c>
      <c r="P403" s="14"/>
    </row>
    <row r="404" spans="1:17" x14ac:dyDescent="0.25">
      <c r="A404" s="6"/>
      <c r="B404" s="7">
        <v>44269</v>
      </c>
      <c r="C404" s="43" t="s">
        <v>1630</v>
      </c>
      <c r="D404" s="43" t="s">
        <v>464</v>
      </c>
      <c r="E404" s="44" t="s">
        <v>1632</v>
      </c>
      <c r="F404" s="44" t="s">
        <v>266</v>
      </c>
      <c r="G404" s="17">
        <v>0.46388888888888885</v>
      </c>
      <c r="H404" s="17">
        <v>0.48055555555555557</v>
      </c>
      <c r="I404" s="9">
        <v>5380</v>
      </c>
      <c r="J404" s="9">
        <v>5160</v>
      </c>
      <c r="K404" s="10">
        <f t="shared" ref="K404" si="18">+I404-J404</f>
        <v>220</v>
      </c>
      <c r="L404" s="10" t="s">
        <v>1979</v>
      </c>
      <c r="M404" s="47" t="s">
        <v>1980</v>
      </c>
      <c r="N404" s="12">
        <v>220</v>
      </c>
      <c r="O404" s="13" t="s">
        <v>32</v>
      </c>
      <c r="P404" s="14"/>
    </row>
    <row r="405" spans="1:17" x14ac:dyDescent="0.25">
      <c r="A405" s="6"/>
      <c r="B405" s="7">
        <v>44269</v>
      </c>
      <c r="C405" s="8" t="s">
        <v>2001</v>
      </c>
      <c r="D405" s="8" t="s">
        <v>880</v>
      </c>
      <c r="E405" s="9" t="s">
        <v>1661</v>
      </c>
      <c r="F405" s="9" t="s">
        <v>1276</v>
      </c>
      <c r="G405" s="17">
        <v>0.48541666666666666</v>
      </c>
      <c r="H405" s="17">
        <v>0.4916666666666667</v>
      </c>
      <c r="I405" s="9">
        <v>37530</v>
      </c>
      <c r="J405" s="9">
        <v>15420</v>
      </c>
      <c r="K405" s="10">
        <f t="shared" si="17"/>
        <v>22110</v>
      </c>
      <c r="L405" s="10" t="s">
        <v>2002</v>
      </c>
      <c r="M405" s="11" t="s">
        <v>1359</v>
      </c>
      <c r="N405" s="12">
        <f>1.8+21.6</f>
        <v>23.400000000000002</v>
      </c>
      <c r="O405" s="13" t="s">
        <v>855</v>
      </c>
      <c r="P405" s="14"/>
    </row>
    <row r="406" spans="1:17" x14ac:dyDescent="0.25">
      <c r="A406" s="6"/>
      <c r="B406" s="7">
        <v>44269</v>
      </c>
      <c r="C406" s="8" t="s">
        <v>1417</v>
      </c>
      <c r="D406" s="8" t="s">
        <v>1672</v>
      </c>
      <c r="E406" s="9" t="s">
        <v>881</v>
      </c>
      <c r="F406" s="9" t="s">
        <v>749</v>
      </c>
      <c r="G406" s="17">
        <v>0.49583333333333335</v>
      </c>
      <c r="H406" s="17">
        <v>0.50486111111111109</v>
      </c>
      <c r="I406" s="9">
        <v>37610</v>
      </c>
      <c r="J406" s="9">
        <v>16690</v>
      </c>
      <c r="K406" s="10">
        <f t="shared" si="17"/>
        <v>20920</v>
      </c>
      <c r="L406" s="10">
        <v>23572</v>
      </c>
      <c r="M406" s="11" t="s">
        <v>1359</v>
      </c>
      <c r="N406" s="12">
        <v>21.6</v>
      </c>
      <c r="O406" s="13" t="s">
        <v>855</v>
      </c>
      <c r="P406" s="14"/>
    </row>
    <row r="407" spans="1:17" x14ac:dyDescent="0.25">
      <c r="A407" s="6"/>
      <c r="B407" s="7">
        <v>44269</v>
      </c>
      <c r="C407" s="8" t="s">
        <v>1417</v>
      </c>
      <c r="D407" s="8" t="s">
        <v>284</v>
      </c>
      <c r="E407" s="9" t="s">
        <v>177</v>
      </c>
      <c r="F407" s="9" t="s">
        <v>178</v>
      </c>
      <c r="G407" s="17">
        <v>0.50277777777777777</v>
      </c>
      <c r="H407" s="17">
        <v>0.51041666666666663</v>
      </c>
      <c r="I407" s="9">
        <v>40260</v>
      </c>
      <c r="J407" s="9">
        <v>16440</v>
      </c>
      <c r="K407" s="10">
        <f t="shared" si="17"/>
        <v>23820</v>
      </c>
      <c r="L407" s="10">
        <v>23572</v>
      </c>
      <c r="M407" s="11" t="s">
        <v>1359</v>
      </c>
      <c r="N407" s="12">
        <v>24</v>
      </c>
      <c r="O407" s="13" t="s">
        <v>855</v>
      </c>
      <c r="P407" s="14"/>
    </row>
    <row r="408" spans="1:17" x14ac:dyDescent="0.25">
      <c r="A408" s="6"/>
      <c r="B408" s="7">
        <v>44269</v>
      </c>
      <c r="C408" s="8" t="s">
        <v>1417</v>
      </c>
      <c r="D408" s="8" t="s">
        <v>853</v>
      </c>
      <c r="E408" s="9" t="s">
        <v>51</v>
      </c>
      <c r="F408" s="9" t="s">
        <v>52</v>
      </c>
      <c r="G408" s="17">
        <v>0.51388888888888895</v>
      </c>
      <c r="H408" s="17">
        <v>0.52986111111111112</v>
      </c>
      <c r="I408" s="9">
        <v>34410</v>
      </c>
      <c r="J408" s="9">
        <v>16100</v>
      </c>
      <c r="K408" s="10">
        <f t="shared" si="17"/>
        <v>18310</v>
      </c>
      <c r="L408" s="10">
        <v>23572</v>
      </c>
      <c r="M408" s="11" t="s">
        <v>1359</v>
      </c>
      <c r="N408" s="12">
        <v>18.600000000000001</v>
      </c>
      <c r="O408" s="13" t="s">
        <v>855</v>
      </c>
      <c r="P408" s="14"/>
    </row>
    <row r="409" spans="1:17" x14ac:dyDescent="0.25">
      <c r="A409" s="6"/>
      <c r="B409" s="7">
        <v>44269</v>
      </c>
      <c r="C409" s="8" t="s">
        <v>984</v>
      </c>
      <c r="D409" s="8" t="s">
        <v>94</v>
      </c>
      <c r="E409" s="9" t="s">
        <v>1774</v>
      </c>
      <c r="F409" s="9" t="s">
        <v>1775</v>
      </c>
      <c r="G409" s="17">
        <v>0.53333333333333333</v>
      </c>
      <c r="H409" s="17">
        <v>0.53888888888888886</v>
      </c>
      <c r="I409" s="9">
        <v>16200</v>
      </c>
      <c r="J409" s="9">
        <v>7510</v>
      </c>
      <c r="K409" s="10">
        <f t="shared" si="17"/>
        <v>8690</v>
      </c>
      <c r="L409" s="10">
        <v>23573</v>
      </c>
      <c r="M409" s="11" t="s">
        <v>1953</v>
      </c>
      <c r="N409" s="12">
        <v>8</v>
      </c>
      <c r="O409" s="13" t="s">
        <v>855</v>
      </c>
      <c r="P409" s="14"/>
    </row>
    <row r="410" spans="1:17" x14ac:dyDescent="0.25">
      <c r="A410" s="6"/>
      <c r="B410" s="7">
        <v>44269</v>
      </c>
      <c r="C410" s="8" t="s">
        <v>984</v>
      </c>
      <c r="D410" s="8" t="s">
        <v>1672</v>
      </c>
      <c r="E410" s="9" t="s">
        <v>881</v>
      </c>
      <c r="F410" s="9" t="s">
        <v>749</v>
      </c>
      <c r="G410" s="17">
        <v>0.57777777777777783</v>
      </c>
      <c r="H410" s="17">
        <v>0.58472222222222225</v>
      </c>
      <c r="I410" s="9">
        <v>38050</v>
      </c>
      <c r="J410" s="9">
        <v>16690</v>
      </c>
      <c r="K410" s="10">
        <f t="shared" si="17"/>
        <v>21360</v>
      </c>
      <c r="L410" s="10">
        <v>23573</v>
      </c>
      <c r="M410" s="11" t="s">
        <v>2003</v>
      </c>
      <c r="N410" s="12">
        <v>20.8</v>
      </c>
      <c r="O410" s="13" t="s">
        <v>855</v>
      </c>
      <c r="P410" s="14"/>
    </row>
    <row r="411" spans="1:17" x14ac:dyDescent="0.25">
      <c r="A411" s="6"/>
      <c r="B411" s="7">
        <v>44269</v>
      </c>
      <c r="C411" s="8" t="s">
        <v>984</v>
      </c>
      <c r="D411" s="8" t="s">
        <v>284</v>
      </c>
      <c r="E411" s="9" t="s">
        <v>177</v>
      </c>
      <c r="F411" s="9" t="s">
        <v>178</v>
      </c>
      <c r="G411" s="17">
        <v>0.58263888888888882</v>
      </c>
      <c r="H411" s="17">
        <v>0.59375</v>
      </c>
      <c r="I411" s="9">
        <v>31470</v>
      </c>
      <c r="J411" s="9">
        <v>16430</v>
      </c>
      <c r="K411" s="10">
        <f t="shared" si="17"/>
        <v>15040</v>
      </c>
      <c r="L411" s="10">
        <v>23573</v>
      </c>
      <c r="M411" s="11" t="s">
        <v>2003</v>
      </c>
      <c r="N411" s="12">
        <v>14.7</v>
      </c>
      <c r="O411" s="13" t="s">
        <v>855</v>
      </c>
      <c r="P411" s="14"/>
    </row>
    <row r="412" spans="1:17" ht="13.5" customHeight="1" x14ac:dyDescent="0.25">
      <c r="A412" s="6"/>
      <c r="B412" s="7">
        <v>44269</v>
      </c>
      <c r="C412" s="8" t="s">
        <v>984</v>
      </c>
      <c r="D412" s="8" t="s">
        <v>899</v>
      </c>
      <c r="E412" s="9" t="s">
        <v>490</v>
      </c>
      <c r="F412" s="9" t="s">
        <v>491</v>
      </c>
      <c r="G412" s="17">
        <v>0.58958333333333335</v>
      </c>
      <c r="H412" s="17">
        <v>0.59722222222222221</v>
      </c>
      <c r="I412" s="9">
        <v>37090</v>
      </c>
      <c r="J412" s="9">
        <v>16000</v>
      </c>
      <c r="K412" s="10">
        <f t="shared" si="17"/>
        <v>21090</v>
      </c>
      <c r="L412" s="10">
        <v>23573</v>
      </c>
      <c r="M412" s="11" t="s">
        <v>1529</v>
      </c>
      <c r="N412" s="12">
        <v>21.6</v>
      </c>
      <c r="O412" s="13" t="s">
        <v>855</v>
      </c>
      <c r="P412" s="14"/>
      <c r="Q412" s="2"/>
    </row>
    <row r="413" spans="1:17" x14ac:dyDescent="0.25">
      <c r="A413" s="6"/>
      <c r="B413" s="7">
        <v>44269</v>
      </c>
      <c r="C413" s="8" t="s">
        <v>984</v>
      </c>
      <c r="D413" s="8" t="s">
        <v>94</v>
      </c>
      <c r="E413" s="9" t="s">
        <v>1774</v>
      </c>
      <c r="F413" s="9" t="s">
        <v>1775</v>
      </c>
      <c r="G413" s="17">
        <v>0.59236111111111112</v>
      </c>
      <c r="H413" s="17">
        <v>0.60277777777777775</v>
      </c>
      <c r="I413" s="9">
        <v>16990</v>
      </c>
      <c r="J413" s="9">
        <v>7510</v>
      </c>
      <c r="K413" s="10">
        <f t="shared" si="17"/>
        <v>9480</v>
      </c>
      <c r="L413" s="10">
        <v>23573</v>
      </c>
      <c r="M413" s="11" t="s">
        <v>1529</v>
      </c>
      <c r="N413" s="12">
        <v>9.6</v>
      </c>
      <c r="O413" s="13" t="s">
        <v>855</v>
      </c>
      <c r="P413" s="14"/>
    </row>
    <row r="414" spans="1:17" x14ac:dyDescent="0.25">
      <c r="A414" s="6"/>
      <c r="B414" s="7">
        <v>44269</v>
      </c>
      <c r="C414" s="8" t="s">
        <v>984</v>
      </c>
      <c r="D414" s="8" t="s">
        <v>853</v>
      </c>
      <c r="E414" s="9" t="s">
        <v>51</v>
      </c>
      <c r="F414" s="9" t="s">
        <v>52</v>
      </c>
      <c r="G414" s="17">
        <v>0.59583333333333333</v>
      </c>
      <c r="H414" s="17">
        <v>0.60416666666666663</v>
      </c>
      <c r="I414" s="9">
        <v>37100</v>
      </c>
      <c r="J414" s="9">
        <v>16020</v>
      </c>
      <c r="K414" s="10">
        <f t="shared" si="17"/>
        <v>21080</v>
      </c>
      <c r="L414" s="10">
        <v>23573</v>
      </c>
      <c r="M414" s="11" t="s">
        <v>1529</v>
      </c>
      <c r="N414" s="12">
        <v>21.6</v>
      </c>
      <c r="O414" s="13" t="s">
        <v>855</v>
      </c>
      <c r="P414" s="14"/>
    </row>
    <row r="415" spans="1:17" x14ac:dyDescent="0.25">
      <c r="A415" s="6"/>
      <c r="B415" s="7">
        <v>44269</v>
      </c>
      <c r="C415" s="8" t="s">
        <v>1673</v>
      </c>
      <c r="D415" s="8" t="s">
        <v>1686</v>
      </c>
      <c r="E415" s="9" t="s">
        <v>1206</v>
      </c>
      <c r="F415" s="9" t="s">
        <v>36</v>
      </c>
      <c r="G415" s="17">
        <v>0.60069444444444442</v>
      </c>
      <c r="H415" s="17">
        <v>0.62152777777777779</v>
      </c>
      <c r="I415" s="9">
        <v>10600</v>
      </c>
      <c r="J415" s="9">
        <v>6680</v>
      </c>
      <c r="K415" s="10">
        <f t="shared" si="17"/>
        <v>3920</v>
      </c>
      <c r="L415" s="10">
        <v>26615</v>
      </c>
      <c r="M415" s="11" t="s">
        <v>1490</v>
      </c>
      <c r="N415" s="12">
        <v>3920</v>
      </c>
      <c r="O415" s="13" t="s">
        <v>32</v>
      </c>
      <c r="P415" s="14"/>
      <c r="Q415" s="1">
        <f>9*2.4</f>
        <v>21.599999999999998</v>
      </c>
    </row>
    <row r="416" spans="1:17" ht="14.25" customHeight="1" x14ac:dyDescent="0.25">
      <c r="A416" s="6"/>
      <c r="B416" s="7">
        <v>44269</v>
      </c>
      <c r="C416" s="8" t="s">
        <v>984</v>
      </c>
      <c r="D416" s="8" t="s">
        <v>1794</v>
      </c>
      <c r="E416" s="9" t="s">
        <v>628</v>
      </c>
      <c r="F416" s="9" t="s">
        <v>629</v>
      </c>
      <c r="G416" s="17">
        <v>0.60555555555555551</v>
      </c>
      <c r="H416" s="17">
        <v>0.61041666666666672</v>
      </c>
      <c r="I416" s="9">
        <v>21390</v>
      </c>
      <c r="J416" s="9">
        <v>9580</v>
      </c>
      <c r="K416" s="10">
        <f t="shared" si="17"/>
        <v>11810</v>
      </c>
      <c r="L416" s="10">
        <v>23573</v>
      </c>
      <c r="M416" s="11" t="s">
        <v>1529</v>
      </c>
      <c r="N416" s="12">
        <v>12</v>
      </c>
      <c r="O416" s="13" t="s">
        <v>855</v>
      </c>
      <c r="P416" s="14"/>
    </row>
    <row r="417" spans="1:18" x14ac:dyDescent="0.25">
      <c r="A417" s="6"/>
      <c r="B417" s="7">
        <v>44269</v>
      </c>
      <c r="C417" s="8" t="s">
        <v>2005</v>
      </c>
      <c r="D417" s="8" t="s">
        <v>1355</v>
      </c>
      <c r="E417" s="9" t="s">
        <v>1048</v>
      </c>
      <c r="F417" s="9" t="s">
        <v>526</v>
      </c>
      <c r="G417" s="17">
        <v>0.63124999999999998</v>
      </c>
      <c r="H417" s="17">
        <v>0.64027777777777783</v>
      </c>
      <c r="I417" s="9">
        <v>37770</v>
      </c>
      <c r="J417" s="9">
        <v>16880</v>
      </c>
      <c r="K417" s="10">
        <f t="shared" si="17"/>
        <v>20890</v>
      </c>
      <c r="L417" s="10">
        <v>23574</v>
      </c>
      <c r="M417" s="11" t="s">
        <v>2004</v>
      </c>
      <c r="N417" s="12">
        <v>21</v>
      </c>
      <c r="O417" s="13" t="s">
        <v>855</v>
      </c>
      <c r="P417" s="14"/>
    </row>
    <row r="418" spans="1:18" x14ac:dyDescent="0.25">
      <c r="A418" s="6"/>
      <c r="B418" s="7">
        <v>44269</v>
      </c>
      <c r="C418" s="8" t="s">
        <v>2007</v>
      </c>
      <c r="D418" s="8" t="s">
        <v>1850</v>
      </c>
      <c r="E418" s="9" t="s">
        <v>144</v>
      </c>
      <c r="F418" s="9" t="s">
        <v>626</v>
      </c>
      <c r="G418" s="17">
        <v>0.63611111111111118</v>
      </c>
      <c r="H418" s="17">
        <v>0.6430555555555556</v>
      </c>
      <c r="I418" s="9">
        <v>37350</v>
      </c>
      <c r="J418" s="9">
        <v>15620</v>
      </c>
      <c r="K418" s="10">
        <f t="shared" si="17"/>
        <v>21730</v>
      </c>
      <c r="L418" s="10">
        <v>23574</v>
      </c>
      <c r="M418" s="11" t="s">
        <v>1359</v>
      </c>
      <c r="N418" s="12">
        <v>21.6</v>
      </c>
      <c r="O418" s="13" t="s">
        <v>855</v>
      </c>
      <c r="P418" s="14"/>
    </row>
    <row r="419" spans="1:18" x14ac:dyDescent="0.25">
      <c r="A419" s="6"/>
      <c r="B419" s="7">
        <v>44269</v>
      </c>
      <c r="C419" s="8" t="s">
        <v>2007</v>
      </c>
      <c r="D419" s="8" t="s">
        <v>880</v>
      </c>
      <c r="E419" s="9" t="s">
        <v>160</v>
      </c>
      <c r="F419" s="9" t="s">
        <v>161</v>
      </c>
      <c r="G419" s="17">
        <v>0.63958333333333328</v>
      </c>
      <c r="H419" s="17">
        <v>0.64652777777777781</v>
      </c>
      <c r="I419" s="9">
        <v>38700</v>
      </c>
      <c r="J419" s="9">
        <v>16580</v>
      </c>
      <c r="K419" s="10">
        <f t="shared" ref="K419" si="19">+I419-J419</f>
        <v>22120</v>
      </c>
      <c r="L419" s="10">
        <v>23574</v>
      </c>
      <c r="M419" s="11" t="s">
        <v>1359</v>
      </c>
      <c r="N419" s="12">
        <v>21.6</v>
      </c>
      <c r="O419" s="13" t="s">
        <v>855</v>
      </c>
      <c r="P419" s="14"/>
    </row>
    <row r="420" spans="1:18" x14ac:dyDescent="0.25">
      <c r="A420" s="6"/>
      <c r="B420" s="7">
        <v>44269</v>
      </c>
      <c r="C420" s="8" t="s">
        <v>2007</v>
      </c>
      <c r="D420" s="8" t="s">
        <v>299</v>
      </c>
      <c r="E420" s="9" t="s">
        <v>813</v>
      </c>
      <c r="F420" s="9" t="s">
        <v>814</v>
      </c>
      <c r="G420" s="17">
        <v>0.6479166666666667</v>
      </c>
      <c r="H420" s="17">
        <v>0.65625</v>
      </c>
      <c r="I420" s="9">
        <v>41840</v>
      </c>
      <c r="J420" s="9">
        <v>17610</v>
      </c>
      <c r="K420" s="10">
        <f t="shared" si="17"/>
        <v>24230</v>
      </c>
      <c r="L420" s="10">
        <v>23574</v>
      </c>
      <c r="M420" s="11" t="s">
        <v>1359</v>
      </c>
      <c r="N420" s="12">
        <v>21.6</v>
      </c>
      <c r="O420" s="13" t="s">
        <v>855</v>
      </c>
      <c r="P420" s="14"/>
    </row>
    <row r="421" spans="1:18" x14ac:dyDescent="0.25">
      <c r="A421" s="6"/>
      <c r="B421" s="7">
        <v>44269</v>
      </c>
      <c r="C421" s="8" t="s">
        <v>2007</v>
      </c>
      <c r="D421" s="8" t="s">
        <v>1672</v>
      </c>
      <c r="E421" s="9" t="s">
        <v>881</v>
      </c>
      <c r="F421" s="9" t="s">
        <v>749</v>
      </c>
      <c r="G421" s="17">
        <v>0.67361111111111116</v>
      </c>
      <c r="H421" s="17">
        <v>0.67499999999999993</v>
      </c>
      <c r="I421" s="9">
        <v>38500</v>
      </c>
      <c r="J421" s="9">
        <v>16650</v>
      </c>
      <c r="K421" s="10">
        <f t="shared" si="17"/>
        <v>21850</v>
      </c>
      <c r="L421" s="10">
        <v>23574</v>
      </c>
      <c r="M421" s="11" t="s">
        <v>1359</v>
      </c>
      <c r="N421" s="12">
        <v>21.6</v>
      </c>
      <c r="O421" s="13" t="s">
        <v>855</v>
      </c>
      <c r="P421" s="14"/>
    </row>
    <row r="422" spans="1:18" x14ac:dyDescent="0.25">
      <c r="A422" s="6"/>
      <c r="B422" s="7">
        <v>44269</v>
      </c>
      <c r="C422" s="8" t="s">
        <v>164</v>
      </c>
      <c r="D422" s="8" t="s">
        <v>1655</v>
      </c>
      <c r="E422" s="9" t="s">
        <v>172</v>
      </c>
      <c r="F422" s="9" t="s">
        <v>173</v>
      </c>
      <c r="G422" s="17">
        <v>0.67361111111111116</v>
      </c>
      <c r="H422" s="17">
        <v>0.69097222222222221</v>
      </c>
      <c r="I422" s="9">
        <v>11750</v>
      </c>
      <c r="J422" s="9">
        <v>5850</v>
      </c>
      <c r="K422" s="10">
        <f t="shared" si="17"/>
        <v>5900</v>
      </c>
      <c r="L422" s="10">
        <v>15960</v>
      </c>
      <c r="M422" s="11" t="s">
        <v>2006</v>
      </c>
      <c r="N422" s="12">
        <v>56</v>
      </c>
      <c r="O422" s="13" t="s">
        <v>96</v>
      </c>
      <c r="P422" s="14"/>
      <c r="R422" s="1">
        <f>4*2.4</f>
        <v>9.6</v>
      </c>
    </row>
    <row r="423" spans="1:18" x14ac:dyDescent="0.25">
      <c r="A423" s="6"/>
      <c r="B423" s="7">
        <v>44269</v>
      </c>
      <c r="C423" s="8" t="s">
        <v>2007</v>
      </c>
      <c r="D423" s="8" t="s">
        <v>284</v>
      </c>
      <c r="E423" s="9" t="s">
        <v>177</v>
      </c>
      <c r="F423" s="9" t="s">
        <v>178</v>
      </c>
      <c r="G423" s="17">
        <v>0.67638888888888893</v>
      </c>
      <c r="H423" s="17">
        <v>0.68472222222222223</v>
      </c>
      <c r="I423" s="9">
        <v>37250</v>
      </c>
      <c r="J423" s="9">
        <v>16410</v>
      </c>
      <c r="K423" s="10">
        <f t="shared" si="17"/>
        <v>20840</v>
      </c>
      <c r="L423" s="10">
        <v>23574</v>
      </c>
      <c r="M423" s="11" t="s">
        <v>1359</v>
      </c>
      <c r="N423" s="12">
        <v>21.6</v>
      </c>
      <c r="O423" s="13" t="s">
        <v>855</v>
      </c>
      <c r="P423" s="14"/>
    </row>
    <row r="424" spans="1:18" x14ac:dyDescent="0.25">
      <c r="A424" s="6"/>
      <c r="B424" s="7">
        <v>44269</v>
      </c>
      <c r="C424" s="8" t="s">
        <v>2007</v>
      </c>
      <c r="D424" s="8" t="s">
        <v>899</v>
      </c>
      <c r="E424" s="9" t="s">
        <v>490</v>
      </c>
      <c r="F424" s="9" t="s">
        <v>491</v>
      </c>
      <c r="G424" s="17">
        <v>0.6972222222222223</v>
      </c>
      <c r="H424" s="17">
        <v>0.70486111111111116</v>
      </c>
      <c r="I424" s="9">
        <v>36530</v>
      </c>
      <c r="J424" s="9">
        <v>15950</v>
      </c>
      <c r="K424" s="10">
        <f t="shared" si="17"/>
        <v>20580</v>
      </c>
      <c r="L424" s="10">
        <v>23574</v>
      </c>
      <c r="M424" s="11" t="s">
        <v>1359</v>
      </c>
      <c r="N424" s="12">
        <v>21.6</v>
      </c>
      <c r="O424" s="13" t="s">
        <v>855</v>
      </c>
      <c r="P424" s="14"/>
    </row>
    <row r="425" spans="1:18" x14ac:dyDescent="0.25">
      <c r="A425" s="6"/>
      <c r="B425" s="7">
        <v>44269</v>
      </c>
      <c r="C425" s="8" t="s">
        <v>2007</v>
      </c>
      <c r="D425" s="8" t="s">
        <v>94</v>
      </c>
      <c r="E425" s="9" t="s">
        <v>1774</v>
      </c>
      <c r="F425" s="9" t="s">
        <v>1775</v>
      </c>
      <c r="G425" s="17">
        <v>0.70416666666666661</v>
      </c>
      <c r="H425" s="17">
        <v>0.71527777777777779</v>
      </c>
      <c r="I425" s="9">
        <v>16830</v>
      </c>
      <c r="J425" s="9">
        <v>7500</v>
      </c>
      <c r="K425" s="10">
        <f t="shared" si="17"/>
        <v>9330</v>
      </c>
      <c r="L425" s="10">
        <v>23574</v>
      </c>
      <c r="M425" s="11" t="s">
        <v>1359</v>
      </c>
      <c r="N425" s="12">
        <v>9.6</v>
      </c>
      <c r="O425" s="13" t="s">
        <v>855</v>
      </c>
      <c r="P425" s="14"/>
    </row>
    <row r="426" spans="1:18" x14ac:dyDescent="0.25">
      <c r="A426" s="6"/>
      <c r="B426" s="7">
        <v>44269</v>
      </c>
      <c r="C426" s="8" t="s">
        <v>2007</v>
      </c>
      <c r="D426" s="8" t="s">
        <v>853</v>
      </c>
      <c r="E426" s="9" t="s">
        <v>51</v>
      </c>
      <c r="F426" s="9" t="s">
        <v>52</v>
      </c>
      <c r="G426" s="17">
        <v>0.71736111111111101</v>
      </c>
      <c r="H426" s="17">
        <v>0.72222222222222221</v>
      </c>
      <c r="I426" s="9">
        <v>33780</v>
      </c>
      <c r="J426" s="9">
        <v>15950</v>
      </c>
      <c r="K426" s="10">
        <f t="shared" si="17"/>
        <v>17830</v>
      </c>
      <c r="L426" s="10">
        <v>23574</v>
      </c>
      <c r="M426" s="11" t="s">
        <v>1359</v>
      </c>
      <c r="N426" s="12">
        <v>18</v>
      </c>
      <c r="O426" s="13" t="s">
        <v>855</v>
      </c>
      <c r="P426" s="14"/>
    </row>
    <row r="427" spans="1:18" x14ac:dyDescent="0.25">
      <c r="A427" s="6"/>
      <c r="B427" s="7">
        <v>44269</v>
      </c>
      <c r="C427" s="8" t="s">
        <v>1534</v>
      </c>
      <c r="D427" s="8" t="s">
        <v>1794</v>
      </c>
      <c r="E427" s="9" t="s">
        <v>628</v>
      </c>
      <c r="F427" s="9" t="s">
        <v>629</v>
      </c>
      <c r="G427" s="17">
        <v>0.72916666666666663</v>
      </c>
      <c r="H427" s="17">
        <v>0.74652777777777779</v>
      </c>
      <c r="I427" s="9">
        <v>13080</v>
      </c>
      <c r="J427" s="9">
        <v>9580</v>
      </c>
      <c r="K427" s="10">
        <f t="shared" si="17"/>
        <v>3500</v>
      </c>
      <c r="L427" s="10">
        <v>24606</v>
      </c>
      <c r="M427" s="11" t="s">
        <v>1400</v>
      </c>
      <c r="N427" s="12">
        <v>3500</v>
      </c>
      <c r="O427" s="13" t="s">
        <v>32</v>
      </c>
      <c r="P427" s="14"/>
    </row>
    <row r="428" spans="1:18" x14ac:dyDescent="0.25">
      <c r="A428" s="6"/>
      <c r="B428" s="7">
        <v>44269</v>
      </c>
      <c r="C428" s="8" t="s">
        <v>984</v>
      </c>
      <c r="D428" s="8" t="s">
        <v>880</v>
      </c>
      <c r="E428" s="9" t="s">
        <v>160</v>
      </c>
      <c r="F428" s="9" t="s">
        <v>161</v>
      </c>
      <c r="G428" s="17">
        <v>0.7402777777777777</v>
      </c>
      <c r="H428" s="17">
        <v>0.75902777777777775</v>
      </c>
      <c r="I428" s="9">
        <v>35980</v>
      </c>
      <c r="J428" s="9">
        <v>15090</v>
      </c>
      <c r="K428" s="10">
        <f t="shared" si="17"/>
        <v>20890</v>
      </c>
      <c r="L428" s="10">
        <v>23573</v>
      </c>
      <c r="M428" s="11" t="s">
        <v>1515</v>
      </c>
      <c r="N428" s="12">
        <f>10*2</f>
        <v>20</v>
      </c>
      <c r="O428" s="13" t="s">
        <v>855</v>
      </c>
      <c r="P428" s="14"/>
    </row>
    <row r="429" spans="1:18" x14ac:dyDescent="0.25">
      <c r="A429" s="6"/>
      <c r="B429" s="7">
        <v>44269</v>
      </c>
      <c r="C429" s="8" t="s">
        <v>941</v>
      </c>
      <c r="D429" s="8" t="s">
        <v>1355</v>
      </c>
      <c r="E429" s="9" t="s">
        <v>1048</v>
      </c>
      <c r="F429" s="9" t="s">
        <v>526</v>
      </c>
      <c r="G429" s="17">
        <v>0.7729166666666667</v>
      </c>
      <c r="H429" s="17">
        <v>0.78194444444444444</v>
      </c>
      <c r="I429" s="9">
        <v>38100</v>
      </c>
      <c r="J429" s="9">
        <v>16860</v>
      </c>
      <c r="K429" s="10">
        <f t="shared" si="17"/>
        <v>21240</v>
      </c>
      <c r="L429" s="10" t="s">
        <v>2008</v>
      </c>
      <c r="M429" s="11" t="s">
        <v>2004</v>
      </c>
      <c r="N429" s="12">
        <v>21.706</v>
      </c>
      <c r="O429" s="13" t="s">
        <v>855</v>
      </c>
      <c r="P429" s="14"/>
    </row>
    <row r="430" spans="1:18" x14ac:dyDescent="0.25">
      <c r="A430" s="6"/>
      <c r="B430" s="7">
        <v>44269</v>
      </c>
      <c r="C430" s="8" t="s">
        <v>2009</v>
      </c>
      <c r="D430" s="8" t="s">
        <v>1850</v>
      </c>
      <c r="E430" s="9" t="s">
        <v>144</v>
      </c>
      <c r="F430" s="9" t="s">
        <v>626</v>
      </c>
      <c r="G430" s="17">
        <v>0.8041666666666667</v>
      </c>
      <c r="H430" s="17">
        <v>0.82708333333333339</v>
      </c>
      <c r="I430" s="9">
        <v>34230</v>
      </c>
      <c r="J430" s="9">
        <v>15600</v>
      </c>
      <c r="K430" s="10">
        <f t="shared" si="17"/>
        <v>18630</v>
      </c>
      <c r="L430" s="10">
        <v>23576</v>
      </c>
      <c r="M430" s="11" t="s">
        <v>1515</v>
      </c>
      <c r="N430" s="12">
        <v>19.8</v>
      </c>
      <c r="O430" s="13" t="s">
        <v>855</v>
      </c>
      <c r="P430" s="14"/>
    </row>
    <row r="431" spans="1:18" x14ac:dyDescent="0.25">
      <c r="A431" s="6"/>
      <c r="B431" s="7">
        <v>44269</v>
      </c>
      <c r="C431" s="8" t="s">
        <v>2009</v>
      </c>
      <c r="D431" s="8" t="s">
        <v>299</v>
      </c>
      <c r="E431" s="9" t="s">
        <v>813</v>
      </c>
      <c r="F431" s="9" t="s">
        <v>814</v>
      </c>
      <c r="G431" s="17">
        <v>0.82500000000000007</v>
      </c>
      <c r="H431" s="17">
        <v>0.86805555555555547</v>
      </c>
      <c r="I431" s="9">
        <v>38410</v>
      </c>
      <c r="J431" s="9">
        <v>17530</v>
      </c>
      <c r="K431" s="10">
        <f t="shared" si="17"/>
        <v>20880</v>
      </c>
      <c r="L431" s="10">
        <v>23576</v>
      </c>
      <c r="M431" s="11" t="s">
        <v>1515</v>
      </c>
      <c r="N431" s="12">
        <v>22</v>
      </c>
      <c r="O431" s="13" t="s">
        <v>855</v>
      </c>
      <c r="P431" s="14"/>
    </row>
    <row r="432" spans="1:18" x14ac:dyDescent="0.25">
      <c r="A432" s="6"/>
      <c r="B432" s="7">
        <v>44269</v>
      </c>
      <c r="C432" s="8" t="s">
        <v>2010</v>
      </c>
      <c r="D432" s="8" t="s">
        <v>1672</v>
      </c>
      <c r="E432" s="9" t="s">
        <v>881</v>
      </c>
      <c r="F432" s="9" t="s">
        <v>749</v>
      </c>
      <c r="G432" s="17">
        <v>0.85555555555555562</v>
      </c>
      <c r="H432" s="17">
        <v>0.90138888888888891</v>
      </c>
      <c r="I432" s="9">
        <v>38500</v>
      </c>
      <c r="J432" s="9">
        <v>16660</v>
      </c>
      <c r="K432" s="10">
        <f t="shared" si="17"/>
        <v>21840</v>
      </c>
      <c r="L432" s="10" t="s">
        <v>2011</v>
      </c>
      <c r="M432" s="11" t="s">
        <v>2012</v>
      </c>
      <c r="N432" s="12">
        <f>15.8+6.6</f>
        <v>22.4</v>
      </c>
      <c r="O432" s="13" t="s">
        <v>855</v>
      </c>
      <c r="P432" s="14"/>
    </row>
    <row r="433" spans="1:16" x14ac:dyDescent="0.25">
      <c r="A433" s="6"/>
      <c r="B433" s="7">
        <v>44269</v>
      </c>
      <c r="C433" s="8" t="s">
        <v>985</v>
      </c>
      <c r="D433" s="8" t="s">
        <v>880</v>
      </c>
      <c r="E433" s="9" t="s">
        <v>160</v>
      </c>
      <c r="F433" s="9" t="s">
        <v>161</v>
      </c>
      <c r="G433" s="17">
        <v>0.86388888888888893</v>
      </c>
      <c r="H433" s="17">
        <v>0.90347222222222223</v>
      </c>
      <c r="I433" s="9">
        <v>38190</v>
      </c>
      <c r="J433" s="9">
        <v>16560</v>
      </c>
      <c r="K433" s="10">
        <f t="shared" si="17"/>
        <v>21630</v>
      </c>
      <c r="L433" s="10">
        <v>23577</v>
      </c>
      <c r="M433" s="11" t="s">
        <v>1515</v>
      </c>
      <c r="N433" s="12">
        <v>22</v>
      </c>
      <c r="O433" s="13" t="s">
        <v>855</v>
      </c>
      <c r="P433" s="14"/>
    </row>
    <row r="434" spans="1:16" x14ac:dyDescent="0.25">
      <c r="A434" s="6"/>
      <c r="B434" s="7">
        <v>44269</v>
      </c>
      <c r="C434" s="8" t="s">
        <v>985</v>
      </c>
      <c r="D434" s="8" t="s">
        <v>284</v>
      </c>
      <c r="E434" s="9" t="s">
        <v>177</v>
      </c>
      <c r="F434" s="9" t="s">
        <v>178</v>
      </c>
      <c r="G434" s="17">
        <v>0.87152777777777779</v>
      </c>
      <c r="H434" s="17">
        <v>0.8979166666666667</v>
      </c>
      <c r="I434" s="9">
        <v>36790</v>
      </c>
      <c r="J434" s="9">
        <v>16390</v>
      </c>
      <c r="K434" s="10">
        <f t="shared" si="17"/>
        <v>20400</v>
      </c>
      <c r="L434" s="10">
        <v>23577</v>
      </c>
      <c r="M434" s="11" t="s">
        <v>2012</v>
      </c>
      <c r="N434" s="12">
        <v>20.2</v>
      </c>
      <c r="O434" s="13" t="s">
        <v>855</v>
      </c>
      <c r="P434" s="14"/>
    </row>
    <row r="435" spans="1:16" x14ac:dyDescent="0.25">
      <c r="A435" s="6"/>
      <c r="B435" s="7">
        <v>44269</v>
      </c>
      <c r="C435" s="8" t="s">
        <v>985</v>
      </c>
      <c r="D435" s="8" t="s">
        <v>899</v>
      </c>
      <c r="E435" s="9" t="s">
        <v>490</v>
      </c>
      <c r="F435" s="9" t="s">
        <v>491</v>
      </c>
      <c r="G435" s="17">
        <v>0.8847222222222223</v>
      </c>
      <c r="H435" s="17">
        <v>0.90694444444444444</v>
      </c>
      <c r="I435" s="9">
        <v>36360</v>
      </c>
      <c r="J435" s="9">
        <v>15940</v>
      </c>
      <c r="K435" s="10">
        <f t="shared" si="17"/>
        <v>20420</v>
      </c>
      <c r="L435" s="10">
        <v>23577</v>
      </c>
      <c r="M435" s="11" t="s">
        <v>2012</v>
      </c>
      <c r="N435" s="12">
        <v>20.6</v>
      </c>
      <c r="O435" s="13" t="s">
        <v>855</v>
      </c>
      <c r="P435" s="14"/>
    </row>
    <row r="436" spans="1:16" x14ac:dyDescent="0.25">
      <c r="A436" s="6"/>
      <c r="B436" s="7">
        <v>44269</v>
      </c>
      <c r="C436" s="8" t="s">
        <v>985</v>
      </c>
      <c r="D436" s="8" t="s">
        <v>853</v>
      </c>
      <c r="E436" s="9" t="s">
        <v>51</v>
      </c>
      <c r="F436" s="9" t="s">
        <v>52</v>
      </c>
      <c r="G436" s="17">
        <v>0.89027777777777783</v>
      </c>
      <c r="H436" s="17">
        <v>0.90069444444444446</v>
      </c>
      <c r="I436" s="9">
        <v>28990</v>
      </c>
      <c r="J436" s="9">
        <v>15990</v>
      </c>
      <c r="K436" s="10">
        <f t="shared" si="17"/>
        <v>13000</v>
      </c>
      <c r="L436" s="10">
        <v>23577</v>
      </c>
      <c r="M436" s="11" t="s">
        <v>2012</v>
      </c>
      <c r="N436" s="12">
        <v>13.05</v>
      </c>
      <c r="O436" s="13" t="s">
        <v>855</v>
      </c>
      <c r="P436" s="14"/>
    </row>
    <row r="437" spans="1:16" x14ac:dyDescent="0.25">
      <c r="A437" s="6"/>
      <c r="B437" s="7">
        <v>44269</v>
      </c>
      <c r="C437" s="8" t="s">
        <v>37</v>
      </c>
      <c r="D437" s="8" t="s">
        <v>1001</v>
      </c>
      <c r="E437" s="9" t="s">
        <v>719</v>
      </c>
      <c r="F437" s="9" t="s">
        <v>36</v>
      </c>
      <c r="G437" s="17">
        <v>0.90625</v>
      </c>
      <c r="H437" s="17">
        <v>0.15555555555555556</v>
      </c>
      <c r="I437" s="9">
        <v>19895</v>
      </c>
      <c r="J437" s="9">
        <v>6320</v>
      </c>
      <c r="K437" s="10">
        <f t="shared" si="17"/>
        <v>13575</v>
      </c>
      <c r="L437" s="10">
        <v>26617</v>
      </c>
      <c r="M437" s="11" t="s">
        <v>2013</v>
      </c>
      <c r="N437" s="12">
        <v>6320</v>
      </c>
      <c r="O437" s="13" t="s">
        <v>32</v>
      </c>
      <c r="P437" s="14"/>
    </row>
    <row r="438" spans="1:16" x14ac:dyDescent="0.25">
      <c r="A438" s="6"/>
      <c r="B438" s="7">
        <v>44269</v>
      </c>
      <c r="C438" s="8" t="s">
        <v>1673</v>
      </c>
      <c r="D438" s="8" t="s">
        <v>1853</v>
      </c>
      <c r="E438" s="9" t="s">
        <v>1231</v>
      </c>
      <c r="F438" s="9" t="s">
        <v>154</v>
      </c>
      <c r="G438" s="17">
        <v>0.92638888888888893</v>
      </c>
      <c r="H438" s="17">
        <v>4.6527777777777779E-2</v>
      </c>
      <c r="I438" s="9">
        <v>12270</v>
      </c>
      <c r="J438" s="9">
        <v>4020</v>
      </c>
      <c r="K438" s="10">
        <f t="shared" si="17"/>
        <v>8250</v>
      </c>
      <c r="L438" s="10">
        <v>26616</v>
      </c>
      <c r="M438" s="11" t="s">
        <v>1515</v>
      </c>
      <c r="N438" s="12">
        <v>8250</v>
      </c>
      <c r="O438" s="13" t="s">
        <v>32</v>
      </c>
      <c r="P438" s="14"/>
    </row>
    <row r="439" spans="1:16" x14ac:dyDescent="0.25">
      <c r="A439" s="6"/>
      <c r="B439" s="7">
        <v>44269</v>
      </c>
      <c r="C439" s="8" t="s">
        <v>2014</v>
      </c>
      <c r="D439" s="8" t="s">
        <v>1355</v>
      </c>
      <c r="E439" s="9" t="s">
        <v>1048</v>
      </c>
      <c r="F439" s="9" t="s">
        <v>526</v>
      </c>
      <c r="G439" s="17">
        <v>0.9277777777777777</v>
      </c>
      <c r="H439" s="17">
        <v>0.94236111111111109</v>
      </c>
      <c r="I439" s="9">
        <v>31630</v>
      </c>
      <c r="J439" s="9">
        <v>16850</v>
      </c>
      <c r="K439" s="10">
        <f t="shared" si="17"/>
        <v>14780</v>
      </c>
      <c r="L439" s="10">
        <v>23578</v>
      </c>
      <c r="M439" s="11" t="s">
        <v>942</v>
      </c>
      <c r="N439" s="12">
        <v>16.2</v>
      </c>
      <c r="O439" s="13" t="s">
        <v>855</v>
      </c>
      <c r="P439" s="14">
        <v>3</v>
      </c>
    </row>
    <row r="440" spans="1:16" x14ac:dyDescent="0.25">
      <c r="A440" s="6"/>
      <c r="B440" s="7">
        <v>44270</v>
      </c>
      <c r="C440" s="8" t="s">
        <v>2017</v>
      </c>
      <c r="D440" s="8" t="s">
        <v>458</v>
      </c>
      <c r="E440" s="9" t="s">
        <v>699</v>
      </c>
      <c r="F440" s="9" t="s">
        <v>459</v>
      </c>
      <c r="G440" s="17">
        <v>0.18888888888888888</v>
      </c>
      <c r="H440" s="17" t="s">
        <v>2016</v>
      </c>
      <c r="I440" s="9">
        <v>14135</v>
      </c>
      <c r="J440" s="9">
        <v>8220</v>
      </c>
      <c r="K440" s="10">
        <f t="shared" si="17"/>
        <v>5915</v>
      </c>
      <c r="L440" s="10">
        <v>26618</v>
      </c>
      <c r="M440" s="11" t="s">
        <v>2015</v>
      </c>
      <c r="N440" s="12">
        <v>8220</v>
      </c>
      <c r="O440" s="13" t="s">
        <v>683</v>
      </c>
      <c r="P440" s="14"/>
    </row>
    <row r="441" spans="1:16" x14ac:dyDescent="0.25">
      <c r="A441" s="6"/>
      <c r="B441" s="15">
        <v>44270</v>
      </c>
      <c r="C441" s="8" t="s">
        <v>2018</v>
      </c>
      <c r="D441" s="8" t="s">
        <v>94</v>
      </c>
      <c r="E441" s="9" t="s">
        <v>1774</v>
      </c>
      <c r="F441" s="9" t="s">
        <v>1775</v>
      </c>
      <c r="G441" s="17">
        <v>0.3611111111111111</v>
      </c>
      <c r="H441" s="17">
        <v>0.38194444444444442</v>
      </c>
      <c r="I441" s="9">
        <v>12590</v>
      </c>
      <c r="J441" s="9">
        <v>7460</v>
      </c>
      <c r="K441" s="10">
        <f t="shared" si="17"/>
        <v>5130</v>
      </c>
      <c r="L441" s="10">
        <v>23579</v>
      </c>
      <c r="M441" s="11" t="s">
        <v>1041</v>
      </c>
      <c r="N441" s="12">
        <v>4.8</v>
      </c>
      <c r="O441" s="13" t="s">
        <v>855</v>
      </c>
      <c r="P441" s="14"/>
    </row>
    <row r="442" spans="1:16" x14ac:dyDescent="0.25">
      <c r="A442" s="6"/>
      <c r="B442" s="7">
        <v>44270</v>
      </c>
      <c r="C442" s="8" t="s">
        <v>164</v>
      </c>
      <c r="D442" s="8" t="s">
        <v>1355</v>
      </c>
      <c r="E442" s="9" t="s">
        <v>1048</v>
      </c>
      <c r="F442" s="9" t="s">
        <v>526</v>
      </c>
      <c r="G442" s="17">
        <v>0.38750000000000001</v>
      </c>
      <c r="H442" s="17">
        <v>0.41319444444444442</v>
      </c>
      <c r="I442" s="9">
        <v>17440</v>
      </c>
      <c r="J442" s="9">
        <v>42690</v>
      </c>
      <c r="K442" s="10">
        <f t="shared" si="17"/>
        <v>-25250</v>
      </c>
      <c r="L442" s="10">
        <v>15899</v>
      </c>
      <c r="M442" s="11" t="s">
        <v>166</v>
      </c>
      <c r="N442" s="12">
        <v>504</v>
      </c>
      <c r="O442" s="13" t="s">
        <v>1099</v>
      </c>
      <c r="P442" s="14"/>
    </row>
    <row r="443" spans="1:16" x14ac:dyDescent="0.25">
      <c r="A443" s="6"/>
      <c r="B443" s="7">
        <v>44270</v>
      </c>
      <c r="C443" s="8" t="s">
        <v>164</v>
      </c>
      <c r="D443" s="8" t="s">
        <v>880</v>
      </c>
      <c r="E443" s="9" t="s">
        <v>160</v>
      </c>
      <c r="F443" s="9" t="s">
        <v>161</v>
      </c>
      <c r="G443" s="17">
        <v>0.3979166666666667</v>
      </c>
      <c r="H443" s="17">
        <v>0.43472222222222223</v>
      </c>
      <c r="I443" s="9">
        <v>18680</v>
      </c>
      <c r="J443" s="9">
        <v>43970</v>
      </c>
      <c r="K443" s="10">
        <f t="shared" si="17"/>
        <v>-25290</v>
      </c>
      <c r="L443" s="10">
        <v>15900</v>
      </c>
      <c r="M443" s="11" t="s">
        <v>166</v>
      </c>
      <c r="N443" s="12">
        <v>504</v>
      </c>
      <c r="O443" s="13" t="s">
        <v>1099</v>
      </c>
      <c r="P443" s="14"/>
    </row>
    <row r="444" spans="1:16" x14ac:dyDescent="0.25">
      <c r="A444" s="6"/>
      <c r="B444" s="7">
        <v>44270</v>
      </c>
      <c r="C444" s="8" t="s">
        <v>164</v>
      </c>
      <c r="D444" s="8" t="s">
        <v>1850</v>
      </c>
      <c r="E444" s="9" t="s">
        <v>144</v>
      </c>
      <c r="F444" s="9" t="s">
        <v>626</v>
      </c>
      <c r="G444" s="17">
        <v>0.44444444444444442</v>
      </c>
      <c r="H444" s="17">
        <v>0.47847222222222219</v>
      </c>
      <c r="I444" s="9">
        <v>16930</v>
      </c>
      <c r="J444" s="9">
        <v>42200</v>
      </c>
      <c r="K444" s="10">
        <f t="shared" si="17"/>
        <v>-25270</v>
      </c>
      <c r="L444" s="10">
        <v>15901</v>
      </c>
      <c r="M444" s="11" t="s">
        <v>166</v>
      </c>
      <c r="N444" s="12">
        <v>504</v>
      </c>
      <c r="O444" s="13" t="s">
        <v>1099</v>
      </c>
      <c r="P444" s="14"/>
    </row>
    <row r="445" spans="1:16" x14ac:dyDescent="0.25">
      <c r="A445" s="6"/>
      <c r="B445" s="7">
        <v>44270</v>
      </c>
      <c r="C445" s="8" t="s">
        <v>164</v>
      </c>
      <c r="D445" s="8" t="s">
        <v>1355</v>
      </c>
      <c r="E445" s="9" t="s">
        <v>1048</v>
      </c>
      <c r="F445" s="9" t="s">
        <v>526</v>
      </c>
      <c r="G445" s="17">
        <v>0.4770833333333333</v>
      </c>
      <c r="H445" s="17">
        <v>0.50763888888888886</v>
      </c>
      <c r="I445" s="9">
        <v>17430</v>
      </c>
      <c r="J445" s="9">
        <v>42750</v>
      </c>
      <c r="K445" s="10">
        <f t="shared" si="17"/>
        <v>-25320</v>
      </c>
      <c r="L445" s="10">
        <v>15902</v>
      </c>
      <c r="M445" s="11" t="s">
        <v>166</v>
      </c>
      <c r="N445" s="12">
        <f>210+294</f>
        <v>504</v>
      </c>
      <c r="O445" s="13" t="s">
        <v>1099</v>
      </c>
      <c r="P445" s="14"/>
    </row>
    <row r="446" spans="1:16" x14ac:dyDescent="0.25">
      <c r="A446" s="6"/>
      <c r="B446" s="7">
        <v>44270</v>
      </c>
      <c r="C446" s="8" t="s">
        <v>2019</v>
      </c>
      <c r="D446" s="8" t="s">
        <v>1794</v>
      </c>
      <c r="E446" s="9" t="s">
        <v>628</v>
      </c>
      <c r="F446" s="9" t="s">
        <v>629</v>
      </c>
      <c r="G446" s="17">
        <v>0.4826388888888889</v>
      </c>
      <c r="H446" s="17">
        <v>0.48888888888888887</v>
      </c>
      <c r="I446" s="9">
        <v>17170</v>
      </c>
      <c r="J446" s="9">
        <v>9640</v>
      </c>
      <c r="K446" s="10">
        <f t="shared" si="17"/>
        <v>7530</v>
      </c>
      <c r="L446" s="10">
        <v>23580</v>
      </c>
      <c r="M446" s="11" t="s">
        <v>2020</v>
      </c>
      <c r="N446" s="12">
        <v>7.7489999999999997</v>
      </c>
      <c r="O446" s="13" t="s">
        <v>855</v>
      </c>
      <c r="P446" s="14"/>
    </row>
    <row r="447" spans="1:16" x14ac:dyDescent="0.25">
      <c r="A447" s="6"/>
      <c r="B447" s="7">
        <v>44270</v>
      </c>
      <c r="C447" s="8" t="s">
        <v>1534</v>
      </c>
      <c r="D447" s="8" t="s">
        <v>1084</v>
      </c>
      <c r="E447" s="9" t="s">
        <v>502</v>
      </c>
      <c r="F447" s="9" t="s">
        <v>1647</v>
      </c>
      <c r="G447" s="17">
        <v>0.50902777777777775</v>
      </c>
      <c r="H447" s="17">
        <v>0.54583333333333328</v>
      </c>
      <c r="I447" s="9">
        <v>6010</v>
      </c>
      <c r="J447" s="9">
        <v>5270</v>
      </c>
      <c r="K447" s="10">
        <f t="shared" si="17"/>
        <v>740</v>
      </c>
      <c r="L447" s="10">
        <v>4447</v>
      </c>
      <c r="M447" s="11" t="s">
        <v>2021</v>
      </c>
      <c r="N447" s="12">
        <v>740</v>
      </c>
      <c r="O447" s="13" t="s">
        <v>683</v>
      </c>
      <c r="P447" s="14"/>
    </row>
    <row r="448" spans="1:16" x14ac:dyDescent="0.25">
      <c r="A448" s="6"/>
      <c r="B448" s="7">
        <v>44270</v>
      </c>
      <c r="C448" s="8" t="s">
        <v>1869</v>
      </c>
      <c r="D448" s="8" t="s">
        <v>899</v>
      </c>
      <c r="E448" s="9" t="s">
        <v>490</v>
      </c>
      <c r="F448" s="9" t="s">
        <v>491</v>
      </c>
      <c r="G448" s="17">
        <v>0.51041666666666663</v>
      </c>
      <c r="H448" s="17">
        <v>0.51944444444444449</v>
      </c>
      <c r="I448" s="9">
        <v>28530</v>
      </c>
      <c r="J448" s="9">
        <v>15970</v>
      </c>
      <c r="K448" s="10">
        <f t="shared" si="17"/>
        <v>12560</v>
      </c>
      <c r="L448" s="10">
        <v>23581</v>
      </c>
      <c r="M448" s="11" t="s">
        <v>2022</v>
      </c>
      <c r="N448" s="12">
        <v>12.811</v>
      </c>
      <c r="O448" s="13" t="s">
        <v>855</v>
      </c>
      <c r="P448" s="14"/>
    </row>
    <row r="449" spans="1:16" x14ac:dyDescent="0.25">
      <c r="A449" s="6"/>
      <c r="B449" s="7">
        <v>44270</v>
      </c>
      <c r="C449" s="8" t="s">
        <v>164</v>
      </c>
      <c r="D449" s="8" t="s">
        <v>880</v>
      </c>
      <c r="E449" s="9" t="s">
        <v>160</v>
      </c>
      <c r="F449" s="9" t="s">
        <v>161</v>
      </c>
      <c r="G449" s="17">
        <v>0.53541666666666665</v>
      </c>
      <c r="H449" s="17">
        <v>0.56736111111111109</v>
      </c>
      <c r="I449" s="9">
        <v>18720</v>
      </c>
      <c r="J449" s="9">
        <v>44010</v>
      </c>
      <c r="K449" s="10">
        <f t="shared" si="17"/>
        <v>-25290</v>
      </c>
      <c r="L449" s="10">
        <v>15903</v>
      </c>
      <c r="M449" s="11" t="s">
        <v>166</v>
      </c>
      <c r="N449" s="12">
        <v>504</v>
      </c>
      <c r="O449" s="13" t="s">
        <v>1099</v>
      </c>
      <c r="P449" s="14"/>
    </row>
    <row r="450" spans="1:16" x14ac:dyDescent="0.25">
      <c r="A450" s="6"/>
      <c r="B450" s="7">
        <v>44270</v>
      </c>
      <c r="C450" s="8" t="s">
        <v>2029</v>
      </c>
      <c r="D450" s="8" t="s">
        <v>2023</v>
      </c>
      <c r="E450" s="9" t="s">
        <v>2024</v>
      </c>
      <c r="F450" s="9" t="s">
        <v>36</v>
      </c>
      <c r="G450" s="17">
        <v>0.53680555555555554</v>
      </c>
      <c r="H450" s="17">
        <v>0.63472222222222219</v>
      </c>
      <c r="I450" s="9">
        <v>4870</v>
      </c>
      <c r="J450" s="9">
        <v>6150</v>
      </c>
      <c r="K450" s="10">
        <f t="shared" si="17"/>
        <v>-1280</v>
      </c>
      <c r="L450" s="10">
        <v>15907</v>
      </c>
      <c r="M450" s="11" t="s">
        <v>2028</v>
      </c>
      <c r="N450" s="12">
        <v>1280</v>
      </c>
      <c r="O450" s="13" t="s">
        <v>683</v>
      </c>
      <c r="P450" s="14"/>
    </row>
    <row r="451" spans="1:16" x14ac:dyDescent="0.25">
      <c r="A451" s="6"/>
      <c r="B451" s="7">
        <v>44270</v>
      </c>
      <c r="C451" s="8" t="s">
        <v>1913</v>
      </c>
      <c r="D451" s="8" t="s">
        <v>299</v>
      </c>
      <c r="E451" s="9" t="s">
        <v>813</v>
      </c>
      <c r="F451" s="9" t="s">
        <v>814</v>
      </c>
      <c r="G451" s="17">
        <v>0.53749999999999998</v>
      </c>
      <c r="H451" s="17">
        <v>0.55486111111111114</v>
      </c>
      <c r="I451" s="9">
        <v>28110</v>
      </c>
      <c r="J451" s="9">
        <v>17530</v>
      </c>
      <c r="K451" s="10">
        <f t="shared" si="17"/>
        <v>10580</v>
      </c>
      <c r="L451" s="10">
        <v>23582</v>
      </c>
      <c r="M451" s="11" t="s">
        <v>1041</v>
      </c>
      <c r="N451" s="12">
        <v>9.6</v>
      </c>
      <c r="O451" s="13" t="s">
        <v>855</v>
      </c>
      <c r="P451" s="14"/>
    </row>
    <row r="452" spans="1:16" x14ac:dyDescent="0.25">
      <c r="A452" s="6"/>
      <c r="B452" s="7">
        <v>44270</v>
      </c>
      <c r="C452" s="8" t="s">
        <v>991</v>
      </c>
      <c r="D452" s="8" t="s">
        <v>284</v>
      </c>
      <c r="E452" s="9" t="s">
        <v>177</v>
      </c>
      <c r="F452" s="9" t="s">
        <v>178</v>
      </c>
      <c r="G452" s="17">
        <v>0.56388888888888888</v>
      </c>
      <c r="H452" s="17">
        <v>0.57708333333333328</v>
      </c>
      <c r="I452" s="9">
        <v>39330</v>
      </c>
      <c r="J452" s="9">
        <v>16360</v>
      </c>
      <c r="K452" s="10">
        <f t="shared" si="17"/>
        <v>22970</v>
      </c>
      <c r="L452" s="10">
        <v>23583</v>
      </c>
      <c r="M452" s="11" t="s">
        <v>1474</v>
      </c>
      <c r="N452" s="12">
        <v>23.346</v>
      </c>
      <c r="O452" s="13" t="s">
        <v>855</v>
      </c>
      <c r="P452" s="14"/>
    </row>
    <row r="453" spans="1:16" x14ac:dyDescent="0.25">
      <c r="A453" s="6"/>
      <c r="B453" s="7">
        <v>44270</v>
      </c>
      <c r="C453" s="8" t="s">
        <v>1673</v>
      </c>
      <c r="D453" s="8" t="s">
        <v>2026</v>
      </c>
      <c r="E453" s="9" t="s">
        <v>1838</v>
      </c>
      <c r="F453" s="9" t="s">
        <v>36</v>
      </c>
      <c r="G453" s="17">
        <v>0.56597222222222221</v>
      </c>
      <c r="H453" s="17">
        <v>0.60069444444444442</v>
      </c>
      <c r="I453" s="9">
        <v>6360</v>
      </c>
      <c r="J453" s="9">
        <v>2650</v>
      </c>
      <c r="K453" s="10">
        <f t="shared" si="17"/>
        <v>3710</v>
      </c>
      <c r="L453" s="10">
        <v>26620</v>
      </c>
      <c r="M453" s="11" t="s">
        <v>1676</v>
      </c>
      <c r="N453" s="12">
        <v>3710</v>
      </c>
      <c r="O453" s="13" t="s">
        <v>32</v>
      </c>
      <c r="P453" s="14"/>
    </row>
    <row r="454" spans="1:16" x14ac:dyDescent="0.25">
      <c r="A454" s="6"/>
      <c r="B454" s="7">
        <v>44270</v>
      </c>
      <c r="C454" s="8" t="s">
        <v>1673</v>
      </c>
      <c r="D454" s="8" t="s">
        <v>2025</v>
      </c>
      <c r="E454" s="9" t="s">
        <v>1814</v>
      </c>
      <c r="F454" s="9" t="s">
        <v>36</v>
      </c>
      <c r="G454" s="17">
        <v>0.56944444444444442</v>
      </c>
      <c r="H454" s="17">
        <v>0.59930555555555554</v>
      </c>
      <c r="I454" s="9">
        <v>7740</v>
      </c>
      <c r="J454" s="9">
        <v>5600</v>
      </c>
      <c r="K454" s="10">
        <f t="shared" si="17"/>
        <v>2140</v>
      </c>
      <c r="L454" s="10">
        <v>26619</v>
      </c>
      <c r="M454" s="11" t="s">
        <v>1676</v>
      </c>
      <c r="N454" s="12">
        <v>2140</v>
      </c>
      <c r="O454" s="13" t="s">
        <v>32</v>
      </c>
      <c r="P454" s="14"/>
    </row>
    <row r="455" spans="1:16" x14ac:dyDescent="0.25">
      <c r="A455" s="6"/>
      <c r="B455" s="7">
        <v>44270</v>
      </c>
      <c r="C455" s="8" t="s">
        <v>991</v>
      </c>
      <c r="D455" s="8" t="s">
        <v>1672</v>
      </c>
      <c r="E455" s="9" t="s">
        <v>881</v>
      </c>
      <c r="F455" s="9" t="s">
        <v>749</v>
      </c>
      <c r="G455" s="17">
        <v>0.5708333333333333</v>
      </c>
      <c r="H455" s="17">
        <v>0.59236111111111112</v>
      </c>
      <c r="I455" s="9">
        <v>39850</v>
      </c>
      <c r="J455" s="9">
        <v>16630</v>
      </c>
      <c r="K455" s="10">
        <f t="shared" si="17"/>
        <v>23220</v>
      </c>
      <c r="L455" s="10">
        <v>23583</v>
      </c>
      <c r="M455" s="11" t="s">
        <v>1474</v>
      </c>
      <c r="N455" s="12">
        <v>23.6</v>
      </c>
      <c r="O455" s="13" t="s">
        <v>855</v>
      </c>
      <c r="P455" s="14"/>
    </row>
    <row r="456" spans="1:16" x14ac:dyDescent="0.25">
      <c r="A456" s="6"/>
      <c r="B456" s="7">
        <v>44270</v>
      </c>
      <c r="C456" s="8" t="s">
        <v>164</v>
      </c>
      <c r="D456" s="8" t="s">
        <v>1850</v>
      </c>
      <c r="E456" s="9" t="s">
        <v>144</v>
      </c>
      <c r="F456" s="9" t="s">
        <v>626</v>
      </c>
      <c r="G456" s="17">
        <v>0.57222222222222219</v>
      </c>
      <c r="H456" s="17">
        <v>0.60347222222222219</v>
      </c>
      <c r="I456" s="9">
        <v>16980</v>
      </c>
      <c r="J456" s="9">
        <v>42230</v>
      </c>
      <c r="K456" s="10">
        <f t="shared" si="17"/>
        <v>-25250</v>
      </c>
      <c r="L456" s="10">
        <v>15904</v>
      </c>
      <c r="M456" s="11" t="s">
        <v>166</v>
      </c>
      <c r="N456" s="12">
        <f>168+336</f>
        <v>504</v>
      </c>
      <c r="O456" s="13" t="s">
        <v>1099</v>
      </c>
      <c r="P456" s="14"/>
    </row>
    <row r="457" spans="1:16" x14ac:dyDescent="0.25">
      <c r="A457" s="6"/>
      <c r="B457" s="7">
        <v>44270</v>
      </c>
      <c r="C457" s="8" t="s">
        <v>991</v>
      </c>
      <c r="D457" s="8" t="s">
        <v>1794</v>
      </c>
      <c r="E457" s="9" t="s">
        <v>628</v>
      </c>
      <c r="F457" s="9" t="s">
        <v>629</v>
      </c>
      <c r="G457" s="17">
        <v>0.57916666666666672</v>
      </c>
      <c r="H457" s="17">
        <v>0.62361111111111112</v>
      </c>
      <c r="I457" s="9">
        <v>21240</v>
      </c>
      <c r="J457" s="9">
        <v>9580</v>
      </c>
      <c r="K457" s="10">
        <f t="shared" si="17"/>
        <v>11660</v>
      </c>
      <c r="L457" s="10">
        <v>23583</v>
      </c>
      <c r="M457" s="11" t="s">
        <v>1041</v>
      </c>
      <c r="N457" s="12">
        <v>11.6</v>
      </c>
      <c r="O457" s="13" t="s">
        <v>855</v>
      </c>
      <c r="P457" s="14"/>
    </row>
    <row r="458" spans="1:16" x14ac:dyDescent="0.25">
      <c r="A458" s="6"/>
      <c r="B458" s="7">
        <v>44270</v>
      </c>
      <c r="C458" s="8" t="s">
        <v>164</v>
      </c>
      <c r="D458" s="8" t="s">
        <v>1355</v>
      </c>
      <c r="E458" s="9" t="s">
        <v>1048</v>
      </c>
      <c r="F458" s="9" t="s">
        <v>526</v>
      </c>
      <c r="G458" s="17">
        <v>0.59513888888888888</v>
      </c>
      <c r="H458" s="17">
        <v>0.62569444444444444</v>
      </c>
      <c r="I458" s="9">
        <v>17420</v>
      </c>
      <c r="J458" s="9">
        <v>42620</v>
      </c>
      <c r="K458" s="10">
        <f t="shared" si="17"/>
        <v>-25200</v>
      </c>
      <c r="L458" s="10">
        <v>15905</v>
      </c>
      <c r="M458" s="11" t="s">
        <v>166</v>
      </c>
      <c r="N458" s="12">
        <v>504</v>
      </c>
      <c r="O458" s="13" t="s">
        <v>1099</v>
      </c>
      <c r="P458" s="14"/>
    </row>
    <row r="459" spans="1:16" x14ac:dyDescent="0.25">
      <c r="A459" s="6"/>
      <c r="B459" s="7">
        <v>44270</v>
      </c>
      <c r="C459" s="8" t="s">
        <v>1582</v>
      </c>
      <c r="D459" s="8" t="s">
        <v>1862</v>
      </c>
      <c r="E459" s="9" t="s">
        <v>1863</v>
      </c>
      <c r="F459" s="9" t="s">
        <v>36</v>
      </c>
      <c r="G459" s="17">
        <v>0.61458333333333337</v>
      </c>
      <c r="H459" s="17">
        <v>0.6791666666666667</v>
      </c>
      <c r="I459" s="9">
        <v>53940</v>
      </c>
      <c r="J459" s="9">
        <v>18630</v>
      </c>
      <c r="K459" s="10">
        <f t="shared" si="17"/>
        <v>35310</v>
      </c>
      <c r="L459" s="10">
        <v>959</v>
      </c>
      <c r="M459" s="11" t="s">
        <v>306</v>
      </c>
      <c r="N459" s="12">
        <v>10000</v>
      </c>
      <c r="O459" s="13" t="s">
        <v>84</v>
      </c>
      <c r="P459" s="14"/>
    </row>
    <row r="460" spans="1:16" x14ac:dyDescent="0.25">
      <c r="A460" s="6"/>
      <c r="B460" s="7">
        <v>44270</v>
      </c>
      <c r="C460" s="8" t="s">
        <v>991</v>
      </c>
      <c r="D460" s="8" t="s">
        <v>899</v>
      </c>
      <c r="E460" s="9" t="s">
        <v>490</v>
      </c>
      <c r="F460" s="9" t="s">
        <v>491</v>
      </c>
      <c r="G460" s="17">
        <v>0.62013888888888891</v>
      </c>
      <c r="H460" s="17">
        <v>0.64583333333333337</v>
      </c>
      <c r="I460" s="9">
        <v>39330</v>
      </c>
      <c r="J460" s="9">
        <v>15920</v>
      </c>
      <c r="K460" s="10">
        <f t="shared" si="17"/>
        <v>23410</v>
      </c>
      <c r="L460" s="10">
        <v>23583</v>
      </c>
      <c r="M460" s="11" t="s">
        <v>2027</v>
      </c>
      <c r="N460" s="12">
        <v>23.6</v>
      </c>
      <c r="O460" s="13" t="s">
        <v>855</v>
      </c>
      <c r="P460" s="14"/>
    </row>
    <row r="461" spans="1:16" x14ac:dyDescent="0.25">
      <c r="A461" s="6"/>
      <c r="B461" s="7">
        <v>44270</v>
      </c>
      <c r="C461" s="8" t="s">
        <v>164</v>
      </c>
      <c r="D461" s="8" t="s">
        <v>880</v>
      </c>
      <c r="E461" s="9" t="s">
        <v>160</v>
      </c>
      <c r="F461" s="9" t="s">
        <v>161</v>
      </c>
      <c r="G461" s="17">
        <v>0.62916666666666665</v>
      </c>
      <c r="H461" s="17">
        <v>0.65486111111111112</v>
      </c>
      <c r="I461" s="9">
        <v>18690</v>
      </c>
      <c r="J461" s="9">
        <v>42980</v>
      </c>
      <c r="K461" s="10">
        <f t="shared" si="17"/>
        <v>-24290</v>
      </c>
      <c r="L461" s="10">
        <v>15906</v>
      </c>
      <c r="M461" s="11" t="s">
        <v>166</v>
      </c>
      <c r="N461" s="12">
        <v>485</v>
      </c>
      <c r="O461" s="13" t="s">
        <v>1099</v>
      </c>
      <c r="P461" s="14"/>
    </row>
    <row r="462" spans="1:16" x14ac:dyDescent="0.25">
      <c r="A462" s="6"/>
      <c r="B462" s="7">
        <v>44270</v>
      </c>
      <c r="C462" s="8" t="s">
        <v>2029</v>
      </c>
      <c r="D462" s="8" t="s">
        <v>2023</v>
      </c>
      <c r="E462" s="9" t="s">
        <v>2024</v>
      </c>
      <c r="F462" s="9" t="s">
        <v>36</v>
      </c>
      <c r="G462" s="17">
        <v>0.63472222222222219</v>
      </c>
      <c r="H462" s="17">
        <v>0.65833333333333333</v>
      </c>
      <c r="I462" s="9">
        <v>6150</v>
      </c>
      <c r="J462" s="9">
        <v>9140</v>
      </c>
      <c r="K462" s="10">
        <f t="shared" si="17"/>
        <v>-2990</v>
      </c>
      <c r="L462" s="10">
        <v>15907</v>
      </c>
      <c r="M462" s="11" t="s">
        <v>2032</v>
      </c>
      <c r="N462" s="12">
        <v>2990</v>
      </c>
      <c r="O462" s="13" t="s">
        <v>32</v>
      </c>
      <c r="P462" s="14"/>
    </row>
    <row r="463" spans="1:16" x14ac:dyDescent="0.25">
      <c r="A463" s="6"/>
      <c r="B463" s="7">
        <v>44270</v>
      </c>
      <c r="C463" s="8" t="s">
        <v>2030</v>
      </c>
      <c r="D463" s="8" t="s">
        <v>299</v>
      </c>
      <c r="E463" s="9" t="s">
        <v>813</v>
      </c>
      <c r="F463" s="9" t="s">
        <v>814</v>
      </c>
      <c r="G463" s="17">
        <v>0.6430555555555556</v>
      </c>
      <c r="H463" s="17">
        <v>0.66180555555555554</v>
      </c>
      <c r="I463" s="9">
        <v>36260</v>
      </c>
      <c r="J463" s="9">
        <v>17510</v>
      </c>
      <c r="K463" s="10">
        <f t="shared" si="17"/>
        <v>18750</v>
      </c>
      <c r="L463" s="10" t="s">
        <v>2031</v>
      </c>
      <c r="M463" s="11" t="s">
        <v>2027</v>
      </c>
      <c r="N463" s="12">
        <v>18.8</v>
      </c>
      <c r="O463" s="13" t="s">
        <v>855</v>
      </c>
      <c r="P463" s="14"/>
    </row>
    <row r="464" spans="1:16" x14ac:dyDescent="0.25">
      <c r="A464" s="6"/>
      <c r="B464" s="7">
        <v>44270</v>
      </c>
      <c r="C464" s="8" t="s">
        <v>1534</v>
      </c>
      <c r="D464" s="8" t="s">
        <v>1084</v>
      </c>
      <c r="E464" s="9" t="s">
        <v>502</v>
      </c>
      <c r="F464" s="9" t="s">
        <v>1647</v>
      </c>
      <c r="G464" s="17">
        <v>0.66319444444444442</v>
      </c>
      <c r="H464" s="17">
        <v>0.68541666666666667</v>
      </c>
      <c r="I464" s="9">
        <v>5870</v>
      </c>
      <c r="J464" s="9">
        <v>5410</v>
      </c>
      <c r="K464" s="10">
        <f t="shared" si="17"/>
        <v>460</v>
      </c>
      <c r="L464" s="10">
        <v>20191</v>
      </c>
      <c r="M464" s="11" t="s">
        <v>1873</v>
      </c>
      <c r="N464" s="12">
        <v>460</v>
      </c>
      <c r="O464" s="13" t="s">
        <v>32</v>
      </c>
      <c r="P464" s="14"/>
    </row>
    <row r="465" spans="1:23" x14ac:dyDescent="0.25">
      <c r="A465" s="6"/>
      <c r="B465" s="7">
        <v>44270</v>
      </c>
      <c r="C465" s="8" t="s">
        <v>1766</v>
      </c>
      <c r="D465" s="8" t="s">
        <v>284</v>
      </c>
      <c r="E465" s="9" t="s">
        <v>177</v>
      </c>
      <c r="F465" s="9" t="s">
        <v>178</v>
      </c>
      <c r="G465" s="17">
        <v>0.67569444444444438</v>
      </c>
      <c r="H465" s="17">
        <v>0.69236111111111109</v>
      </c>
      <c r="I465" s="9">
        <v>37800</v>
      </c>
      <c r="J465" s="9">
        <v>16330</v>
      </c>
      <c r="K465" s="10">
        <f t="shared" si="17"/>
        <v>21470</v>
      </c>
      <c r="L465" s="10">
        <v>23585</v>
      </c>
      <c r="M465" s="11" t="s">
        <v>1041</v>
      </c>
      <c r="N465" s="12">
        <v>21</v>
      </c>
      <c r="O465" s="13" t="s">
        <v>855</v>
      </c>
      <c r="P465" s="14"/>
    </row>
    <row r="466" spans="1:23" x14ac:dyDescent="0.25">
      <c r="A466" s="6"/>
      <c r="B466" s="7">
        <v>44270</v>
      </c>
      <c r="C466" s="8" t="s">
        <v>1582</v>
      </c>
      <c r="D466" s="8" t="s">
        <v>1427</v>
      </c>
      <c r="E466" s="9" t="s">
        <v>636</v>
      </c>
      <c r="F466" s="9" t="s">
        <v>36</v>
      </c>
      <c r="G466" s="17">
        <v>0.68333333333333324</v>
      </c>
      <c r="H466" s="17">
        <v>0.75069444444444444</v>
      </c>
      <c r="I466" s="9">
        <v>54510</v>
      </c>
      <c r="J466" s="9">
        <v>19250</v>
      </c>
      <c r="K466" s="10">
        <f t="shared" si="17"/>
        <v>35260</v>
      </c>
      <c r="L466" s="10">
        <v>960</v>
      </c>
      <c r="M466" s="11" t="s">
        <v>306</v>
      </c>
      <c r="N466" s="12">
        <v>10000</v>
      </c>
      <c r="O466" s="13" t="s">
        <v>84</v>
      </c>
      <c r="P466" s="14"/>
    </row>
    <row r="467" spans="1:23" x14ac:dyDescent="0.25">
      <c r="A467" s="6"/>
      <c r="B467" s="7">
        <v>44270</v>
      </c>
      <c r="C467" s="8" t="s">
        <v>1721</v>
      </c>
      <c r="D467" s="8" t="s">
        <v>1355</v>
      </c>
      <c r="E467" s="9" t="s">
        <v>1048</v>
      </c>
      <c r="F467" s="9" t="s">
        <v>526</v>
      </c>
      <c r="G467" s="17">
        <v>0.69513888888888886</v>
      </c>
      <c r="H467" s="17">
        <v>0.72916666666666663</v>
      </c>
      <c r="I467" s="9">
        <v>16120</v>
      </c>
      <c r="J467" s="9">
        <v>39680</v>
      </c>
      <c r="K467" s="10">
        <f t="shared" ref="K467:K530" si="20">+I467-J467</f>
        <v>-23560</v>
      </c>
      <c r="L467" s="10">
        <v>5844</v>
      </c>
      <c r="M467" s="11" t="s">
        <v>2033</v>
      </c>
      <c r="N467" s="12">
        <v>22398</v>
      </c>
      <c r="O467" s="13" t="s">
        <v>32</v>
      </c>
      <c r="P467" s="14" t="s">
        <v>2036</v>
      </c>
      <c r="R467" s="1" t="s">
        <v>91</v>
      </c>
      <c r="S467" s="1">
        <v>57</v>
      </c>
      <c r="T467" s="18">
        <v>8</v>
      </c>
      <c r="U467" s="1">
        <f>+T467*S467</f>
        <v>456</v>
      </c>
    </row>
    <row r="468" spans="1:23" x14ac:dyDescent="0.25">
      <c r="A468" s="6"/>
      <c r="B468" s="7">
        <v>44270</v>
      </c>
      <c r="C468" s="8" t="s">
        <v>1369</v>
      </c>
      <c r="D468" s="8" t="s">
        <v>2034</v>
      </c>
      <c r="E468" s="9" t="s">
        <v>1661</v>
      </c>
      <c r="F468" s="9" t="s">
        <v>1276</v>
      </c>
      <c r="G468" s="17">
        <v>0.71319444444444446</v>
      </c>
      <c r="H468" s="17">
        <v>0.7319444444444444</v>
      </c>
      <c r="I468" s="9">
        <v>16640</v>
      </c>
      <c r="J468" s="9">
        <v>14210</v>
      </c>
      <c r="K468" s="10">
        <f t="shared" si="20"/>
        <v>2430</v>
      </c>
      <c r="L468" s="10">
        <v>23587</v>
      </c>
      <c r="M468" s="11" t="s">
        <v>2035</v>
      </c>
      <c r="N468" s="12">
        <v>2.2400000000000002</v>
      </c>
      <c r="O468" s="13" t="s">
        <v>855</v>
      </c>
      <c r="P468" s="14"/>
      <c r="R468" s="1" t="s">
        <v>646</v>
      </c>
      <c r="S468" s="1">
        <v>58</v>
      </c>
      <c r="T468" s="18">
        <v>10</v>
      </c>
      <c r="U468" s="1">
        <f>+T468*S468</f>
        <v>580</v>
      </c>
    </row>
    <row r="469" spans="1:23" x14ac:dyDescent="0.25">
      <c r="A469" s="6"/>
      <c r="B469" s="7">
        <v>44270</v>
      </c>
      <c r="C469" s="8" t="s">
        <v>1369</v>
      </c>
      <c r="D469" s="8" t="s">
        <v>1794</v>
      </c>
      <c r="E469" s="9" t="s">
        <v>628</v>
      </c>
      <c r="F469" s="9" t="s">
        <v>629</v>
      </c>
      <c r="G469" s="17">
        <v>0.72361111111111109</v>
      </c>
      <c r="H469" s="17">
        <v>0.73333333333333339</v>
      </c>
      <c r="I469" s="9">
        <v>11670</v>
      </c>
      <c r="J469" s="9">
        <v>9700</v>
      </c>
      <c r="K469" s="10">
        <f t="shared" si="20"/>
        <v>1970</v>
      </c>
      <c r="L469" s="10">
        <v>23588</v>
      </c>
      <c r="M469" s="11" t="s">
        <v>1474</v>
      </c>
      <c r="N469" s="12">
        <v>1970</v>
      </c>
      <c r="O469" s="13" t="s">
        <v>32</v>
      </c>
      <c r="P469" s="14" t="s">
        <v>1250</v>
      </c>
      <c r="R469" s="1" t="s">
        <v>669</v>
      </c>
      <c r="S469" s="1">
        <v>63</v>
      </c>
      <c r="T469" s="18">
        <v>2</v>
      </c>
      <c r="U469" s="1">
        <f>+T469*S469</f>
        <v>126</v>
      </c>
    </row>
    <row r="470" spans="1:23" x14ac:dyDescent="0.25">
      <c r="A470" s="6"/>
      <c r="B470" s="7">
        <v>44270</v>
      </c>
      <c r="C470" s="8" t="s">
        <v>208</v>
      </c>
      <c r="D470" s="8" t="s">
        <v>284</v>
      </c>
      <c r="E470" s="9" t="s">
        <v>177</v>
      </c>
      <c r="F470" s="9" t="s">
        <v>178</v>
      </c>
      <c r="G470" s="17">
        <v>0.83124999999999993</v>
      </c>
      <c r="H470" s="17">
        <v>0.36180555555555555</v>
      </c>
      <c r="I470" s="9">
        <v>33000</v>
      </c>
      <c r="J470" s="9">
        <v>16590</v>
      </c>
      <c r="K470" s="10">
        <f t="shared" si="20"/>
        <v>16410</v>
      </c>
      <c r="L470" s="10">
        <v>41117</v>
      </c>
      <c r="M470" s="11" t="s">
        <v>1730</v>
      </c>
      <c r="N470" s="12">
        <v>16570</v>
      </c>
      <c r="O470" s="13" t="s">
        <v>32</v>
      </c>
      <c r="P470" s="14"/>
      <c r="T470" s="18">
        <f>SUM(T467:T469)</f>
        <v>20</v>
      </c>
      <c r="U470" s="18">
        <f>SUM(U467:U469)</f>
        <v>1162</v>
      </c>
      <c r="V470" s="18">
        <v>23560</v>
      </c>
      <c r="W470" s="18">
        <f>+V470-U470</f>
        <v>22398</v>
      </c>
    </row>
    <row r="471" spans="1:23" x14ac:dyDescent="0.25">
      <c r="A471" s="6"/>
      <c r="B471" s="7">
        <v>44270</v>
      </c>
      <c r="C471" s="8" t="s">
        <v>2037</v>
      </c>
      <c r="D471" s="8" t="s">
        <v>2038</v>
      </c>
      <c r="E471" s="9" t="s">
        <v>2039</v>
      </c>
      <c r="F471" s="9" t="s">
        <v>36</v>
      </c>
      <c r="G471" s="17">
        <v>0.91319444444444453</v>
      </c>
      <c r="H471" s="17">
        <v>0.93055555555555547</v>
      </c>
      <c r="I471" s="9">
        <v>2660</v>
      </c>
      <c r="J471" s="9">
        <v>1200</v>
      </c>
      <c r="K471" s="10">
        <f t="shared" si="20"/>
        <v>1460</v>
      </c>
      <c r="L471" s="10">
        <v>26621</v>
      </c>
      <c r="M471" s="11" t="s">
        <v>965</v>
      </c>
      <c r="N471" s="12">
        <v>1460</v>
      </c>
      <c r="O471" s="13" t="s">
        <v>32</v>
      </c>
      <c r="P471" s="14"/>
    </row>
    <row r="472" spans="1:23" x14ac:dyDescent="0.25">
      <c r="A472" s="6"/>
      <c r="B472" s="7">
        <v>44270</v>
      </c>
      <c r="C472" s="8" t="s">
        <v>2040</v>
      </c>
      <c r="D472" s="8" t="s">
        <v>2041</v>
      </c>
      <c r="E472" s="9" t="s">
        <v>719</v>
      </c>
      <c r="F472" s="9" t="s">
        <v>36</v>
      </c>
      <c r="G472" s="17">
        <v>0.95694444444444438</v>
      </c>
      <c r="H472" s="17">
        <v>9.0277777777777787E-3</v>
      </c>
      <c r="I472" s="9">
        <v>17585</v>
      </c>
      <c r="J472" s="9">
        <v>6390</v>
      </c>
      <c r="K472" s="10">
        <f t="shared" si="20"/>
        <v>11195</v>
      </c>
      <c r="L472" s="10">
        <v>26622</v>
      </c>
      <c r="M472" s="11" t="s">
        <v>1512</v>
      </c>
      <c r="N472" s="12">
        <v>11195</v>
      </c>
      <c r="O472" s="13" t="s">
        <v>32</v>
      </c>
      <c r="P472" s="14"/>
    </row>
    <row r="473" spans="1:23" x14ac:dyDescent="0.25">
      <c r="A473" s="6"/>
      <c r="B473" s="7">
        <v>44270</v>
      </c>
      <c r="C473" s="8" t="s">
        <v>2042</v>
      </c>
      <c r="D473" s="8" t="s">
        <v>2043</v>
      </c>
      <c r="E473" s="9" t="s">
        <v>2044</v>
      </c>
      <c r="F473" s="9" t="s">
        <v>36</v>
      </c>
      <c r="G473" s="17">
        <v>0.97986111111111107</v>
      </c>
      <c r="H473" s="17">
        <v>6.9444444444444441E-3</v>
      </c>
      <c r="I473" s="9">
        <v>5140</v>
      </c>
      <c r="J473" s="9">
        <v>2180</v>
      </c>
      <c r="K473" s="10">
        <f t="shared" si="20"/>
        <v>2960</v>
      </c>
      <c r="L473" s="10">
        <v>26623</v>
      </c>
      <c r="M473" s="11" t="s">
        <v>965</v>
      </c>
      <c r="N473" s="12">
        <v>2960</v>
      </c>
      <c r="O473" s="13" t="s">
        <v>32</v>
      </c>
      <c r="P473" s="14"/>
    </row>
    <row r="474" spans="1:23" x14ac:dyDescent="0.25">
      <c r="A474" s="6"/>
      <c r="B474" s="7">
        <v>44270</v>
      </c>
      <c r="C474" s="8" t="s">
        <v>2045</v>
      </c>
      <c r="D474" s="8" t="s">
        <v>458</v>
      </c>
      <c r="E474" s="9" t="s">
        <v>699</v>
      </c>
      <c r="F474" s="9" t="s">
        <v>459</v>
      </c>
      <c r="G474" s="17">
        <v>0.99930555555555556</v>
      </c>
      <c r="H474" s="17">
        <v>5.4166666666666669E-2</v>
      </c>
      <c r="I474" s="9">
        <v>16130</v>
      </c>
      <c r="J474" s="9">
        <v>8320</v>
      </c>
      <c r="K474" s="10">
        <f t="shared" si="20"/>
        <v>7810</v>
      </c>
      <c r="L474" s="10">
        <v>26628</v>
      </c>
      <c r="M474" s="11" t="s">
        <v>1507</v>
      </c>
      <c r="N474" s="12">
        <v>7810</v>
      </c>
      <c r="O474" s="13" t="s">
        <v>32</v>
      </c>
      <c r="P474" s="14"/>
    </row>
    <row r="475" spans="1:23" x14ac:dyDescent="0.25">
      <c r="A475" s="6"/>
      <c r="B475" s="7">
        <v>44271</v>
      </c>
      <c r="C475" s="8" t="s">
        <v>1673</v>
      </c>
      <c r="D475" s="8" t="s">
        <v>1842</v>
      </c>
      <c r="E475" s="9" t="s">
        <v>1000</v>
      </c>
      <c r="F475" s="9" t="s">
        <v>338</v>
      </c>
      <c r="G475" s="17">
        <v>2.7777777777777779E-3</v>
      </c>
      <c r="H475" s="17">
        <v>2.7083333333333334E-2</v>
      </c>
      <c r="I475" s="9">
        <v>4580</v>
      </c>
      <c r="J475" s="9">
        <v>1900</v>
      </c>
      <c r="K475" s="10">
        <f t="shared" si="20"/>
        <v>2680</v>
      </c>
      <c r="L475" s="10">
        <v>26625</v>
      </c>
      <c r="M475" s="11" t="s">
        <v>965</v>
      </c>
      <c r="N475" s="12">
        <v>2680</v>
      </c>
      <c r="O475" s="13" t="s">
        <v>32</v>
      </c>
      <c r="P475" s="14"/>
    </row>
    <row r="476" spans="1:23" x14ac:dyDescent="0.25">
      <c r="A476" s="6"/>
      <c r="B476" s="7">
        <v>44271</v>
      </c>
      <c r="C476" s="8" t="s">
        <v>1673</v>
      </c>
      <c r="D476" s="8" t="s">
        <v>2025</v>
      </c>
      <c r="E476" s="9" t="s">
        <v>1814</v>
      </c>
      <c r="F476" s="9" t="s">
        <v>36</v>
      </c>
      <c r="G476" s="17">
        <v>1.1805555555555555E-2</v>
      </c>
      <c r="H476" s="17">
        <v>9.0972222222222218E-2</v>
      </c>
      <c r="I476" s="9">
        <v>15750</v>
      </c>
      <c r="J476" s="9">
        <v>5560</v>
      </c>
      <c r="K476" s="10">
        <f t="shared" si="20"/>
        <v>10190</v>
      </c>
      <c r="L476" s="10">
        <v>26626</v>
      </c>
      <c r="M476" s="11" t="s">
        <v>965</v>
      </c>
      <c r="N476" s="12">
        <v>10190</v>
      </c>
      <c r="O476" s="13" t="s">
        <v>32</v>
      </c>
      <c r="P476" s="14"/>
    </row>
    <row r="477" spans="1:23" x14ac:dyDescent="0.25">
      <c r="A477" s="6"/>
      <c r="B477" s="7">
        <v>44271</v>
      </c>
      <c r="C477" s="8" t="s">
        <v>366</v>
      </c>
      <c r="D477" s="8" t="s">
        <v>1076</v>
      </c>
      <c r="E477" s="9" t="s">
        <v>220</v>
      </c>
      <c r="F477" s="9" t="s">
        <v>924</v>
      </c>
      <c r="G477" s="17">
        <v>3.4027777777777775E-2</v>
      </c>
      <c r="H477" s="17">
        <v>0.20555555555555557</v>
      </c>
      <c r="I477" s="9">
        <v>19950</v>
      </c>
      <c r="J477" s="9">
        <v>9140</v>
      </c>
      <c r="K477" s="10">
        <f t="shared" si="20"/>
        <v>10810</v>
      </c>
      <c r="L477" s="10" t="s">
        <v>2046</v>
      </c>
      <c r="M477" s="11" t="s">
        <v>1103</v>
      </c>
      <c r="N477" s="12">
        <v>10848</v>
      </c>
      <c r="O477" s="13" t="s">
        <v>32</v>
      </c>
      <c r="P477" s="14"/>
    </row>
    <row r="478" spans="1:23" x14ac:dyDescent="0.25">
      <c r="A478" s="6"/>
      <c r="B478" s="7">
        <v>44271</v>
      </c>
      <c r="C478" s="8" t="s">
        <v>1673</v>
      </c>
      <c r="D478" s="8" t="s">
        <v>1847</v>
      </c>
      <c r="E478" s="9" t="s">
        <v>2047</v>
      </c>
      <c r="F478" s="9" t="s">
        <v>36</v>
      </c>
      <c r="G478" s="17">
        <v>5.7638888888888885E-2</v>
      </c>
      <c r="H478" s="17">
        <v>9.5833333333333326E-2</v>
      </c>
      <c r="I478" s="9">
        <v>5880</v>
      </c>
      <c r="J478" s="9">
        <v>2590</v>
      </c>
      <c r="K478" s="10">
        <f t="shared" si="20"/>
        <v>3290</v>
      </c>
      <c r="L478" s="10">
        <v>26627</v>
      </c>
      <c r="M478" s="11" t="s">
        <v>965</v>
      </c>
      <c r="N478" s="12">
        <v>3290</v>
      </c>
      <c r="O478" s="13" t="s">
        <v>32</v>
      </c>
      <c r="P478" s="14"/>
    </row>
    <row r="479" spans="1:23" x14ac:dyDescent="0.25">
      <c r="A479" s="6"/>
      <c r="B479" s="7">
        <v>44271</v>
      </c>
      <c r="C479" s="8" t="s">
        <v>142</v>
      </c>
      <c r="D479" s="8" t="s">
        <v>1656</v>
      </c>
      <c r="E479" s="9" t="s">
        <v>87</v>
      </c>
      <c r="F479" s="9" t="s">
        <v>88</v>
      </c>
      <c r="G479" s="17">
        <v>0.16319444444444445</v>
      </c>
      <c r="H479" s="17">
        <v>0.17083333333333331</v>
      </c>
      <c r="I479" s="9">
        <v>41080</v>
      </c>
      <c r="J479" s="9">
        <v>17530</v>
      </c>
      <c r="K479" s="10">
        <f t="shared" si="20"/>
        <v>23550</v>
      </c>
      <c r="L479" s="10">
        <v>784</v>
      </c>
      <c r="M479" s="11" t="s">
        <v>2048</v>
      </c>
      <c r="N479" s="12">
        <v>23444</v>
      </c>
      <c r="O479" s="13" t="s">
        <v>32</v>
      </c>
      <c r="P479" s="14"/>
    </row>
    <row r="480" spans="1:23" x14ac:dyDescent="0.25">
      <c r="A480" s="6"/>
      <c r="B480" s="15">
        <v>44271</v>
      </c>
      <c r="C480" s="8" t="s">
        <v>164</v>
      </c>
      <c r="D480" s="8" t="s">
        <v>2034</v>
      </c>
      <c r="E480" s="9" t="s">
        <v>160</v>
      </c>
      <c r="F480" s="9" t="s">
        <v>161</v>
      </c>
      <c r="G480" s="17">
        <v>0.37638888888888888</v>
      </c>
      <c r="H480" s="17">
        <v>0.42222222222222222</v>
      </c>
      <c r="I480" s="9">
        <v>18330</v>
      </c>
      <c r="J480" s="9">
        <v>43900</v>
      </c>
      <c r="K480" s="10">
        <f t="shared" si="20"/>
        <v>-25570</v>
      </c>
      <c r="L480" s="10">
        <v>15908</v>
      </c>
      <c r="M480" s="11" t="s">
        <v>166</v>
      </c>
      <c r="N480" s="12">
        <v>504</v>
      </c>
      <c r="O480" s="13" t="s">
        <v>1099</v>
      </c>
      <c r="P480" s="14"/>
    </row>
    <row r="481" spans="1:16" x14ac:dyDescent="0.25">
      <c r="A481" s="6"/>
      <c r="B481" s="7">
        <v>44271</v>
      </c>
      <c r="C481" s="43" t="s">
        <v>1630</v>
      </c>
      <c r="D481" s="43" t="s">
        <v>464</v>
      </c>
      <c r="E481" s="44" t="s">
        <v>1632</v>
      </c>
      <c r="F481" s="44" t="s">
        <v>266</v>
      </c>
      <c r="G481" s="17">
        <v>0.4291666666666667</v>
      </c>
      <c r="H481" s="17">
        <v>0.45555555555555555</v>
      </c>
      <c r="I481" s="9">
        <v>5500</v>
      </c>
      <c r="J481" s="9">
        <v>5230</v>
      </c>
      <c r="K481" s="10">
        <f t="shared" si="20"/>
        <v>270</v>
      </c>
      <c r="L481" s="10" t="s">
        <v>2046</v>
      </c>
      <c r="M481" s="47" t="s">
        <v>2049</v>
      </c>
      <c r="N481" s="12">
        <v>270</v>
      </c>
      <c r="O481" s="13" t="s">
        <v>32</v>
      </c>
      <c r="P481" s="14"/>
    </row>
    <row r="482" spans="1:16" x14ac:dyDescent="0.25">
      <c r="A482" s="6"/>
      <c r="B482" s="7">
        <v>44271</v>
      </c>
      <c r="C482" s="8" t="s">
        <v>1888</v>
      </c>
      <c r="D482" s="8" t="s">
        <v>2050</v>
      </c>
      <c r="E482" s="9" t="s">
        <v>2051</v>
      </c>
      <c r="F482" s="9" t="s">
        <v>36</v>
      </c>
      <c r="G482" s="17">
        <v>0.42708333333333331</v>
      </c>
      <c r="H482" s="17">
        <v>0.47152777777777777</v>
      </c>
      <c r="I482" s="9">
        <v>12270</v>
      </c>
      <c r="J482" s="9">
        <v>32340</v>
      </c>
      <c r="K482" s="10">
        <f t="shared" si="20"/>
        <v>-20070</v>
      </c>
      <c r="L482" s="10">
        <v>5845</v>
      </c>
      <c r="M482" s="11" t="s">
        <v>53</v>
      </c>
      <c r="N482" s="12">
        <v>400</v>
      </c>
      <c r="O482" s="13" t="s">
        <v>1099</v>
      </c>
      <c r="P482" s="14"/>
    </row>
    <row r="483" spans="1:16" x14ac:dyDescent="0.25">
      <c r="A483" s="6"/>
      <c r="B483" s="7">
        <v>44271</v>
      </c>
      <c r="C483" s="8" t="s">
        <v>2052</v>
      </c>
      <c r="D483" s="8" t="s">
        <v>880</v>
      </c>
      <c r="E483" s="9" t="s">
        <v>1661</v>
      </c>
      <c r="F483" s="9" t="s">
        <v>1276</v>
      </c>
      <c r="G483" s="17">
        <v>0.4694444444444445</v>
      </c>
      <c r="H483" s="17">
        <v>0.47916666666666669</v>
      </c>
      <c r="I483" s="9">
        <v>34370</v>
      </c>
      <c r="J483" s="9">
        <v>14210</v>
      </c>
      <c r="K483" s="10">
        <f t="shared" si="20"/>
        <v>20160</v>
      </c>
      <c r="L483" s="10" t="s">
        <v>2053</v>
      </c>
      <c r="M483" s="11" t="s">
        <v>1474</v>
      </c>
      <c r="N483" s="12">
        <f>9.488+10.2</f>
        <v>19.687999999999999</v>
      </c>
      <c r="O483" s="13" t="s">
        <v>855</v>
      </c>
      <c r="P483" s="14"/>
    </row>
    <row r="484" spans="1:16" x14ac:dyDescent="0.25">
      <c r="A484" s="6"/>
      <c r="B484" s="7">
        <v>44271</v>
      </c>
      <c r="C484" s="8" t="s">
        <v>164</v>
      </c>
      <c r="D484" s="8" t="s">
        <v>2034</v>
      </c>
      <c r="E484" s="9" t="s">
        <v>160</v>
      </c>
      <c r="F484" s="9" t="s">
        <v>161</v>
      </c>
      <c r="G484" s="17">
        <v>0.5131944444444444</v>
      </c>
      <c r="H484" s="17">
        <v>0.5805555555555556</v>
      </c>
      <c r="I484" s="9">
        <v>18350</v>
      </c>
      <c r="J484" s="9">
        <v>43910</v>
      </c>
      <c r="K484" s="10">
        <f t="shared" si="20"/>
        <v>-25560</v>
      </c>
      <c r="L484" s="10">
        <v>15909</v>
      </c>
      <c r="M484" s="11" t="s">
        <v>166</v>
      </c>
      <c r="N484" s="12">
        <v>504</v>
      </c>
      <c r="O484" s="13" t="s">
        <v>1099</v>
      </c>
      <c r="P484" s="14"/>
    </row>
    <row r="485" spans="1:16" x14ac:dyDescent="0.25">
      <c r="A485" s="6"/>
      <c r="B485" s="7">
        <v>44271</v>
      </c>
      <c r="C485" s="8" t="s">
        <v>1673</v>
      </c>
      <c r="D485" s="8" t="s">
        <v>2038</v>
      </c>
      <c r="E485" s="9" t="s">
        <v>2039</v>
      </c>
      <c r="F485" s="9" t="s">
        <v>36</v>
      </c>
      <c r="G485" s="17">
        <v>0.52152777777777781</v>
      </c>
      <c r="H485" s="17">
        <v>0.53611111111111109</v>
      </c>
      <c r="I485" s="9">
        <v>2740</v>
      </c>
      <c r="J485" s="9">
        <v>1180</v>
      </c>
      <c r="K485" s="10">
        <f t="shared" si="20"/>
        <v>1560</v>
      </c>
      <c r="L485" s="10">
        <v>26629</v>
      </c>
      <c r="M485" s="11" t="s">
        <v>1676</v>
      </c>
      <c r="N485" s="12">
        <v>1560</v>
      </c>
      <c r="O485" s="13" t="s">
        <v>32</v>
      </c>
      <c r="P485" s="14"/>
    </row>
    <row r="486" spans="1:16" x14ac:dyDescent="0.25">
      <c r="A486" s="6"/>
      <c r="B486" s="7">
        <v>44271</v>
      </c>
      <c r="C486" s="8" t="s">
        <v>984</v>
      </c>
      <c r="D486" s="8" t="s">
        <v>899</v>
      </c>
      <c r="E486" s="9" t="s">
        <v>490</v>
      </c>
      <c r="F486" s="9" t="s">
        <v>491</v>
      </c>
      <c r="G486" s="17">
        <v>0.56597222222222221</v>
      </c>
      <c r="H486" s="17">
        <v>0.57291666666666663</v>
      </c>
      <c r="I486" s="9">
        <v>36230</v>
      </c>
      <c r="J486" s="9">
        <v>15960</v>
      </c>
      <c r="K486" s="10">
        <f t="shared" si="20"/>
        <v>20270</v>
      </c>
      <c r="L486" s="10">
        <v>23592</v>
      </c>
      <c r="M486" s="11" t="s">
        <v>1474</v>
      </c>
      <c r="N486" s="12">
        <v>21.13</v>
      </c>
      <c r="O486" s="13" t="s">
        <v>855</v>
      </c>
      <c r="P486" s="14"/>
    </row>
    <row r="487" spans="1:16" x14ac:dyDescent="0.25">
      <c r="A487" s="6"/>
      <c r="B487" s="7">
        <v>44271</v>
      </c>
      <c r="C487" s="8" t="s">
        <v>2042</v>
      </c>
      <c r="D487" s="8" t="s">
        <v>2043</v>
      </c>
      <c r="E487" s="9" t="s">
        <v>2044</v>
      </c>
      <c r="F487" s="9" t="s">
        <v>36</v>
      </c>
      <c r="G487" s="17">
        <v>0.56805555555555554</v>
      </c>
      <c r="H487" s="17">
        <v>0.58263888888888882</v>
      </c>
      <c r="I487" s="9">
        <v>2840</v>
      </c>
      <c r="J487" s="9">
        <v>2150</v>
      </c>
      <c r="K487" s="10">
        <f t="shared" si="20"/>
        <v>690</v>
      </c>
      <c r="L487" s="10">
        <v>26630</v>
      </c>
      <c r="M487" s="11" t="s">
        <v>1676</v>
      </c>
      <c r="N487" s="12">
        <v>690</v>
      </c>
      <c r="O487" s="13" t="s">
        <v>32</v>
      </c>
      <c r="P487" s="14"/>
    </row>
    <row r="488" spans="1:16" x14ac:dyDescent="0.25">
      <c r="A488" s="6"/>
      <c r="B488" s="7">
        <v>44271</v>
      </c>
      <c r="C488" s="8" t="s">
        <v>1645</v>
      </c>
      <c r="D488" s="8" t="s">
        <v>1640</v>
      </c>
      <c r="E488" s="9" t="s">
        <v>1641</v>
      </c>
      <c r="F488" s="9" t="s">
        <v>36</v>
      </c>
      <c r="G488" s="17">
        <v>0.57500000000000007</v>
      </c>
      <c r="H488" s="17">
        <v>0.67361111111111116</v>
      </c>
      <c r="I488" s="9">
        <v>5310</v>
      </c>
      <c r="J488" s="9">
        <v>8210</v>
      </c>
      <c r="K488" s="10">
        <f t="shared" si="20"/>
        <v>-2900</v>
      </c>
      <c r="L488" s="10">
        <v>15684</v>
      </c>
      <c r="M488" s="11" t="s">
        <v>2054</v>
      </c>
      <c r="N488" s="12">
        <v>2900</v>
      </c>
      <c r="O488" s="13" t="s">
        <v>32</v>
      </c>
      <c r="P488" s="14"/>
    </row>
    <row r="489" spans="1:16" x14ac:dyDescent="0.25">
      <c r="A489" s="6"/>
      <c r="B489" s="7">
        <v>44271</v>
      </c>
      <c r="C489" s="8" t="s">
        <v>2042</v>
      </c>
      <c r="D489" s="8" t="s">
        <v>2025</v>
      </c>
      <c r="E489" s="9" t="s">
        <v>1838</v>
      </c>
      <c r="F489" s="9" t="s">
        <v>36</v>
      </c>
      <c r="G489" s="17">
        <v>0.57708333333333328</v>
      </c>
      <c r="H489" s="17">
        <v>0.59652777777777777</v>
      </c>
      <c r="I489" s="9">
        <v>5260</v>
      </c>
      <c r="J489" s="9">
        <v>2750</v>
      </c>
      <c r="K489" s="10">
        <f t="shared" si="20"/>
        <v>2510</v>
      </c>
      <c r="L489" s="10">
        <v>26631</v>
      </c>
      <c r="M489" s="11" t="s">
        <v>1676</v>
      </c>
      <c r="N489" s="12">
        <v>2510</v>
      </c>
      <c r="O489" s="13" t="s">
        <v>32</v>
      </c>
      <c r="P489" s="14"/>
    </row>
    <row r="490" spans="1:16" x14ac:dyDescent="0.25">
      <c r="A490" s="6"/>
      <c r="B490" s="7">
        <v>44271</v>
      </c>
      <c r="C490" s="8" t="s">
        <v>984</v>
      </c>
      <c r="D490" s="8" t="s">
        <v>1794</v>
      </c>
      <c r="E490" s="9" t="s">
        <v>628</v>
      </c>
      <c r="F490" s="9" t="s">
        <v>629</v>
      </c>
      <c r="G490" s="17">
        <v>0.58750000000000002</v>
      </c>
      <c r="H490" s="17">
        <v>0.59375</v>
      </c>
      <c r="I490" s="9">
        <v>16130</v>
      </c>
      <c r="J490" s="9">
        <v>9680</v>
      </c>
      <c r="K490" s="10">
        <f t="shared" si="20"/>
        <v>6450</v>
      </c>
      <c r="L490" s="10">
        <v>23592</v>
      </c>
      <c r="M490" s="11" t="s">
        <v>1474</v>
      </c>
      <c r="N490" s="12">
        <v>6.6</v>
      </c>
      <c r="O490" s="13" t="s">
        <v>855</v>
      </c>
      <c r="P490" s="14"/>
    </row>
    <row r="491" spans="1:16" x14ac:dyDescent="0.25">
      <c r="A491" s="6"/>
      <c r="B491" s="7">
        <v>44271</v>
      </c>
      <c r="C491" s="8" t="s">
        <v>2042</v>
      </c>
      <c r="D491" s="8" t="s">
        <v>1842</v>
      </c>
      <c r="E491" s="9" t="s">
        <v>1000</v>
      </c>
      <c r="F491" s="9" t="s">
        <v>36</v>
      </c>
      <c r="G491" s="17">
        <v>0.58958333333333335</v>
      </c>
      <c r="H491" s="17">
        <v>0.60277777777777775</v>
      </c>
      <c r="I491" s="9">
        <v>4790</v>
      </c>
      <c r="J491" s="9">
        <v>1890</v>
      </c>
      <c r="K491" s="10">
        <f t="shared" si="20"/>
        <v>2900</v>
      </c>
      <c r="L491" s="10">
        <v>26632</v>
      </c>
      <c r="M491" s="11" t="s">
        <v>1676</v>
      </c>
      <c r="N491" s="12">
        <v>2900</v>
      </c>
      <c r="O491" s="13" t="s">
        <v>32</v>
      </c>
      <c r="P491" s="14"/>
    </row>
    <row r="492" spans="1:16" x14ac:dyDescent="0.25">
      <c r="A492" s="6"/>
      <c r="B492" s="7">
        <v>44271</v>
      </c>
      <c r="C492" s="8" t="s">
        <v>130</v>
      </c>
      <c r="D492" s="8" t="s">
        <v>2055</v>
      </c>
      <c r="E492" s="9" t="s">
        <v>1547</v>
      </c>
      <c r="F492" s="9" t="s">
        <v>36</v>
      </c>
      <c r="G492" s="17">
        <v>0.59861111111111109</v>
      </c>
      <c r="H492" s="17">
        <v>0.65138888888888891</v>
      </c>
      <c r="I492" s="9">
        <v>39340</v>
      </c>
      <c r="J492" s="9">
        <v>17750</v>
      </c>
      <c r="K492" s="10">
        <f t="shared" si="20"/>
        <v>21590</v>
      </c>
      <c r="L492" s="10">
        <v>4948</v>
      </c>
      <c r="M492" s="11" t="s">
        <v>898</v>
      </c>
      <c r="N492" s="12">
        <v>840</v>
      </c>
      <c r="O492" s="13" t="s">
        <v>1099</v>
      </c>
      <c r="P492" s="14" t="s">
        <v>322</v>
      </c>
    </row>
    <row r="493" spans="1:16" x14ac:dyDescent="0.25">
      <c r="A493" s="6"/>
      <c r="B493" s="7">
        <v>44271</v>
      </c>
      <c r="C493" s="8" t="s">
        <v>1582</v>
      </c>
      <c r="D493" s="8" t="s">
        <v>607</v>
      </c>
      <c r="E493" s="9" t="s">
        <v>318</v>
      </c>
      <c r="F493" s="9" t="s">
        <v>36</v>
      </c>
      <c r="G493" s="17">
        <v>0.62222222222222223</v>
      </c>
      <c r="H493" s="17">
        <v>0.68680555555555556</v>
      </c>
      <c r="I493" s="9">
        <v>55770</v>
      </c>
      <c r="J493" s="9">
        <v>20350</v>
      </c>
      <c r="K493" s="10">
        <f t="shared" si="20"/>
        <v>35420</v>
      </c>
      <c r="L493" s="10">
        <v>962</v>
      </c>
      <c r="M493" s="11" t="s">
        <v>306</v>
      </c>
      <c r="N493" s="12">
        <v>10000</v>
      </c>
      <c r="O493" s="13" t="s">
        <v>84</v>
      </c>
      <c r="P493" s="14"/>
    </row>
    <row r="494" spans="1:16" x14ac:dyDescent="0.25">
      <c r="A494" s="6"/>
      <c r="B494" s="7">
        <v>44271</v>
      </c>
      <c r="C494" s="8" t="s">
        <v>2042</v>
      </c>
      <c r="D494" s="8" t="s">
        <v>994</v>
      </c>
      <c r="E494" s="9" t="s">
        <v>995</v>
      </c>
      <c r="F494" s="9" t="s">
        <v>36</v>
      </c>
      <c r="G494" s="17">
        <v>0.62986111111111109</v>
      </c>
      <c r="H494" s="17">
        <v>0.66597222222222219</v>
      </c>
      <c r="I494" s="9">
        <v>4250</v>
      </c>
      <c r="J494" s="9">
        <v>3160</v>
      </c>
      <c r="K494" s="10">
        <f t="shared" si="20"/>
        <v>1090</v>
      </c>
      <c r="L494" s="10">
        <v>26634</v>
      </c>
      <c r="M494" s="11" t="s">
        <v>1676</v>
      </c>
      <c r="N494" s="12">
        <v>1090</v>
      </c>
      <c r="O494" s="13" t="s">
        <v>32</v>
      </c>
      <c r="P494" s="14"/>
    </row>
    <row r="495" spans="1:16" x14ac:dyDescent="0.25">
      <c r="A495" s="6"/>
      <c r="B495" s="7">
        <v>44271</v>
      </c>
      <c r="C495" s="8" t="s">
        <v>2056</v>
      </c>
      <c r="D495" s="8" t="s">
        <v>853</v>
      </c>
      <c r="E495" s="9" t="s">
        <v>51</v>
      </c>
      <c r="F495" s="9" t="s">
        <v>52</v>
      </c>
      <c r="G495" s="17">
        <v>0.64444444444444449</v>
      </c>
      <c r="H495" s="17">
        <v>0.6777777777777777</v>
      </c>
      <c r="I495" s="9">
        <v>17140</v>
      </c>
      <c r="J495" s="9">
        <v>15690</v>
      </c>
      <c r="K495" s="10">
        <f t="shared" si="20"/>
        <v>1450</v>
      </c>
      <c r="L495" s="10">
        <v>761692</v>
      </c>
      <c r="M495" s="11" t="s">
        <v>2057</v>
      </c>
      <c r="N495" s="12">
        <v>1450</v>
      </c>
      <c r="O495" s="13" t="s">
        <v>32</v>
      </c>
      <c r="P495" s="14" t="s">
        <v>2058</v>
      </c>
    </row>
    <row r="496" spans="1:16" x14ac:dyDescent="0.25">
      <c r="A496" s="6"/>
      <c r="B496" s="7">
        <v>44271</v>
      </c>
      <c r="C496" s="8" t="s">
        <v>941</v>
      </c>
      <c r="D496" s="8" t="s">
        <v>1794</v>
      </c>
      <c r="E496" s="9" t="s">
        <v>628</v>
      </c>
      <c r="F496" s="9" t="s">
        <v>629</v>
      </c>
      <c r="G496" s="17">
        <v>0.65833333333333333</v>
      </c>
      <c r="H496" s="17">
        <v>0.66805555555555562</v>
      </c>
      <c r="I496" s="9">
        <v>11270</v>
      </c>
      <c r="J496" s="9">
        <v>9680</v>
      </c>
      <c r="K496" s="10">
        <f t="shared" si="20"/>
        <v>1590</v>
      </c>
      <c r="L496" s="10">
        <v>23593</v>
      </c>
      <c r="M496" s="11" t="s">
        <v>1490</v>
      </c>
      <c r="N496" s="12">
        <v>1590</v>
      </c>
      <c r="O496" s="13" t="s">
        <v>32</v>
      </c>
      <c r="P496" s="14" t="s">
        <v>992</v>
      </c>
    </row>
    <row r="497" spans="1:23" x14ac:dyDescent="0.25">
      <c r="A497" s="6"/>
      <c r="B497" s="7">
        <v>44271</v>
      </c>
      <c r="C497" s="8" t="s">
        <v>977</v>
      </c>
      <c r="D497" s="8" t="s">
        <v>1672</v>
      </c>
      <c r="E497" s="9" t="s">
        <v>881</v>
      </c>
      <c r="F497" s="9" t="s">
        <v>749</v>
      </c>
      <c r="G497" s="17">
        <v>0.67013888888888884</v>
      </c>
      <c r="H497" s="17">
        <v>0.68472222222222223</v>
      </c>
      <c r="I497" s="9">
        <v>32860</v>
      </c>
      <c r="J497" s="9">
        <v>16620</v>
      </c>
      <c r="K497" s="10">
        <f t="shared" si="20"/>
        <v>16240</v>
      </c>
      <c r="L497" s="10">
        <v>23594</v>
      </c>
      <c r="M497" s="11" t="s">
        <v>1041</v>
      </c>
      <c r="N497" s="12">
        <v>16240</v>
      </c>
      <c r="O497" s="13" t="s">
        <v>32</v>
      </c>
      <c r="P497" s="14" t="s">
        <v>468</v>
      </c>
    </row>
    <row r="498" spans="1:23" x14ac:dyDescent="0.25">
      <c r="A498" s="6"/>
      <c r="B498" s="7">
        <v>44271</v>
      </c>
      <c r="C498" s="8" t="s">
        <v>977</v>
      </c>
      <c r="D498" s="8" t="s">
        <v>880</v>
      </c>
      <c r="E498" s="9" t="s">
        <v>1661</v>
      </c>
      <c r="F498" s="9" t="s">
        <v>1276</v>
      </c>
      <c r="G498" s="17">
        <v>0.67222222222222217</v>
      </c>
      <c r="H498" s="17">
        <v>0.68125000000000002</v>
      </c>
      <c r="I498" s="9">
        <v>25215</v>
      </c>
      <c r="J498" s="9">
        <v>14200</v>
      </c>
      <c r="K498" s="10">
        <f t="shared" si="20"/>
        <v>11015</v>
      </c>
      <c r="L498" s="10">
        <v>23594</v>
      </c>
      <c r="M498" s="11" t="s">
        <v>2060</v>
      </c>
      <c r="N498" s="12">
        <v>11015</v>
      </c>
      <c r="O498" s="13" t="s">
        <v>32</v>
      </c>
      <c r="P498" s="14" t="s">
        <v>2059</v>
      </c>
    </row>
    <row r="499" spans="1:23" x14ac:dyDescent="0.25">
      <c r="A499" s="6"/>
      <c r="B499" s="7">
        <v>44271</v>
      </c>
      <c r="C499" s="8" t="s">
        <v>1239</v>
      </c>
      <c r="D499" s="8" t="s">
        <v>1920</v>
      </c>
      <c r="E499" s="9" t="s">
        <v>1921</v>
      </c>
      <c r="F499" s="9" t="s">
        <v>36</v>
      </c>
      <c r="G499" s="17">
        <v>0.67986111111111114</v>
      </c>
      <c r="H499" s="17">
        <v>0.70347222222222217</v>
      </c>
      <c r="I499" s="9">
        <v>12520</v>
      </c>
      <c r="J499" s="9">
        <v>8230</v>
      </c>
      <c r="K499" s="10">
        <f t="shared" si="20"/>
        <v>4290</v>
      </c>
      <c r="L499" s="10">
        <v>16</v>
      </c>
      <c r="M499" s="11" t="s">
        <v>2061</v>
      </c>
      <c r="N499" s="12">
        <v>4000</v>
      </c>
      <c r="O499" s="13" t="s">
        <v>32</v>
      </c>
      <c r="P499" s="14" t="s">
        <v>1477</v>
      </c>
      <c r="S499" s="1">
        <v>1990</v>
      </c>
      <c r="T499" s="1">
        <f>+S499*0.05</f>
        <v>99.5</v>
      </c>
      <c r="U499" s="1">
        <f>+T499-S499</f>
        <v>-1890.5</v>
      </c>
    </row>
    <row r="500" spans="1:23" x14ac:dyDescent="0.25">
      <c r="A500" s="6"/>
      <c r="B500" s="7">
        <v>44271</v>
      </c>
      <c r="C500" s="8" t="s">
        <v>164</v>
      </c>
      <c r="D500" s="8" t="s">
        <v>2034</v>
      </c>
      <c r="E500" s="9" t="s">
        <v>160</v>
      </c>
      <c r="F500" s="9" t="s">
        <v>161</v>
      </c>
      <c r="G500" s="17">
        <v>0.69513888888888886</v>
      </c>
      <c r="H500" s="17">
        <v>0.71527777777777779</v>
      </c>
      <c r="I500" s="9">
        <v>43880</v>
      </c>
      <c r="J500" s="9">
        <v>18580</v>
      </c>
      <c r="K500" s="10">
        <f t="shared" si="20"/>
        <v>25300</v>
      </c>
      <c r="L500" s="10">
        <v>15962</v>
      </c>
      <c r="M500" s="11" t="s">
        <v>398</v>
      </c>
      <c r="N500" s="12">
        <v>504</v>
      </c>
      <c r="O500" s="13" t="s">
        <v>1099</v>
      </c>
      <c r="P500" s="14"/>
    </row>
    <row r="501" spans="1:23" x14ac:dyDescent="0.25">
      <c r="A501" s="6"/>
      <c r="B501" s="7">
        <v>44271</v>
      </c>
      <c r="C501" s="8" t="s">
        <v>130</v>
      </c>
      <c r="D501" s="8" t="s">
        <v>2062</v>
      </c>
      <c r="E501" s="9" t="s">
        <v>473</v>
      </c>
      <c r="F501" s="9" t="s">
        <v>36</v>
      </c>
      <c r="G501" s="17">
        <v>0.70138888888888884</v>
      </c>
      <c r="H501" s="17">
        <v>0.72986111111111107</v>
      </c>
      <c r="I501" s="9">
        <v>38570</v>
      </c>
      <c r="J501" s="9">
        <v>16750</v>
      </c>
      <c r="K501" s="10">
        <f t="shared" si="20"/>
        <v>21820</v>
      </c>
      <c r="L501" s="10">
        <v>4949</v>
      </c>
      <c r="M501" s="11" t="s">
        <v>898</v>
      </c>
      <c r="N501" s="12">
        <v>840</v>
      </c>
      <c r="O501" s="13" t="s">
        <v>1099</v>
      </c>
      <c r="P501" s="14"/>
    </row>
    <row r="502" spans="1:23" x14ac:dyDescent="0.25">
      <c r="A502" s="6"/>
      <c r="B502" s="7">
        <v>44271</v>
      </c>
      <c r="C502" s="8" t="s">
        <v>1029</v>
      </c>
      <c r="D502" s="8" t="s">
        <v>1794</v>
      </c>
      <c r="E502" s="9" t="s">
        <v>628</v>
      </c>
      <c r="F502" s="9" t="s">
        <v>629</v>
      </c>
      <c r="G502" s="17">
        <v>0.7055555555555556</v>
      </c>
      <c r="H502" s="17">
        <v>0.71388888888888891</v>
      </c>
      <c r="I502" s="9">
        <v>11370</v>
      </c>
      <c r="J502" s="9">
        <v>9660</v>
      </c>
      <c r="K502" s="10">
        <f t="shared" si="20"/>
        <v>1710</v>
      </c>
      <c r="L502" s="10">
        <v>23595</v>
      </c>
      <c r="M502" s="11" t="s">
        <v>1490</v>
      </c>
      <c r="N502" s="12">
        <v>1710</v>
      </c>
      <c r="O502" s="13" t="s">
        <v>32</v>
      </c>
      <c r="P502" s="14"/>
    </row>
    <row r="503" spans="1:23" x14ac:dyDescent="0.25">
      <c r="A503" s="6"/>
      <c r="B503" s="7">
        <v>44271</v>
      </c>
      <c r="C503" s="8" t="s">
        <v>2063</v>
      </c>
      <c r="D503" s="8" t="s">
        <v>1850</v>
      </c>
      <c r="E503" s="9" t="s">
        <v>144</v>
      </c>
      <c r="F503" s="9" t="s">
        <v>626</v>
      </c>
      <c r="G503" s="17">
        <v>0.70972222222222225</v>
      </c>
      <c r="H503" s="17">
        <v>0.76736111111111116</v>
      </c>
      <c r="I503" s="9">
        <v>15670</v>
      </c>
      <c r="J503" s="9">
        <v>38800</v>
      </c>
      <c r="K503" s="10">
        <f t="shared" si="20"/>
        <v>-23130</v>
      </c>
      <c r="L503" s="10">
        <v>5846</v>
      </c>
      <c r="M503" s="11" t="s">
        <v>2033</v>
      </c>
      <c r="N503" s="12">
        <v>21969</v>
      </c>
      <c r="O503" s="13" t="s">
        <v>32</v>
      </c>
      <c r="P503" s="14" t="s">
        <v>2067</v>
      </c>
    </row>
    <row r="504" spans="1:23" x14ac:dyDescent="0.25">
      <c r="A504" s="6"/>
      <c r="B504" s="7">
        <v>44271</v>
      </c>
      <c r="C504" s="8" t="s">
        <v>130</v>
      </c>
      <c r="D504" s="8" t="s">
        <v>2062</v>
      </c>
      <c r="E504" s="9" t="s">
        <v>473</v>
      </c>
      <c r="F504" s="9" t="s">
        <v>36</v>
      </c>
      <c r="G504" s="17">
        <v>0.73055555555555562</v>
      </c>
      <c r="H504" s="17">
        <v>0.78333333333333333</v>
      </c>
      <c r="I504" s="9">
        <v>17990</v>
      </c>
      <c r="J504" s="9">
        <v>39140</v>
      </c>
      <c r="K504" s="10">
        <f t="shared" si="20"/>
        <v>-21150</v>
      </c>
      <c r="L504" s="10">
        <v>15910</v>
      </c>
      <c r="M504" s="11" t="s">
        <v>638</v>
      </c>
      <c r="N504" s="12">
        <v>840</v>
      </c>
      <c r="O504" s="13" t="s">
        <v>1099</v>
      </c>
      <c r="P504" s="14"/>
      <c r="R504" s="1" t="s">
        <v>91</v>
      </c>
      <c r="S504" s="1">
        <v>57</v>
      </c>
      <c r="T504" s="18">
        <v>9</v>
      </c>
      <c r="U504" s="1">
        <f>+T504*S504</f>
        <v>513</v>
      </c>
    </row>
    <row r="505" spans="1:23" x14ac:dyDescent="0.25">
      <c r="A505" s="6"/>
      <c r="B505" s="7">
        <v>44271</v>
      </c>
      <c r="C505" s="8" t="s">
        <v>2064</v>
      </c>
      <c r="D505" s="8" t="s">
        <v>2065</v>
      </c>
      <c r="E505" s="9" t="s">
        <v>2066</v>
      </c>
      <c r="F505" s="9" t="s">
        <v>36</v>
      </c>
      <c r="G505" s="17">
        <v>0.74583333333333324</v>
      </c>
      <c r="H505" s="17">
        <v>0.78611111111111109</v>
      </c>
      <c r="I505" s="9">
        <v>23840</v>
      </c>
      <c r="J505" s="9">
        <v>21850</v>
      </c>
      <c r="K505" s="10">
        <f t="shared" si="20"/>
        <v>1990</v>
      </c>
      <c r="L505" s="10">
        <v>23635</v>
      </c>
      <c r="M505" s="11" t="s">
        <v>1041</v>
      </c>
      <c r="N505" s="12">
        <v>1990</v>
      </c>
      <c r="O505" s="13" t="s">
        <v>32</v>
      </c>
      <c r="P505" s="14"/>
      <c r="R505" s="1" t="s">
        <v>646</v>
      </c>
      <c r="S505" s="1">
        <v>58</v>
      </c>
      <c r="T505" s="18">
        <v>9</v>
      </c>
      <c r="U505" s="1">
        <f>+T505*S505</f>
        <v>522</v>
      </c>
    </row>
    <row r="506" spans="1:23" x14ac:dyDescent="0.25">
      <c r="A506" s="6"/>
      <c r="B506" s="7">
        <v>44271</v>
      </c>
      <c r="C506" s="8" t="s">
        <v>1643</v>
      </c>
      <c r="D506" s="8" t="s">
        <v>1655</v>
      </c>
      <c r="E506" s="9" t="s">
        <v>699</v>
      </c>
      <c r="F506" s="9" t="s">
        <v>459</v>
      </c>
      <c r="G506" s="17">
        <v>0.77500000000000002</v>
      </c>
      <c r="H506" s="17">
        <v>0.83750000000000002</v>
      </c>
      <c r="I506" s="9">
        <v>17210</v>
      </c>
      <c r="J506" s="9">
        <v>8980</v>
      </c>
      <c r="K506" s="10">
        <f t="shared" si="20"/>
        <v>8230</v>
      </c>
      <c r="L506" s="10" t="s">
        <v>2068</v>
      </c>
      <c r="M506" s="11" t="s">
        <v>48</v>
      </c>
      <c r="N506" s="12">
        <f>9858.7+8899</f>
        <v>18757.7</v>
      </c>
      <c r="O506" s="13" t="s">
        <v>49</v>
      </c>
      <c r="P506" s="14"/>
      <c r="R506" s="1" t="s">
        <v>669</v>
      </c>
      <c r="S506" s="1">
        <v>63</v>
      </c>
      <c r="T506" s="18">
        <v>2</v>
      </c>
      <c r="U506" s="1">
        <f>+T506*S506</f>
        <v>126</v>
      </c>
    </row>
    <row r="507" spans="1:23" x14ac:dyDescent="0.25">
      <c r="A507" s="6"/>
      <c r="B507" s="7">
        <v>44271</v>
      </c>
      <c r="C507" s="8" t="s">
        <v>1673</v>
      </c>
      <c r="D507" s="8" t="s">
        <v>1853</v>
      </c>
      <c r="E507" s="9" t="s">
        <v>1231</v>
      </c>
      <c r="F507" s="9" t="s">
        <v>36</v>
      </c>
      <c r="G507" s="17">
        <v>0.8027777777777777</v>
      </c>
      <c r="H507" s="17">
        <v>0.84305555555555556</v>
      </c>
      <c r="I507" s="9">
        <v>10910</v>
      </c>
      <c r="J507" s="9">
        <v>4060</v>
      </c>
      <c r="K507" s="10">
        <f t="shared" si="20"/>
        <v>6850</v>
      </c>
      <c r="L507" s="10">
        <v>26366</v>
      </c>
      <c r="M507" s="11" t="s">
        <v>1515</v>
      </c>
      <c r="N507" s="12">
        <v>6850</v>
      </c>
      <c r="O507" s="13" t="s">
        <v>32</v>
      </c>
      <c r="P507" s="14"/>
      <c r="T507" s="18">
        <f>SUM(T504:T506)</f>
        <v>20</v>
      </c>
      <c r="U507" s="18">
        <f>SUM(U504:U506)</f>
        <v>1161</v>
      </c>
      <c r="V507" s="18">
        <v>23130</v>
      </c>
      <c r="W507" s="18">
        <f>+V507-U507</f>
        <v>21969</v>
      </c>
    </row>
    <row r="508" spans="1:23" x14ac:dyDescent="0.25">
      <c r="A508" s="6"/>
      <c r="B508" s="7">
        <v>44271</v>
      </c>
      <c r="C508" s="8" t="s">
        <v>2070</v>
      </c>
      <c r="D508" s="8" t="s">
        <v>1355</v>
      </c>
      <c r="E508" s="9" t="s">
        <v>1048</v>
      </c>
      <c r="F508" s="9" t="s">
        <v>2069</v>
      </c>
      <c r="G508" s="17">
        <v>0.81111111111111101</v>
      </c>
      <c r="H508" s="17"/>
      <c r="I508" s="9">
        <v>17290</v>
      </c>
      <c r="J508" s="9"/>
      <c r="K508" s="10">
        <f t="shared" si="20"/>
        <v>17290</v>
      </c>
      <c r="L508" s="10">
        <v>5444</v>
      </c>
      <c r="M508" s="11" t="s">
        <v>2113</v>
      </c>
      <c r="N508" s="12">
        <v>20</v>
      </c>
      <c r="O508" s="13" t="s">
        <v>80</v>
      </c>
      <c r="P508" s="14"/>
    </row>
    <row r="509" spans="1:23" x14ac:dyDescent="0.25">
      <c r="A509" s="6"/>
      <c r="B509" s="7">
        <v>44271</v>
      </c>
      <c r="C509" s="8" t="s">
        <v>208</v>
      </c>
      <c r="D509" s="8" t="s">
        <v>284</v>
      </c>
      <c r="E509" s="9" t="s">
        <v>177</v>
      </c>
      <c r="F509" s="9" t="s">
        <v>178</v>
      </c>
      <c r="G509" s="17">
        <v>0.81805555555555554</v>
      </c>
      <c r="H509" s="17">
        <v>0.37916666666666665</v>
      </c>
      <c r="I509" s="9">
        <v>41520</v>
      </c>
      <c r="J509" s="9">
        <v>16470</v>
      </c>
      <c r="K509" s="10">
        <f t="shared" si="20"/>
        <v>25050</v>
      </c>
      <c r="L509" s="10">
        <v>41168</v>
      </c>
      <c r="M509" s="11" t="s">
        <v>1626</v>
      </c>
      <c r="N509" s="12">
        <v>25080</v>
      </c>
      <c r="O509" s="13" t="s">
        <v>32</v>
      </c>
      <c r="P509" s="14"/>
      <c r="Q509" s="2"/>
    </row>
    <row r="510" spans="1:23" x14ac:dyDescent="0.25">
      <c r="A510" s="6"/>
      <c r="B510" s="7">
        <v>44271</v>
      </c>
      <c r="C510" s="8" t="s">
        <v>1673</v>
      </c>
      <c r="D510" s="8" t="s">
        <v>1794</v>
      </c>
      <c r="E510" s="9" t="s">
        <v>628</v>
      </c>
      <c r="F510" s="9" t="s">
        <v>629</v>
      </c>
      <c r="G510" s="17">
        <v>0.85763888888888884</v>
      </c>
      <c r="H510" s="17">
        <v>0.86944444444444446</v>
      </c>
      <c r="I510" s="9">
        <v>15020</v>
      </c>
      <c r="J510" s="9">
        <v>9660</v>
      </c>
      <c r="K510" s="10">
        <f t="shared" si="20"/>
        <v>5360</v>
      </c>
      <c r="L510" s="10">
        <v>26637</v>
      </c>
      <c r="M510" s="11" t="s">
        <v>1461</v>
      </c>
      <c r="N510" s="12">
        <v>5630</v>
      </c>
      <c r="O510" s="13" t="s">
        <v>32</v>
      </c>
      <c r="P510" s="14"/>
    </row>
    <row r="511" spans="1:23" x14ac:dyDescent="0.25">
      <c r="A511" s="6"/>
      <c r="B511" s="7">
        <v>44271</v>
      </c>
      <c r="C511" s="8" t="s">
        <v>1673</v>
      </c>
      <c r="D511" s="8" t="s">
        <v>183</v>
      </c>
      <c r="E511" s="9" t="s">
        <v>2044</v>
      </c>
      <c r="F511" s="9" t="s">
        <v>36</v>
      </c>
      <c r="G511" s="17">
        <v>0.89166666666666661</v>
      </c>
      <c r="H511" s="17">
        <v>0.90486111111111101</v>
      </c>
      <c r="I511" s="9">
        <v>2480</v>
      </c>
      <c r="J511" s="9">
        <v>2170</v>
      </c>
      <c r="K511" s="10">
        <f t="shared" si="20"/>
        <v>310</v>
      </c>
      <c r="L511" s="10">
        <v>23638</v>
      </c>
      <c r="M511" s="11" t="s">
        <v>965</v>
      </c>
      <c r="N511" s="12">
        <v>310</v>
      </c>
      <c r="O511" s="13" t="s">
        <v>32</v>
      </c>
      <c r="P511" s="14"/>
    </row>
    <row r="512" spans="1:23" x14ac:dyDescent="0.25">
      <c r="A512" s="6"/>
      <c r="B512" s="7">
        <v>44271</v>
      </c>
      <c r="C512" s="8" t="s">
        <v>37</v>
      </c>
      <c r="D512" s="8" t="s">
        <v>2041</v>
      </c>
      <c r="E512" s="9" t="s">
        <v>719</v>
      </c>
      <c r="F512" s="9" t="s">
        <v>36</v>
      </c>
      <c r="G512" s="17">
        <v>0.94305555555555554</v>
      </c>
      <c r="H512" s="17">
        <v>4.8611111111111112E-3</v>
      </c>
      <c r="I512" s="9">
        <v>17330</v>
      </c>
      <c r="J512" s="9">
        <v>6320</v>
      </c>
      <c r="K512" s="10">
        <f t="shared" si="20"/>
        <v>11010</v>
      </c>
      <c r="L512" s="10">
        <v>23639</v>
      </c>
      <c r="M512" s="11" t="s">
        <v>1512</v>
      </c>
      <c r="N512" s="12">
        <v>11010</v>
      </c>
      <c r="O512" s="13" t="s">
        <v>683</v>
      </c>
      <c r="P512" s="14"/>
    </row>
    <row r="513" spans="1:16" x14ac:dyDescent="0.25">
      <c r="A513" s="6"/>
      <c r="B513" s="7">
        <v>44272</v>
      </c>
      <c r="C513" s="8" t="s">
        <v>2045</v>
      </c>
      <c r="D513" s="8" t="s">
        <v>901</v>
      </c>
      <c r="E513" s="9" t="s">
        <v>902</v>
      </c>
      <c r="F513" s="9" t="s">
        <v>36</v>
      </c>
      <c r="G513" s="17">
        <v>8.6111111111111124E-2</v>
      </c>
      <c r="H513" s="17">
        <v>0.16527777777777777</v>
      </c>
      <c r="I513" s="9">
        <v>12350</v>
      </c>
      <c r="J513" s="9">
        <v>4280</v>
      </c>
      <c r="K513" s="10">
        <f t="shared" si="20"/>
        <v>8070</v>
      </c>
      <c r="L513" s="10">
        <v>26640</v>
      </c>
      <c r="M513" s="11" t="s">
        <v>2071</v>
      </c>
      <c r="N513" s="12">
        <v>7000</v>
      </c>
      <c r="O513" s="13" t="s">
        <v>32</v>
      </c>
      <c r="P513" s="14"/>
    </row>
    <row r="514" spans="1:16" x14ac:dyDescent="0.25">
      <c r="A514" s="6"/>
      <c r="B514" s="7">
        <v>44272</v>
      </c>
      <c r="C514" s="8" t="s">
        <v>142</v>
      </c>
      <c r="D514" s="8" t="s">
        <v>1656</v>
      </c>
      <c r="E514" s="9" t="s">
        <v>87</v>
      </c>
      <c r="F514" s="9" t="s">
        <v>88</v>
      </c>
      <c r="G514" s="17">
        <v>0.17152777777777775</v>
      </c>
      <c r="H514" s="17">
        <v>0.17916666666666667</v>
      </c>
      <c r="I514" s="9">
        <v>40790</v>
      </c>
      <c r="J514" s="9">
        <v>17470</v>
      </c>
      <c r="K514" s="10">
        <f t="shared" si="20"/>
        <v>23320</v>
      </c>
      <c r="L514" s="10">
        <v>785</v>
      </c>
      <c r="M514" s="11" t="s">
        <v>1621</v>
      </c>
      <c r="N514" s="12">
        <v>22068</v>
      </c>
      <c r="O514" s="13" t="s">
        <v>32</v>
      </c>
      <c r="P514" s="14"/>
    </row>
    <row r="515" spans="1:16" x14ac:dyDescent="0.25">
      <c r="A515" s="6"/>
      <c r="B515" s="15">
        <v>44272</v>
      </c>
      <c r="C515" s="16" t="s">
        <v>1855</v>
      </c>
      <c r="D515" s="8" t="s">
        <v>1855</v>
      </c>
      <c r="E515" s="9" t="s">
        <v>1856</v>
      </c>
      <c r="F515" s="9" t="s">
        <v>338</v>
      </c>
      <c r="G515" s="17">
        <v>0.32916666666666666</v>
      </c>
      <c r="H515" s="17">
        <v>0.35416666666666669</v>
      </c>
      <c r="I515" s="9">
        <v>7250</v>
      </c>
      <c r="J515" s="9">
        <v>4510</v>
      </c>
      <c r="K515" s="10">
        <f t="shared" si="20"/>
        <v>2740</v>
      </c>
      <c r="L515" s="10">
        <v>26641</v>
      </c>
      <c r="M515" s="11" t="s">
        <v>1857</v>
      </c>
      <c r="N515" s="12">
        <v>2740</v>
      </c>
      <c r="O515" s="13" t="s">
        <v>32</v>
      </c>
      <c r="P515" s="14"/>
    </row>
    <row r="516" spans="1:16" x14ac:dyDescent="0.25">
      <c r="A516" s="6"/>
      <c r="B516" s="7">
        <v>44272</v>
      </c>
      <c r="C516" s="8" t="s">
        <v>164</v>
      </c>
      <c r="D516" s="8" t="s">
        <v>2034</v>
      </c>
      <c r="E516" s="9" t="s">
        <v>160</v>
      </c>
      <c r="F516" s="9" t="s">
        <v>161</v>
      </c>
      <c r="G516" s="17">
        <v>0.40902777777777777</v>
      </c>
      <c r="H516" s="17">
        <v>0.47083333333333338</v>
      </c>
      <c r="I516" s="9">
        <v>18420</v>
      </c>
      <c r="J516" s="9">
        <v>44140</v>
      </c>
      <c r="K516" s="10">
        <f t="shared" si="20"/>
        <v>-25720</v>
      </c>
      <c r="L516" s="10">
        <v>15911</v>
      </c>
      <c r="M516" s="11" t="s">
        <v>166</v>
      </c>
      <c r="N516" s="12">
        <v>504</v>
      </c>
      <c r="O516" s="13" t="s">
        <v>1099</v>
      </c>
      <c r="P516" s="14"/>
    </row>
    <row r="517" spans="1:16" x14ac:dyDescent="0.25">
      <c r="A517" s="6"/>
      <c r="B517" s="7">
        <v>44272</v>
      </c>
      <c r="C517" s="8" t="s">
        <v>1785</v>
      </c>
      <c r="D517" s="8" t="s">
        <v>94</v>
      </c>
      <c r="E517" s="9" t="s">
        <v>1774</v>
      </c>
      <c r="F517" s="9" t="s">
        <v>1775</v>
      </c>
      <c r="G517" s="17">
        <v>0.41250000000000003</v>
      </c>
      <c r="H517" s="17">
        <v>0.42291666666666666</v>
      </c>
      <c r="I517" s="9">
        <v>10610</v>
      </c>
      <c r="J517" s="9">
        <v>7440</v>
      </c>
      <c r="K517" s="10">
        <f t="shared" si="20"/>
        <v>3170</v>
      </c>
      <c r="L517" s="10">
        <v>23596</v>
      </c>
      <c r="M517" s="11" t="s">
        <v>2072</v>
      </c>
      <c r="N517" s="12">
        <v>3</v>
      </c>
      <c r="O517" s="13" t="s">
        <v>855</v>
      </c>
      <c r="P517" s="14"/>
    </row>
    <row r="518" spans="1:16" x14ac:dyDescent="0.25">
      <c r="A518" s="6"/>
      <c r="B518" s="7">
        <v>44272</v>
      </c>
      <c r="C518" s="8" t="s">
        <v>1558</v>
      </c>
      <c r="D518" s="8" t="str">
        <f t="shared" ref="D518:F518" si="21">D510</f>
        <v>RONNY JORDAN</v>
      </c>
      <c r="E518" s="9" t="str">
        <f t="shared" si="21"/>
        <v>GMO-555</v>
      </c>
      <c r="F518" s="9" t="str">
        <f t="shared" si="21"/>
        <v>VOL-2</v>
      </c>
      <c r="G518" s="17">
        <v>0.44236111111111115</v>
      </c>
      <c r="H518" s="17">
        <v>0.45</v>
      </c>
      <c r="I518" s="9">
        <v>18390</v>
      </c>
      <c r="J518" s="9">
        <v>9660</v>
      </c>
      <c r="K518" s="10">
        <f t="shared" si="20"/>
        <v>8730</v>
      </c>
      <c r="L518" s="10">
        <v>23597</v>
      </c>
      <c r="M518" s="11" t="s">
        <v>1515</v>
      </c>
      <c r="N518" s="12">
        <v>8.8000000000000007</v>
      </c>
      <c r="O518" s="13" t="s">
        <v>855</v>
      </c>
      <c r="P518" s="14"/>
    </row>
    <row r="519" spans="1:16" x14ac:dyDescent="0.25">
      <c r="A519" s="6"/>
      <c r="B519" s="7">
        <v>44272</v>
      </c>
      <c r="C519" s="8" t="s">
        <v>2073</v>
      </c>
      <c r="D519" s="8" t="s">
        <v>400</v>
      </c>
      <c r="E519" s="9" t="s">
        <v>2074</v>
      </c>
      <c r="F519" s="9" t="s">
        <v>338</v>
      </c>
      <c r="G519" s="17">
        <v>0.4597222222222222</v>
      </c>
      <c r="H519" s="17">
        <v>0.52569444444444446</v>
      </c>
      <c r="I519" s="9">
        <v>3410</v>
      </c>
      <c r="J519" s="9">
        <v>7870</v>
      </c>
      <c r="K519" s="10">
        <f t="shared" si="20"/>
        <v>-4460</v>
      </c>
      <c r="L519" s="10">
        <v>15769</v>
      </c>
      <c r="M519" s="11" t="s">
        <v>2075</v>
      </c>
      <c r="N519" s="12">
        <v>4460</v>
      </c>
      <c r="O519" s="13" t="s">
        <v>32</v>
      </c>
      <c r="P519" s="14"/>
    </row>
    <row r="520" spans="1:16" x14ac:dyDescent="0.25">
      <c r="A520" s="6"/>
      <c r="B520" s="7">
        <v>44272</v>
      </c>
      <c r="C520" s="8" t="s">
        <v>985</v>
      </c>
      <c r="D520" s="8" t="s">
        <v>853</v>
      </c>
      <c r="E520" s="9" t="s">
        <v>51</v>
      </c>
      <c r="F520" s="9" t="s">
        <v>52</v>
      </c>
      <c r="G520" s="17">
        <v>0.46736111111111112</v>
      </c>
      <c r="H520" s="17">
        <v>0.47986111111111113</v>
      </c>
      <c r="I520" s="9">
        <v>35200</v>
      </c>
      <c r="J520" s="9">
        <v>15920</v>
      </c>
      <c r="K520" s="10">
        <f t="shared" si="20"/>
        <v>19280</v>
      </c>
      <c r="L520" s="10">
        <v>23597</v>
      </c>
      <c r="M520" s="11" t="s">
        <v>2076</v>
      </c>
      <c r="N520" s="12">
        <v>20.2</v>
      </c>
      <c r="O520" s="13" t="s">
        <v>855</v>
      </c>
      <c r="P520" s="14"/>
    </row>
    <row r="521" spans="1:16" x14ac:dyDescent="0.25">
      <c r="A521" s="6"/>
      <c r="B521" s="7">
        <v>44272</v>
      </c>
      <c r="C521" s="8" t="s">
        <v>2077</v>
      </c>
      <c r="D521" s="8" t="s">
        <v>1672</v>
      </c>
      <c r="E521" s="9" t="s">
        <v>881</v>
      </c>
      <c r="F521" s="9" t="s">
        <v>749</v>
      </c>
      <c r="G521" s="17">
        <v>0.4916666666666667</v>
      </c>
      <c r="H521" s="17">
        <v>0.50347222222222221</v>
      </c>
      <c r="I521" s="9">
        <v>36740</v>
      </c>
      <c r="J521" s="9">
        <v>16770</v>
      </c>
      <c r="K521" s="10">
        <f t="shared" si="20"/>
        <v>19970</v>
      </c>
      <c r="L521" s="10" t="s">
        <v>2078</v>
      </c>
      <c r="M521" s="11" t="s">
        <v>1041</v>
      </c>
      <c r="N521" s="12">
        <v>19.8</v>
      </c>
      <c r="O521" s="13" t="s">
        <v>855</v>
      </c>
      <c r="P521" s="14"/>
    </row>
    <row r="522" spans="1:16" x14ac:dyDescent="0.25">
      <c r="A522" s="6"/>
      <c r="B522" s="7">
        <v>44272</v>
      </c>
      <c r="C522" s="8" t="s">
        <v>2079</v>
      </c>
      <c r="D522" s="8" t="s">
        <v>899</v>
      </c>
      <c r="E522" s="9" t="s">
        <v>490</v>
      </c>
      <c r="F522" s="9" t="s">
        <v>491</v>
      </c>
      <c r="G522" s="17">
        <v>0.52777777777777779</v>
      </c>
      <c r="H522" s="17">
        <v>0.56388888888888888</v>
      </c>
      <c r="I522" s="9">
        <v>38360</v>
      </c>
      <c r="J522" s="9">
        <v>15890</v>
      </c>
      <c r="K522" s="10">
        <f t="shared" si="20"/>
        <v>22470</v>
      </c>
      <c r="L522" s="10">
        <v>23599</v>
      </c>
      <c r="M522" s="11" t="s">
        <v>1041</v>
      </c>
      <c r="N522" s="12">
        <v>21.6</v>
      </c>
      <c r="O522" s="13" t="s">
        <v>855</v>
      </c>
      <c r="P522" s="14"/>
    </row>
    <row r="523" spans="1:16" x14ac:dyDescent="0.25">
      <c r="A523" s="6"/>
      <c r="B523" s="7">
        <v>44272</v>
      </c>
      <c r="C523" s="8" t="s">
        <v>2080</v>
      </c>
      <c r="D523" s="8" t="s">
        <v>1355</v>
      </c>
      <c r="E523" s="9" t="s">
        <v>1048</v>
      </c>
      <c r="F523" s="9" t="s">
        <v>2069</v>
      </c>
      <c r="G523" s="17">
        <v>0.55277777777777781</v>
      </c>
      <c r="H523" s="17">
        <v>0.5756944444444444</v>
      </c>
      <c r="I523" s="9">
        <v>39270</v>
      </c>
      <c r="J523" s="9">
        <v>16590</v>
      </c>
      <c r="K523" s="10">
        <f t="shared" si="20"/>
        <v>22680</v>
      </c>
      <c r="L523" s="10" t="s">
        <v>2081</v>
      </c>
      <c r="M523" s="11" t="s">
        <v>1041</v>
      </c>
      <c r="N523" s="12">
        <v>21.6</v>
      </c>
      <c r="O523" s="13" t="s">
        <v>855</v>
      </c>
      <c r="P523" s="14"/>
    </row>
    <row r="524" spans="1:16" x14ac:dyDescent="0.25">
      <c r="A524" s="6"/>
      <c r="B524" s="7">
        <v>44272</v>
      </c>
      <c r="C524" s="8" t="s">
        <v>973</v>
      </c>
      <c r="D524" s="8" t="s">
        <v>1794</v>
      </c>
      <c r="E524" s="9" t="s">
        <v>628</v>
      </c>
      <c r="F524" s="9" t="s">
        <v>629</v>
      </c>
      <c r="G524" s="17">
        <v>0.55347222222222225</v>
      </c>
      <c r="H524" s="17">
        <v>0.57847222222222217</v>
      </c>
      <c r="I524" s="9">
        <v>20310</v>
      </c>
      <c r="J524" s="9">
        <v>9630</v>
      </c>
      <c r="K524" s="10">
        <f t="shared" si="20"/>
        <v>10680</v>
      </c>
      <c r="L524" s="10">
        <v>23600</v>
      </c>
      <c r="M524" s="11" t="s">
        <v>1041</v>
      </c>
      <c r="N524" s="12">
        <v>10.199999999999999</v>
      </c>
      <c r="O524" s="13" t="s">
        <v>855</v>
      </c>
      <c r="P524" s="14"/>
    </row>
    <row r="525" spans="1:16" x14ac:dyDescent="0.25">
      <c r="A525" s="6"/>
      <c r="B525" s="7">
        <v>44272</v>
      </c>
      <c r="C525" s="8" t="s">
        <v>2082</v>
      </c>
      <c r="D525" s="8" t="s">
        <v>94</v>
      </c>
      <c r="E525" s="9" t="s">
        <v>1774</v>
      </c>
      <c r="F525" s="9" t="s">
        <v>1775</v>
      </c>
      <c r="G525" s="17">
        <v>0.56319444444444444</v>
      </c>
      <c r="H525" s="17">
        <v>0.57013888888888886</v>
      </c>
      <c r="I525" s="9">
        <v>12950</v>
      </c>
      <c r="J525" s="9">
        <v>7540</v>
      </c>
      <c r="K525" s="10">
        <f t="shared" si="20"/>
        <v>5410</v>
      </c>
      <c r="L525" s="10">
        <v>23601</v>
      </c>
      <c r="M525" s="11" t="s">
        <v>1784</v>
      </c>
      <c r="N525" s="12">
        <v>5.4</v>
      </c>
      <c r="O525" s="13" t="s">
        <v>855</v>
      </c>
      <c r="P525" s="14"/>
    </row>
    <row r="526" spans="1:16" x14ac:dyDescent="0.25">
      <c r="A526" s="6"/>
      <c r="B526" s="7">
        <v>44272</v>
      </c>
      <c r="C526" s="8" t="s">
        <v>164</v>
      </c>
      <c r="D526" s="8" t="s">
        <v>2034</v>
      </c>
      <c r="E526" s="9" t="s">
        <v>160</v>
      </c>
      <c r="F526" s="9" t="s">
        <v>161</v>
      </c>
      <c r="G526" s="17">
        <v>0.58263888888888882</v>
      </c>
      <c r="H526" s="17">
        <v>0.6743055555555556</v>
      </c>
      <c r="I526" s="9">
        <v>18890</v>
      </c>
      <c r="J526" s="9">
        <v>43930</v>
      </c>
      <c r="K526" s="10">
        <f t="shared" si="20"/>
        <v>-25040</v>
      </c>
      <c r="L526" s="10">
        <v>15913</v>
      </c>
      <c r="M526" s="11" t="s">
        <v>166</v>
      </c>
      <c r="N526" s="12">
        <v>522</v>
      </c>
      <c r="O526" s="13" t="s">
        <v>1099</v>
      </c>
      <c r="P526" s="14"/>
    </row>
    <row r="527" spans="1:16" x14ac:dyDescent="0.25">
      <c r="A527" s="6"/>
      <c r="B527" s="7">
        <v>44272</v>
      </c>
      <c r="C527" s="8" t="s">
        <v>2083</v>
      </c>
      <c r="D527" s="8" t="s">
        <v>2084</v>
      </c>
      <c r="E527" s="9" t="s">
        <v>2085</v>
      </c>
      <c r="F527" s="9" t="s">
        <v>338</v>
      </c>
      <c r="G527" s="17">
        <v>0.58680555555555558</v>
      </c>
      <c r="H527" s="17">
        <v>0.63194444444444442</v>
      </c>
      <c r="I527" s="9">
        <v>3970</v>
      </c>
      <c r="J527" s="9">
        <v>6970</v>
      </c>
      <c r="K527" s="10">
        <f t="shared" si="20"/>
        <v>-3000</v>
      </c>
      <c r="L527" s="10">
        <v>5847</v>
      </c>
      <c r="M527" s="11" t="s">
        <v>2033</v>
      </c>
      <c r="N527" s="12">
        <v>300</v>
      </c>
      <c r="O527" s="13" t="s">
        <v>32</v>
      </c>
      <c r="P527" s="14" t="s">
        <v>1250</v>
      </c>
    </row>
    <row r="528" spans="1:16" x14ac:dyDescent="0.25">
      <c r="A528" s="6"/>
      <c r="B528" s="7">
        <v>44272</v>
      </c>
      <c r="C528" s="8" t="s">
        <v>1673</v>
      </c>
      <c r="D528" s="8" t="s">
        <v>1853</v>
      </c>
      <c r="E528" s="9" t="s">
        <v>1231</v>
      </c>
      <c r="F528" s="9" t="s">
        <v>36</v>
      </c>
      <c r="G528" s="17">
        <v>0.59097222222222223</v>
      </c>
      <c r="H528" s="17">
        <v>0.59930555555555554</v>
      </c>
      <c r="I528" s="9">
        <v>5090</v>
      </c>
      <c r="J528" s="9">
        <v>4110</v>
      </c>
      <c r="K528" s="10">
        <f t="shared" si="20"/>
        <v>980</v>
      </c>
      <c r="L528" s="10">
        <v>26642</v>
      </c>
      <c r="M528" s="11" t="s">
        <v>978</v>
      </c>
      <c r="N528" s="12">
        <v>980</v>
      </c>
      <c r="O528" s="13" t="s">
        <v>32</v>
      </c>
      <c r="P528" s="14"/>
    </row>
    <row r="529" spans="1:27" x14ac:dyDescent="0.25">
      <c r="A529" s="6"/>
      <c r="B529" s="7">
        <v>44272</v>
      </c>
      <c r="C529" s="8" t="s">
        <v>2086</v>
      </c>
      <c r="D529" s="8" t="s">
        <v>1794</v>
      </c>
      <c r="E529" s="9" t="s">
        <v>628</v>
      </c>
      <c r="F529" s="9" t="s">
        <v>629</v>
      </c>
      <c r="G529" s="17">
        <v>0.61875000000000002</v>
      </c>
      <c r="H529" s="17">
        <v>0.63055555555555554</v>
      </c>
      <c r="I529" s="9">
        <v>10890</v>
      </c>
      <c r="J529" s="9">
        <v>9630</v>
      </c>
      <c r="K529" s="10">
        <f t="shared" si="20"/>
        <v>1260</v>
      </c>
      <c r="L529" s="10">
        <v>23602</v>
      </c>
      <c r="M529" s="11" t="s">
        <v>1799</v>
      </c>
      <c r="N529" s="12">
        <v>1.2</v>
      </c>
      <c r="O529" s="13" t="s">
        <v>855</v>
      </c>
      <c r="P529" s="14"/>
    </row>
    <row r="530" spans="1:27" x14ac:dyDescent="0.25">
      <c r="A530" s="6"/>
      <c r="B530" s="7">
        <v>44272</v>
      </c>
      <c r="C530" s="8" t="s">
        <v>1534</v>
      </c>
      <c r="D530" s="8" t="s">
        <v>1084</v>
      </c>
      <c r="E530" s="9" t="s">
        <v>502</v>
      </c>
      <c r="F530" s="9" t="s">
        <v>1647</v>
      </c>
      <c r="G530" s="17">
        <v>0.62916666666666665</v>
      </c>
      <c r="H530" s="17">
        <v>0.6381944444444444</v>
      </c>
      <c r="I530" s="9">
        <v>6270</v>
      </c>
      <c r="J530" s="9">
        <v>5420</v>
      </c>
      <c r="K530" s="10">
        <f t="shared" si="20"/>
        <v>850</v>
      </c>
      <c r="L530" s="10">
        <v>20192</v>
      </c>
      <c r="M530" s="11" t="s">
        <v>1873</v>
      </c>
      <c r="N530" s="12">
        <v>850</v>
      </c>
      <c r="O530" s="13" t="s">
        <v>32</v>
      </c>
      <c r="P530" s="14" t="s">
        <v>883</v>
      </c>
    </row>
    <row r="531" spans="1:27" x14ac:dyDescent="0.25">
      <c r="A531" s="6"/>
      <c r="B531" s="7">
        <v>44272</v>
      </c>
      <c r="C531" s="8" t="s">
        <v>2042</v>
      </c>
      <c r="D531" s="8" t="s">
        <v>1842</v>
      </c>
      <c r="E531" s="9" t="s">
        <v>1000</v>
      </c>
      <c r="F531" s="9" t="s">
        <v>36</v>
      </c>
      <c r="G531" s="17">
        <v>0.64513888888888882</v>
      </c>
      <c r="H531" s="17">
        <v>0.66180555555555554</v>
      </c>
      <c r="I531" s="9">
        <v>4520</v>
      </c>
      <c r="J531" s="9">
        <v>1910</v>
      </c>
      <c r="K531" s="10">
        <f t="shared" ref="K531:K595" si="22">+I531-J531</f>
        <v>2610</v>
      </c>
      <c r="L531" s="10">
        <v>26643</v>
      </c>
      <c r="M531" s="11" t="s">
        <v>965</v>
      </c>
      <c r="N531" s="12">
        <v>2610</v>
      </c>
      <c r="O531" s="13" t="s">
        <v>32</v>
      </c>
      <c r="P531" s="14"/>
    </row>
    <row r="532" spans="1:27" x14ac:dyDescent="0.25">
      <c r="A532" s="6"/>
      <c r="B532" s="7">
        <v>44272</v>
      </c>
      <c r="C532" s="8" t="s">
        <v>2042</v>
      </c>
      <c r="D532" s="8" t="s">
        <v>2087</v>
      </c>
      <c r="E532" s="9" t="s">
        <v>2088</v>
      </c>
      <c r="F532" s="9" t="s">
        <v>36</v>
      </c>
      <c r="G532" s="17">
        <v>0.64652777777777781</v>
      </c>
      <c r="H532" s="17">
        <v>0.65833333333333333</v>
      </c>
      <c r="I532" s="9">
        <v>5850</v>
      </c>
      <c r="J532" s="9">
        <v>2990</v>
      </c>
      <c r="K532" s="10">
        <f t="shared" si="22"/>
        <v>2860</v>
      </c>
      <c r="L532" s="10">
        <v>26644</v>
      </c>
      <c r="M532" s="11" t="s">
        <v>965</v>
      </c>
      <c r="N532" s="12">
        <v>2860</v>
      </c>
      <c r="O532" s="13" t="s">
        <v>32</v>
      </c>
      <c r="P532" s="14"/>
    </row>
    <row r="533" spans="1:27" x14ac:dyDescent="0.25">
      <c r="A533" s="6"/>
      <c r="B533" s="7">
        <v>44272</v>
      </c>
      <c r="C533" s="8" t="s">
        <v>2093</v>
      </c>
      <c r="D533" s="8" t="s">
        <v>1850</v>
      </c>
      <c r="E533" s="9" t="s">
        <v>144</v>
      </c>
      <c r="F533" s="9" t="s">
        <v>626</v>
      </c>
      <c r="G533" s="17">
        <v>0.64930555555555558</v>
      </c>
      <c r="H533" s="17">
        <v>0.72291666666666676</v>
      </c>
      <c r="I533" s="9">
        <v>15400</v>
      </c>
      <c r="J533" s="9">
        <v>50500</v>
      </c>
      <c r="K533" s="10">
        <f t="shared" ref="K533" si="23">+I533-J533</f>
        <v>-35100</v>
      </c>
      <c r="L533" s="10">
        <v>5848</v>
      </c>
      <c r="M533" s="11" t="s">
        <v>53</v>
      </c>
      <c r="N533" s="12">
        <v>700</v>
      </c>
      <c r="O533" s="13" t="s">
        <v>1099</v>
      </c>
      <c r="P533" s="14"/>
      <c r="V533" s="1">
        <v>0</v>
      </c>
    </row>
    <row r="534" spans="1:27" x14ac:dyDescent="0.25">
      <c r="A534" s="6"/>
      <c r="B534" s="7">
        <v>44272</v>
      </c>
      <c r="C534" s="8" t="s">
        <v>1673</v>
      </c>
      <c r="D534" s="8" t="s">
        <v>183</v>
      </c>
      <c r="E534" s="9" t="s">
        <v>2044</v>
      </c>
      <c r="F534" s="9" t="s">
        <v>36</v>
      </c>
      <c r="G534" s="17">
        <v>0.66041666666666665</v>
      </c>
      <c r="H534" s="17">
        <v>0.67013888888888884</v>
      </c>
      <c r="I534" s="9">
        <v>2810</v>
      </c>
      <c r="J534" s="9">
        <v>2130</v>
      </c>
      <c r="K534" s="10">
        <f t="shared" si="22"/>
        <v>680</v>
      </c>
      <c r="L534" s="10">
        <v>26645</v>
      </c>
      <c r="M534" s="11" t="s">
        <v>965</v>
      </c>
      <c r="N534" s="12">
        <v>680</v>
      </c>
      <c r="O534" s="13" t="s">
        <v>32</v>
      </c>
      <c r="P534" s="14"/>
    </row>
    <row r="535" spans="1:27" x14ac:dyDescent="0.25">
      <c r="A535" s="6"/>
      <c r="B535" s="7">
        <v>44272</v>
      </c>
      <c r="C535" s="8" t="s">
        <v>2089</v>
      </c>
      <c r="D535" s="8" t="s">
        <v>2090</v>
      </c>
      <c r="E535" s="9" t="s">
        <v>2091</v>
      </c>
      <c r="F535" s="9" t="s">
        <v>36</v>
      </c>
      <c r="G535" s="17">
        <v>0.71597222222222223</v>
      </c>
      <c r="H535" s="17">
        <v>0.72083333333333333</v>
      </c>
      <c r="I535" s="9">
        <v>2320</v>
      </c>
      <c r="J535" s="9">
        <v>2250</v>
      </c>
      <c r="K535" s="10">
        <f t="shared" si="22"/>
        <v>70</v>
      </c>
      <c r="L535" s="10">
        <v>1863</v>
      </c>
      <c r="M535" s="11" t="s">
        <v>2092</v>
      </c>
      <c r="N535" s="12">
        <v>70</v>
      </c>
      <c r="O535" s="13" t="s">
        <v>32</v>
      </c>
      <c r="P535" s="14"/>
    </row>
    <row r="536" spans="1:27" x14ac:dyDescent="0.25">
      <c r="A536" s="6"/>
      <c r="B536" s="7">
        <v>44272</v>
      </c>
      <c r="C536" s="8" t="s">
        <v>2094</v>
      </c>
      <c r="D536" s="8" t="s">
        <v>2095</v>
      </c>
      <c r="E536" s="9" t="s">
        <v>2096</v>
      </c>
      <c r="F536" s="9" t="s">
        <v>36</v>
      </c>
      <c r="G536" s="17">
        <v>0.7319444444444444</v>
      </c>
      <c r="H536" s="17">
        <v>0.7729166666666667</v>
      </c>
      <c r="I536" s="9">
        <v>38950</v>
      </c>
      <c r="J536" s="9">
        <v>17000</v>
      </c>
      <c r="K536" s="10">
        <f t="shared" si="22"/>
        <v>21950</v>
      </c>
      <c r="L536" s="10">
        <v>5552</v>
      </c>
      <c r="M536" s="11" t="s">
        <v>2097</v>
      </c>
      <c r="N536" s="12">
        <v>840</v>
      </c>
      <c r="O536" s="13" t="s">
        <v>1099</v>
      </c>
      <c r="P536" s="14"/>
      <c r="V536" s="1">
        <v>0</v>
      </c>
    </row>
    <row r="537" spans="1:27" x14ac:dyDescent="0.25">
      <c r="A537" s="6"/>
      <c r="B537" s="7">
        <v>44272</v>
      </c>
      <c r="C537" s="8" t="s">
        <v>1855</v>
      </c>
      <c r="D537" s="8" t="s">
        <v>1855</v>
      </c>
      <c r="E537" s="9" t="s">
        <v>1856</v>
      </c>
      <c r="F537" s="9" t="s">
        <v>338</v>
      </c>
      <c r="G537" s="17">
        <v>0.73402777777777783</v>
      </c>
      <c r="H537" s="17">
        <v>0.76944444444444438</v>
      </c>
      <c r="I537" s="9">
        <v>7720</v>
      </c>
      <c r="J537" s="9">
        <v>4510</v>
      </c>
      <c r="K537" s="10">
        <f t="shared" si="22"/>
        <v>3210</v>
      </c>
      <c r="L537" s="10">
        <v>26646</v>
      </c>
      <c r="M537" s="11" t="s">
        <v>1857</v>
      </c>
      <c r="N537" s="12">
        <v>3210</v>
      </c>
      <c r="O537" s="13" t="s">
        <v>32</v>
      </c>
      <c r="P537" s="14"/>
      <c r="V537" s="1">
        <v>14350</v>
      </c>
      <c r="X537" s="1">
        <v>0</v>
      </c>
    </row>
    <row r="538" spans="1:27" x14ac:dyDescent="0.25">
      <c r="A538" s="6"/>
      <c r="B538" s="7">
        <v>44272</v>
      </c>
      <c r="C538" s="8" t="s">
        <v>395</v>
      </c>
      <c r="D538" s="8" t="s">
        <v>2098</v>
      </c>
      <c r="E538" s="9" t="s">
        <v>1165</v>
      </c>
      <c r="F538" s="9" t="s">
        <v>338</v>
      </c>
      <c r="G538" s="17">
        <v>0.7368055555555556</v>
      </c>
      <c r="H538" s="17">
        <v>0.80625000000000002</v>
      </c>
      <c r="I538" s="9">
        <v>39120</v>
      </c>
      <c r="J538" s="9">
        <v>17440</v>
      </c>
      <c r="K538" s="10">
        <f t="shared" si="22"/>
        <v>21680</v>
      </c>
      <c r="L538" s="10">
        <v>5553</v>
      </c>
      <c r="M538" s="11" t="s">
        <v>2097</v>
      </c>
      <c r="N538" s="12">
        <v>840</v>
      </c>
      <c r="O538" s="13" t="s">
        <v>1099</v>
      </c>
      <c r="P538" s="14"/>
      <c r="X538" s="1">
        <v>40110</v>
      </c>
    </row>
    <row r="539" spans="1:27" x14ac:dyDescent="0.25">
      <c r="A539" s="6"/>
      <c r="B539" s="7">
        <v>44272</v>
      </c>
      <c r="C539" s="16" t="s">
        <v>395</v>
      </c>
      <c r="D539" s="8" t="s">
        <v>2099</v>
      </c>
      <c r="E539" s="9" t="s">
        <v>473</v>
      </c>
      <c r="F539" s="9" t="s">
        <v>338</v>
      </c>
      <c r="G539" s="17">
        <v>0.73819444444444438</v>
      </c>
      <c r="H539" s="17">
        <v>0.81666666666666676</v>
      </c>
      <c r="I539" s="9">
        <v>38630</v>
      </c>
      <c r="J539" s="9">
        <v>16780</v>
      </c>
      <c r="K539" s="10">
        <f t="shared" si="22"/>
        <v>21850</v>
      </c>
      <c r="L539" s="10">
        <v>5554</v>
      </c>
      <c r="M539" s="11" t="s">
        <v>2097</v>
      </c>
      <c r="N539" s="12">
        <v>840</v>
      </c>
      <c r="O539" s="13" t="s">
        <v>1099</v>
      </c>
      <c r="P539" s="14"/>
      <c r="X539" s="1">
        <v>14350</v>
      </c>
      <c r="Y539" s="25">
        <v>35.776614310645726</v>
      </c>
    </row>
    <row r="540" spans="1:27" x14ac:dyDescent="0.25">
      <c r="A540" s="6"/>
      <c r="B540" s="7">
        <v>44272</v>
      </c>
      <c r="C540" s="8" t="s">
        <v>208</v>
      </c>
      <c r="D540" s="8" t="s">
        <v>284</v>
      </c>
      <c r="E540" s="9" t="s">
        <v>177</v>
      </c>
      <c r="F540" s="9" t="s">
        <v>178</v>
      </c>
      <c r="G540" s="17">
        <v>0.77430555555555547</v>
      </c>
      <c r="H540" s="17">
        <v>0.36249999999999999</v>
      </c>
      <c r="I540" s="9">
        <v>39180</v>
      </c>
      <c r="J540" s="9">
        <v>16500</v>
      </c>
      <c r="K540" s="10">
        <f t="shared" si="22"/>
        <v>22680</v>
      </c>
      <c r="L540" s="10">
        <v>41168</v>
      </c>
      <c r="M540" s="11" t="s">
        <v>1626</v>
      </c>
      <c r="N540" s="12">
        <v>22760</v>
      </c>
      <c r="O540" s="13" t="s">
        <v>32</v>
      </c>
      <c r="P540" s="14"/>
      <c r="W540" s="1">
        <v>2576</v>
      </c>
      <c r="X540" s="1">
        <v>25760</v>
      </c>
      <c r="Y540" s="25">
        <v>64.223385689354274</v>
      </c>
      <c r="AA540" s="1">
        <v>2576</v>
      </c>
    </row>
    <row r="541" spans="1:27" x14ac:dyDescent="0.25">
      <c r="A541" s="6"/>
      <c r="B541" s="7">
        <v>44272</v>
      </c>
      <c r="C541" s="8" t="s">
        <v>395</v>
      </c>
      <c r="D541" s="8" t="s">
        <v>2099</v>
      </c>
      <c r="E541" s="9" t="s">
        <v>473</v>
      </c>
      <c r="F541" s="9" t="s">
        <v>338</v>
      </c>
      <c r="G541" s="17">
        <v>0.81805555555555554</v>
      </c>
      <c r="H541" s="17">
        <v>0.8666666666666667</v>
      </c>
      <c r="I541" s="9">
        <v>18120</v>
      </c>
      <c r="J541" s="9">
        <v>39030</v>
      </c>
      <c r="K541" s="10">
        <f t="shared" si="22"/>
        <v>-20910</v>
      </c>
      <c r="L541" s="10">
        <v>15915</v>
      </c>
      <c r="M541" s="11" t="s">
        <v>638</v>
      </c>
      <c r="N541" s="12">
        <v>831</v>
      </c>
      <c r="O541" s="13" t="s">
        <v>1099</v>
      </c>
      <c r="P541" s="14"/>
      <c r="X541" s="1">
        <v>40110</v>
      </c>
      <c r="Y541" s="25">
        <v>100</v>
      </c>
      <c r="AA541" s="1" t="s">
        <v>22</v>
      </c>
    </row>
    <row r="542" spans="1:27" x14ac:dyDescent="0.25">
      <c r="A542" s="6"/>
      <c r="B542" s="7">
        <v>44272</v>
      </c>
      <c r="C542" s="8" t="s">
        <v>2019</v>
      </c>
      <c r="D542" s="8" t="s">
        <v>94</v>
      </c>
      <c r="E542" s="9" t="s">
        <v>1774</v>
      </c>
      <c r="F542" s="9" t="s">
        <v>1775</v>
      </c>
      <c r="G542" s="17">
        <v>0.85069444444444453</v>
      </c>
      <c r="H542" s="17">
        <v>0.86319444444444438</v>
      </c>
      <c r="I542" s="9">
        <v>8280</v>
      </c>
      <c r="J542" s="9">
        <v>7530</v>
      </c>
      <c r="K542" s="10">
        <f t="shared" si="22"/>
        <v>750</v>
      </c>
      <c r="L542" s="10">
        <v>23603</v>
      </c>
      <c r="M542" s="11" t="s">
        <v>1515</v>
      </c>
      <c r="N542" s="12">
        <v>750</v>
      </c>
      <c r="O542" s="13" t="s">
        <v>32</v>
      </c>
      <c r="P542" s="14" t="s">
        <v>883</v>
      </c>
      <c r="Q542" s="1">
        <v>4</v>
      </c>
    </row>
    <row r="543" spans="1:27" x14ac:dyDescent="0.25">
      <c r="A543" s="6"/>
      <c r="B543" s="7">
        <v>44272</v>
      </c>
      <c r="C543" s="8" t="s">
        <v>1673</v>
      </c>
      <c r="D543" s="8" t="s">
        <v>1853</v>
      </c>
      <c r="E543" s="9" t="s">
        <v>1231</v>
      </c>
      <c r="F543" s="9" t="s">
        <v>36</v>
      </c>
      <c r="G543" s="17">
        <v>0.86875000000000002</v>
      </c>
      <c r="H543" s="17">
        <v>0.90486111111111101</v>
      </c>
      <c r="I543" s="9">
        <v>6010</v>
      </c>
      <c r="J543" s="9">
        <v>4050</v>
      </c>
      <c r="K543" s="10">
        <f t="shared" si="22"/>
        <v>1960</v>
      </c>
      <c r="L543" s="10">
        <v>26647</v>
      </c>
      <c r="M543" s="11" t="s">
        <v>966</v>
      </c>
      <c r="N543" s="12">
        <v>1960</v>
      </c>
      <c r="O543" s="13" t="s">
        <v>32</v>
      </c>
      <c r="P543" s="14">
        <v>4</v>
      </c>
    </row>
    <row r="544" spans="1:27" x14ac:dyDescent="0.25">
      <c r="A544" s="6"/>
      <c r="B544" s="7">
        <v>44272</v>
      </c>
      <c r="C544" s="8" t="s">
        <v>1070</v>
      </c>
      <c r="D544" s="8" t="s">
        <v>1672</v>
      </c>
      <c r="E544" s="9" t="s">
        <v>881</v>
      </c>
      <c r="F544" s="9" t="s">
        <v>749</v>
      </c>
      <c r="G544" s="17">
        <v>0.94236111111111109</v>
      </c>
      <c r="H544" s="17">
        <v>0.95277777777777783</v>
      </c>
      <c r="I544" s="9">
        <v>37380</v>
      </c>
      <c r="J544" s="9">
        <v>16780</v>
      </c>
      <c r="K544" s="10">
        <f t="shared" si="22"/>
        <v>20600</v>
      </c>
      <c r="L544" s="10">
        <v>23604</v>
      </c>
      <c r="M544" s="11" t="s">
        <v>1482</v>
      </c>
      <c r="N544" s="12">
        <v>21.6</v>
      </c>
      <c r="O544" s="13" t="s">
        <v>855</v>
      </c>
      <c r="P544" s="14">
        <v>3</v>
      </c>
      <c r="Y544" s="25" t="e">
        <v>#DIV/0!</v>
      </c>
      <c r="Z544" s="1" t="s">
        <v>23</v>
      </c>
    </row>
    <row r="545" spans="1:27" x14ac:dyDescent="0.25">
      <c r="A545" s="6"/>
      <c r="B545" s="7">
        <v>44272</v>
      </c>
      <c r="C545" s="8" t="s">
        <v>2101</v>
      </c>
      <c r="D545" s="8" t="s">
        <v>899</v>
      </c>
      <c r="E545" s="9" t="s">
        <v>490</v>
      </c>
      <c r="F545" s="9" t="s">
        <v>491</v>
      </c>
      <c r="G545" s="17">
        <v>0.94513888888888886</v>
      </c>
      <c r="H545" s="17">
        <v>0.9590277777777777</v>
      </c>
      <c r="I545" s="9">
        <v>44800</v>
      </c>
      <c r="J545" s="9">
        <v>19790</v>
      </c>
      <c r="K545" s="10">
        <f t="shared" si="22"/>
        <v>25010</v>
      </c>
      <c r="L545" s="10">
        <v>26648</v>
      </c>
      <c r="M545" s="11" t="s">
        <v>2100</v>
      </c>
      <c r="N545" s="12">
        <v>25010</v>
      </c>
      <c r="O545" s="13" t="s">
        <v>32</v>
      </c>
      <c r="P545" s="14">
        <v>3</v>
      </c>
      <c r="Y545" s="25" t="e">
        <v>#DIV/0!</v>
      </c>
      <c r="Z545" s="1" t="s">
        <v>24</v>
      </c>
    </row>
    <row r="546" spans="1:27" x14ac:dyDescent="0.25">
      <c r="A546" s="6"/>
      <c r="B546" s="7">
        <v>44272</v>
      </c>
      <c r="C546" s="8" t="s">
        <v>37</v>
      </c>
      <c r="D546" s="8" t="s">
        <v>2041</v>
      </c>
      <c r="E546" s="9" t="s">
        <v>967</v>
      </c>
      <c r="F546" s="9" t="s">
        <v>36</v>
      </c>
      <c r="G546" s="17">
        <v>0.94652777777777775</v>
      </c>
      <c r="H546" s="17">
        <v>0.99444444444444446</v>
      </c>
      <c r="I546" s="9">
        <v>18070</v>
      </c>
      <c r="J546" s="9">
        <v>6400</v>
      </c>
      <c r="K546" s="10">
        <f t="shared" si="22"/>
        <v>11670</v>
      </c>
      <c r="L546" s="10">
        <v>26649</v>
      </c>
      <c r="M546" s="11" t="s">
        <v>2013</v>
      </c>
      <c r="N546" s="12">
        <v>11670</v>
      </c>
      <c r="O546" s="13" t="s">
        <v>32</v>
      </c>
      <c r="P546" s="14"/>
      <c r="Y546" s="25" t="e">
        <v>#DIV/0!</v>
      </c>
      <c r="Z546" s="1" t="s">
        <v>25</v>
      </c>
      <c r="AA546" s="1">
        <v>100</v>
      </c>
    </row>
    <row r="547" spans="1:27" x14ac:dyDescent="0.25">
      <c r="A547" s="6"/>
      <c r="B547" s="7">
        <v>44272</v>
      </c>
      <c r="C547" s="8" t="s">
        <v>1070</v>
      </c>
      <c r="D547" s="8" t="s">
        <v>880</v>
      </c>
      <c r="E547" s="9" t="s">
        <v>1661</v>
      </c>
      <c r="F547" s="9" t="s">
        <v>1276</v>
      </c>
      <c r="G547" s="17">
        <v>0.95763888888888893</v>
      </c>
      <c r="H547" s="17">
        <v>0.96458333333333324</v>
      </c>
      <c r="I547" s="9">
        <v>28910</v>
      </c>
      <c r="J547" s="9">
        <v>14190</v>
      </c>
      <c r="K547" s="10">
        <f t="shared" si="22"/>
        <v>14720</v>
      </c>
      <c r="L547" s="10">
        <v>23604</v>
      </c>
      <c r="M547" s="11" t="s">
        <v>1482</v>
      </c>
      <c r="N547" s="12">
        <v>15</v>
      </c>
      <c r="O547" s="13" t="s">
        <v>855</v>
      </c>
      <c r="P547" s="14">
        <v>3</v>
      </c>
      <c r="U547" s="25"/>
    </row>
    <row r="548" spans="1:27" x14ac:dyDescent="0.25">
      <c r="A548" s="6"/>
      <c r="B548" s="7">
        <v>44273</v>
      </c>
      <c r="C548" s="8" t="s">
        <v>1673</v>
      </c>
      <c r="D548" s="8" t="s">
        <v>1853</v>
      </c>
      <c r="E548" s="9" t="s">
        <v>1231</v>
      </c>
      <c r="F548" s="9" t="s">
        <v>36</v>
      </c>
      <c r="G548" s="17">
        <v>1.9444444444444445E-2</v>
      </c>
      <c r="H548" s="17">
        <v>6.5972222222222224E-2</v>
      </c>
      <c r="I548" s="9">
        <v>8590</v>
      </c>
      <c r="J548" s="9">
        <v>4040</v>
      </c>
      <c r="K548" s="10">
        <f t="shared" si="22"/>
        <v>4550</v>
      </c>
      <c r="L548" s="10">
        <v>26650</v>
      </c>
      <c r="M548" s="11" t="s">
        <v>1515</v>
      </c>
      <c r="N548" s="12">
        <v>4550</v>
      </c>
      <c r="O548" s="13" t="s">
        <v>32</v>
      </c>
      <c r="P548" s="14">
        <v>4</v>
      </c>
      <c r="U548" s="25"/>
    </row>
    <row r="549" spans="1:27" x14ac:dyDescent="0.25">
      <c r="A549" s="6"/>
      <c r="B549" s="7">
        <v>44273</v>
      </c>
      <c r="C549" s="8" t="s">
        <v>366</v>
      </c>
      <c r="D549" s="8" t="s">
        <v>1076</v>
      </c>
      <c r="E549" s="9" t="s">
        <v>220</v>
      </c>
      <c r="F549" s="9" t="s">
        <v>924</v>
      </c>
      <c r="G549" s="17">
        <v>2.2916666666666669E-2</v>
      </c>
      <c r="H549" s="17">
        <v>0.23194444444444443</v>
      </c>
      <c r="I549" s="9">
        <v>19990</v>
      </c>
      <c r="J549" s="9">
        <v>9130</v>
      </c>
      <c r="K549" s="10">
        <f t="shared" si="22"/>
        <v>10860</v>
      </c>
      <c r="L549" s="10" t="s">
        <v>2103</v>
      </c>
      <c r="M549" s="11" t="s">
        <v>2102</v>
      </c>
      <c r="N549" s="12">
        <v>10919</v>
      </c>
      <c r="O549" s="13" t="s">
        <v>32</v>
      </c>
      <c r="P549" s="14">
        <v>4</v>
      </c>
      <c r="U549" s="25"/>
    </row>
    <row r="550" spans="1:27" x14ac:dyDescent="0.25">
      <c r="A550" s="6"/>
      <c r="B550" s="7">
        <v>44273</v>
      </c>
      <c r="C550" s="8" t="s">
        <v>2104</v>
      </c>
      <c r="D550" s="8" t="s">
        <v>458</v>
      </c>
      <c r="E550" s="9" t="s">
        <v>699</v>
      </c>
      <c r="F550" s="9" t="s">
        <v>459</v>
      </c>
      <c r="G550" s="17">
        <v>0.10416666666666667</v>
      </c>
      <c r="H550" s="17">
        <v>0.14097222222222222</v>
      </c>
      <c r="I550" s="9">
        <v>16590</v>
      </c>
      <c r="J550" s="9">
        <v>8280</v>
      </c>
      <c r="K550" s="10">
        <f t="shared" si="22"/>
        <v>8310</v>
      </c>
      <c r="L550" s="10" t="s">
        <v>2105</v>
      </c>
      <c r="M550" s="11" t="s">
        <v>718</v>
      </c>
      <c r="N550" s="12">
        <v>8310</v>
      </c>
      <c r="O550" s="13" t="s">
        <v>32</v>
      </c>
      <c r="P550" s="14">
        <v>2</v>
      </c>
    </row>
    <row r="551" spans="1:27" x14ac:dyDescent="0.25">
      <c r="A551" s="6"/>
      <c r="B551" s="7">
        <v>44273</v>
      </c>
      <c r="C551" s="8" t="s">
        <v>142</v>
      </c>
      <c r="D551" s="8" t="s">
        <v>1656</v>
      </c>
      <c r="E551" s="9" t="s">
        <v>87</v>
      </c>
      <c r="F551" s="9" t="s">
        <v>88</v>
      </c>
      <c r="G551" s="17">
        <v>0.24930555555555556</v>
      </c>
      <c r="H551" s="17">
        <v>0.26319444444444445</v>
      </c>
      <c r="I551" s="9">
        <v>36980</v>
      </c>
      <c r="J551" s="9">
        <v>17290</v>
      </c>
      <c r="K551" s="10">
        <f t="shared" si="22"/>
        <v>19690</v>
      </c>
      <c r="L551" s="10">
        <v>786</v>
      </c>
      <c r="M551" s="11" t="s">
        <v>1621</v>
      </c>
      <c r="N551" s="12">
        <v>19231</v>
      </c>
      <c r="O551" s="13" t="s">
        <v>32</v>
      </c>
      <c r="P551" s="14"/>
    </row>
    <row r="552" spans="1:27" x14ac:dyDescent="0.25">
      <c r="A552" s="6"/>
      <c r="B552" s="15">
        <v>44273</v>
      </c>
      <c r="C552" s="8" t="s">
        <v>2106</v>
      </c>
      <c r="D552" s="8" t="s">
        <v>2107</v>
      </c>
      <c r="E552" s="9" t="s">
        <v>1757</v>
      </c>
      <c r="F552" s="9" t="s">
        <v>36</v>
      </c>
      <c r="G552" s="17">
        <v>0.38958333333333334</v>
      </c>
      <c r="H552" s="17">
        <v>0.4597222222222222</v>
      </c>
      <c r="I552" s="9">
        <v>13090</v>
      </c>
      <c r="J552" s="9">
        <v>9600</v>
      </c>
      <c r="K552" s="10">
        <f t="shared" si="22"/>
        <v>3490</v>
      </c>
      <c r="L552" s="10">
        <v>26651</v>
      </c>
      <c r="M552" s="11" t="s">
        <v>2108</v>
      </c>
      <c r="N552" s="12">
        <v>3490</v>
      </c>
      <c r="O552" s="13" t="s">
        <v>32</v>
      </c>
      <c r="P552" s="14"/>
    </row>
    <row r="553" spans="1:27" x14ac:dyDescent="0.25">
      <c r="A553" s="6"/>
      <c r="B553" s="7">
        <v>44273</v>
      </c>
      <c r="C553" s="8" t="s">
        <v>2109</v>
      </c>
      <c r="D553" s="8" t="s">
        <v>2110</v>
      </c>
      <c r="E553" s="9" t="s">
        <v>2111</v>
      </c>
      <c r="F553" s="9" t="s">
        <v>36</v>
      </c>
      <c r="G553" s="17">
        <v>0.39583333333333331</v>
      </c>
      <c r="H553" s="17">
        <v>0.63472222222222219</v>
      </c>
      <c r="I553" s="9">
        <v>9580</v>
      </c>
      <c r="J553" s="9">
        <v>19250</v>
      </c>
      <c r="K553" s="10">
        <f t="shared" si="22"/>
        <v>-9670</v>
      </c>
      <c r="L553" s="10">
        <v>15685</v>
      </c>
      <c r="M553" s="11" t="s">
        <v>2112</v>
      </c>
      <c r="N553" s="12">
        <v>9670</v>
      </c>
      <c r="O553" s="13" t="s">
        <v>32</v>
      </c>
      <c r="P553" s="14"/>
    </row>
    <row r="554" spans="1:27" x14ac:dyDescent="0.25">
      <c r="A554" s="6"/>
      <c r="B554" s="7">
        <v>44273</v>
      </c>
      <c r="C554" s="8" t="s">
        <v>991</v>
      </c>
      <c r="D554" s="8" t="s">
        <v>94</v>
      </c>
      <c r="E554" s="9" t="s">
        <v>1774</v>
      </c>
      <c r="F554" s="9" t="s">
        <v>1775</v>
      </c>
      <c r="G554" s="17">
        <v>0.42083333333333334</v>
      </c>
      <c r="H554" s="17">
        <v>0.47152777777777777</v>
      </c>
      <c r="I554" s="9">
        <v>17690</v>
      </c>
      <c r="J554" s="9">
        <v>7660</v>
      </c>
      <c r="K554" s="10">
        <f t="shared" si="22"/>
        <v>10030</v>
      </c>
      <c r="L554" s="10">
        <v>23605</v>
      </c>
      <c r="M554" s="11" t="s">
        <v>1041</v>
      </c>
      <c r="N554" s="12">
        <v>9.6</v>
      </c>
      <c r="O554" s="13" t="s">
        <v>855</v>
      </c>
      <c r="P554" s="14"/>
      <c r="Y554" s="1">
        <v>0</v>
      </c>
    </row>
    <row r="555" spans="1:27" x14ac:dyDescent="0.25">
      <c r="A555" s="7"/>
      <c r="B555" s="7">
        <v>44273</v>
      </c>
      <c r="C555" s="8" t="s">
        <v>164</v>
      </c>
      <c r="D555" s="8" t="s">
        <v>198</v>
      </c>
      <c r="E555" s="9" t="s">
        <v>160</v>
      </c>
      <c r="F555" s="9" t="s">
        <v>161</v>
      </c>
      <c r="G555" s="17">
        <v>0.4291666666666667</v>
      </c>
      <c r="H555" s="17">
        <v>0.47569444444444442</v>
      </c>
      <c r="I555" s="9">
        <v>18850</v>
      </c>
      <c r="J555" s="9">
        <v>44140</v>
      </c>
      <c r="K555" s="10">
        <f t="shared" si="22"/>
        <v>-25290</v>
      </c>
      <c r="L555" s="10">
        <v>15916</v>
      </c>
      <c r="M555" s="11" t="s">
        <v>166</v>
      </c>
      <c r="N555" s="12">
        <v>504</v>
      </c>
      <c r="O555" s="13" t="s">
        <v>1099</v>
      </c>
      <c r="P555" s="14"/>
    </row>
    <row r="556" spans="1:27" x14ac:dyDescent="0.25">
      <c r="A556" s="7"/>
      <c r="B556" s="7">
        <v>44273</v>
      </c>
      <c r="C556" s="8" t="s">
        <v>164</v>
      </c>
      <c r="D556" s="8" t="s">
        <v>2034</v>
      </c>
      <c r="E556" s="9" t="s">
        <v>51</v>
      </c>
      <c r="F556" s="9" t="s">
        <v>52</v>
      </c>
      <c r="G556" s="17">
        <v>0.4375</v>
      </c>
      <c r="H556" s="17">
        <v>0.48333333333333334</v>
      </c>
      <c r="I556" s="9">
        <v>16920</v>
      </c>
      <c r="J556" s="9">
        <v>42260</v>
      </c>
      <c r="K556" s="10">
        <f t="shared" si="22"/>
        <v>-25340</v>
      </c>
      <c r="L556" s="10">
        <v>15917</v>
      </c>
      <c r="M556" s="11" t="s">
        <v>166</v>
      </c>
      <c r="N556" s="12">
        <v>504</v>
      </c>
      <c r="O556" s="13" t="s">
        <v>1099</v>
      </c>
      <c r="P556" s="14"/>
    </row>
    <row r="557" spans="1:27" x14ac:dyDescent="0.25">
      <c r="A557" s="7"/>
      <c r="B557" s="7">
        <v>44273</v>
      </c>
      <c r="C557" s="8" t="s">
        <v>164</v>
      </c>
      <c r="D557" s="8" t="s">
        <v>1672</v>
      </c>
      <c r="E557" s="9" t="s">
        <v>881</v>
      </c>
      <c r="F557" s="9" t="s">
        <v>749</v>
      </c>
      <c r="G557" s="17">
        <v>0.44861111111111113</v>
      </c>
      <c r="H557" s="17">
        <v>0.48888888888888887</v>
      </c>
      <c r="I557" s="9">
        <v>17580</v>
      </c>
      <c r="J557" s="9">
        <v>42900</v>
      </c>
      <c r="K557" s="10">
        <f t="shared" si="22"/>
        <v>-25320</v>
      </c>
      <c r="L557" s="10">
        <v>15918</v>
      </c>
      <c r="M557" s="11" t="s">
        <v>166</v>
      </c>
      <c r="N557" s="12">
        <v>504</v>
      </c>
      <c r="O557" s="13" t="s">
        <v>1099</v>
      </c>
      <c r="P557" s="14"/>
      <c r="U557" s="1">
        <v>0.25</v>
      </c>
      <c r="W557" s="1">
        <v>0.5</v>
      </c>
    </row>
    <row r="558" spans="1:27" x14ac:dyDescent="0.25">
      <c r="A558" s="7"/>
      <c r="B558" s="7">
        <v>44273</v>
      </c>
      <c r="C558" s="8" t="s">
        <v>991</v>
      </c>
      <c r="D558" s="8" t="s">
        <v>880</v>
      </c>
      <c r="E558" s="9" t="s">
        <v>1661</v>
      </c>
      <c r="F558" s="9" t="s">
        <v>1276</v>
      </c>
      <c r="G558" s="17">
        <v>0.45</v>
      </c>
      <c r="H558" s="17">
        <v>0.47847222222222219</v>
      </c>
      <c r="I558" s="9">
        <v>29180</v>
      </c>
      <c r="J558" s="9">
        <v>14210</v>
      </c>
      <c r="K558" s="10">
        <f t="shared" si="22"/>
        <v>14970</v>
      </c>
      <c r="L558" s="10">
        <v>23601</v>
      </c>
      <c r="M558" s="11" t="s">
        <v>1041</v>
      </c>
      <c r="N558" s="12">
        <v>14.4</v>
      </c>
      <c r="O558" s="13" t="s">
        <v>855</v>
      </c>
      <c r="P558" s="14"/>
    </row>
    <row r="559" spans="1:27" x14ac:dyDescent="0.25">
      <c r="A559" s="7"/>
      <c r="B559" s="7">
        <v>44273</v>
      </c>
      <c r="C559" s="8" t="s">
        <v>2114</v>
      </c>
      <c r="D559" s="8" t="s">
        <v>299</v>
      </c>
      <c r="E559" s="9" t="s">
        <v>813</v>
      </c>
      <c r="F559" s="9" t="s">
        <v>814</v>
      </c>
      <c r="G559" s="17">
        <v>0.54305555555555551</v>
      </c>
      <c r="H559" s="17">
        <v>0.55208333333333337</v>
      </c>
      <c r="I559" s="9">
        <v>39260</v>
      </c>
      <c r="J559" s="9">
        <v>17560</v>
      </c>
      <c r="K559" s="10">
        <f t="shared" si="22"/>
        <v>21700</v>
      </c>
      <c r="L559" s="10" t="s">
        <v>2115</v>
      </c>
      <c r="M559" s="11" t="s">
        <v>1041</v>
      </c>
      <c r="N559" s="12">
        <f>10.8+9.6</f>
        <v>20.399999999999999</v>
      </c>
      <c r="O559" s="13" t="s">
        <v>855</v>
      </c>
      <c r="P559" s="14"/>
    </row>
    <row r="560" spans="1:27" x14ac:dyDescent="0.25">
      <c r="A560" s="7"/>
      <c r="B560" s="7">
        <v>44273</v>
      </c>
      <c r="C560" s="8" t="s">
        <v>164</v>
      </c>
      <c r="D560" s="8" t="s">
        <v>198</v>
      </c>
      <c r="E560" s="9" t="s">
        <v>160</v>
      </c>
      <c r="F560" s="9" t="s">
        <v>161</v>
      </c>
      <c r="G560" s="17">
        <v>0.55347222222222225</v>
      </c>
      <c r="H560" s="17">
        <v>0.58888888888888891</v>
      </c>
      <c r="I560" s="9">
        <v>18820</v>
      </c>
      <c r="J560" s="9">
        <v>44140</v>
      </c>
      <c r="K560" s="10">
        <f t="shared" si="22"/>
        <v>-25320</v>
      </c>
      <c r="L560" s="10">
        <v>15919</v>
      </c>
      <c r="M560" s="11" t="s">
        <v>166</v>
      </c>
      <c r="N560" s="12">
        <v>504</v>
      </c>
      <c r="O560" s="13" t="s">
        <v>1099</v>
      </c>
      <c r="P560" s="14"/>
    </row>
    <row r="561" spans="1:16" x14ac:dyDescent="0.25">
      <c r="A561" s="7"/>
      <c r="B561" s="7">
        <v>44273</v>
      </c>
      <c r="C561" s="8" t="s">
        <v>2116</v>
      </c>
      <c r="D561" s="8" t="s">
        <v>1355</v>
      </c>
      <c r="E561" s="9" t="s">
        <v>1048</v>
      </c>
      <c r="F561" s="9" t="s">
        <v>526</v>
      </c>
      <c r="G561" s="17">
        <v>0.55625000000000002</v>
      </c>
      <c r="H561" s="17">
        <v>0.58611111111111114</v>
      </c>
      <c r="I561" s="9">
        <v>33300</v>
      </c>
      <c r="J561" s="9">
        <v>16570</v>
      </c>
      <c r="K561" s="10">
        <f t="shared" si="22"/>
        <v>16730</v>
      </c>
      <c r="L561" s="10">
        <v>23607</v>
      </c>
      <c r="M561" s="11" t="s">
        <v>1041</v>
      </c>
      <c r="N561" s="12">
        <v>15</v>
      </c>
      <c r="O561" s="13" t="s">
        <v>855</v>
      </c>
      <c r="P561" s="14"/>
    </row>
    <row r="562" spans="1:16" x14ac:dyDescent="0.25">
      <c r="A562" s="7"/>
      <c r="B562" s="7">
        <v>44273</v>
      </c>
      <c r="C562" s="8" t="s">
        <v>1089</v>
      </c>
      <c r="D562" s="8" t="s">
        <v>1794</v>
      </c>
      <c r="E562" s="9" t="s">
        <v>628</v>
      </c>
      <c r="F562" s="9" t="s">
        <v>629</v>
      </c>
      <c r="G562" s="17">
        <v>0.56527777777777777</v>
      </c>
      <c r="H562" s="17">
        <v>0.57916666666666672</v>
      </c>
      <c r="I562" s="9">
        <v>11160</v>
      </c>
      <c r="J562" s="9">
        <v>9620</v>
      </c>
      <c r="K562" s="10">
        <f t="shared" si="22"/>
        <v>1540</v>
      </c>
      <c r="L562" s="10">
        <v>23608</v>
      </c>
      <c r="M562" s="11" t="s">
        <v>1515</v>
      </c>
      <c r="N562" s="12">
        <v>1</v>
      </c>
      <c r="O562" s="13" t="s">
        <v>855</v>
      </c>
      <c r="P562" s="14"/>
    </row>
    <row r="563" spans="1:16" x14ac:dyDescent="0.25">
      <c r="A563" s="7"/>
      <c r="B563" s="7">
        <v>44273</v>
      </c>
      <c r="C563" s="8" t="s">
        <v>164</v>
      </c>
      <c r="D563" s="8" t="s">
        <v>1672</v>
      </c>
      <c r="E563" s="9" t="s">
        <v>881</v>
      </c>
      <c r="F563" s="9" t="s">
        <v>749</v>
      </c>
      <c r="G563" s="17">
        <v>0.56666666666666665</v>
      </c>
      <c r="H563" s="17">
        <v>0.59722222222222221</v>
      </c>
      <c r="I563" s="9">
        <v>17320</v>
      </c>
      <c r="J563" s="9">
        <v>42880</v>
      </c>
      <c r="K563" s="10">
        <f t="shared" si="22"/>
        <v>-25560</v>
      </c>
      <c r="L563" s="10">
        <v>15920</v>
      </c>
      <c r="M563" s="11" t="s">
        <v>166</v>
      </c>
      <c r="N563" s="12">
        <v>504</v>
      </c>
      <c r="O563" s="13" t="s">
        <v>1099</v>
      </c>
      <c r="P563" s="14"/>
    </row>
    <row r="564" spans="1:16" x14ac:dyDescent="0.25">
      <c r="A564" s="7"/>
      <c r="B564" s="7">
        <v>44273</v>
      </c>
      <c r="C564" s="8" t="s">
        <v>2042</v>
      </c>
      <c r="D564" s="8" t="s">
        <v>1842</v>
      </c>
      <c r="E564" s="9" t="s">
        <v>1000</v>
      </c>
      <c r="F564" s="9" t="s">
        <v>36</v>
      </c>
      <c r="G564" s="17">
        <v>0.56874999999999998</v>
      </c>
      <c r="H564" s="17">
        <v>0.58263888888888882</v>
      </c>
      <c r="I564" s="9">
        <v>4770</v>
      </c>
      <c r="J564" s="9">
        <v>1920</v>
      </c>
      <c r="K564" s="10">
        <f t="shared" si="22"/>
        <v>2850</v>
      </c>
      <c r="L564" s="10">
        <v>26652</v>
      </c>
      <c r="M564" s="11" t="s">
        <v>965</v>
      </c>
      <c r="N564" s="12">
        <v>2850</v>
      </c>
      <c r="O564" s="13" t="s">
        <v>32</v>
      </c>
      <c r="P564" s="14"/>
    </row>
    <row r="565" spans="1:16" x14ac:dyDescent="0.25">
      <c r="A565" s="7"/>
      <c r="B565" s="7">
        <v>44273</v>
      </c>
      <c r="C565" s="8" t="s">
        <v>164</v>
      </c>
      <c r="D565" s="8" t="s">
        <v>2034</v>
      </c>
      <c r="E565" s="9" t="s">
        <v>51</v>
      </c>
      <c r="F565" s="9" t="s">
        <v>52</v>
      </c>
      <c r="G565" s="17">
        <v>0.5805555555555556</v>
      </c>
      <c r="H565" s="17">
        <v>0.61597222222222225</v>
      </c>
      <c r="I565" s="9">
        <v>16660</v>
      </c>
      <c r="J565" s="9">
        <v>42220</v>
      </c>
      <c r="K565" s="10">
        <f t="shared" si="22"/>
        <v>-25560</v>
      </c>
      <c r="L565" s="10">
        <v>15921</v>
      </c>
      <c r="M565" s="11" t="s">
        <v>166</v>
      </c>
      <c r="N565" s="12">
        <v>504</v>
      </c>
      <c r="O565" s="13" t="s">
        <v>1099</v>
      </c>
      <c r="P565" s="14"/>
    </row>
    <row r="566" spans="1:16" x14ac:dyDescent="0.25">
      <c r="A566" s="7"/>
      <c r="B566" s="7">
        <v>44273</v>
      </c>
      <c r="C566" s="43" t="s">
        <v>1630</v>
      </c>
      <c r="D566" s="43" t="s">
        <v>2118</v>
      </c>
      <c r="E566" s="44" t="s">
        <v>1632</v>
      </c>
      <c r="F566" s="44" t="s">
        <v>266</v>
      </c>
      <c r="G566" s="17">
        <v>0.58472222222222225</v>
      </c>
      <c r="H566" s="17">
        <v>0.59097222222222223</v>
      </c>
      <c r="I566" s="9">
        <v>5850</v>
      </c>
      <c r="J566" s="9">
        <v>5490</v>
      </c>
      <c r="K566" s="10">
        <f t="shared" si="22"/>
        <v>360</v>
      </c>
      <c r="L566" s="10" t="s">
        <v>2103</v>
      </c>
      <c r="M566" s="47" t="s">
        <v>2117</v>
      </c>
      <c r="N566" s="12">
        <v>360</v>
      </c>
      <c r="O566" s="13" t="s">
        <v>32</v>
      </c>
      <c r="P566" s="14"/>
    </row>
    <row r="567" spans="1:16" x14ac:dyDescent="0.25">
      <c r="A567" s="7"/>
      <c r="B567" s="7">
        <v>44273</v>
      </c>
      <c r="C567" s="8" t="s">
        <v>2042</v>
      </c>
      <c r="D567" s="8" t="s">
        <v>994</v>
      </c>
      <c r="E567" s="9" t="s">
        <v>995</v>
      </c>
      <c r="F567" s="9" t="s">
        <v>36</v>
      </c>
      <c r="G567" s="17">
        <v>0.58819444444444446</v>
      </c>
      <c r="H567" s="17">
        <v>0.59930555555555554</v>
      </c>
      <c r="I567" s="9">
        <v>6070</v>
      </c>
      <c r="J567" s="9">
        <v>3160</v>
      </c>
      <c r="K567" s="10">
        <f t="shared" si="22"/>
        <v>2910</v>
      </c>
      <c r="L567" s="10">
        <v>26653</v>
      </c>
      <c r="M567" s="11" t="s">
        <v>1676</v>
      </c>
      <c r="N567" s="12">
        <v>2910</v>
      </c>
      <c r="O567" s="13" t="s">
        <v>32</v>
      </c>
      <c r="P567" s="14"/>
    </row>
    <row r="568" spans="1:16" x14ac:dyDescent="0.25">
      <c r="A568" s="7"/>
      <c r="B568" s="7">
        <v>44273</v>
      </c>
      <c r="C568" s="8" t="s">
        <v>2029</v>
      </c>
      <c r="D568" s="8" t="s">
        <v>1804</v>
      </c>
      <c r="E568" s="9" t="s">
        <v>1805</v>
      </c>
      <c r="F568" s="9" t="s">
        <v>36</v>
      </c>
      <c r="G568" s="17">
        <v>0.6118055555555556</v>
      </c>
      <c r="H568" s="17">
        <v>0.62708333333333333</v>
      </c>
      <c r="I568" s="9">
        <v>3760</v>
      </c>
      <c r="J568" s="9">
        <v>6520</v>
      </c>
      <c r="K568" s="10">
        <f t="shared" si="22"/>
        <v>-2760</v>
      </c>
      <c r="L568" s="10">
        <v>15922</v>
      </c>
      <c r="M568" s="11" t="s">
        <v>2028</v>
      </c>
      <c r="N568" s="12">
        <v>2760</v>
      </c>
      <c r="O568" s="13" t="s">
        <v>683</v>
      </c>
      <c r="P568" s="14"/>
    </row>
    <row r="569" spans="1:16" x14ac:dyDescent="0.25">
      <c r="A569" s="7"/>
      <c r="B569" s="7">
        <v>44273</v>
      </c>
      <c r="C569" s="8" t="s">
        <v>2119</v>
      </c>
      <c r="D569" s="8" t="s">
        <v>1794</v>
      </c>
      <c r="E569" s="9" t="s">
        <v>628</v>
      </c>
      <c r="F569" s="9" t="s">
        <v>629</v>
      </c>
      <c r="G569" s="17">
        <v>0.63055555555555554</v>
      </c>
      <c r="H569" s="17">
        <v>0.64166666666666672</v>
      </c>
      <c r="I569" s="9">
        <v>13555</v>
      </c>
      <c r="J569" s="9">
        <v>9780</v>
      </c>
      <c r="K569" s="10">
        <f t="shared" si="22"/>
        <v>3775</v>
      </c>
      <c r="L569" s="10">
        <v>23609</v>
      </c>
      <c r="M569" s="11" t="s">
        <v>1515</v>
      </c>
      <c r="N569" s="12">
        <v>3775</v>
      </c>
      <c r="O569" s="13" t="s">
        <v>32</v>
      </c>
      <c r="P569" s="14" t="s">
        <v>1291</v>
      </c>
    </row>
    <row r="570" spans="1:16" x14ac:dyDescent="0.25">
      <c r="A570" s="7"/>
      <c r="B570" s="7">
        <v>44273</v>
      </c>
      <c r="C570" s="8" t="s">
        <v>1673</v>
      </c>
      <c r="D570" s="8" t="s">
        <v>2120</v>
      </c>
      <c r="E570" s="9" t="s">
        <v>2044</v>
      </c>
      <c r="F570" s="9" t="s">
        <v>36</v>
      </c>
      <c r="G570" s="17">
        <v>0.66666666666666663</v>
      </c>
      <c r="H570" s="17">
        <v>0.68402777777777779</v>
      </c>
      <c r="I570" s="9">
        <v>4870</v>
      </c>
      <c r="J570" s="9">
        <v>2190</v>
      </c>
      <c r="K570" s="10">
        <f t="shared" si="22"/>
        <v>2680</v>
      </c>
      <c r="L570" s="10">
        <v>26654</v>
      </c>
      <c r="M570" s="11" t="s">
        <v>1676</v>
      </c>
      <c r="N570" s="12">
        <v>2680</v>
      </c>
      <c r="O570" s="13" t="s">
        <v>32</v>
      </c>
      <c r="P570" s="14"/>
    </row>
    <row r="571" spans="1:16" x14ac:dyDescent="0.25">
      <c r="A571" s="6"/>
      <c r="B571" s="7">
        <v>44273</v>
      </c>
      <c r="C571" s="8" t="s">
        <v>1673</v>
      </c>
      <c r="D571" s="8" t="s">
        <v>2121</v>
      </c>
      <c r="E571" s="9" t="s">
        <v>2088</v>
      </c>
      <c r="F571" s="9" t="s">
        <v>36</v>
      </c>
      <c r="G571" s="17">
        <v>0.6743055555555556</v>
      </c>
      <c r="H571" s="17">
        <v>0.69236111111111109</v>
      </c>
      <c r="I571" s="9">
        <v>7690</v>
      </c>
      <c r="J571" s="9">
        <v>2960</v>
      </c>
      <c r="K571" s="10">
        <f t="shared" si="22"/>
        <v>4730</v>
      </c>
      <c r="L571" s="10">
        <v>26655</v>
      </c>
      <c r="M571" s="11" t="s">
        <v>1676</v>
      </c>
      <c r="N571" s="12">
        <v>4730</v>
      </c>
      <c r="O571" s="13" t="s">
        <v>32</v>
      </c>
      <c r="P571" s="14"/>
    </row>
    <row r="572" spans="1:16" x14ac:dyDescent="0.25">
      <c r="A572" s="6"/>
      <c r="B572" s="7">
        <v>44273</v>
      </c>
      <c r="C572" s="8" t="s">
        <v>1855</v>
      </c>
      <c r="D572" s="8" t="s">
        <v>1855</v>
      </c>
      <c r="E572" s="9" t="s">
        <v>1856</v>
      </c>
      <c r="F572" s="9" t="s">
        <v>338</v>
      </c>
      <c r="G572" s="17">
        <v>0.67569444444444438</v>
      </c>
      <c r="H572" s="17">
        <v>0.70972222222222225</v>
      </c>
      <c r="I572" s="9">
        <v>7660</v>
      </c>
      <c r="J572" s="9">
        <v>4510</v>
      </c>
      <c r="K572" s="10">
        <f t="shared" si="22"/>
        <v>3150</v>
      </c>
      <c r="L572" s="10">
        <v>26656</v>
      </c>
      <c r="M572" s="11" t="s">
        <v>1857</v>
      </c>
      <c r="N572" s="12">
        <v>3150</v>
      </c>
      <c r="O572" s="13" t="s">
        <v>32</v>
      </c>
      <c r="P572" s="14"/>
    </row>
    <row r="573" spans="1:16" x14ac:dyDescent="0.25">
      <c r="A573" s="6"/>
      <c r="B573" s="7">
        <v>44273</v>
      </c>
      <c r="C573" s="8" t="s">
        <v>1673</v>
      </c>
      <c r="D573" s="8" t="s">
        <v>1842</v>
      </c>
      <c r="E573" s="9" t="s">
        <v>1000</v>
      </c>
      <c r="F573" s="9" t="s">
        <v>36</v>
      </c>
      <c r="G573" s="17">
        <v>0.68194444444444446</v>
      </c>
      <c r="H573" s="17">
        <v>0.69930555555555562</v>
      </c>
      <c r="I573" s="9">
        <v>4350</v>
      </c>
      <c r="J573" s="9">
        <v>1930</v>
      </c>
      <c r="K573" s="10">
        <f t="shared" si="22"/>
        <v>2420</v>
      </c>
      <c r="L573" s="10">
        <v>26657</v>
      </c>
      <c r="M573" s="11" t="s">
        <v>1676</v>
      </c>
      <c r="N573" s="12">
        <v>2420</v>
      </c>
      <c r="O573" s="13" t="s">
        <v>32</v>
      </c>
      <c r="P573" s="14"/>
    </row>
    <row r="574" spans="1:16" x14ac:dyDescent="0.25">
      <c r="A574" s="6"/>
      <c r="B574" s="7">
        <v>44273</v>
      </c>
      <c r="C574" s="8" t="s">
        <v>1029</v>
      </c>
      <c r="D574" s="8" t="s">
        <v>1794</v>
      </c>
      <c r="E574" s="9" t="s">
        <v>628</v>
      </c>
      <c r="F574" s="9" t="s">
        <v>629</v>
      </c>
      <c r="G574" s="17">
        <v>0.69444444444444453</v>
      </c>
      <c r="H574" s="17">
        <v>0.70416666666666661</v>
      </c>
      <c r="I574" s="9">
        <v>11150</v>
      </c>
      <c r="J574" s="9">
        <v>9610</v>
      </c>
      <c r="K574" s="10">
        <f t="shared" si="22"/>
        <v>1540</v>
      </c>
      <c r="L574" s="10">
        <v>23610</v>
      </c>
      <c r="M574" s="11" t="s">
        <v>1515</v>
      </c>
      <c r="N574" s="12">
        <v>1540</v>
      </c>
      <c r="O574" s="13" t="s">
        <v>32</v>
      </c>
      <c r="P574" s="14" t="s">
        <v>992</v>
      </c>
    </row>
    <row r="575" spans="1:16" x14ac:dyDescent="0.25">
      <c r="A575" s="6"/>
      <c r="B575" s="7">
        <v>44273</v>
      </c>
      <c r="C575" s="8" t="s">
        <v>164</v>
      </c>
      <c r="D575" s="8" t="s">
        <v>198</v>
      </c>
      <c r="E575" s="9" t="s">
        <v>160</v>
      </c>
      <c r="F575" s="9" t="s">
        <v>161</v>
      </c>
      <c r="G575" s="17">
        <v>0.71388888888888891</v>
      </c>
      <c r="H575" s="17">
        <v>0.73125000000000007</v>
      </c>
      <c r="I575" s="9">
        <v>44130</v>
      </c>
      <c r="J575" s="9">
        <v>18790</v>
      </c>
      <c r="K575" s="10">
        <f t="shared" si="22"/>
        <v>25340</v>
      </c>
      <c r="L575" s="10">
        <v>15965</v>
      </c>
      <c r="M575" s="11" t="s">
        <v>398</v>
      </c>
      <c r="N575" s="12">
        <v>504</v>
      </c>
      <c r="O575" s="13" t="s">
        <v>1099</v>
      </c>
      <c r="P575" s="14"/>
    </row>
    <row r="576" spans="1:16" x14ac:dyDescent="0.25">
      <c r="A576" s="6"/>
      <c r="B576" s="7">
        <v>44273</v>
      </c>
      <c r="C576" s="8" t="s">
        <v>469</v>
      </c>
      <c r="D576" s="8" t="s">
        <v>853</v>
      </c>
      <c r="E576" s="9" t="s">
        <v>51</v>
      </c>
      <c r="F576" s="9" t="s">
        <v>52</v>
      </c>
      <c r="G576" s="17">
        <v>0.7284722222222223</v>
      </c>
      <c r="H576" s="17">
        <v>0.17430555555555557</v>
      </c>
      <c r="I576" s="9">
        <v>14960</v>
      </c>
      <c r="J576" s="9">
        <v>50040</v>
      </c>
      <c r="K576" s="10">
        <f t="shared" si="22"/>
        <v>-35080</v>
      </c>
      <c r="L576" s="10">
        <v>5849</v>
      </c>
      <c r="M576" s="11" t="s">
        <v>53</v>
      </c>
      <c r="N576" s="12">
        <v>700</v>
      </c>
      <c r="O576" s="13" t="s">
        <v>1099</v>
      </c>
      <c r="P576" s="14"/>
    </row>
    <row r="577" spans="1:16" x14ac:dyDescent="0.25">
      <c r="A577" s="6"/>
      <c r="B577" s="7">
        <v>44273</v>
      </c>
      <c r="C577" s="8" t="s">
        <v>2042</v>
      </c>
      <c r="D577" s="8" t="s">
        <v>994</v>
      </c>
      <c r="E577" s="9" t="s">
        <v>995</v>
      </c>
      <c r="F577" s="9" t="s">
        <v>36</v>
      </c>
      <c r="G577" s="17">
        <v>0.7416666666666667</v>
      </c>
      <c r="H577" s="17">
        <v>0.78125</v>
      </c>
      <c r="I577" s="9">
        <v>8430</v>
      </c>
      <c r="J577" s="9">
        <v>3110</v>
      </c>
      <c r="K577" s="10">
        <f t="shared" si="22"/>
        <v>5320</v>
      </c>
      <c r="L577" s="10">
        <v>26658</v>
      </c>
      <c r="M577" s="11" t="s">
        <v>1676</v>
      </c>
      <c r="N577" s="12">
        <v>5320</v>
      </c>
      <c r="O577" s="13" t="s">
        <v>32</v>
      </c>
      <c r="P577" s="14"/>
    </row>
    <row r="578" spans="1:16" x14ac:dyDescent="0.25">
      <c r="A578" s="6"/>
      <c r="B578" s="7">
        <v>44273</v>
      </c>
      <c r="C578" s="8" t="s">
        <v>1065</v>
      </c>
      <c r="D578" s="8" t="s">
        <v>94</v>
      </c>
      <c r="E578" s="9" t="s">
        <v>1774</v>
      </c>
      <c r="F578" s="9" t="s">
        <v>1775</v>
      </c>
      <c r="G578" s="17">
        <v>0.75555555555555554</v>
      </c>
      <c r="H578" s="17">
        <v>0.7631944444444444</v>
      </c>
      <c r="I578" s="9">
        <v>15810</v>
      </c>
      <c r="J578" s="9">
        <v>7580</v>
      </c>
      <c r="K578" s="10">
        <f t="shared" si="22"/>
        <v>8230</v>
      </c>
      <c r="L578" s="10">
        <v>23611</v>
      </c>
      <c r="M578" s="11" t="s">
        <v>1041</v>
      </c>
      <c r="N578" s="12">
        <v>8230</v>
      </c>
      <c r="O578" s="13" t="s">
        <v>32</v>
      </c>
      <c r="P578" s="14" t="s">
        <v>2122</v>
      </c>
    </row>
    <row r="579" spans="1:16" x14ac:dyDescent="0.25">
      <c r="A579" s="6"/>
      <c r="B579" s="7">
        <v>44273</v>
      </c>
      <c r="C579" s="8" t="s">
        <v>1869</v>
      </c>
      <c r="D579" s="8" t="s">
        <v>1794</v>
      </c>
      <c r="E579" s="9" t="s">
        <v>628</v>
      </c>
      <c r="F579" s="9" t="s">
        <v>629</v>
      </c>
      <c r="G579" s="17">
        <v>0.75694444444444453</v>
      </c>
      <c r="H579" s="17">
        <v>0.76736111111111116</v>
      </c>
      <c r="I579" s="9">
        <v>10260</v>
      </c>
      <c r="J579" s="9">
        <v>9590</v>
      </c>
      <c r="K579" s="10">
        <f t="shared" si="22"/>
        <v>670</v>
      </c>
      <c r="L579" s="10">
        <v>23612</v>
      </c>
      <c r="M579" s="11" t="s">
        <v>1515</v>
      </c>
      <c r="N579" s="12">
        <v>670</v>
      </c>
      <c r="O579" s="13" t="s">
        <v>32</v>
      </c>
      <c r="P579" s="14" t="s">
        <v>883</v>
      </c>
    </row>
    <row r="580" spans="1:16" x14ac:dyDescent="0.25">
      <c r="A580" s="6"/>
      <c r="B580" s="7">
        <v>44273</v>
      </c>
      <c r="C580" s="8" t="s">
        <v>208</v>
      </c>
      <c r="D580" s="8" t="s">
        <v>284</v>
      </c>
      <c r="E580" s="9" t="s">
        <v>177</v>
      </c>
      <c r="F580" s="9" t="s">
        <v>178</v>
      </c>
      <c r="G580" s="17">
        <v>0.76041666666666663</v>
      </c>
      <c r="H580" s="17">
        <v>0.3840277777777778</v>
      </c>
      <c r="I580" s="9">
        <v>39880</v>
      </c>
      <c r="J580" s="9">
        <v>16450</v>
      </c>
      <c r="K580" s="10">
        <f t="shared" si="22"/>
        <v>23430</v>
      </c>
      <c r="L580" s="10">
        <v>41199</v>
      </c>
      <c r="M580" s="11" t="s">
        <v>1626</v>
      </c>
      <c r="N580" s="12">
        <v>23450</v>
      </c>
      <c r="O580" s="13" t="s">
        <v>32</v>
      </c>
      <c r="P580" s="14"/>
    </row>
    <row r="581" spans="1:16" x14ac:dyDescent="0.25">
      <c r="A581" s="6"/>
      <c r="B581" s="7">
        <v>44273</v>
      </c>
      <c r="C581" s="8" t="s">
        <v>2123</v>
      </c>
      <c r="D581" s="8" t="s">
        <v>2124</v>
      </c>
      <c r="E581" s="9" t="s">
        <v>2125</v>
      </c>
      <c r="F581" s="9" t="s">
        <v>36</v>
      </c>
      <c r="G581" s="17">
        <v>0.79166666666666663</v>
      </c>
      <c r="H581" s="17">
        <v>0.83472222222222225</v>
      </c>
      <c r="I581" s="9">
        <v>7860</v>
      </c>
      <c r="J581" s="9">
        <v>2770</v>
      </c>
      <c r="K581" s="10">
        <f t="shared" si="22"/>
        <v>5090</v>
      </c>
      <c r="L581" s="10">
        <v>26659</v>
      </c>
      <c r="M581" s="11" t="s">
        <v>1676</v>
      </c>
      <c r="N581" s="12">
        <v>5090</v>
      </c>
      <c r="O581" s="13" t="s">
        <v>32</v>
      </c>
      <c r="P581" s="14"/>
    </row>
    <row r="582" spans="1:16" x14ac:dyDescent="0.25">
      <c r="A582" s="6"/>
      <c r="B582" s="7">
        <v>44273</v>
      </c>
      <c r="C582" s="8" t="s">
        <v>2123</v>
      </c>
      <c r="D582" s="8" t="s">
        <v>2127</v>
      </c>
      <c r="E582" s="9" t="s">
        <v>2126</v>
      </c>
      <c r="F582" s="9" t="s">
        <v>36</v>
      </c>
      <c r="G582" s="17">
        <v>0.79236111111111107</v>
      </c>
      <c r="H582" s="17">
        <v>0.83819444444444446</v>
      </c>
      <c r="I582" s="9">
        <v>7470</v>
      </c>
      <c r="J582" s="9">
        <v>4140</v>
      </c>
      <c r="K582" s="10">
        <f t="shared" si="22"/>
        <v>3330</v>
      </c>
      <c r="L582" s="10">
        <v>26660</v>
      </c>
      <c r="M582" s="11" t="s">
        <v>1676</v>
      </c>
      <c r="N582" s="12">
        <v>3330</v>
      </c>
      <c r="O582" s="13" t="s">
        <v>32</v>
      </c>
      <c r="P582" s="14"/>
    </row>
    <row r="583" spans="1:16" x14ac:dyDescent="0.25">
      <c r="A583" s="6"/>
      <c r="B583" s="7">
        <v>44273</v>
      </c>
      <c r="C583" s="8" t="s">
        <v>2123</v>
      </c>
      <c r="D583" s="8" t="s">
        <v>2124</v>
      </c>
      <c r="E583" s="9" t="s">
        <v>2128</v>
      </c>
      <c r="F583" s="9" t="s">
        <v>36</v>
      </c>
      <c r="G583" s="17">
        <v>0.7944444444444444</v>
      </c>
      <c r="H583" s="17">
        <v>0.83611111111111114</v>
      </c>
      <c r="I583" s="9">
        <v>10760</v>
      </c>
      <c r="J583" s="9">
        <v>5530</v>
      </c>
      <c r="K583" s="10">
        <f t="shared" si="22"/>
        <v>5230</v>
      </c>
      <c r="L583" s="10">
        <v>26661</v>
      </c>
      <c r="M583" s="11" t="s">
        <v>1676</v>
      </c>
      <c r="N583" s="12">
        <v>5230</v>
      </c>
      <c r="O583" s="13" t="s">
        <v>32</v>
      </c>
      <c r="P583" s="14"/>
    </row>
    <row r="584" spans="1:16" x14ac:dyDescent="0.25">
      <c r="A584" s="6"/>
      <c r="B584" s="7">
        <v>44273</v>
      </c>
      <c r="C584" s="8" t="s">
        <v>1369</v>
      </c>
      <c r="D584" s="8" t="s">
        <v>94</v>
      </c>
      <c r="E584" s="9" t="s">
        <v>1774</v>
      </c>
      <c r="F584" s="9" t="s">
        <v>1775</v>
      </c>
      <c r="G584" s="17">
        <v>0.83194444444444438</v>
      </c>
      <c r="H584" s="17">
        <v>0.84027777777777779</v>
      </c>
      <c r="I584" s="9">
        <v>7980</v>
      </c>
      <c r="J584" s="9">
        <v>7530</v>
      </c>
      <c r="K584" s="10">
        <f t="shared" si="22"/>
        <v>450</v>
      </c>
      <c r="L584" s="10">
        <v>23613</v>
      </c>
      <c r="M584" s="11" t="s">
        <v>1515</v>
      </c>
      <c r="N584" s="12">
        <v>23613</v>
      </c>
      <c r="O584" s="13" t="s">
        <v>32</v>
      </c>
      <c r="P584" s="14" t="s">
        <v>883</v>
      </c>
    </row>
    <row r="585" spans="1:16" x14ac:dyDescent="0.25">
      <c r="A585" s="6"/>
      <c r="B585" s="7">
        <v>44273</v>
      </c>
      <c r="C585" s="8" t="s">
        <v>2123</v>
      </c>
      <c r="D585" s="8" t="s">
        <v>1853</v>
      </c>
      <c r="E585" s="9" t="s">
        <v>1206</v>
      </c>
      <c r="F585" s="9" t="s">
        <v>36</v>
      </c>
      <c r="G585" s="17">
        <v>0.89444444444444438</v>
      </c>
      <c r="H585" s="17">
        <v>0.91111111111111109</v>
      </c>
      <c r="I585" s="9">
        <v>10150</v>
      </c>
      <c r="J585" s="9">
        <v>6670</v>
      </c>
      <c r="K585" s="10">
        <f t="shared" si="22"/>
        <v>3480</v>
      </c>
      <c r="L585" s="10">
        <v>26662</v>
      </c>
      <c r="M585" s="11" t="s">
        <v>1461</v>
      </c>
      <c r="N585" s="12">
        <v>3480</v>
      </c>
      <c r="O585" s="13" t="s">
        <v>32</v>
      </c>
      <c r="P585" s="14"/>
    </row>
    <row r="586" spans="1:16" x14ac:dyDescent="0.25">
      <c r="A586" s="6"/>
      <c r="B586" s="7">
        <v>44273</v>
      </c>
      <c r="C586" s="8" t="s">
        <v>2129</v>
      </c>
      <c r="D586" s="8" t="s">
        <v>94</v>
      </c>
      <c r="E586" s="9" t="s">
        <v>1774</v>
      </c>
      <c r="F586" s="9" t="s">
        <v>1775</v>
      </c>
      <c r="G586" s="17">
        <v>0.90486111111111101</v>
      </c>
      <c r="H586" s="17">
        <v>0.91249999999999998</v>
      </c>
      <c r="I586" s="9">
        <v>9930</v>
      </c>
      <c r="J586" s="9">
        <v>7480</v>
      </c>
      <c r="K586" s="10">
        <f t="shared" si="22"/>
        <v>2450</v>
      </c>
      <c r="L586" s="10">
        <v>23614</v>
      </c>
      <c r="M586" s="11" t="s">
        <v>1482</v>
      </c>
      <c r="N586" s="12">
        <v>2.4</v>
      </c>
      <c r="O586" s="13" t="s">
        <v>855</v>
      </c>
      <c r="P586" s="14"/>
    </row>
    <row r="587" spans="1:16" x14ac:dyDescent="0.25">
      <c r="A587" s="6"/>
      <c r="B587" s="7">
        <v>44273</v>
      </c>
      <c r="C587" s="8" t="s">
        <v>2123</v>
      </c>
      <c r="D587" s="8" t="s">
        <v>2130</v>
      </c>
      <c r="E587" s="9" t="s">
        <v>2131</v>
      </c>
      <c r="F587" s="9" t="s">
        <v>36</v>
      </c>
      <c r="G587" s="17">
        <v>0.97777777777777775</v>
      </c>
      <c r="H587" s="17">
        <v>1.5277777777777777E-2</v>
      </c>
      <c r="I587" s="9">
        <v>5750</v>
      </c>
      <c r="J587" s="9">
        <v>2670</v>
      </c>
      <c r="K587" s="10">
        <f t="shared" si="22"/>
        <v>3080</v>
      </c>
      <c r="L587" s="10">
        <v>26663</v>
      </c>
      <c r="M587" s="11" t="s">
        <v>1676</v>
      </c>
      <c r="N587" s="12">
        <v>3080</v>
      </c>
      <c r="O587" s="13" t="s">
        <v>32</v>
      </c>
      <c r="P587" s="14"/>
    </row>
    <row r="588" spans="1:16" x14ac:dyDescent="0.25">
      <c r="A588" s="6"/>
      <c r="B588" s="7">
        <v>44274</v>
      </c>
      <c r="C588" s="8" t="s">
        <v>37</v>
      </c>
      <c r="D588" s="8" t="s">
        <v>1696</v>
      </c>
      <c r="E588" s="9" t="s">
        <v>967</v>
      </c>
      <c r="F588" s="9" t="s">
        <v>36</v>
      </c>
      <c r="G588" s="17">
        <v>2.7777777777777779E-3</v>
      </c>
      <c r="H588" s="17">
        <v>6.7361111111111108E-2</v>
      </c>
      <c r="I588" s="9">
        <v>23000</v>
      </c>
      <c r="J588" s="9">
        <v>6450</v>
      </c>
      <c r="K588" s="10">
        <f t="shared" si="22"/>
        <v>16550</v>
      </c>
      <c r="L588" s="10">
        <v>26666</v>
      </c>
      <c r="M588" s="11" t="s">
        <v>1512</v>
      </c>
      <c r="N588" s="12">
        <v>16550</v>
      </c>
      <c r="O588" s="13" t="s">
        <v>32</v>
      </c>
      <c r="P588" s="14"/>
    </row>
    <row r="589" spans="1:16" x14ac:dyDescent="0.25">
      <c r="A589" s="6"/>
      <c r="B589" s="7">
        <v>44274</v>
      </c>
      <c r="C589" s="8" t="s">
        <v>2123</v>
      </c>
      <c r="D589" s="8" t="s">
        <v>183</v>
      </c>
      <c r="E589" s="9" t="s">
        <v>2044</v>
      </c>
      <c r="F589" s="9" t="s">
        <v>36</v>
      </c>
      <c r="G589" s="17">
        <v>2.1527777777777781E-2</v>
      </c>
      <c r="H589" s="17">
        <v>4.6527777777777779E-2</v>
      </c>
      <c r="I589" s="9">
        <v>3620</v>
      </c>
      <c r="J589" s="9">
        <v>2160</v>
      </c>
      <c r="K589" s="10">
        <f t="shared" si="22"/>
        <v>1460</v>
      </c>
      <c r="L589" s="10">
        <v>26664</v>
      </c>
      <c r="M589" s="11" t="s">
        <v>1676</v>
      </c>
      <c r="N589" s="12">
        <v>1460</v>
      </c>
      <c r="O589" s="13" t="s">
        <v>32</v>
      </c>
      <c r="P589" s="14"/>
    </row>
    <row r="590" spans="1:16" x14ac:dyDescent="0.25">
      <c r="A590" s="6"/>
      <c r="B590" s="7">
        <v>44274</v>
      </c>
      <c r="C590" s="8" t="s">
        <v>2123</v>
      </c>
      <c r="D590" s="8" t="s">
        <v>999</v>
      </c>
      <c r="E590" s="9" t="s">
        <v>1000</v>
      </c>
      <c r="F590" s="9" t="s">
        <v>36</v>
      </c>
      <c r="G590" s="17">
        <v>2.9166666666666664E-2</v>
      </c>
      <c r="H590" s="17">
        <v>5.2083333333333336E-2</v>
      </c>
      <c r="I590" s="9">
        <v>3140</v>
      </c>
      <c r="J590" s="9">
        <v>1920</v>
      </c>
      <c r="K590" s="10">
        <f t="shared" si="22"/>
        <v>1220</v>
      </c>
      <c r="L590" s="10">
        <v>26665</v>
      </c>
      <c r="M590" s="11" t="s">
        <v>1676</v>
      </c>
      <c r="N590" s="12">
        <v>1220</v>
      </c>
      <c r="O590" s="13" t="s">
        <v>32</v>
      </c>
      <c r="P590" s="14"/>
    </row>
    <row r="591" spans="1:16" x14ac:dyDescent="0.25">
      <c r="A591" s="6"/>
      <c r="B591" s="7">
        <v>44274</v>
      </c>
      <c r="C591" s="8" t="s">
        <v>2123</v>
      </c>
      <c r="D591" s="8" t="s">
        <v>2124</v>
      </c>
      <c r="E591" s="9" t="s">
        <v>2128</v>
      </c>
      <c r="F591" s="9" t="s">
        <v>36</v>
      </c>
      <c r="G591" s="17">
        <v>3.6111111111111115E-2</v>
      </c>
      <c r="H591" s="17">
        <v>7.2222222222222229E-2</v>
      </c>
      <c r="I591" s="9">
        <v>9580</v>
      </c>
      <c r="J591" s="9">
        <v>5560</v>
      </c>
      <c r="K591" s="10">
        <f t="shared" si="22"/>
        <v>4020</v>
      </c>
      <c r="L591" s="10">
        <v>26667</v>
      </c>
      <c r="M591" s="11" t="s">
        <v>1676</v>
      </c>
      <c r="N591" s="12">
        <v>4020</v>
      </c>
      <c r="O591" s="13" t="s">
        <v>32</v>
      </c>
      <c r="P591" s="14"/>
    </row>
    <row r="592" spans="1:16" x14ac:dyDescent="0.25">
      <c r="A592" s="6"/>
      <c r="B592" s="7">
        <v>44274</v>
      </c>
      <c r="C592" s="8" t="s">
        <v>2132</v>
      </c>
      <c r="D592" s="8" t="s">
        <v>2034</v>
      </c>
      <c r="E592" s="9" t="s">
        <v>1661</v>
      </c>
      <c r="F592" s="9" t="s">
        <v>1276</v>
      </c>
      <c r="G592" s="17">
        <v>6.458333333333334E-2</v>
      </c>
      <c r="H592" s="17">
        <v>7.7777777777777779E-2</v>
      </c>
      <c r="I592" s="9">
        <v>39430</v>
      </c>
      <c r="J592" s="9">
        <v>14400</v>
      </c>
      <c r="K592" s="10">
        <f t="shared" si="22"/>
        <v>25030</v>
      </c>
      <c r="L592" s="10">
        <v>23615</v>
      </c>
      <c r="M592" s="11" t="s">
        <v>1676</v>
      </c>
      <c r="N592" s="12">
        <v>24</v>
      </c>
      <c r="O592" s="13" t="s">
        <v>855</v>
      </c>
      <c r="P592" s="14"/>
    </row>
    <row r="593" spans="1:21" x14ac:dyDescent="0.25">
      <c r="A593" s="6"/>
      <c r="B593" s="7">
        <v>44274</v>
      </c>
      <c r="C593" s="8" t="s">
        <v>142</v>
      </c>
      <c r="D593" s="8" t="s">
        <v>1656</v>
      </c>
      <c r="E593" s="9" t="s">
        <v>87</v>
      </c>
      <c r="F593" s="9" t="s">
        <v>88</v>
      </c>
      <c r="G593" s="17">
        <v>0.17291666666666669</v>
      </c>
      <c r="H593" s="17">
        <v>0.17847222222222223</v>
      </c>
      <c r="I593" s="9">
        <v>37070</v>
      </c>
      <c r="J593" s="9">
        <v>19640</v>
      </c>
      <c r="K593" s="10">
        <f t="shared" si="22"/>
        <v>17430</v>
      </c>
      <c r="L593" s="10">
        <v>787</v>
      </c>
      <c r="M593" s="11" t="s">
        <v>2133</v>
      </c>
      <c r="N593" s="12">
        <v>19640</v>
      </c>
      <c r="O593" s="13" t="s">
        <v>32</v>
      </c>
      <c r="P593" s="14"/>
    </row>
    <row r="594" spans="1:21" x14ac:dyDescent="0.25">
      <c r="A594" s="6"/>
      <c r="B594" s="15">
        <v>44274</v>
      </c>
      <c r="C594" s="8" t="s">
        <v>2138</v>
      </c>
      <c r="D594" s="8" t="s">
        <v>2134</v>
      </c>
      <c r="E594" s="9" t="s">
        <v>2135</v>
      </c>
      <c r="F594" s="9" t="s">
        <v>36</v>
      </c>
      <c r="G594" s="17">
        <v>0.3520833333333333</v>
      </c>
      <c r="H594" s="17">
        <v>0.55902777777777779</v>
      </c>
      <c r="I594" s="9">
        <v>15450</v>
      </c>
      <c r="J594" s="9">
        <v>41950</v>
      </c>
      <c r="K594" s="10">
        <f t="shared" si="22"/>
        <v>-26500</v>
      </c>
      <c r="L594" s="10">
        <v>5853</v>
      </c>
      <c r="M594" s="11" t="s">
        <v>53</v>
      </c>
      <c r="N594" s="12">
        <v>530</v>
      </c>
      <c r="O594" s="13" t="s">
        <v>1099</v>
      </c>
      <c r="P594" s="14"/>
    </row>
    <row r="595" spans="1:21" x14ac:dyDescent="0.25">
      <c r="A595" s="6"/>
      <c r="B595" s="7">
        <v>44274</v>
      </c>
      <c r="C595" s="8" t="s">
        <v>2138</v>
      </c>
      <c r="D595" s="8" t="s">
        <v>2136</v>
      </c>
      <c r="E595" s="9" t="s">
        <v>549</v>
      </c>
      <c r="F595" s="9" t="s">
        <v>36</v>
      </c>
      <c r="G595" s="17">
        <v>0.35347222222222219</v>
      </c>
      <c r="H595" s="17">
        <v>0.55555555555555558</v>
      </c>
      <c r="I595" s="9">
        <v>14260</v>
      </c>
      <c r="J595" s="9">
        <v>40760</v>
      </c>
      <c r="K595" s="10">
        <f t="shared" si="22"/>
        <v>-26500</v>
      </c>
      <c r="L595" s="10">
        <v>5852</v>
      </c>
      <c r="M595" s="11" t="s">
        <v>53</v>
      </c>
      <c r="N595" s="12">
        <v>530</v>
      </c>
      <c r="O595" s="13" t="s">
        <v>1099</v>
      </c>
      <c r="P595" s="14"/>
    </row>
    <row r="596" spans="1:21" x14ac:dyDescent="0.25">
      <c r="A596" s="6"/>
      <c r="B596" s="7">
        <v>44274</v>
      </c>
      <c r="C596" s="8" t="s">
        <v>2138</v>
      </c>
      <c r="D596" s="8" t="s">
        <v>544</v>
      </c>
      <c r="E596" s="9" t="s">
        <v>545</v>
      </c>
      <c r="F596" s="9" t="s">
        <v>36</v>
      </c>
      <c r="G596" s="17">
        <v>0.35486111111111113</v>
      </c>
      <c r="H596" s="17">
        <v>0.63680555555555551</v>
      </c>
      <c r="I596" s="9">
        <v>14040</v>
      </c>
      <c r="J596" s="9">
        <v>40540</v>
      </c>
      <c r="K596" s="10">
        <f t="shared" ref="K596:K659" si="24">+I596-J596</f>
        <v>-26500</v>
      </c>
      <c r="L596" s="10">
        <v>5854</v>
      </c>
      <c r="M596" s="11" t="s">
        <v>53</v>
      </c>
      <c r="N596" s="12">
        <v>530</v>
      </c>
      <c r="O596" s="13" t="s">
        <v>1099</v>
      </c>
      <c r="P596" s="14"/>
    </row>
    <row r="597" spans="1:21" x14ac:dyDescent="0.25">
      <c r="A597" s="6"/>
      <c r="B597" s="7">
        <v>44274</v>
      </c>
      <c r="C597" s="8" t="s">
        <v>1386</v>
      </c>
      <c r="D597" s="8" t="s">
        <v>1599</v>
      </c>
      <c r="E597" s="9" t="s">
        <v>2137</v>
      </c>
      <c r="F597" s="9" t="s">
        <v>36</v>
      </c>
      <c r="G597" s="17">
        <v>0.36944444444444446</v>
      </c>
      <c r="H597" s="17">
        <v>0.43333333333333335</v>
      </c>
      <c r="I597" s="9">
        <v>38080</v>
      </c>
      <c r="J597" s="9">
        <v>16550</v>
      </c>
      <c r="K597" s="10">
        <f t="shared" si="24"/>
        <v>21530</v>
      </c>
      <c r="L597" s="10">
        <v>5555</v>
      </c>
      <c r="M597" s="11" t="s">
        <v>898</v>
      </c>
      <c r="N597" s="12">
        <v>840</v>
      </c>
      <c r="O597" s="13" t="s">
        <v>1099</v>
      </c>
      <c r="P597" s="14"/>
      <c r="Q597" s="1">
        <v>7.25</v>
      </c>
      <c r="R597" s="1">
        <f>+Q597*0.1</f>
        <v>0.72500000000000009</v>
      </c>
      <c r="S597" s="1">
        <f>+Q597-R597</f>
        <v>6.5250000000000004</v>
      </c>
      <c r="T597" s="1">
        <f>+S597*2.4</f>
        <v>15.66</v>
      </c>
    </row>
    <row r="598" spans="1:21" x14ac:dyDescent="0.25">
      <c r="A598" s="6"/>
      <c r="B598" s="7">
        <v>44274</v>
      </c>
      <c r="C598" s="8" t="s">
        <v>2138</v>
      </c>
      <c r="D598" s="8" t="s">
        <v>1936</v>
      </c>
      <c r="E598" s="9" t="s">
        <v>541</v>
      </c>
      <c r="F598" s="9" t="s">
        <v>36</v>
      </c>
      <c r="G598" s="17">
        <v>0.3833333333333333</v>
      </c>
      <c r="H598" s="17">
        <v>0.65138888888888891</v>
      </c>
      <c r="I598" s="9">
        <v>13740</v>
      </c>
      <c r="J598" s="9">
        <v>40240</v>
      </c>
      <c r="K598" s="10">
        <f t="shared" si="24"/>
        <v>-26500</v>
      </c>
      <c r="L598" s="10">
        <v>5855</v>
      </c>
      <c r="M598" s="11" t="s">
        <v>53</v>
      </c>
      <c r="N598" s="12">
        <v>530</v>
      </c>
      <c r="O598" s="13" t="s">
        <v>1099</v>
      </c>
      <c r="P598" s="14"/>
      <c r="T598" s="1">
        <f>+R597*2</f>
        <v>1.4500000000000002</v>
      </c>
      <c r="U598" s="1">
        <f>+T598+T597</f>
        <v>17.11</v>
      </c>
    </row>
    <row r="599" spans="1:21" x14ac:dyDescent="0.25">
      <c r="A599" s="6"/>
      <c r="B599" s="7">
        <v>44274</v>
      </c>
      <c r="C599" s="8" t="s">
        <v>2138</v>
      </c>
      <c r="D599" s="8" t="s">
        <v>1932</v>
      </c>
      <c r="E599" s="9" t="s">
        <v>1933</v>
      </c>
      <c r="F599" s="9" t="s">
        <v>36</v>
      </c>
      <c r="G599" s="17">
        <v>0.39305555555555555</v>
      </c>
      <c r="H599" s="17">
        <v>0.6479166666666667</v>
      </c>
      <c r="I599" s="9">
        <v>13890</v>
      </c>
      <c r="J599" s="9">
        <v>40390</v>
      </c>
      <c r="K599" s="10">
        <f t="shared" si="24"/>
        <v>-26500</v>
      </c>
      <c r="L599" s="10">
        <v>5856</v>
      </c>
      <c r="M599" s="11" t="s">
        <v>53</v>
      </c>
      <c r="N599" s="12">
        <v>530</v>
      </c>
      <c r="O599" s="13" t="s">
        <v>1099</v>
      </c>
      <c r="P599" s="14"/>
    </row>
    <row r="600" spans="1:21" x14ac:dyDescent="0.25">
      <c r="A600" s="6"/>
      <c r="B600" s="7">
        <v>44274</v>
      </c>
      <c r="C600" s="8" t="s">
        <v>1898</v>
      </c>
      <c r="D600" s="8" t="s">
        <v>1899</v>
      </c>
      <c r="E600" s="9" t="s">
        <v>1900</v>
      </c>
      <c r="F600" s="9" t="s">
        <v>36</v>
      </c>
      <c r="G600" s="17">
        <v>0.40972222222222227</v>
      </c>
      <c r="H600" s="17">
        <v>0.4375</v>
      </c>
      <c r="I600" s="9">
        <v>3030</v>
      </c>
      <c r="J600" s="9">
        <v>2090</v>
      </c>
      <c r="K600" s="10">
        <f t="shared" si="24"/>
        <v>940</v>
      </c>
      <c r="L600" s="10" t="s">
        <v>2139</v>
      </c>
      <c r="M600" s="11" t="s">
        <v>2140</v>
      </c>
      <c r="N600" s="12">
        <f>6000+1972</f>
        <v>7972</v>
      </c>
      <c r="O600" s="13" t="s">
        <v>1099</v>
      </c>
      <c r="P600" s="14"/>
      <c r="U600" s="1">
        <v>17.11</v>
      </c>
    </row>
    <row r="601" spans="1:21" x14ac:dyDescent="0.25">
      <c r="A601" s="6"/>
      <c r="B601" s="7">
        <v>44274</v>
      </c>
      <c r="C601" s="8" t="s">
        <v>2138</v>
      </c>
      <c r="D601" s="8" t="s">
        <v>1637</v>
      </c>
      <c r="E601" s="9" t="s">
        <v>1970</v>
      </c>
      <c r="F601" s="9" t="s">
        <v>36</v>
      </c>
      <c r="G601" s="17">
        <v>0.41250000000000003</v>
      </c>
      <c r="H601" s="17">
        <v>0.66527777777777775</v>
      </c>
      <c r="I601" s="9">
        <v>16690</v>
      </c>
      <c r="J601" s="9">
        <v>43190</v>
      </c>
      <c r="K601" s="10">
        <f t="shared" si="24"/>
        <v>-26500</v>
      </c>
      <c r="L601" s="10">
        <v>5857</v>
      </c>
      <c r="M601" s="11" t="s">
        <v>53</v>
      </c>
      <c r="N601" s="12">
        <v>530</v>
      </c>
      <c r="O601" s="13" t="s">
        <v>1099</v>
      </c>
      <c r="P601" s="14"/>
    </row>
    <row r="602" spans="1:21" x14ac:dyDescent="0.25">
      <c r="A602" s="6"/>
      <c r="B602" s="7">
        <v>44274</v>
      </c>
      <c r="C602" s="8" t="s">
        <v>1789</v>
      </c>
      <c r="D602" s="8" t="s">
        <v>1853</v>
      </c>
      <c r="E602" s="9" t="s">
        <v>1231</v>
      </c>
      <c r="F602" s="9" t="s">
        <v>36</v>
      </c>
      <c r="G602" s="17">
        <v>0.44930555555555557</v>
      </c>
      <c r="H602" s="17">
        <v>0.48819444444444443</v>
      </c>
      <c r="I602" s="9">
        <v>7550</v>
      </c>
      <c r="J602" s="9">
        <v>4030</v>
      </c>
      <c r="K602" s="10">
        <f t="shared" si="24"/>
        <v>3520</v>
      </c>
      <c r="L602" s="10">
        <v>26668</v>
      </c>
      <c r="M602" s="11" t="s">
        <v>1515</v>
      </c>
      <c r="N602" s="12">
        <v>3520</v>
      </c>
      <c r="O602" s="13" t="s">
        <v>32</v>
      </c>
      <c r="P602" s="14"/>
    </row>
    <row r="603" spans="1:21" x14ac:dyDescent="0.25">
      <c r="A603" s="6"/>
      <c r="B603" s="7">
        <v>44274</v>
      </c>
      <c r="C603" s="8" t="s">
        <v>984</v>
      </c>
      <c r="D603" s="8" t="s">
        <v>880</v>
      </c>
      <c r="E603" s="9" t="s">
        <v>1661</v>
      </c>
      <c r="F603" s="9" t="s">
        <v>1276</v>
      </c>
      <c r="G603" s="17">
        <v>0.46249999999999997</v>
      </c>
      <c r="H603" s="17">
        <v>0.47569444444444442</v>
      </c>
      <c r="I603" s="9">
        <v>33120</v>
      </c>
      <c r="J603" s="9">
        <v>14170</v>
      </c>
      <c r="K603" s="10">
        <f t="shared" si="24"/>
        <v>18950</v>
      </c>
      <c r="L603" s="10">
        <v>23625</v>
      </c>
      <c r="M603" s="11" t="s">
        <v>1474</v>
      </c>
      <c r="N603" s="12">
        <v>17.11</v>
      </c>
      <c r="O603" s="13" t="s">
        <v>855</v>
      </c>
      <c r="P603" s="14"/>
    </row>
    <row r="604" spans="1:21" x14ac:dyDescent="0.25">
      <c r="A604" s="6"/>
      <c r="B604" s="7">
        <v>44274</v>
      </c>
      <c r="C604" s="8" t="s">
        <v>1365</v>
      </c>
      <c r="D604" s="8" t="s">
        <v>94</v>
      </c>
      <c r="E604" s="9" t="s">
        <v>1774</v>
      </c>
      <c r="F604" s="9" t="s">
        <v>1775</v>
      </c>
      <c r="G604" s="17">
        <v>0.46388888888888885</v>
      </c>
      <c r="H604" s="17">
        <v>0.47430555555555554</v>
      </c>
      <c r="I604" s="9">
        <v>16570</v>
      </c>
      <c r="J604" s="9">
        <v>7470</v>
      </c>
      <c r="K604" s="10">
        <f t="shared" si="24"/>
        <v>9100</v>
      </c>
      <c r="L604" s="10">
        <v>23617</v>
      </c>
      <c r="M604" s="11" t="s">
        <v>1041</v>
      </c>
      <c r="N604" s="12">
        <v>7.8</v>
      </c>
      <c r="O604" s="13" t="s">
        <v>855</v>
      </c>
      <c r="P604" s="14"/>
    </row>
    <row r="605" spans="1:21" x14ac:dyDescent="0.25">
      <c r="A605" s="6"/>
      <c r="B605" s="7">
        <v>44274</v>
      </c>
      <c r="C605" s="8" t="s">
        <v>2141</v>
      </c>
      <c r="D605" s="8" t="s">
        <v>299</v>
      </c>
      <c r="E605" s="9" t="s">
        <v>813</v>
      </c>
      <c r="F605" s="9" t="s">
        <v>814</v>
      </c>
      <c r="G605" s="17">
        <v>0.52847222222222223</v>
      </c>
      <c r="H605" s="17">
        <v>0.5493055555555556</v>
      </c>
      <c r="I605" s="9">
        <v>39680</v>
      </c>
      <c r="J605" s="9">
        <v>17480</v>
      </c>
      <c r="K605" s="10">
        <f t="shared" si="24"/>
        <v>22200</v>
      </c>
      <c r="L605" s="10" t="s">
        <v>2142</v>
      </c>
      <c r="M605" s="11" t="s">
        <v>1041</v>
      </c>
      <c r="N605" s="12">
        <f>13.8+7.2</f>
        <v>21</v>
      </c>
      <c r="O605" s="13" t="s">
        <v>855</v>
      </c>
      <c r="P605" s="14"/>
    </row>
    <row r="606" spans="1:21" x14ac:dyDescent="0.25">
      <c r="A606" s="6"/>
      <c r="B606" s="7">
        <v>44274</v>
      </c>
      <c r="C606" s="8" t="s">
        <v>973</v>
      </c>
      <c r="D606" s="8" t="s">
        <v>1794</v>
      </c>
      <c r="E606" s="9" t="s">
        <v>628</v>
      </c>
      <c r="F606" s="9" t="s">
        <v>629</v>
      </c>
      <c r="G606" s="17">
        <v>0.53680555555555554</v>
      </c>
      <c r="H606" s="17">
        <v>0.54305555555555551</v>
      </c>
      <c r="I606" s="9">
        <v>16690</v>
      </c>
      <c r="J606" s="9">
        <v>9690</v>
      </c>
      <c r="K606" s="10">
        <f t="shared" si="24"/>
        <v>7000</v>
      </c>
      <c r="L606" s="10">
        <v>23621</v>
      </c>
      <c r="M606" s="11" t="s">
        <v>1474</v>
      </c>
      <c r="N606" s="12">
        <v>7.15</v>
      </c>
      <c r="O606" s="13" t="s">
        <v>855</v>
      </c>
      <c r="P606" s="14"/>
    </row>
    <row r="607" spans="1:21" x14ac:dyDescent="0.25">
      <c r="A607" s="6"/>
      <c r="B607" s="7">
        <v>44274</v>
      </c>
      <c r="C607" s="8" t="s">
        <v>2138</v>
      </c>
      <c r="D607" s="8" t="s">
        <v>557</v>
      </c>
      <c r="E607" s="9" t="s">
        <v>556</v>
      </c>
      <c r="F607" s="9" t="s">
        <v>36</v>
      </c>
      <c r="G607" s="17">
        <v>0.53819444444444442</v>
      </c>
      <c r="H607" s="17">
        <v>0.8833333333333333</v>
      </c>
      <c r="I607" s="9">
        <v>14130</v>
      </c>
      <c r="J607" s="9">
        <v>40630</v>
      </c>
      <c r="K607" s="10">
        <f t="shared" si="24"/>
        <v>-26500</v>
      </c>
      <c r="L607" s="10">
        <v>5860</v>
      </c>
      <c r="M607" s="11" t="s">
        <v>53</v>
      </c>
      <c r="N607" s="12">
        <v>530</v>
      </c>
      <c r="O607" s="13" t="s">
        <v>1099</v>
      </c>
      <c r="P607" s="14"/>
    </row>
    <row r="608" spans="1:21" x14ac:dyDescent="0.25">
      <c r="A608" s="6"/>
      <c r="B608" s="7">
        <v>44274</v>
      </c>
      <c r="C608" s="8" t="s">
        <v>2138</v>
      </c>
      <c r="D608" s="8" t="s">
        <v>2143</v>
      </c>
      <c r="E608" s="9" t="s">
        <v>2144</v>
      </c>
      <c r="F608" s="9" t="s">
        <v>36</v>
      </c>
      <c r="G608" s="17">
        <v>0.54791666666666672</v>
      </c>
      <c r="H608" s="17">
        <v>0.8027777777777777</v>
      </c>
      <c r="I608" s="9">
        <v>14400</v>
      </c>
      <c r="J608" s="9">
        <v>40900</v>
      </c>
      <c r="K608" s="10">
        <f t="shared" si="24"/>
        <v>-26500</v>
      </c>
      <c r="L608" s="10">
        <v>5861</v>
      </c>
      <c r="M608" s="11" t="s">
        <v>53</v>
      </c>
      <c r="N608" s="12">
        <v>530</v>
      </c>
      <c r="O608" s="13" t="s">
        <v>1099</v>
      </c>
      <c r="P608" s="14"/>
    </row>
    <row r="609" spans="1:18" x14ac:dyDescent="0.25">
      <c r="A609" s="6"/>
      <c r="B609" s="7">
        <v>44274</v>
      </c>
      <c r="C609" s="8" t="s">
        <v>1582</v>
      </c>
      <c r="D609" s="8" t="s">
        <v>1427</v>
      </c>
      <c r="E609" s="9" t="s">
        <v>636</v>
      </c>
      <c r="F609" s="9" t="s">
        <v>36</v>
      </c>
      <c r="G609" s="17">
        <v>0.55138888888888882</v>
      </c>
      <c r="H609" s="17">
        <v>0.625</v>
      </c>
      <c r="I609" s="9">
        <v>54850</v>
      </c>
      <c r="J609" s="9">
        <v>19500</v>
      </c>
      <c r="K609" s="10">
        <f t="shared" si="24"/>
        <v>35350</v>
      </c>
      <c r="L609" s="10">
        <v>966</v>
      </c>
      <c r="M609" s="11" t="s">
        <v>306</v>
      </c>
      <c r="N609" s="12">
        <v>10000</v>
      </c>
      <c r="O609" s="13" t="s">
        <v>84</v>
      </c>
      <c r="P609" s="14"/>
    </row>
    <row r="610" spans="1:18" x14ac:dyDescent="0.25">
      <c r="A610" s="6"/>
      <c r="B610" s="7">
        <v>44274</v>
      </c>
      <c r="C610" s="8" t="s">
        <v>991</v>
      </c>
      <c r="D610" s="8" t="s">
        <v>1355</v>
      </c>
      <c r="E610" s="9" t="s">
        <v>1048</v>
      </c>
      <c r="F610" s="9" t="s">
        <v>526</v>
      </c>
      <c r="G610" s="17">
        <v>0.56111111111111112</v>
      </c>
      <c r="H610" s="17">
        <v>0.65972222222222221</v>
      </c>
      <c r="I610" s="9">
        <v>28400</v>
      </c>
      <c r="J610" s="9">
        <v>16520</v>
      </c>
      <c r="K610" s="10">
        <f t="shared" si="24"/>
        <v>11880</v>
      </c>
      <c r="L610" s="10">
        <v>23622</v>
      </c>
      <c r="M610" s="11" t="s">
        <v>1041</v>
      </c>
      <c r="N610" s="12">
        <v>10.8</v>
      </c>
      <c r="O610" s="13" t="s">
        <v>855</v>
      </c>
      <c r="P610" s="14"/>
    </row>
    <row r="611" spans="1:18" x14ac:dyDescent="0.25">
      <c r="A611" s="6"/>
      <c r="B611" s="7">
        <v>44274</v>
      </c>
      <c r="C611" s="8" t="s">
        <v>1869</v>
      </c>
      <c r="D611" s="8" t="s">
        <v>94</v>
      </c>
      <c r="E611" s="9" t="s">
        <v>1774</v>
      </c>
      <c r="F611" s="9" t="s">
        <v>1775</v>
      </c>
      <c r="G611" s="17">
        <v>0.56180555555555556</v>
      </c>
      <c r="H611" s="17">
        <v>0.57500000000000007</v>
      </c>
      <c r="I611" s="9">
        <v>9780</v>
      </c>
      <c r="J611" s="9">
        <v>7470</v>
      </c>
      <c r="K611" s="10">
        <f t="shared" si="24"/>
        <v>2310</v>
      </c>
      <c r="L611" s="10">
        <v>23624</v>
      </c>
      <c r="M611" s="11" t="s">
        <v>1041</v>
      </c>
      <c r="N611" s="12">
        <v>2310</v>
      </c>
      <c r="O611" s="13" t="s">
        <v>683</v>
      </c>
      <c r="P611" s="14" t="s">
        <v>1488</v>
      </c>
      <c r="R611" s="1">
        <v>530</v>
      </c>
    </row>
    <row r="612" spans="1:18" x14ac:dyDescent="0.25">
      <c r="A612" s="6"/>
      <c r="B612" s="7">
        <v>44274</v>
      </c>
      <c r="C612" s="8" t="s">
        <v>2138</v>
      </c>
      <c r="D612" s="8" t="s">
        <v>1942</v>
      </c>
      <c r="E612" s="9" t="s">
        <v>1557</v>
      </c>
      <c r="F612" s="9" t="s">
        <v>36</v>
      </c>
      <c r="G612" s="17">
        <v>0.56944444444444442</v>
      </c>
      <c r="H612" s="17">
        <v>0.79375000000000007</v>
      </c>
      <c r="I612" s="9">
        <v>16660</v>
      </c>
      <c r="J612" s="9">
        <v>43160</v>
      </c>
      <c r="K612" s="10">
        <f t="shared" si="24"/>
        <v>-26500</v>
      </c>
      <c r="L612" s="10">
        <v>5859</v>
      </c>
      <c r="M612" s="11" t="s">
        <v>53</v>
      </c>
      <c r="N612" s="12">
        <v>530</v>
      </c>
      <c r="O612" s="13" t="s">
        <v>1099</v>
      </c>
      <c r="P612" s="14"/>
      <c r="R612" s="1">
        <f>+R611*50</f>
        <v>26500</v>
      </c>
    </row>
    <row r="613" spans="1:18" x14ac:dyDescent="0.25">
      <c r="A613" s="6"/>
      <c r="B613" s="7">
        <v>44274</v>
      </c>
      <c r="C613" s="8" t="s">
        <v>991</v>
      </c>
      <c r="D613" s="8" t="s">
        <v>198</v>
      </c>
      <c r="E613" s="9" t="s">
        <v>160</v>
      </c>
      <c r="F613" s="9" t="s">
        <v>161</v>
      </c>
      <c r="G613" s="17">
        <v>0.57430555555555551</v>
      </c>
      <c r="H613" s="17">
        <v>0.58124999999999993</v>
      </c>
      <c r="I613" s="9">
        <v>37035</v>
      </c>
      <c r="J613" s="9">
        <v>16690</v>
      </c>
      <c r="K613" s="10">
        <f t="shared" si="24"/>
        <v>20345</v>
      </c>
      <c r="L613" s="10">
        <v>23623</v>
      </c>
      <c r="M613" s="11" t="s">
        <v>1041</v>
      </c>
      <c r="N613" s="12">
        <v>20345</v>
      </c>
      <c r="O613" s="13" t="s">
        <v>683</v>
      </c>
      <c r="P613" s="14" t="s">
        <v>2145</v>
      </c>
    </row>
    <row r="614" spans="1:18" x14ac:dyDescent="0.25">
      <c r="A614" s="6"/>
      <c r="B614" s="7">
        <v>44274</v>
      </c>
      <c r="C614" s="8" t="s">
        <v>991</v>
      </c>
      <c r="D614" s="8" t="s">
        <v>1850</v>
      </c>
      <c r="E614" s="9" t="s">
        <v>144</v>
      </c>
      <c r="F614" s="9" t="s">
        <v>626</v>
      </c>
      <c r="G614" s="17">
        <v>0.57916666666666672</v>
      </c>
      <c r="H614" s="17">
        <v>0.5854166666666667</v>
      </c>
      <c r="I614" s="9">
        <v>26065</v>
      </c>
      <c r="J614" s="9">
        <v>15700</v>
      </c>
      <c r="K614" s="10">
        <f t="shared" si="24"/>
        <v>10365</v>
      </c>
      <c r="L614" s="10">
        <v>23623</v>
      </c>
      <c r="M614" s="11" t="s">
        <v>1041</v>
      </c>
      <c r="N614" s="12">
        <v>10365</v>
      </c>
      <c r="O614" s="13" t="s">
        <v>683</v>
      </c>
      <c r="P614" s="14" t="s">
        <v>1949</v>
      </c>
    </row>
    <row r="615" spans="1:18" x14ac:dyDescent="0.25">
      <c r="A615" s="6"/>
      <c r="B615" s="7">
        <v>44274</v>
      </c>
      <c r="C615" s="8" t="s">
        <v>2138</v>
      </c>
      <c r="D615" s="8" t="s">
        <v>2146</v>
      </c>
      <c r="E615" s="9" t="s">
        <v>1568</v>
      </c>
      <c r="F615" s="9" t="s">
        <v>36</v>
      </c>
      <c r="G615" s="17">
        <v>0.58680555555555558</v>
      </c>
      <c r="H615" s="17">
        <v>0.88958333333333339</v>
      </c>
      <c r="I615" s="9">
        <v>14910</v>
      </c>
      <c r="J615" s="9">
        <v>41410</v>
      </c>
      <c r="K615" s="10">
        <f t="shared" si="24"/>
        <v>-26500</v>
      </c>
      <c r="L615" s="10">
        <v>5858</v>
      </c>
      <c r="M615" s="11" t="s">
        <v>53</v>
      </c>
      <c r="N615" s="12">
        <v>530</v>
      </c>
      <c r="O615" s="13" t="s">
        <v>1099</v>
      </c>
      <c r="P615" s="14"/>
    </row>
    <row r="616" spans="1:18" x14ac:dyDescent="0.25">
      <c r="A616" s="6"/>
      <c r="B616" s="7">
        <v>44274</v>
      </c>
      <c r="C616" s="8" t="s">
        <v>2138</v>
      </c>
      <c r="D616" s="8" t="s">
        <v>2147</v>
      </c>
      <c r="E616" s="9" t="s">
        <v>2148</v>
      </c>
      <c r="F616" s="9" t="s">
        <v>36</v>
      </c>
      <c r="G616" s="17">
        <v>0.58819444444444446</v>
      </c>
      <c r="H616" s="17">
        <v>0.86388888888888893</v>
      </c>
      <c r="I616" s="9">
        <v>15430</v>
      </c>
      <c r="J616" s="9">
        <v>41930</v>
      </c>
      <c r="K616" s="10">
        <f t="shared" si="24"/>
        <v>-26500</v>
      </c>
      <c r="L616" s="10">
        <v>5863</v>
      </c>
      <c r="M616" s="11" t="s">
        <v>53</v>
      </c>
      <c r="N616" s="12">
        <v>530</v>
      </c>
      <c r="O616" s="13" t="s">
        <v>1099</v>
      </c>
      <c r="P616" s="14"/>
    </row>
    <row r="617" spans="1:18" x14ac:dyDescent="0.25">
      <c r="A617" s="6"/>
      <c r="B617" s="7">
        <v>44274</v>
      </c>
      <c r="C617" s="8" t="s">
        <v>2042</v>
      </c>
      <c r="D617" s="8" t="s">
        <v>994</v>
      </c>
      <c r="E617" s="9" t="s">
        <v>995</v>
      </c>
      <c r="F617" s="9" t="s">
        <v>36</v>
      </c>
      <c r="G617" s="17">
        <v>0.59513888888888888</v>
      </c>
      <c r="H617" s="17">
        <v>0.61736111111111114</v>
      </c>
      <c r="I617" s="9">
        <v>4550</v>
      </c>
      <c r="J617" s="9">
        <v>3180</v>
      </c>
      <c r="K617" s="10">
        <f t="shared" si="24"/>
        <v>1370</v>
      </c>
      <c r="L617" s="10">
        <v>26669</v>
      </c>
      <c r="M617" s="11" t="s">
        <v>965</v>
      </c>
      <c r="N617" s="12">
        <v>1370</v>
      </c>
      <c r="O617" s="13" t="s">
        <v>32</v>
      </c>
      <c r="P617" s="14"/>
    </row>
    <row r="618" spans="1:18" x14ac:dyDescent="0.25">
      <c r="A618" s="6"/>
      <c r="B618" s="7">
        <v>44274</v>
      </c>
      <c r="C618" s="8" t="s">
        <v>2138</v>
      </c>
      <c r="D618" s="8" t="s">
        <v>2149</v>
      </c>
      <c r="E618" s="9" t="s">
        <v>2150</v>
      </c>
      <c r="F618" s="9" t="s">
        <v>36</v>
      </c>
      <c r="G618" s="17">
        <v>0.63263888888888886</v>
      </c>
      <c r="H618" s="17">
        <v>0.86736111111111114</v>
      </c>
      <c r="I618" s="9">
        <v>16350</v>
      </c>
      <c r="J618" s="9">
        <v>42850</v>
      </c>
      <c r="K618" s="10">
        <f t="shared" si="24"/>
        <v>-26500</v>
      </c>
      <c r="L618" s="10">
        <v>5862</v>
      </c>
      <c r="M618" s="11" t="s">
        <v>53</v>
      </c>
      <c r="N618" s="12">
        <v>530</v>
      </c>
      <c r="O618" s="13" t="s">
        <v>32</v>
      </c>
      <c r="P618" s="14"/>
    </row>
    <row r="619" spans="1:18" x14ac:dyDescent="0.25">
      <c r="A619" s="6"/>
      <c r="B619" s="7">
        <v>44274</v>
      </c>
      <c r="C619" s="8" t="s">
        <v>2042</v>
      </c>
      <c r="D619" s="8" t="s">
        <v>1842</v>
      </c>
      <c r="E619" s="9" t="s">
        <v>1000</v>
      </c>
      <c r="F619" s="9" t="s">
        <v>36</v>
      </c>
      <c r="G619" s="17">
        <v>0.69305555555555554</v>
      </c>
      <c r="H619" s="17">
        <v>0.7055555555555556</v>
      </c>
      <c r="I619" s="9">
        <v>3350</v>
      </c>
      <c r="J619" s="9">
        <v>1920</v>
      </c>
      <c r="K619" s="10">
        <f t="shared" si="24"/>
        <v>1430</v>
      </c>
      <c r="L619" s="10">
        <v>26670</v>
      </c>
      <c r="M619" s="11" t="s">
        <v>965</v>
      </c>
      <c r="N619" s="12">
        <v>1430</v>
      </c>
      <c r="O619" s="13" t="s">
        <v>32</v>
      </c>
      <c r="P619" s="14"/>
    </row>
    <row r="620" spans="1:18" x14ac:dyDescent="0.25">
      <c r="A620" s="6"/>
      <c r="B620" s="7">
        <v>44274</v>
      </c>
      <c r="C620" s="8" t="s">
        <v>208</v>
      </c>
      <c r="D620" s="8" t="s">
        <v>284</v>
      </c>
      <c r="E620" s="9" t="s">
        <v>177</v>
      </c>
      <c r="F620" s="9" t="s">
        <v>178</v>
      </c>
      <c r="G620" s="17">
        <v>0.76944444444444438</v>
      </c>
      <c r="H620" s="17">
        <v>0.38472222222222219</v>
      </c>
      <c r="I620" s="9">
        <v>40900</v>
      </c>
      <c r="J620" s="9">
        <v>16440</v>
      </c>
      <c r="K620" s="10">
        <f t="shared" si="24"/>
        <v>24460</v>
      </c>
      <c r="L620" s="10">
        <v>41228</v>
      </c>
      <c r="M620" s="11" t="s">
        <v>1730</v>
      </c>
      <c r="N620" s="12">
        <v>24480</v>
      </c>
      <c r="O620" s="13" t="s">
        <v>32</v>
      </c>
      <c r="P620" s="14"/>
    </row>
    <row r="621" spans="1:18" x14ac:dyDescent="0.25">
      <c r="A621" s="6"/>
      <c r="B621" s="7">
        <v>44274</v>
      </c>
      <c r="C621" s="8" t="s">
        <v>2123</v>
      </c>
      <c r="D621" s="8" t="s">
        <v>1853</v>
      </c>
      <c r="E621" s="9" t="s">
        <v>1206</v>
      </c>
      <c r="F621" s="9" t="s">
        <v>36</v>
      </c>
      <c r="G621" s="17">
        <v>0.8340277777777777</v>
      </c>
      <c r="H621" s="17">
        <v>0.85625000000000007</v>
      </c>
      <c r="I621" s="9">
        <v>12950</v>
      </c>
      <c r="J621" s="9">
        <v>6720</v>
      </c>
      <c r="K621" s="10">
        <f t="shared" si="24"/>
        <v>6230</v>
      </c>
      <c r="L621" s="10">
        <v>26671</v>
      </c>
      <c r="M621" s="11" t="s">
        <v>966</v>
      </c>
      <c r="N621" s="12">
        <v>6230</v>
      </c>
      <c r="O621" s="13" t="s">
        <v>32</v>
      </c>
      <c r="P621" s="14"/>
    </row>
    <row r="622" spans="1:18" x14ac:dyDescent="0.25">
      <c r="A622" s="6"/>
      <c r="B622" s="7">
        <v>44274</v>
      </c>
      <c r="C622" s="8" t="s">
        <v>1386</v>
      </c>
      <c r="D622" s="8" t="s">
        <v>2151</v>
      </c>
      <c r="E622" s="9" t="s">
        <v>2152</v>
      </c>
      <c r="F622" s="9" t="s">
        <v>36</v>
      </c>
      <c r="G622" s="17">
        <v>0.89374999999999993</v>
      </c>
      <c r="H622" s="17">
        <v>0.3743055555555555</v>
      </c>
      <c r="I622" s="9">
        <v>38860</v>
      </c>
      <c r="J622" s="9">
        <v>16880</v>
      </c>
      <c r="K622" s="10">
        <f t="shared" si="24"/>
        <v>21980</v>
      </c>
      <c r="L622" s="10">
        <v>5556</v>
      </c>
      <c r="M622" s="11" t="s">
        <v>898</v>
      </c>
      <c r="N622" s="12">
        <v>840</v>
      </c>
      <c r="O622" s="13" t="s">
        <v>1099</v>
      </c>
      <c r="P622" s="14"/>
      <c r="R622" s="1">
        <f>2500+9950</f>
        <v>12450</v>
      </c>
    </row>
    <row r="623" spans="1:18" x14ac:dyDescent="0.25">
      <c r="A623" s="6"/>
      <c r="B623" s="7">
        <v>44274</v>
      </c>
      <c r="C623" s="8" t="s">
        <v>37</v>
      </c>
      <c r="D623" s="8" t="s">
        <v>1696</v>
      </c>
      <c r="E623" s="9" t="s">
        <v>967</v>
      </c>
      <c r="F623" s="9" t="s">
        <v>36</v>
      </c>
      <c r="G623" s="17">
        <v>0.98125000000000007</v>
      </c>
      <c r="H623" s="17">
        <v>3.1944444444444449E-2</v>
      </c>
      <c r="I623" s="9">
        <v>20435</v>
      </c>
      <c r="J623" s="9">
        <v>6410</v>
      </c>
      <c r="K623" s="10">
        <f t="shared" si="24"/>
        <v>14025</v>
      </c>
      <c r="L623" s="10">
        <v>26672</v>
      </c>
      <c r="M623" s="11" t="s">
        <v>2153</v>
      </c>
      <c r="N623" s="12">
        <v>14025</v>
      </c>
      <c r="O623" s="13" t="s">
        <v>32</v>
      </c>
      <c r="P623" s="14">
        <v>4</v>
      </c>
    </row>
    <row r="624" spans="1:18" x14ac:dyDescent="0.25">
      <c r="A624" s="6"/>
      <c r="B624" s="7">
        <v>44274</v>
      </c>
      <c r="C624" s="8" t="s">
        <v>366</v>
      </c>
      <c r="D624" s="8" t="s">
        <v>1076</v>
      </c>
      <c r="E624" s="9" t="s">
        <v>220</v>
      </c>
      <c r="F624" s="9" t="s">
        <v>924</v>
      </c>
      <c r="G624" s="17">
        <v>0.98819444444444438</v>
      </c>
      <c r="H624" s="17">
        <v>8.8888888888888892E-2</v>
      </c>
      <c r="I624" s="9">
        <v>21830</v>
      </c>
      <c r="J624" s="9">
        <v>9310</v>
      </c>
      <c r="K624" s="10">
        <f t="shared" si="24"/>
        <v>12520</v>
      </c>
      <c r="L624" s="10" t="s">
        <v>2155</v>
      </c>
      <c r="M624" s="11" t="s">
        <v>2154</v>
      </c>
      <c r="N624" s="12">
        <v>12450</v>
      </c>
      <c r="O624" s="13" t="s">
        <v>32</v>
      </c>
      <c r="P624" s="14"/>
    </row>
    <row r="625" spans="1:23" x14ac:dyDescent="0.25">
      <c r="A625" s="6"/>
      <c r="B625" s="7">
        <v>44275</v>
      </c>
      <c r="C625" s="8" t="s">
        <v>2156</v>
      </c>
      <c r="D625" s="8" t="s">
        <v>458</v>
      </c>
      <c r="E625" s="9" t="s">
        <v>699</v>
      </c>
      <c r="F625" s="9" t="s">
        <v>459</v>
      </c>
      <c r="G625" s="17">
        <v>0.10902777777777778</v>
      </c>
      <c r="H625" s="17">
        <v>0.19652777777777777</v>
      </c>
      <c r="I625" s="9">
        <v>20020</v>
      </c>
      <c r="J625" s="9">
        <v>8310</v>
      </c>
      <c r="K625" s="10">
        <f t="shared" si="24"/>
        <v>11710</v>
      </c>
      <c r="L625" s="10" t="s">
        <v>2157</v>
      </c>
      <c r="M625" s="11" t="s">
        <v>2158</v>
      </c>
      <c r="N625" s="12">
        <v>11710</v>
      </c>
      <c r="O625" s="13" t="s">
        <v>32</v>
      </c>
      <c r="P625" s="14"/>
    </row>
    <row r="626" spans="1:23" x14ac:dyDescent="0.25">
      <c r="A626" s="6"/>
      <c r="B626" s="7">
        <v>44275</v>
      </c>
      <c r="C626" s="8" t="s">
        <v>142</v>
      </c>
      <c r="D626" s="8" t="s">
        <v>1656</v>
      </c>
      <c r="E626" s="9" t="s">
        <v>87</v>
      </c>
      <c r="F626" s="9" t="s">
        <v>88</v>
      </c>
      <c r="G626" s="17">
        <v>0.17916666666666667</v>
      </c>
      <c r="H626" s="17">
        <v>0.19097222222222221</v>
      </c>
      <c r="I626" s="9">
        <v>42060</v>
      </c>
      <c r="J626" s="9">
        <v>17210</v>
      </c>
      <c r="K626" s="10">
        <f t="shared" si="24"/>
        <v>24850</v>
      </c>
      <c r="L626" s="10">
        <v>788</v>
      </c>
      <c r="M626" s="11" t="s">
        <v>773</v>
      </c>
      <c r="N626" s="12">
        <v>26567</v>
      </c>
      <c r="O626" s="13" t="s">
        <v>32</v>
      </c>
      <c r="P626" s="14"/>
    </row>
    <row r="627" spans="1:23" x14ac:dyDescent="0.25">
      <c r="A627" s="6"/>
      <c r="B627" s="15">
        <v>44275</v>
      </c>
      <c r="C627" s="8" t="s">
        <v>2159</v>
      </c>
      <c r="D627" s="8" t="s">
        <v>2160</v>
      </c>
      <c r="E627" s="9" t="s">
        <v>2161</v>
      </c>
      <c r="F627" s="9" t="s">
        <v>36</v>
      </c>
      <c r="G627" s="17">
        <v>0.36041666666666666</v>
      </c>
      <c r="H627" s="17">
        <v>0.57847222222222217</v>
      </c>
      <c r="I627" s="9">
        <v>12800</v>
      </c>
      <c r="J627" s="9">
        <v>39300</v>
      </c>
      <c r="K627" s="10">
        <f t="shared" si="24"/>
        <v>-26500</v>
      </c>
      <c r="L627" s="10">
        <v>5864</v>
      </c>
      <c r="M627" s="11" t="s">
        <v>53</v>
      </c>
      <c r="N627" s="12">
        <v>530</v>
      </c>
      <c r="O627" s="13" t="s">
        <v>1099</v>
      </c>
      <c r="P627" s="14"/>
    </row>
    <row r="628" spans="1:23" x14ac:dyDescent="0.25">
      <c r="A628" s="6"/>
      <c r="B628" s="7">
        <v>44275</v>
      </c>
      <c r="C628" s="8" t="s">
        <v>2159</v>
      </c>
      <c r="D628" s="8" t="s">
        <v>2134</v>
      </c>
      <c r="E628" s="9" t="s">
        <v>2135</v>
      </c>
      <c r="F628" s="9" t="s">
        <v>36</v>
      </c>
      <c r="G628" s="17">
        <v>0.36180555555555555</v>
      </c>
      <c r="H628" s="17">
        <v>0.58402777777777781</v>
      </c>
      <c r="I628" s="9">
        <v>15470</v>
      </c>
      <c r="J628" s="9">
        <v>41970</v>
      </c>
      <c r="K628" s="10">
        <f t="shared" si="24"/>
        <v>-26500</v>
      </c>
      <c r="L628" s="10">
        <v>5865</v>
      </c>
      <c r="M628" s="11" t="s">
        <v>53</v>
      </c>
      <c r="N628" s="12">
        <v>530</v>
      </c>
      <c r="O628" s="13" t="s">
        <v>1099</v>
      </c>
      <c r="P628" s="14"/>
      <c r="R628" s="1">
        <v>2</v>
      </c>
      <c r="S628" s="1">
        <v>0.08</v>
      </c>
      <c r="T628" s="1">
        <f>+R628-S628</f>
        <v>1.92</v>
      </c>
      <c r="U628" s="1">
        <f>+T628*2.4</f>
        <v>4.6079999999999997</v>
      </c>
      <c r="V628" s="1">
        <f>+S628*2.2</f>
        <v>0.17600000000000002</v>
      </c>
      <c r="W628" s="1">
        <f>+V628+U628</f>
        <v>4.7839999999999998</v>
      </c>
    </row>
    <row r="629" spans="1:23" x14ac:dyDescent="0.25">
      <c r="A629" s="6"/>
      <c r="B629" s="7">
        <v>44275</v>
      </c>
      <c r="C629" s="8" t="s">
        <v>2159</v>
      </c>
      <c r="D629" s="8" t="s">
        <v>2164</v>
      </c>
      <c r="E629" s="9" t="s">
        <v>1972</v>
      </c>
      <c r="F629" s="9" t="s">
        <v>36</v>
      </c>
      <c r="G629" s="17">
        <v>0.36388888888888887</v>
      </c>
      <c r="H629" s="17">
        <v>0.58611111111111114</v>
      </c>
      <c r="I629" s="9">
        <v>17570</v>
      </c>
      <c r="J629" s="9">
        <v>44070</v>
      </c>
      <c r="K629" s="10">
        <f t="shared" si="24"/>
        <v>-26500</v>
      </c>
      <c r="L629" s="10">
        <v>5866</v>
      </c>
      <c r="M629" s="11" t="s">
        <v>53</v>
      </c>
      <c r="N629" s="12">
        <v>530</v>
      </c>
      <c r="O629" s="13" t="s">
        <v>1099</v>
      </c>
      <c r="P629" s="14"/>
      <c r="R629" s="1">
        <v>2</v>
      </c>
      <c r="S629" s="1">
        <v>0.08</v>
      </c>
      <c r="T629" s="1">
        <f>+R629-S629</f>
        <v>1.92</v>
      </c>
      <c r="U629" s="1">
        <f>+T629*2.4</f>
        <v>4.6079999999999997</v>
      </c>
      <c r="V629" s="1">
        <f>+S629*2.2</f>
        <v>0.17600000000000002</v>
      </c>
      <c r="W629" s="1">
        <f>+V629+U629</f>
        <v>4.7839999999999998</v>
      </c>
    </row>
    <row r="630" spans="1:23" x14ac:dyDescent="0.25">
      <c r="A630" s="6"/>
      <c r="B630" s="7">
        <v>44275</v>
      </c>
      <c r="C630" s="8" t="s">
        <v>2159</v>
      </c>
      <c r="D630" s="8" t="s">
        <v>1938</v>
      </c>
      <c r="E630" s="9" t="s">
        <v>1939</v>
      </c>
      <c r="F630" s="9" t="s">
        <v>36</v>
      </c>
      <c r="G630" s="17">
        <v>0.41250000000000003</v>
      </c>
      <c r="H630" s="17">
        <v>0.52500000000000002</v>
      </c>
      <c r="I630" s="9">
        <v>13570</v>
      </c>
      <c r="J630" s="9">
        <v>40070</v>
      </c>
      <c r="K630" s="10">
        <f t="shared" si="24"/>
        <v>-26500</v>
      </c>
      <c r="L630" s="10">
        <v>5867</v>
      </c>
      <c r="M630" s="11" t="s">
        <v>53</v>
      </c>
      <c r="N630" s="12">
        <v>530</v>
      </c>
      <c r="O630" s="13" t="s">
        <v>1099</v>
      </c>
      <c r="P630" s="14"/>
      <c r="R630" s="1">
        <f>+R629+R628</f>
        <v>4</v>
      </c>
      <c r="S630" s="1">
        <f>+R630*0.04</f>
        <v>0.16</v>
      </c>
      <c r="T630" s="1">
        <f>+R630-S630</f>
        <v>3.84</v>
      </c>
    </row>
    <row r="631" spans="1:23" x14ac:dyDescent="0.25">
      <c r="A631" s="6"/>
      <c r="B631" s="7">
        <v>44275</v>
      </c>
      <c r="C631" s="8" t="s">
        <v>2159</v>
      </c>
      <c r="D631" s="8" t="s">
        <v>2162</v>
      </c>
      <c r="E631" s="9" t="s">
        <v>2163</v>
      </c>
      <c r="F631" s="9" t="s">
        <v>36</v>
      </c>
      <c r="G631" s="17">
        <v>0.4145833333333333</v>
      </c>
      <c r="H631" s="17">
        <v>0.5180555555555556</v>
      </c>
      <c r="I631" s="9">
        <v>17500</v>
      </c>
      <c r="J631" s="9">
        <v>44000</v>
      </c>
      <c r="K631" s="10">
        <f t="shared" si="24"/>
        <v>-26500</v>
      </c>
      <c r="L631" s="10">
        <v>5868</v>
      </c>
      <c r="M631" s="11" t="s">
        <v>53</v>
      </c>
      <c r="N631" s="12">
        <v>530</v>
      </c>
      <c r="O631" s="13" t="s">
        <v>1099</v>
      </c>
      <c r="P631" s="14"/>
      <c r="S631" s="1">
        <f>+S630/2</f>
        <v>0.08</v>
      </c>
    </row>
    <row r="632" spans="1:23" x14ac:dyDescent="0.25">
      <c r="A632" s="6"/>
      <c r="B632" s="7">
        <v>44275</v>
      </c>
      <c r="C632" s="8" t="s">
        <v>2159</v>
      </c>
      <c r="D632" s="8" t="s">
        <v>2165</v>
      </c>
      <c r="E632" s="9" t="s">
        <v>545</v>
      </c>
      <c r="F632" s="9" t="s">
        <v>36</v>
      </c>
      <c r="G632" s="17">
        <v>0.44722222222222219</v>
      </c>
      <c r="H632" s="17">
        <v>0.52222222222222225</v>
      </c>
      <c r="I632" s="9">
        <v>14050</v>
      </c>
      <c r="J632" s="9">
        <v>40550</v>
      </c>
      <c r="K632" s="10">
        <f t="shared" si="24"/>
        <v>-26500</v>
      </c>
      <c r="L632" s="10">
        <v>5869</v>
      </c>
      <c r="M632" s="11" t="s">
        <v>53</v>
      </c>
      <c r="N632" s="12">
        <v>530</v>
      </c>
      <c r="O632" s="13" t="s">
        <v>1099</v>
      </c>
      <c r="P632" s="14"/>
    </row>
    <row r="633" spans="1:23" x14ac:dyDescent="0.25">
      <c r="A633" s="6"/>
      <c r="B633" s="7">
        <v>44275</v>
      </c>
      <c r="C633" s="8" t="s">
        <v>2166</v>
      </c>
      <c r="D633" s="8" t="s">
        <v>557</v>
      </c>
      <c r="E633" s="9" t="s">
        <v>556</v>
      </c>
      <c r="F633" s="9" t="s">
        <v>36</v>
      </c>
      <c r="G633" s="17">
        <v>0.45694444444444443</v>
      </c>
      <c r="H633" s="17">
        <v>0.60972222222222217</v>
      </c>
      <c r="I633" s="9">
        <v>14200</v>
      </c>
      <c r="J633" s="9">
        <v>39200</v>
      </c>
      <c r="K633" s="10">
        <f t="shared" si="24"/>
        <v>-25000</v>
      </c>
      <c r="L633" s="10">
        <v>5870</v>
      </c>
      <c r="M633" s="11" t="s">
        <v>1256</v>
      </c>
      <c r="N633" s="12">
        <v>995</v>
      </c>
      <c r="O633" s="13" t="s">
        <v>1099</v>
      </c>
      <c r="P633" s="14"/>
      <c r="Q633" s="2"/>
    </row>
    <row r="634" spans="1:23" x14ac:dyDescent="0.25">
      <c r="A634" s="6"/>
      <c r="B634" s="7">
        <v>44275</v>
      </c>
      <c r="C634" s="8" t="s">
        <v>984</v>
      </c>
      <c r="D634" s="8" t="s">
        <v>880</v>
      </c>
      <c r="E634" s="9" t="s">
        <v>1661</v>
      </c>
      <c r="F634" s="9" t="s">
        <v>1276</v>
      </c>
      <c r="G634" s="17">
        <v>0.45902777777777781</v>
      </c>
      <c r="H634" s="17">
        <v>0.46666666666666662</v>
      </c>
      <c r="I634" s="9">
        <v>25900</v>
      </c>
      <c r="J634" s="9">
        <v>14160</v>
      </c>
      <c r="K634" s="10">
        <f t="shared" si="24"/>
        <v>11740</v>
      </c>
      <c r="L634" s="10">
        <v>23626</v>
      </c>
      <c r="M634" s="11" t="s">
        <v>2167</v>
      </c>
      <c r="N634" s="12">
        <v>11.5</v>
      </c>
      <c r="O634" s="13" t="s">
        <v>855</v>
      </c>
      <c r="P634" s="14"/>
    </row>
    <row r="635" spans="1:23" x14ac:dyDescent="0.25">
      <c r="A635" s="6"/>
      <c r="B635" s="7">
        <v>44275</v>
      </c>
      <c r="C635" s="8" t="s">
        <v>2166</v>
      </c>
      <c r="D635" s="8" t="s">
        <v>2146</v>
      </c>
      <c r="E635" s="9" t="s">
        <v>1568</v>
      </c>
      <c r="F635" s="9" t="s">
        <v>36</v>
      </c>
      <c r="G635" s="17">
        <v>0.48680555555555555</v>
      </c>
      <c r="H635" s="17">
        <v>0.62291666666666667</v>
      </c>
      <c r="I635" s="9">
        <v>14950</v>
      </c>
      <c r="J635" s="9">
        <v>39950</v>
      </c>
      <c r="K635" s="10">
        <f t="shared" si="24"/>
        <v>-25000</v>
      </c>
      <c r="L635" s="10">
        <v>5871</v>
      </c>
      <c r="M635" s="11" t="s">
        <v>1256</v>
      </c>
      <c r="N635" s="12">
        <v>997</v>
      </c>
      <c r="O635" s="13" t="s">
        <v>1099</v>
      </c>
      <c r="P635" s="14"/>
      <c r="R635" s="1">
        <f>1000-5</f>
        <v>995</v>
      </c>
    </row>
    <row r="636" spans="1:23" x14ac:dyDescent="0.25">
      <c r="A636" s="6"/>
      <c r="B636" s="7">
        <v>44275</v>
      </c>
      <c r="C636" s="8" t="s">
        <v>2168</v>
      </c>
      <c r="D636" s="8" t="s">
        <v>284</v>
      </c>
      <c r="E636" s="9" t="s">
        <v>177</v>
      </c>
      <c r="F636" s="9" t="s">
        <v>178</v>
      </c>
      <c r="G636" s="17">
        <v>0.49722222222222223</v>
      </c>
      <c r="H636" s="17">
        <v>0.50277777777777777</v>
      </c>
      <c r="I636" s="9">
        <v>32860</v>
      </c>
      <c r="J636" s="9">
        <v>16260</v>
      </c>
      <c r="K636" s="10">
        <f t="shared" si="24"/>
        <v>16600</v>
      </c>
      <c r="L636" s="10" t="s">
        <v>2169</v>
      </c>
      <c r="M636" s="11" t="s">
        <v>993</v>
      </c>
      <c r="N636" s="12">
        <f>4.784+11.97</f>
        <v>16.754000000000001</v>
      </c>
      <c r="O636" s="13" t="s">
        <v>855</v>
      </c>
      <c r="P636" s="14"/>
    </row>
    <row r="637" spans="1:23" x14ac:dyDescent="0.25">
      <c r="A637" s="6"/>
      <c r="B637" s="7">
        <v>44275</v>
      </c>
      <c r="C637" s="8" t="s">
        <v>2116</v>
      </c>
      <c r="D637" s="8" t="s">
        <v>94</v>
      </c>
      <c r="E637" s="9" t="s">
        <v>1774</v>
      </c>
      <c r="F637" s="9" t="s">
        <v>1775</v>
      </c>
      <c r="G637" s="17">
        <v>0.4993055555555555</v>
      </c>
      <c r="H637" s="17">
        <v>0.50486111111111109</v>
      </c>
      <c r="I637" s="9">
        <v>12560</v>
      </c>
      <c r="J637" s="9">
        <v>7550</v>
      </c>
      <c r="K637" s="10">
        <f t="shared" si="24"/>
        <v>5010</v>
      </c>
      <c r="L637" s="10">
        <v>23628</v>
      </c>
      <c r="M637" s="11" t="s">
        <v>993</v>
      </c>
      <c r="N637" s="12">
        <v>4.7839999999999998</v>
      </c>
      <c r="O637" s="13" t="s">
        <v>855</v>
      </c>
      <c r="P637" s="14"/>
    </row>
    <row r="638" spans="1:23" x14ac:dyDescent="0.25">
      <c r="A638" s="29"/>
      <c r="B638" s="7">
        <v>44275</v>
      </c>
      <c r="C638" s="86" t="s">
        <v>1709</v>
      </c>
      <c r="D638" s="8" t="s">
        <v>899</v>
      </c>
      <c r="E638" s="9" t="s">
        <v>490</v>
      </c>
      <c r="F638" s="9" t="s">
        <v>491</v>
      </c>
      <c r="G638" s="88">
        <v>0.58124999999999993</v>
      </c>
      <c r="H638" s="88">
        <v>0.59236111111111112</v>
      </c>
      <c r="I638" s="87">
        <v>26070</v>
      </c>
      <c r="J638" s="87">
        <v>15860</v>
      </c>
      <c r="K638" s="10">
        <f t="shared" si="24"/>
        <v>10210</v>
      </c>
      <c r="L638" s="89">
        <v>23629</v>
      </c>
      <c r="M638" s="11" t="s">
        <v>2170</v>
      </c>
      <c r="N638" s="12">
        <v>9.5679999999999996</v>
      </c>
      <c r="O638" s="90" t="s">
        <v>855</v>
      </c>
      <c r="P638" s="91"/>
    </row>
    <row r="639" spans="1:23" x14ac:dyDescent="0.25">
      <c r="A639" s="6"/>
      <c r="B639" s="7">
        <v>44275</v>
      </c>
      <c r="C639" s="8" t="s">
        <v>984</v>
      </c>
      <c r="D639" s="8" t="s">
        <v>94</v>
      </c>
      <c r="E639" s="9" t="s">
        <v>1774</v>
      </c>
      <c r="F639" s="9" t="s">
        <v>1775</v>
      </c>
      <c r="G639" s="17">
        <v>0.59861111111111109</v>
      </c>
      <c r="H639" s="17">
        <v>0.6118055555555556</v>
      </c>
      <c r="I639" s="9">
        <v>8280</v>
      </c>
      <c r="J639" s="9">
        <v>7530</v>
      </c>
      <c r="K639" s="10">
        <f t="shared" si="24"/>
        <v>750</v>
      </c>
      <c r="L639" s="10">
        <v>23630</v>
      </c>
      <c r="M639" s="11" t="s">
        <v>1515</v>
      </c>
      <c r="N639" s="12">
        <v>750</v>
      </c>
      <c r="O639" s="13" t="s">
        <v>32</v>
      </c>
      <c r="P639" s="14" t="s">
        <v>883</v>
      </c>
    </row>
    <row r="640" spans="1:23" x14ac:dyDescent="0.25">
      <c r="A640" s="6"/>
      <c r="B640" s="7">
        <v>44275</v>
      </c>
      <c r="C640" s="8" t="s">
        <v>1096</v>
      </c>
      <c r="D640" s="8" t="s">
        <v>94</v>
      </c>
      <c r="E640" s="9" t="s">
        <v>1774</v>
      </c>
      <c r="F640" s="9" t="s">
        <v>1775</v>
      </c>
      <c r="G640" s="17">
        <v>0.65555555555555556</v>
      </c>
      <c r="H640" s="17">
        <v>0.66041666666666665</v>
      </c>
      <c r="I640" s="9">
        <v>8060</v>
      </c>
      <c r="J640" s="9">
        <v>7530</v>
      </c>
      <c r="K640" s="10">
        <f t="shared" si="24"/>
        <v>530</v>
      </c>
      <c r="L640" s="10">
        <v>23631</v>
      </c>
      <c r="M640" s="11" t="s">
        <v>1515</v>
      </c>
      <c r="N640" s="12">
        <v>530</v>
      </c>
      <c r="O640" s="13" t="s">
        <v>32</v>
      </c>
      <c r="P640" s="1" t="s">
        <v>1732</v>
      </c>
    </row>
    <row r="641" spans="1:16" x14ac:dyDescent="0.25">
      <c r="A641" s="6"/>
      <c r="B641" s="7">
        <v>44275</v>
      </c>
      <c r="C641" s="43" t="s">
        <v>1630</v>
      </c>
      <c r="D641" s="43" t="s">
        <v>933</v>
      </c>
      <c r="E641" s="44" t="s">
        <v>1632</v>
      </c>
      <c r="F641" s="44" t="s">
        <v>266</v>
      </c>
      <c r="G641" s="17">
        <v>0.6972222222222223</v>
      </c>
      <c r="H641" s="17">
        <v>0.69930555555555562</v>
      </c>
      <c r="I641" s="9">
        <v>550</v>
      </c>
      <c r="J641" s="9">
        <v>100</v>
      </c>
      <c r="K641" s="10">
        <f t="shared" si="24"/>
        <v>450</v>
      </c>
      <c r="L641" s="10" t="s">
        <v>2155</v>
      </c>
      <c r="M641" s="47" t="s">
        <v>2171</v>
      </c>
      <c r="N641" s="12">
        <v>450</v>
      </c>
      <c r="O641" s="13" t="s">
        <v>32</v>
      </c>
      <c r="P641" s="14"/>
    </row>
    <row r="642" spans="1:16" x14ac:dyDescent="0.25">
      <c r="A642" s="6"/>
      <c r="B642" s="7">
        <v>44275</v>
      </c>
      <c r="C642" s="8" t="s">
        <v>142</v>
      </c>
      <c r="D642" s="8" t="s">
        <v>1282</v>
      </c>
      <c r="E642" s="9" t="s">
        <v>39</v>
      </c>
      <c r="F642" s="9" t="s">
        <v>36</v>
      </c>
      <c r="G642" s="17">
        <v>0.73888888888888893</v>
      </c>
      <c r="H642" s="17">
        <v>0.78680555555555554</v>
      </c>
      <c r="I642" s="9">
        <v>13160</v>
      </c>
      <c r="J642" s="9">
        <v>6220</v>
      </c>
      <c r="K642" s="10">
        <f t="shared" si="24"/>
        <v>6940</v>
      </c>
      <c r="L642" s="10">
        <v>789</v>
      </c>
      <c r="M642" s="11" t="s">
        <v>1373</v>
      </c>
      <c r="N642" s="92">
        <v>7163</v>
      </c>
      <c r="O642" s="13" t="s">
        <v>32</v>
      </c>
      <c r="P642" s="14">
        <v>4</v>
      </c>
    </row>
    <row r="643" spans="1:16" x14ac:dyDescent="0.25">
      <c r="A643" s="6"/>
      <c r="B643" s="7">
        <v>44275</v>
      </c>
      <c r="C643" s="8" t="s">
        <v>2172</v>
      </c>
      <c r="D643" s="8" t="s">
        <v>94</v>
      </c>
      <c r="E643" s="9" t="s">
        <v>1774</v>
      </c>
      <c r="F643" s="9" t="s">
        <v>1775</v>
      </c>
      <c r="G643" s="17">
        <v>0.78888888888888886</v>
      </c>
      <c r="H643" s="17">
        <v>0.79791666666666661</v>
      </c>
      <c r="I643" s="9">
        <v>8550</v>
      </c>
      <c r="J643" s="9">
        <v>7620</v>
      </c>
      <c r="K643" s="10">
        <f t="shared" si="24"/>
        <v>930</v>
      </c>
      <c r="L643" s="10">
        <v>23632</v>
      </c>
      <c r="M643" s="11" t="s">
        <v>1482</v>
      </c>
      <c r="N643" s="12">
        <v>930</v>
      </c>
      <c r="O643" s="13" t="s">
        <v>32</v>
      </c>
      <c r="P643" s="14">
        <v>4</v>
      </c>
    </row>
    <row r="644" spans="1:16" x14ac:dyDescent="0.25">
      <c r="A644" s="6"/>
      <c r="B644" s="7">
        <v>44275</v>
      </c>
      <c r="C644" s="8" t="s">
        <v>2123</v>
      </c>
      <c r="D644" s="8" t="s">
        <v>183</v>
      </c>
      <c r="E644" s="9" t="s">
        <v>2044</v>
      </c>
      <c r="F644" s="9" t="s">
        <v>36</v>
      </c>
      <c r="G644" s="17">
        <v>0.82291666666666663</v>
      </c>
      <c r="H644" s="17">
        <v>0.86458333333333337</v>
      </c>
      <c r="I644" s="9">
        <v>3670</v>
      </c>
      <c r="J644" s="9">
        <v>2150</v>
      </c>
      <c r="K644" s="10">
        <f t="shared" si="24"/>
        <v>1520</v>
      </c>
      <c r="L644" s="10">
        <v>26673</v>
      </c>
      <c r="M644" s="11" t="s">
        <v>997</v>
      </c>
      <c r="N644" s="12">
        <v>1520</v>
      </c>
      <c r="O644" s="13" t="s">
        <v>32</v>
      </c>
      <c r="P644" s="14">
        <v>4</v>
      </c>
    </row>
    <row r="645" spans="1:16" x14ac:dyDescent="0.25">
      <c r="A645" s="6"/>
      <c r="B645" s="7">
        <v>44275</v>
      </c>
      <c r="C645" s="8" t="s">
        <v>37</v>
      </c>
      <c r="D645" s="8" t="s">
        <v>1787</v>
      </c>
      <c r="E645" s="9" t="s">
        <v>1002</v>
      </c>
      <c r="F645" s="9" t="s">
        <v>36</v>
      </c>
      <c r="G645" s="17">
        <v>0.90555555555555556</v>
      </c>
      <c r="H645" s="17">
        <v>0.95972222222222225</v>
      </c>
      <c r="I645" s="9">
        <v>10185</v>
      </c>
      <c r="J645" s="9">
        <v>4030</v>
      </c>
      <c r="K645" s="10">
        <f t="shared" si="24"/>
        <v>6155</v>
      </c>
      <c r="L645" s="10">
        <v>26674</v>
      </c>
      <c r="M645" s="11" t="s">
        <v>2173</v>
      </c>
      <c r="N645" s="12">
        <v>6155</v>
      </c>
      <c r="O645" s="13" t="s">
        <v>683</v>
      </c>
      <c r="P645" s="14">
        <v>4</v>
      </c>
    </row>
    <row r="646" spans="1:16" x14ac:dyDescent="0.25">
      <c r="A646" s="6"/>
      <c r="B646" s="7">
        <v>44275</v>
      </c>
      <c r="C646" s="8" t="s">
        <v>37</v>
      </c>
      <c r="D646" s="8" t="s">
        <v>1696</v>
      </c>
      <c r="E646" s="9" t="s">
        <v>967</v>
      </c>
      <c r="F646" s="9" t="s">
        <v>154</v>
      </c>
      <c r="G646" s="17">
        <v>0.99444444444444446</v>
      </c>
      <c r="H646" s="17">
        <v>4.3055555555555562E-2</v>
      </c>
      <c r="I646" s="9">
        <v>22535</v>
      </c>
      <c r="J646" s="9">
        <v>6440</v>
      </c>
      <c r="K646" s="10">
        <f t="shared" si="24"/>
        <v>16095</v>
      </c>
      <c r="L646" s="10">
        <v>26675</v>
      </c>
      <c r="M646" s="11" t="s">
        <v>2173</v>
      </c>
      <c r="N646" s="12">
        <v>16095</v>
      </c>
      <c r="O646" s="13" t="s">
        <v>683</v>
      </c>
      <c r="P646" s="14">
        <v>4</v>
      </c>
    </row>
    <row r="647" spans="1:16" x14ac:dyDescent="0.25">
      <c r="A647" s="6"/>
      <c r="B647" s="15">
        <v>44276</v>
      </c>
      <c r="C647" s="16" t="s">
        <v>2174</v>
      </c>
      <c r="D647" s="8" t="s">
        <v>1794</v>
      </c>
      <c r="E647" s="9" t="s">
        <v>628</v>
      </c>
      <c r="F647" s="9" t="s">
        <v>629</v>
      </c>
      <c r="G647" s="17">
        <v>0.46527777777777773</v>
      </c>
      <c r="H647" s="17">
        <v>0.47569444444444442</v>
      </c>
      <c r="I647" s="9">
        <v>21540</v>
      </c>
      <c r="J647" s="9">
        <v>9680</v>
      </c>
      <c r="K647" s="10">
        <f t="shared" si="24"/>
        <v>11860</v>
      </c>
      <c r="L647" s="10" t="s">
        <v>2175</v>
      </c>
      <c r="M647" s="11" t="s">
        <v>2076</v>
      </c>
      <c r="N647" s="12">
        <v>10.72</v>
      </c>
      <c r="O647" s="13" t="s">
        <v>855</v>
      </c>
      <c r="P647" s="14"/>
    </row>
    <row r="648" spans="1:16" x14ac:dyDescent="0.25">
      <c r="A648" s="6"/>
      <c r="B648" s="7">
        <v>44276</v>
      </c>
      <c r="C648" s="8" t="s">
        <v>2176</v>
      </c>
      <c r="D648" s="8" t="s">
        <v>2177</v>
      </c>
      <c r="E648" s="9" t="s">
        <v>2178</v>
      </c>
      <c r="F648" s="9" t="s">
        <v>419</v>
      </c>
      <c r="G648" s="17">
        <v>0.47152777777777777</v>
      </c>
      <c r="H648" s="17">
        <v>0.50486111111111109</v>
      </c>
      <c r="I648" s="9">
        <v>12880</v>
      </c>
      <c r="J648" s="9">
        <v>10100</v>
      </c>
      <c r="K648" s="10">
        <f t="shared" si="24"/>
        <v>2780</v>
      </c>
      <c r="L648" s="10">
        <v>26676</v>
      </c>
      <c r="M648" s="11" t="s">
        <v>1041</v>
      </c>
      <c r="N648" s="12">
        <v>2780</v>
      </c>
      <c r="O648" s="13" t="s">
        <v>32</v>
      </c>
      <c r="P648" s="14"/>
    </row>
    <row r="649" spans="1:16" x14ac:dyDescent="0.25">
      <c r="A649" s="6"/>
      <c r="B649" s="7">
        <v>44276</v>
      </c>
      <c r="C649" s="8" t="s">
        <v>1081</v>
      </c>
      <c r="D649" s="8" t="s">
        <v>2034</v>
      </c>
      <c r="E649" s="9" t="s">
        <v>1661</v>
      </c>
      <c r="F649" s="9" t="s">
        <v>1276</v>
      </c>
      <c r="G649" s="17">
        <v>0.4826388888888889</v>
      </c>
      <c r="H649" s="17">
        <v>0.49374999999999997</v>
      </c>
      <c r="I649" s="9">
        <v>32660</v>
      </c>
      <c r="J649" s="9">
        <v>14150</v>
      </c>
      <c r="K649" s="10">
        <f t="shared" si="24"/>
        <v>18510</v>
      </c>
      <c r="L649" s="10">
        <v>23639</v>
      </c>
      <c r="M649" s="11" t="s">
        <v>2179</v>
      </c>
      <c r="N649" s="12">
        <v>19.045999999999999</v>
      </c>
      <c r="O649" s="13" t="s">
        <v>855</v>
      </c>
      <c r="P649" s="14"/>
    </row>
    <row r="650" spans="1:16" x14ac:dyDescent="0.25">
      <c r="A650" s="6"/>
      <c r="B650" s="7">
        <v>44276</v>
      </c>
      <c r="C650" s="8" t="s">
        <v>1081</v>
      </c>
      <c r="D650" s="8" t="s">
        <v>299</v>
      </c>
      <c r="E650" s="9" t="s">
        <v>813</v>
      </c>
      <c r="F650" s="9" t="s">
        <v>814</v>
      </c>
      <c r="G650" s="17">
        <v>0.49652777777777773</v>
      </c>
      <c r="H650" s="17">
        <v>0.51666666666666672</v>
      </c>
      <c r="I650" s="9">
        <v>43050</v>
      </c>
      <c r="J650" s="9">
        <v>17330</v>
      </c>
      <c r="K650" s="10">
        <f t="shared" si="24"/>
        <v>25720</v>
      </c>
      <c r="L650" s="10">
        <v>23639</v>
      </c>
      <c r="M650" s="11" t="s">
        <v>1832</v>
      </c>
      <c r="N650" s="12">
        <v>26.4</v>
      </c>
      <c r="O650" s="13" t="s">
        <v>855</v>
      </c>
      <c r="P650" s="14"/>
    </row>
    <row r="651" spans="1:16" x14ac:dyDescent="0.25">
      <c r="A651" s="6"/>
      <c r="B651" s="7">
        <v>44276</v>
      </c>
      <c r="C651" s="8" t="s">
        <v>2180</v>
      </c>
      <c r="D651" s="8" t="s">
        <v>1850</v>
      </c>
      <c r="E651" s="9" t="s">
        <v>144</v>
      </c>
      <c r="F651" s="9" t="s">
        <v>626</v>
      </c>
      <c r="G651" s="17">
        <v>0.52013888888888882</v>
      </c>
      <c r="H651" s="17">
        <v>0.52638888888888891</v>
      </c>
      <c r="I651" s="9">
        <v>38570</v>
      </c>
      <c r="J651" s="9">
        <v>15680</v>
      </c>
      <c r="K651" s="10">
        <f t="shared" si="24"/>
        <v>22890</v>
      </c>
      <c r="L651" s="10" t="s">
        <v>2183</v>
      </c>
      <c r="M651" s="11" t="s">
        <v>2181</v>
      </c>
      <c r="N651" s="12">
        <v>21.588000000000001</v>
      </c>
      <c r="O651" s="13" t="s">
        <v>855</v>
      </c>
      <c r="P651" s="14"/>
    </row>
    <row r="652" spans="1:16" x14ac:dyDescent="0.25">
      <c r="A652" s="6"/>
      <c r="B652" s="7">
        <v>44276</v>
      </c>
      <c r="C652" s="8" t="s">
        <v>1062</v>
      </c>
      <c r="D652" s="8" t="s">
        <v>1794</v>
      </c>
      <c r="E652" s="9" t="s">
        <v>628</v>
      </c>
      <c r="F652" s="9" t="s">
        <v>629</v>
      </c>
      <c r="G652" s="17">
        <v>0.53888888888888886</v>
      </c>
      <c r="H652" s="17">
        <v>0.54652777777777783</v>
      </c>
      <c r="I652" s="9">
        <v>18900</v>
      </c>
      <c r="J652" s="9">
        <v>9660</v>
      </c>
      <c r="K652" s="10">
        <f t="shared" si="24"/>
        <v>9240</v>
      </c>
      <c r="L652" s="10">
        <v>23636</v>
      </c>
      <c r="M652" s="11" t="s">
        <v>1784</v>
      </c>
      <c r="N652" s="12">
        <v>9</v>
      </c>
      <c r="O652" s="13" t="s">
        <v>855</v>
      </c>
      <c r="P652" s="14"/>
    </row>
    <row r="653" spans="1:16" x14ac:dyDescent="0.25">
      <c r="A653" s="6"/>
      <c r="B653" s="7">
        <v>44276</v>
      </c>
      <c r="C653" s="8" t="s">
        <v>973</v>
      </c>
      <c r="D653" s="8" t="s">
        <v>1794</v>
      </c>
      <c r="E653" s="9" t="s">
        <v>628</v>
      </c>
      <c r="F653" s="9" t="s">
        <v>629</v>
      </c>
      <c r="G653" s="17">
        <v>0.60277777777777775</v>
      </c>
      <c r="H653" s="17">
        <v>0.60763888888888895</v>
      </c>
      <c r="I653" s="9">
        <v>10920</v>
      </c>
      <c r="J653" s="9">
        <v>9660</v>
      </c>
      <c r="K653" s="10">
        <f t="shared" si="24"/>
        <v>1260</v>
      </c>
      <c r="L653" s="10">
        <v>23638</v>
      </c>
      <c r="M653" s="11" t="s">
        <v>1515</v>
      </c>
      <c r="N653" s="12">
        <v>1260</v>
      </c>
      <c r="O653" s="13" t="s">
        <v>32</v>
      </c>
      <c r="P653" s="14" t="s">
        <v>1810</v>
      </c>
    </row>
    <row r="654" spans="1:16" x14ac:dyDescent="0.25">
      <c r="A654" s="6"/>
      <c r="B654" s="7">
        <v>44276</v>
      </c>
      <c r="C654" s="8" t="s">
        <v>1365</v>
      </c>
      <c r="D654" s="8" t="s">
        <v>2034</v>
      </c>
      <c r="E654" s="9" t="s">
        <v>1661</v>
      </c>
      <c r="F654" s="9" t="s">
        <v>1276</v>
      </c>
      <c r="G654" s="17">
        <v>0.60625000000000007</v>
      </c>
      <c r="H654" s="17">
        <v>0.61041666666666672</v>
      </c>
      <c r="I654" s="9">
        <v>22790</v>
      </c>
      <c r="J654" s="9">
        <v>14150</v>
      </c>
      <c r="K654" s="10">
        <f t="shared" si="24"/>
        <v>8640</v>
      </c>
      <c r="L654" s="10">
        <v>23637</v>
      </c>
      <c r="M654" s="11" t="s">
        <v>2182</v>
      </c>
      <c r="N654" s="12">
        <v>6.78</v>
      </c>
      <c r="O654" s="13" t="s">
        <v>855</v>
      </c>
      <c r="P654" s="14"/>
    </row>
    <row r="655" spans="1:16" x14ac:dyDescent="0.25">
      <c r="A655" s="6"/>
      <c r="B655" s="7">
        <v>44276</v>
      </c>
      <c r="C655" s="8" t="s">
        <v>1065</v>
      </c>
      <c r="D655" s="8" t="s">
        <v>299</v>
      </c>
      <c r="E655" s="9" t="s">
        <v>813</v>
      </c>
      <c r="F655" s="9" t="s">
        <v>814</v>
      </c>
      <c r="G655" s="17">
        <v>0.74236111111111114</v>
      </c>
      <c r="H655" s="17">
        <v>0.75624999999999998</v>
      </c>
      <c r="I655" s="9">
        <v>41060</v>
      </c>
      <c r="J655" s="9">
        <v>17320</v>
      </c>
      <c r="K655" s="10">
        <f t="shared" si="24"/>
        <v>23740</v>
      </c>
      <c r="L655" s="10">
        <v>23640</v>
      </c>
      <c r="M655" s="11" t="s">
        <v>1041</v>
      </c>
      <c r="N655" s="12">
        <v>24</v>
      </c>
      <c r="O655" s="13" t="s">
        <v>855</v>
      </c>
      <c r="P655" s="14"/>
    </row>
    <row r="656" spans="1:16" x14ac:dyDescent="0.25">
      <c r="A656" s="6"/>
      <c r="B656" s="7">
        <v>44276</v>
      </c>
      <c r="C656" s="8" t="s">
        <v>1065</v>
      </c>
      <c r="D656" s="8" t="s">
        <v>1850</v>
      </c>
      <c r="E656" s="9" t="s">
        <v>144</v>
      </c>
      <c r="F656" s="9" t="s">
        <v>626</v>
      </c>
      <c r="G656" s="17">
        <v>0.74930555555555556</v>
      </c>
      <c r="H656" s="17">
        <v>0.75486111111111109</v>
      </c>
      <c r="I656" s="9">
        <v>39600</v>
      </c>
      <c r="J656" s="9">
        <v>15660</v>
      </c>
      <c r="K656" s="10">
        <f t="shared" si="24"/>
        <v>23940</v>
      </c>
      <c r="L656" s="10">
        <v>23640</v>
      </c>
      <c r="M656" s="11" t="s">
        <v>1041</v>
      </c>
      <c r="N656" s="12">
        <v>24</v>
      </c>
      <c r="O656" s="13" t="s">
        <v>855</v>
      </c>
      <c r="P656" s="14"/>
    </row>
    <row r="657" spans="1:37" x14ac:dyDescent="0.25">
      <c r="A657" s="6"/>
      <c r="B657" s="7">
        <v>44276</v>
      </c>
      <c r="C657" s="8" t="s">
        <v>1065</v>
      </c>
      <c r="D657" s="8" t="s">
        <v>1794</v>
      </c>
      <c r="E657" s="9" t="s">
        <v>628</v>
      </c>
      <c r="F657" s="9" t="s">
        <v>629</v>
      </c>
      <c r="G657" s="17">
        <v>0.75277777777777777</v>
      </c>
      <c r="H657" s="17">
        <v>0.7597222222222223</v>
      </c>
      <c r="I657" s="9">
        <v>17010</v>
      </c>
      <c r="J657" s="9">
        <v>9650</v>
      </c>
      <c r="K657" s="10">
        <f t="shared" si="24"/>
        <v>7360</v>
      </c>
      <c r="L657" s="10">
        <v>23640</v>
      </c>
      <c r="M657" s="11" t="s">
        <v>1041</v>
      </c>
      <c r="N657" s="12">
        <v>7.2</v>
      </c>
      <c r="O657" s="13" t="s">
        <v>855</v>
      </c>
      <c r="P657" s="14"/>
    </row>
    <row r="658" spans="1:37" x14ac:dyDescent="0.25">
      <c r="A658" s="6"/>
      <c r="B658" s="7">
        <v>44276</v>
      </c>
      <c r="C658" s="8" t="s">
        <v>2184</v>
      </c>
      <c r="D658" s="8" t="s">
        <v>458</v>
      </c>
      <c r="E658" s="9" t="s">
        <v>699</v>
      </c>
      <c r="F658" s="9" t="s">
        <v>459</v>
      </c>
      <c r="G658" s="17">
        <v>0.7583333333333333</v>
      </c>
      <c r="H658" s="17">
        <v>0.79375000000000007</v>
      </c>
      <c r="I658" s="9">
        <v>12950</v>
      </c>
      <c r="J658" s="9">
        <v>8270</v>
      </c>
      <c r="K658" s="10">
        <f t="shared" si="24"/>
        <v>4680</v>
      </c>
      <c r="L658" s="10" t="s">
        <v>2245</v>
      </c>
      <c r="M658" s="11" t="s">
        <v>48</v>
      </c>
      <c r="N658" s="12">
        <v>4680</v>
      </c>
      <c r="O658" s="13" t="s">
        <v>32</v>
      </c>
      <c r="P658" s="14"/>
    </row>
    <row r="659" spans="1:37" x14ac:dyDescent="0.25">
      <c r="A659" s="6"/>
      <c r="B659" s="7">
        <v>44276</v>
      </c>
      <c r="C659" s="8" t="s">
        <v>320</v>
      </c>
      <c r="D659" s="8" t="s">
        <v>1794</v>
      </c>
      <c r="E659" s="9" t="s">
        <v>628</v>
      </c>
      <c r="F659" s="9" t="s">
        <v>629</v>
      </c>
      <c r="G659" s="17">
        <v>0.79722222222222217</v>
      </c>
      <c r="H659" s="17">
        <v>0.80555555555555547</v>
      </c>
      <c r="I659" s="9">
        <v>11000</v>
      </c>
      <c r="J659" s="9">
        <v>9650</v>
      </c>
      <c r="K659" s="10">
        <f t="shared" si="24"/>
        <v>1350</v>
      </c>
      <c r="L659" s="10">
        <v>24698</v>
      </c>
      <c r="M659" s="11" t="s">
        <v>1490</v>
      </c>
      <c r="N659" s="12">
        <v>1350</v>
      </c>
      <c r="O659" s="13" t="s">
        <v>32</v>
      </c>
      <c r="P659" s="14">
        <v>4</v>
      </c>
    </row>
    <row r="660" spans="1:37" x14ac:dyDescent="0.25">
      <c r="A660" s="6"/>
      <c r="B660" s="7">
        <v>44276</v>
      </c>
      <c r="C660" s="8" t="s">
        <v>1065</v>
      </c>
      <c r="D660" s="8" t="s">
        <v>2185</v>
      </c>
      <c r="E660" s="9" t="s">
        <v>1661</v>
      </c>
      <c r="F660" s="9" t="s">
        <v>1276</v>
      </c>
      <c r="G660" s="17">
        <v>0.80347222222222225</v>
      </c>
      <c r="H660" s="17">
        <v>0.8256944444444444</v>
      </c>
      <c r="I660" s="9">
        <v>34905</v>
      </c>
      <c r="J660" s="9">
        <v>14130</v>
      </c>
      <c r="K660" s="10">
        <f t="shared" ref="K660:K725" si="25">+I660-J660</f>
        <v>20775</v>
      </c>
      <c r="L660" s="10">
        <v>23641</v>
      </c>
      <c r="M660" s="11" t="s">
        <v>1041</v>
      </c>
      <c r="N660" s="12">
        <v>20775</v>
      </c>
      <c r="O660" s="13" t="s">
        <v>32</v>
      </c>
      <c r="P660" s="14">
        <v>4</v>
      </c>
    </row>
    <row r="661" spans="1:37" x14ac:dyDescent="0.25">
      <c r="A661" s="7"/>
      <c r="B661" s="7">
        <v>44276</v>
      </c>
      <c r="C661" s="8" t="s">
        <v>1673</v>
      </c>
      <c r="D661" s="8" t="s">
        <v>183</v>
      </c>
      <c r="E661" s="9" t="s">
        <v>2044</v>
      </c>
      <c r="F661" s="9" t="s">
        <v>36</v>
      </c>
      <c r="G661" s="17">
        <v>0.8222222222222223</v>
      </c>
      <c r="H661" s="17">
        <v>0.85277777777777775</v>
      </c>
      <c r="I661" s="9">
        <v>2790</v>
      </c>
      <c r="J661" s="9">
        <v>2140</v>
      </c>
      <c r="K661" s="10">
        <f t="shared" si="25"/>
        <v>650</v>
      </c>
      <c r="L661" s="10">
        <v>26677</v>
      </c>
      <c r="M661" s="11" t="s">
        <v>2186</v>
      </c>
      <c r="N661" s="12">
        <v>650</v>
      </c>
      <c r="O661" s="13" t="s">
        <v>32</v>
      </c>
      <c r="P661" s="14">
        <v>4</v>
      </c>
    </row>
    <row r="662" spans="1:37" x14ac:dyDescent="0.25">
      <c r="A662" s="7"/>
      <c r="B662" s="7">
        <v>44276</v>
      </c>
      <c r="C662" s="8" t="s">
        <v>37</v>
      </c>
      <c r="D662" s="8" t="s">
        <v>1001</v>
      </c>
      <c r="E662" s="17" t="s">
        <v>39</v>
      </c>
      <c r="F662" s="9" t="s">
        <v>36</v>
      </c>
      <c r="G662" s="17">
        <v>0.85416666666666663</v>
      </c>
      <c r="H662" s="17">
        <v>0.95624999999999993</v>
      </c>
      <c r="I662" s="9">
        <v>18580</v>
      </c>
      <c r="J662" s="9">
        <v>6300</v>
      </c>
      <c r="K662" s="10">
        <f t="shared" si="25"/>
        <v>12280</v>
      </c>
      <c r="L662" s="10">
        <v>26678</v>
      </c>
      <c r="M662" s="11" t="s">
        <v>2187</v>
      </c>
      <c r="N662" s="12">
        <v>12280</v>
      </c>
      <c r="O662" s="13" t="s">
        <v>32</v>
      </c>
      <c r="P662" s="14">
        <v>4</v>
      </c>
    </row>
    <row r="663" spans="1:37" x14ac:dyDescent="0.25">
      <c r="A663" s="7"/>
      <c r="B663" s="15">
        <v>44277</v>
      </c>
      <c r="C663" s="16" t="s">
        <v>1673</v>
      </c>
      <c r="D663" s="8" t="s">
        <v>1847</v>
      </c>
      <c r="E663" s="17" t="s">
        <v>2047</v>
      </c>
      <c r="F663" s="9" t="s">
        <v>36</v>
      </c>
      <c r="G663" s="17">
        <v>0.13125000000000001</v>
      </c>
      <c r="H663" s="17">
        <v>0.17708333333333334</v>
      </c>
      <c r="I663" s="9">
        <v>6960</v>
      </c>
      <c r="J663" s="9">
        <v>2570</v>
      </c>
      <c r="K663" s="10">
        <f t="shared" si="25"/>
        <v>4390</v>
      </c>
      <c r="L663" s="10">
        <v>26679</v>
      </c>
      <c r="M663" s="11" t="s">
        <v>965</v>
      </c>
      <c r="N663" s="12">
        <v>4390</v>
      </c>
      <c r="O663" s="13" t="s">
        <v>32</v>
      </c>
      <c r="P663" s="14">
        <v>4</v>
      </c>
    </row>
    <row r="664" spans="1:37" x14ac:dyDescent="0.25">
      <c r="A664" s="7"/>
      <c r="B664" s="7">
        <v>44277</v>
      </c>
      <c r="C664" s="8" t="s">
        <v>2123</v>
      </c>
      <c r="D664" s="8" t="s">
        <v>183</v>
      </c>
      <c r="E664" s="9" t="s">
        <v>2044</v>
      </c>
      <c r="F664" s="9" t="s">
        <v>36</v>
      </c>
      <c r="G664" s="17">
        <v>0.16250000000000001</v>
      </c>
      <c r="H664" s="17">
        <v>0.20833333333333334</v>
      </c>
      <c r="I664" s="9">
        <v>5610</v>
      </c>
      <c r="J664" s="9">
        <v>2190</v>
      </c>
      <c r="K664" s="10">
        <f t="shared" si="25"/>
        <v>3420</v>
      </c>
      <c r="L664" s="10">
        <v>26680</v>
      </c>
      <c r="M664" s="11" t="s">
        <v>965</v>
      </c>
      <c r="N664" s="12">
        <v>3420</v>
      </c>
      <c r="O664" s="13" t="s">
        <v>32</v>
      </c>
      <c r="P664" s="14">
        <v>4</v>
      </c>
    </row>
    <row r="665" spans="1:37" x14ac:dyDescent="0.25">
      <c r="A665" s="7"/>
      <c r="B665" s="7">
        <v>44277</v>
      </c>
      <c r="C665" s="8" t="s">
        <v>2123</v>
      </c>
      <c r="D665" s="8" t="s">
        <v>999</v>
      </c>
      <c r="E665" s="9" t="s">
        <v>1000</v>
      </c>
      <c r="F665" s="9" t="s">
        <v>36</v>
      </c>
      <c r="G665" s="17">
        <v>0.30555555555555552</v>
      </c>
      <c r="H665" s="17">
        <v>0.31875000000000003</v>
      </c>
      <c r="I665" s="9">
        <v>3960</v>
      </c>
      <c r="J665" s="9">
        <v>1900</v>
      </c>
      <c r="K665" s="10">
        <f t="shared" si="25"/>
        <v>2060</v>
      </c>
      <c r="L665" s="10">
        <v>26681</v>
      </c>
      <c r="M665" s="11" t="s">
        <v>965</v>
      </c>
      <c r="N665" s="12">
        <v>2060</v>
      </c>
      <c r="O665" s="13" t="s">
        <v>32</v>
      </c>
      <c r="P665" s="14"/>
    </row>
    <row r="666" spans="1:37" x14ac:dyDescent="0.25">
      <c r="A666" s="7"/>
      <c r="B666" s="7">
        <v>44277</v>
      </c>
      <c r="C666" s="8" t="s">
        <v>2188</v>
      </c>
      <c r="D666" s="8" t="s">
        <v>299</v>
      </c>
      <c r="E666" s="9" t="s">
        <v>813</v>
      </c>
      <c r="F666" s="9" t="s">
        <v>814</v>
      </c>
      <c r="G666" s="17">
        <v>0.4465277777777778</v>
      </c>
      <c r="H666" s="17">
        <v>0.45624999999999999</v>
      </c>
      <c r="I666" s="9">
        <v>30320</v>
      </c>
      <c r="J666" s="9">
        <v>17300</v>
      </c>
      <c r="K666" s="10">
        <f t="shared" si="25"/>
        <v>13020</v>
      </c>
      <c r="L666" s="10">
        <v>23642</v>
      </c>
      <c r="M666" s="11" t="s">
        <v>2189</v>
      </c>
      <c r="N666" s="12">
        <v>13.875</v>
      </c>
      <c r="O666" s="13" t="s">
        <v>855</v>
      </c>
      <c r="P666" s="14"/>
    </row>
    <row r="667" spans="1:37" x14ac:dyDescent="0.25">
      <c r="A667" s="7"/>
      <c r="B667" s="7">
        <v>44277</v>
      </c>
      <c r="C667" s="8" t="s">
        <v>1369</v>
      </c>
      <c r="D667" s="8" t="s">
        <v>94</v>
      </c>
      <c r="E667" s="9" t="s">
        <v>1774</v>
      </c>
      <c r="F667" s="9" t="s">
        <v>1775</v>
      </c>
      <c r="G667" s="17">
        <v>0.44861111111111113</v>
      </c>
      <c r="H667" s="17">
        <v>0.4548611111111111</v>
      </c>
      <c r="I667" s="9">
        <v>12440</v>
      </c>
      <c r="J667" s="9">
        <v>7520</v>
      </c>
      <c r="K667" s="10">
        <f t="shared" si="25"/>
        <v>4920</v>
      </c>
      <c r="L667" s="10">
        <v>23643</v>
      </c>
      <c r="M667" s="11" t="s">
        <v>1784</v>
      </c>
      <c r="N667" s="12">
        <v>4.5599999999999996</v>
      </c>
      <c r="O667" s="13" t="s">
        <v>855</v>
      </c>
      <c r="P667" s="14"/>
    </row>
    <row r="668" spans="1:37" x14ac:dyDescent="0.25">
      <c r="A668" s="6"/>
      <c r="B668" s="7">
        <v>44277</v>
      </c>
      <c r="C668" s="8" t="s">
        <v>1843</v>
      </c>
      <c r="D668" s="8" t="s">
        <v>1084</v>
      </c>
      <c r="E668" s="9" t="s">
        <v>1174</v>
      </c>
      <c r="F668" s="9" t="s">
        <v>2190</v>
      </c>
      <c r="G668" s="17">
        <v>0.53888888888888886</v>
      </c>
      <c r="H668" s="17">
        <v>0.55902777777777779</v>
      </c>
      <c r="I668" s="9">
        <v>5810</v>
      </c>
      <c r="J668" s="9">
        <v>5240</v>
      </c>
      <c r="K668" s="10">
        <f t="shared" si="25"/>
        <v>570</v>
      </c>
      <c r="L668" s="10">
        <v>4462</v>
      </c>
      <c r="M668" s="11" t="s">
        <v>2191</v>
      </c>
      <c r="N668" s="12">
        <v>1</v>
      </c>
      <c r="O668" s="13" t="s">
        <v>96</v>
      </c>
      <c r="P668" s="14"/>
    </row>
    <row r="669" spans="1:37" x14ac:dyDescent="0.25">
      <c r="A669" s="6"/>
      <c r="B669" s="7">
        <v>44277</v>
      </c>
      <c r="C669" s="8" t="s">
        <v>1582</v>
      </c>
      <c r="D669" s="8" t="s">
        <v>2192</v>
      </c>
      <c r="E669" s="9" t="s">
        <v>1131</v>
      </c>
      <c r="F669" s="9" t="s">
        <v>390</v>
      </c>
      <c r="G669" s="17">
        <v>0.54375000000000007</v>
      </c>
      <c r="H669" s="17">
        <v>0.6069444444444444</v>
      </c>
      <c r="I669" s="93">
        <v>55530</v>
      </c>
      <c r="J669" s="9">
        <v>20160</v>
      </c>
      <c r="K669" s="10">
        <f t="shared" si="25"/>
        <v>35370</v>
      </c>
      <c r="L669" s="10">
        <v>968</v>
      </c>
      <c r="M669" s="11" t="s">
        <v>306</v>
      </c>
      <c r="N669" s="12">
        <v>10000</v>
      </c>
      <c r="O669" s="13" t="s">
        <v>84</v>
      </c>
      <c r="P669" s="14"/>
    </row>
    <row r="670" spans="1:37" x14ac:dyDescent="0.25">
      <c r="A670" s="6"/>
      <c r="B670" s="7">
        <v>44277</v>
      </c>
      <c r="C670" s="8" t="s">
        <v>2193</v>
      </c>
      <c r="D670" s="8" t="s">
        <v>1794</v>
      </c>
      <c r="E670" s="9" t="s">
        <v>628</v>
      </c>
      <c r="F670" s="9" t="s">
        <v>629</v>
      </c>
      <c r="G670" s="17">
        <v>0.54791666666666672</v>
      </c>
      <c r="H670" s="17">
        <v>0.56597222222222221</v>
      </c>
      <c r="I670" s="9">
        <v>10210</v>
      </c>
      <c r="J670" s="9">
        <v>9640</v>
      </c>
      <c r="K670" s="10">
        <f t="shared" si="25"/>
        <v>570</v>
      </c>
      <c r="L670" s="10">
        <v>23645</v>
      </c>
      <c r="M670" s="11" t="s">
        <v>1515</v>
      </c>
      <c r="N670" s="12">
        <v>570</v>
      </c>
      <c r="O670" s="13" t="s">
        <v>32</v>
      </c>
      <c r="P670" s="14" t="s">
        <v>883</v>
      </c>
    </row>
    <row r="671" spans="1:37" x14ac:dyDescent="0.25">
      <c r="A671" s="6"/>
      <c r="B671" s="7">
        <v>44277</v>
      </c>
      <c r="C671" s="8" t="s">
        <v>164</v>
      </c>
      <c r="D671" s="8" t="s">
        <v>198</v>
      </c>
      <c r="E671" s="9" t="s">
        <v>160</v>
      </c>
      <c r="F671" s="9" t="s">
        <v>161</v>
      </c>
      <c r="G671" s="17">
        <v>0.55069444444444449</v>
      </c>
      <c r="H671" s="17">
        <v>0.57986111111111105</v>
      </c>
      <c r="I671" s="9">
        <v>38910</v>
      </c>
      <c r="J671" s="9">
        <v>17030</v>
      </c>
      <c r="K671" s="10">
        <f t="shared" si="25"/>
        <v>21880</v>
      </c>
      <c r="L671" s="10">
        <v>15978</v>
      </c>
      <c r="M671" s="11" t="s">
        <v>398</v>
      </c>
      <c r="N671" s="12">
        <v>431</v>
      </c>
      <c r="O671" s="13" t="s">
        <v>1099</v>
      </c>
      <c r="P671" s="14"/>
      <c r="AG671" s="25"/>
      <c r="AH671" s="25"/>
      <c r="AI671" s="25"/>
      <c r="AJ671" s="25"/>
      <c r="AK671" s="25"/>
    </row>
    <row r="672" spans="1:37" x14ac:dyDescent="0.25">
      <c r="A672" s="6"/>
      <c r="B672" s="7">
        <v>44277</v>
      </c>
      <c r="C672" s="8" t="s">
        <v>2194</v>
      </c>
      <c r="D672" s="8" t="s">
        <v>458</v>
      </c>
      <c r="E672" s="9" t="s">
        <v>699</v>
      </c>
      <c r="F672" s="9" t="s">
        <v>459</v>
      </c>
      <c r="G672" s="17">
        <v>0.55208333333333337</v>
      </c>
      <c r="H672" s="17">
        <v>0.57013888888888886</v>
      </c>
      <c r="I672" s="9">
        <v>12970</v>
      </c>
      <c r="J672" s="9">
        <v>8270</v>
      </c>
      <c r="K672" s="10">
        <f t="shared" si="25"/>
        <v>4700</v>
      </c>
      <c r="L672" s="10">
        <v>453</v>
      </c>
      <c r="M672" s="11" t="s">
        <v>413</v>
      </c>
      <c r="N672" s="12">
        <v>4</v>
      </c>
      <c r="O672" s="13" t="s">
        <v>80</v>
      </c>
      <c r="P672" s="14"/>
    </row>
    <row r="673" spans="1:21" x14ac:dyDescent="0.25">
      <c r="A673" s="6"/>
      <c r="B673" s="7">
        <v>44277</v>
      </c>
      <c r="C673" s="8" t="s">
        <v>2195</v>
      </c>
      <c r="D673" s="8" t="s">
        <v>853</v>
      </c>
      <c r="E673" s="9" t="s">
        <v>51</v>
      </c>
      <c r="F673" s="9" t="s">
        <v>52</v>
      </c>
      <c r="G673" s="17">
        <v>0.57222222222222219</v>
      </c>
      <c r="H673" s="17">
        <v>0.58124999999999993</v>
      </c>
      <c r="I673" s="93">
        <v>29790</v>
      </c>
      <c r="J673" s="9">
        <v>15820</v>
      </c>
      <c r="K673" s="10">
        <f t="shared" si="25"/>
        <v>13970</v>
      </c>
      <c r="L673" s="10" t="s">
        <v>2196</v>
      </c>
      <c r="M673" s="11" t="s">
        <v>2197</v>
      </c>
      <c r="N673" s="12">
        <v>14.35</v>
      </c>
      <c r="O673" s="13" t="s">
        <v>855</v>
      </c>
      <c r="P673" s="14"/>
    </row>
    <row r="674" spans="1:21" x14ac:dyDescent="0.25">
      <c r="A674" s="6"/>
      <c r="B674" s="7">
        <v>44277</v>
      </c>
      <c r="C674" s="8" t="s">
        <v>2123</v>
      </c>
      <c r="D674" s="8" t="s">
        <v>999</v>
      </c>
      <c r="E674" s="9" t="s">
        <v>1000</v>
      </c>
      <c r="F674" s="9" t="s">
        <v>36</v>
      </c>
      <c r="G674" s="17">
        <v>0.6</v>
      </c>
      <c r="H674" s="17">
        <v>0.61249999999999993</v>
      </c>
      <c r="I674" s="9">
        <v>4650</v>
      </c>
      <c r="J674" s="9">
        <v>1930</v>
      </c>
      <c r="K674" s="10">
        <f t="shared" si="25"/>
        <v>2720</v>
      </c>
      <c r="L674" s="10">
        <v>26683</v>
      </c>
      <c r="M674" s="11" t="s">
        <v>965</v>
      </c>
      <c r="N674" s="12">
        <v>2720</v>
      </c>
      <c r="O674" s="13" t="s">
        <v>32</v>
      </c>
      <c r="P674" s="14"/>
    </row>
    <row r="675" spans="1:21" x14ac:dyDescent="0.25">
      <c r="A675" s="6"/>
      <c r="B675" s="7">
        <v>44277</v>
      </c>
      <c r="C675" s="8" t="s">
        <v>188</v>
      </c>
      <c r="D675" s="8" t="s">
        <v>1355</v>
      </c>
      <c r="E675" s="9" t="s">
        <v>1048</v>
      </c>
      <c r="F675" s="9" t="s">
        <v>526</v>
      </c>
      <c r="G675" s="17">
        <v>0.60486111111111118</v>
      </c>
      <c r="H675" s="17">
        <v>0.68333333333333324</v>
      </c>
      <c r="I675" s="9">
        <v>17310</v>
      </c>
      <c r="J675" s="9">
        <v>52460</v>
      </c>
      <c r="K675" s="10">
        <f t="shared" si="25"/>
        <v>-35150</v>
      </c>
      <c r="L675" s="10">
        <v>5874</v>
      </c>
      <c r="M675" s="11" t="s">
        <v>53</v>
      </c>
      <c r="N675" s="12">
        <v>700</v>
      </c>
      <c r="O675" s="13" t="s">
        <v>1099</v>
      </c>
      <c r="P675" s="14"/>
    </row>
    <row r="676" spans="1:21" x14ac:dyDescent="0.25">
      <c r="A676" s="6"/>
      <c r="B676" s="7">
        <v>44277</v>
      </c>
      <c r="C676" s="8" t="s">
        <v>1558</v>
      </c>
      <c r="D676" s="8" t="s">
        <v>94</v>
      </c>
      <c r="E676" s="9" t="s">
        <v>1774</v>
      </c>
      <c r="F676" s="9" t="s">
        <v>1775</v>
      </c>
      <c r="G676" s="17">
        <v>0.625</v>
      </c>
      <c r="H676" s="17">
        <v>0.63055555555555554</v>
      </c>
      <c r="I676" s="9">
        <v>16880</v>
      </c>
      <c r="J676" s="9">
        <v>7530</v>
      </c>
      <c r="K676" s="10">
        <f t="shared" si="25"/>
        <v>9350</v>
      </c>
      <c r="L676" s="10">
        <v>23647</v>
      </c>
      <c r="M676" s="11" t="s">
        <v>1784</v>
      </c>
      <c r="N676" s="12">
        <v>9.5139999999999993</v>
      </c>
      <c r="O676" s="13" t="s">
        <v>855</v>
      </c>
      <c r="P676" s="14"/>
    </row>
    <row r="677" spans="1:21" x14ac:dyDescent="0.25">
      <c r="A677" s="6"/>
      <c r="B677" s="7">
        <v>44277</v>
      </c>
      <c r="C677" s="8" t="s">
        <v>188</v>
      </c>
      <c r="D677" s="8" t="s">
        <v>284</v>
      </c>
      <c r="E677" s="9" t="s">
        <v>177</v>
      </c>
      <c r="F677" s="9" t="s">
        <v>178</v>
      </c>
      <c r="G677" s="17">
        <v>0.62638888888888888</v>
      </c>
      <c r="H677" s="17">
        <v>0.69305555555555554</v>
      </c>
      <c r="I677" s="9">
        <v>14690</v>
      </c>
      <c r="J677" s="9">
        <v>49830</v>
      </c>
      <c r="K677" s="10">
        <f t="shared" ref="K677" si="26">+I677-J677</f>
        <v>-35140</v>
      </c>
      <c r="L677" s="10">
        <v>5875</v>
      </c>
      <c r="M677" s="11" t="s">
        <v>53</v>
      </c>
      <c r="N677" s="12">
        <v>700</v>
      </c>
      <c r="O677" s="13" t="s">
        <v>1099</v>
      </c>
      <c r="P677" s="14"/>
    </row>
    <row r="678" spans="1:21" x14ac:dyDescent="0.25">
      <c r="A678" s="6"/>
      <c r="B678" s="7">
        <v>44277</v>
      </c>
      <c r="C678" s="8" t="s">
        <v>208</v>
      </c>
      <c r="D678" s="8" t="s">
        <v>899</v>
      </c>
      <c r="E678" s="9" t="s">
        <v>490</v>
      </c>
      <c r="F678" s="9" t="s">
        <v>491</v>
      </c>
      <c r="G678" s="17">
        <v>0.6333333333333333</v>
      </c>
      <c r="H678" s="17">
        <v>0.65555555555555556</v>
      </c>
      <c r="I678" s="9">
        <v>43160</v>
      </c>
      <c r="J678" s="9">
        <v>18300</v>
      </c>
      <c r="K678" s="10">
        <f t="shared" si="25"/>
        <v>24860</v>
      </c>
      <c r="L678" s="10">
        <v>4878</v>
      </c>
      <c r="M678" s="11" t="s">
        <v>2198</v>
      </c>
      <c r="N678" s="12">
        <v>24860</v>
      </c>
      <c r="O678" s="13" t="s">
        <v>32</v>
      </c>
      <c r="P678" s="14"/>
    </row>
    <row r="679" spans="1:21" x14ac:dyDescent="0.25">
      <c r="A679" s="6"/>
      <c r="B679" s="7">
        <v>44277</v>
      </c>
      <c r="C679" s="8" t="s">
        <v>2042</v>
      </c>
      <c r="D679" s="8" t="s">
        <v>994</v>
      </c>
      <c r="E679" s="9" t="s">
        <v>995</v>
      </c>
      <c r="F679" s="9" t="s">
        <v>36</v>
      </c>
      <c r="G679" s="17">
        <v>0.64236111111111105</v>
      </c>
      <c r="H679" s="17">
        <v>0.65763888888888888</v>
      </c>
      <c r="I679" s="9">
        <v>8410</v>
      </c>
      <c r="J679" s="9">
        <v>3120</v>
      </c>
      <c r="K679" s="10">
        <f t="shared" si="25"/>
        <v>5290</v>
      </c>
      <c r="L679" s="10">
        <v>26684</v>
      </c>
      <c r="M679" s="11" t="s">
        <v>965</v>
      </c>
      <c r="N679" s="12">
        <v>5290</v>
      </c>
      <c r="O679" s="13" t="s">
        <v>32</v>
      </c>
      <c r="P679" s="14"/>
    </row>
    <row r="680" spans="1:21" x14ac:dyDescent="0.25">
      <c r="A680" s="6"/>
      <c r="B680" s="7">
        <v>44277</v>
      </c>
      <c r="C680" s="8" t="s">
        <v>1558</v>
      </c>
      <c r="D680" s="8" t="s">
        <v>1794</v>
      </c>
      <c r="E680" s="9" t="s">
        <v>628</v>
      </c>
      <c r="F680" s="9" t="s">
        <v>629</v>
      </c>
      <c r="G680" s="17">
        <v>0.66597222222222219</v>
      </c>
      <c r="H680" s="17">
        <v>0.67222222222222217</v>
      </c>
      <c r="I680" s="9">
        <v>15980</v>
      </c>
      <c r="J680" s="9">
        <v>9630</v>
      </c>
      <c r="K680" s="10">
        <f t="shared" si="25"/>
        <v>6350</v>
      </c>
      <c r="L680" s="10">
        <v>23647</v>
      </c>
      <c r="M680" s="11" t="s">
        <v>1784</v>
      </c>
      <c r="N680" s="12">
        <v>6.6</v>
      </c>
      <c r="O680" s="13" t="s">
        <v>855</v>
      </c>
      <c r="P680" s="14"/>
    </row>
    <row r="681" spans="1:21" x14ac:dyDescent="0.25">
      <c r="A681" s="6"/>
      <c r="B681" s="7">
        <v>44277</v>
      </c>
      <c r="C681" s="8" t="s">
        <v>164</v>
      </c>
      <c r="D681" s="8" t="s">
        <v>198</v>
      </c>
      <c r="E681" s="9" t="s">
        <v>160</v>
      </c>
      <c r="F681" s="9" t="s">
        <v>161</v>
      </c>
      <c r="G681" s="17">
        <v>0.68125000000000002</v>
      </c>
      <c r="H681" s="17">
        <v>0.69513888888888886</v>
      </c>
      <c r="I681" s="9">
        <v>31110</v>
      </c>
      <c r="J681" s="9">
        <v>17260</v>
      </c>
      <c r="K681" s="10">
        <f t="shared" si="25"/>
        <v>13850</v>
      </c>
      <c r="L681" s="10">
        <v>15979</v>
      </c>
      <c r="M681" s="11" t="s">
        <v>398</v>
      </c>
      <c r="N681" s="12">
        <v>274</v>
      </c>
      <c r="O681" s="13" t="s">
        <v>1099</v>
      </c>
      <c r="P681" s="14"/>
    </row>
    <row r="682" spans="1:21" x14ac:dyDescent="0.25">
      <c r="A682" s="6"/>
      <c r="B682" s="7">
        <v>44277</v>
      </c>
      <c r="C682" s="8" t="s">
        <v>1843</v>
      </c>
      <c r="D682" s="8" t="s">
        <v>1084</v>
      </c>
      <c r="E682" s="9" t="s">
        <v>1174</v>
      </c>
      <c r="F682" s="9" t="s">
        <v>2190</v>
      </c>
      <c r="G682" s="17">
        <v>0.6875</v>
      </c>
      <c r="H682" s="17">
        <v>0.69166666666666676</v>
      </c>
      <c r="I682" s="9">
        <v>5790</v>
      </c>
      <c r="J682" s="9">
        <v>5390</v>
      </c>
      <c r="K682" s="10">
        <f t="shared" si="25"/>
        <v>400</v>
      </c>
      <c r="L682" s="10">
        <v>20193</v>
      </c>
      <c r="M682" s="11" t="s">
        <v>1873</v>
      </c>
      <c r="N682" s="12">
        <v>400</v>
      </c>
      <c r="O682" s="13" t="s">
        <v>32</v>
      </c>
      <c r="P682" s="14" t="s">
        <v>883</v>
      </c>
    </row>
    <row r="683" spans="1:21" x14ac:dyDescent="0.25">
      <c r="A683" s="6"/>
      <c r="B683" s="7">
        <v>44277</v>
      </c>
      <c r="C683" s="8" t="s">
        <v>188</v>
      </c>
      <c r="D683" s="8" t="s">
        <v>853</v>
      </c>
      <c r="E683" s="9" t="s">
        <v>51</v>
      </c>
      <c r="F683" s="9" t="s">
        <v>52</v>
      </c>
      <c r="G683" s="17">
        <v>0.68888888888888899</v>
      </c>
      <c r="H683" s="17">
        <v>0.7284722222222223</v>
      </c>
      <c r="I683" s="9">
        <v>16160</v>
      </c>
      <c r="J683" s="9">
        <v>46270</v>
      </c>
      <c r="K683" s="10">
        <f t="shared" si="25"/>
        <v>-30110</v>
      </c>
      <c r="L683" s="10">
        <v>5876</v>
      </c>
      <c r="M683" s="11" t="s">
        <v>53</v>
      </c>
      <c r="N683" s="12">
        <v>600</v>
      </c>
      <c r="O683" s="13" t="s">
        <v>1099</v>
      </c>
      <c r="P683" s="14"/>
    </row>
    <row r="684" spans="1:21" x14ac:dyDescent="0.25">
      <c r="A684" s="7"/>
      <c r="B684" s="7">
        <v>44277</v>
      </c>
      <c r="C684" s="8" t="s">
        <v>1029</v>
      </c>
      <c r="D684" s="8" t="s">
        <v>94</v>
      </c>
      <c r="E684" s="9" t="s">
        <v>1774</v>
      </c>
      <c r="F684" s="9" t="s">
        <v>1775</v>
      </c>
      <c r="G684" s="17">
        <v>0.69791666666666663</v>
      </c>
      <c r="H684" s="17">
        <v>0.70624999999999993</v>
      </c>
      <c r="I684" s="9">
        <v>8390</v>
      </c>
      <c r="J684" s="9">
        <v>7520</v>
      </c>
      <c r="K684" s="10">
        <f t="shared" si="25"/>
        <v>870</v>
      </c>
      <c r="L684" s="10">
        <v>23648</v>
      </c>
      <c r="M684" s="11" t="s">
        <v>1515</v>
      </c>
      <c r="N684" s="12">
        <v>870</v>
      </c>
      <c r="O684" s="13" t="s">
        <v>32</v>
      </c>
      <c r="P684" s="14" t="s">
        <v>883</v>
      </c>
    </row>
    <row r="685" spans="1:21" x14ac:dyDescent="0.25">
      <c r="A685" s="7"/>
      <c r="B685" s="7">
        <v>44277</v>
      </c>
      <c r="C685" s="8" t="s">
        <v>2042</v>
      </c>
      <c r="D685" s="8" t="s">
        <v>1847</v>
      </c>
      <c r="E685" s="17" t="s">
        <v>2047</v>
      </c>
      <c r="F685" s="9" t="s">
        <v>36</v>
      </c>
      <c r="G685" s="17">
        <v>0.70138888888888884</v>
      </c>
      <c r="H685" s="17">
        <v>0.71875</v>
      </c>
      <c r="I685" s="9">
        <v>6640</v>
      </c>
      <c r="J685" s="9">
        <v>2510</v>
      </c>
      <c r="K685" s="10">
        <f t="shared" si="25"/>
        <v>4130</v>
      </c>
      <c r="L685" s="10">
        <v>26685</v>
      </c>
      <c r="M685" s="11" t="s">
        <v>965</v>
      </c>
      <c r="N685" s="12">
        <v>4130</v>
      </c>
      <c r="O685" s="13" t="s">
        <v>32</v>
      </c>
      <c r="P685" s="14"/>
    </row>
    <row r="686" spans="1:21" x14ac:dyDescent="0.25">
      <c r="A686" s="7"/>
      <c r="B686" s="7">
        <v>44277</v>
      </c>
      <c r="C686" s="8" t="s">
        <v>2123</v>
      </c>
      <c r="D686" s="8" t="s">
        <v>183</v>
      </c>
      <c r="E686" s="9" t="s">
        <v>2044</v>
      </c>
      <c r="F686" s="9" t="s">
        <v>36</v>
      </c>
      <c r="G686" s="17">
        <v>0.70208333333333339</v>
      </c>
      <c r="H686" s="17">
        <v>0.71666666666666667</v>
      </c>
      <c r="I686" s="9">
        <v>5560</v>
      </c>
      <c r="J686" s="9">
        <v>2220</v>
      </c>
      <c r="K686" s="10">
        <f t="shared" si="25"/>
        <v>3340</v>
      </c>
      <c r="L686" s="10">
        <v>26686</v>
      </c>
      <c r="M686" s="11" t="s">
        <v>965</v>
      </c>
      <c r="N686" s="12">
        <v>3340</v>
      </c>
      <c r="O686" s="13" t="s">
        <v>32</v>
      </c>
      <c r="P686" s="14"/>
    </row>
    <row r="687" spans="1:21" x14ac:dyDescent="0.25">
      <c r="A687" s="7"/>
      <c r="B687" s="7">
        <v>44277</v>
      </c>
      <c r="C687" s="8" t="s">
        <v>2123</v>
      </c>
      <c r="D687" s="8" t="s">
        <v>2124</v>
      </c>
      <c r="E687" s="9" t="s">
        <v>2128</v>
      </c>
      <c r="F687" s="9" t="s">
        <v>36</v>
      </c>
      <c r="G687" s="17">
        <v>0.7416666666666667</v>
      </c>
      <c r="H687" s="17">
        <v>0.78263888888888899</v>
      </c>
      <c r="I687" s="9">
        <v>15710</v>
      </c>
      <c r="J687" s="9">
        <v>5530</v>
      </c>
      <c r="K687" s="10">
        <f t="shared" si="25"/>
        <v>10180</v>
      </c>
      <c r="L687" s="10">
        <v>26687</v>
      </c>
      <c r="M687" s="11" t="s">
        <v>965</v>
      </c>
      <c r="N687" s="12">
        <v>10180</v>
      </c>
      <c r="O687" s="13" t="s">
        <v>32</v>
      </c>
      <c r="P687" s="14">
        <f>+N687*2.2/90</f>
        <v>248.84444444444443</v>
      </c>
      <c r="U687" s="1">
        <f>0.594+15.52</f>
        <v>16.114000000000001</v>
      </c>
    </row>
    <row r="688" spans="1:21" x14ac:dyDescent="0.25">
      <c r="A688" s="7"/>
      <c r="B688" s="7">
        <v>44277</v>
      </c>
      <c r="C688" s="8" t="s">
        <v>208</v>
      </c>
      <c r="D688" s="8" t="s">
        <v>899</v>
      </c>
      <c r="E688" s="9" t="s">
        <v>490</v>
      </c>
      <c r="F688" s="9" t="s">
        <v>491</v>
      </c>
      <c r="G688" s="17">
        <v>0.76388888888888884</v>
      </c>
      <c r="H688" s="17">
        <v>0.77430555555555547</v>
      </c>
      <c r="I688" s="9">
        <v>36010</v>
      </c>
      <c r="J688" s="9">
        <v>18300</v>
      </c>
      <c r="K688" s="10">
        <f t="shared" si="25"/>
        <v>17710</v>
      </c>
      <c r="L688" s="10">
        <v>41243</v>
      </c>
      <c r="M688" s="11" t="s">
        <v>2199</v>
      </c>
      <c r="N688" s="12">
        <v>17720</v>
      </c>
      <c r="O688" s="13" t="s">
        <v>32</v>
      </c>
      <c r="P688" s="14"/>
    </row>
    <row r="689" spans="1:16" x14ac:dyDescent="0.25">
      <c r="A689" s="7"/>
      <c r="B689" s="7">
        <v>44277</v>
      </c>
      <c r="C689" s="8" t="s">
        <v>2123</v>
      </c>
      <c r="D689" s="8" t="s">
        <v>2200</v>
      </c>
      <c r="E689" s="9" t="s">
        <v>2201</v>
      </c>
      <c r="F689" s="9" t="s">
        <v>36</v>
      </c>
      <c r="G689" s="17">
        <v>0.7729166666666667</v>
      </c>
      <c r="H689" s="17">
        <v>0.8340277777777777</v>
      </c>
      <c r="I689" s="9">
        <v>7180</v>
      </c>
      <c r="J689" s="9">
        <v>2710</v>
      </c>
      <c r="K689" s="10">
        <f t="shared" si="25"/>
        <v>4470</v>
      </c>
      <c r="L689" s="10">
        <v>26690</v>
      </c>
      <c r="M689" s="11" t="s">
        <v>965</v>
      </c>
      <c r="N689" s="12">
        <v>4470</v>
      </c>
      <c r="O689" s="13" t="s">
        <v>32</v>
      </c>
      <c r="P689" s="14"/>
    </row>
    <row r="690" spans="1:16" x14ac:dyDescent="0.25">
      <c r="A690" s="7"/>
      <c r="B690" s="7">
        <v>44277</v>
      </c>
      <c r="C690" s="8" t="s">
        <v>2019</v>
      </c>
      <c r="D690" s="8" t="s">
        <v>94</v>
      </c>
      <c r="E690" s="9" t="s">
        <v>1774</v>
      </c>
      <c r="F690" s="9" t="s">
        <v>1775</v>
      </c>
      <c r="G690" s="17">
        <v>0.77847222222222223</v>
      </c>
      <c r="H690" s="17">
        <v>0.78888888888888886</v>
      </c>
      <c r="I690" s="9">
        <v>8080</v>
      </c>
      <c r="J690" s="9">
        <v>7510</v>
      </c>
      <c r="K690" s="10">
        <f t="shared" si="25"/>
        <v>570</v>
      </c>
      <c r="L690" s="10">
        <v>23649</v>
      </c>
      <c r="M690" s="11" t="s">
        <v>1490</v>
      </c>
      <c r="N690" s="12">
        <v>570</v>
      </c>
      <c r="O690" s="13" t="s">
        <v>32</v>
      </c>
      <c r="P690" s="14" t="s">
        <v>883</v>
      </c>
    </row>
    <row r="691" spans="1:16" x14ac:dyDescent="0.25">
      <c r="A691" s="7"/>
      <c r="B691" s="7">
        <v>44277</v>
      </c>
      <c r="C691" s="8" t="s">
        <v>2123</v>
      </c>
      <c r="D691" s="8" t="s">
        <v>1677</v>
      </c>
      <c r="E691" s="9" t="s">
        <v>1095</v>
      </c>
      <c r="F691" s="9" t="s">
        <v>36</v>
      </c>
      <c r="G691" s="17">
        <v>0.78194444444444444</v>
      </c>
      <c r="H691" s="17">
        <v>0.79305555555555562</v>
      </c>
      <c r="I691" s="9">
        <v>2410</v>
      </c>
      <c r="J691" s="9">
        <v>1250</v>
      </c>
      <c r="K691" s="10">
        <f t="shared" si="25"/>
        <v>1160</v>
      </c>
      <c r="L691" s="10">
        <v>26688</v>
      </c>
      <c r="M691" s="11" t="s">
        <v>965</v>
      </c>
      <c r="N691" s="12">
        <v>1160</v>
      </c>
      <c r="O691" s="13" t="s">
        <v>32</v>
      </c>
      <c r="P691" s="14"/>
    </row>
    <row r="692" spans="1:16" x14ac:dyDescent="0.25">
      <c r="A692" s="7"/>
      <c r="B692" s="7">
        <v>44277</v>
      </c>
      <c r="C692" s="8" t="s">
        <v>2123</v>
      </c>
      <c r="D692" s="8" t="s">
        <v>994</v>
      </c>
      <c r="E692" s="9" t="s">
        <v>995</v>
      </c>
      <c r="F692" s="9" t="s">
        <v>36</v>
      </c>
      <c r="G692" s="17">
        <v>0.78541666666666676</v>
      </c>
      <c r="H692" s="17">
        <v>0.83888888888888891</v>
      </c>
      <c r="I692" s="9">
        <v>8000</v>
      </c>
      <c r="J692" s="9">
        <v>3150</v>
      </c>
      <c r="K692" s="10">
        <f t="shared" si="25"/>
        <v>4850</v>
      </c>
      <c r="L692" s="10">
        <v>26692</v>
      </c>
      <c r="M692" s="11" t="s">
        <v>965</v>
      </c>
      <c r="N692" s="12">
        <v>4850</v>
      </c>
      <c r="O692" s="13" t="s">
        <v>32</v>
      </c>
      <c r="P692" s="14"/>
    </row>
    <row r="693" spans="1:16" x14ac:dyDescent="0.25">
      <c r="A693" s="7"/>
      <c r="B693" s="7">
        <v>44277</v>
      </c>
      <c r="C693" s="8" t="s">
        <v>2123</v>
      </c>
      <c r="D693" s="8" t="s">
        <v>999</v>
      </c>
      <c r="E693" s="9" t="s">
        <v>1000</v>
      </c>
      <c r="F693" s="9" t="s">
        <v>36</v>
      </c>
      <c r="G693" s="17">
        <v>0.78749999999999998</v>
      </c>
      <c r="H693" s="17">
        <v>0.80625000000000002</v>
      </c>
      <c r="I693" s="9">
        <v>4660</v>
      </c>
      <c r="J693" s="9">
        <v>1930</v>
      </c>
      <c r="K693" s="10">
        <f t="shared" si="25"/>
        <v>2730</v>
      </c>
      <c r="L693" s="10">
        <v>26689</v>
      </c>
      <c r="M693" s="11" t="s">
        <v>965</v>
      </c>
      <c r="N693" s="12">
        <v>2730</v>
      </c>
      <c r="O693" s="13" t="s">
        <v>32</v>
      </c>
      <c r="P693" s="14"/>
    </row>
    <row r="694" spans="1:16" x14ac:dyDescent="0.25">
      <c r="A694" s="7"/>
      <c r="B694" s="7">
        <v>44277</v>
      </c>
      <c r="C694" s="8" t="s">
        <v>2123</v>
      </c>
      <c r="D694" s="8" t="s">
        <v>2202</v>
      </c>
      <c r="E694" s="9" t="s">
        <v>2203</v>
      </c>
      <c r="F694" s="9" t="s">
        <v>36</v>
      </c>
      <c r="G694" s="17">
        <v>0.7909722222222223</v>
      </c>
      <c r="H694" s="17">
        <v>0.86388888888888893</v>
      </c>
      <c r="I694" s="9">
        <v>5450</v>
      </c>
      <c r="J694" s="9">
        <v>2420</v>
      </c>
      <c r="K694" s="10">
        <f t="shared" si="25"/>
        <v>3030</v>
      </c>
      <c r="L694" s="10">
        <v>26693</v>
      </c>
      <c r="M694" s="11" t="s">
        <v>965</v>
      </c>
      <c r="N694" s="12">
        <v>3030</v>
      </c>
      <c r="O694" s="13" t="s">
        <v>32</v>
      </c>
      <c r="P694" s="14"/>
    </row>
    <row r="695" spans="1:16" x14ac:dyDescent="0.25">
      <c r="A695" s="7"/>
      <c r="B695" s="7">
        <v>44277</v>
      </c>
      <c r="C695" s="8" t="s">
        <v>208</v>
      </c>
      <c r="D695" s="8" t="s">
        <v>198</v>
      </c>
      <c r="E695" s="9" t="s">
        <v>160</v>
      </c>
      <c r="F695" s="9" t="s">
        <v>161</v>
      </c>
      <c r="G695" s="17">
        <v>0.7993055555555556</v>
      </c>
      <c r="H695" s="17">
        <v>0.37916666666666665</v>
      </c>
      <c r="I695" s="9">
        <v>35890</v>
      </c>
      <c r="J695" s="9">
        <v>18630</v>
      </c>
      <c r="K695" s="10">
        <f t="shared" si="25"/>
        <v>17260</v>
      </c>
      <c r="L695" s="10">
        <v>41251</v>
      </c>
      <c r="M695" s="11" t="s">
        <v>1626</v>
      </c>
      <c r="N695" s="12">
        <v>17240</v>
      </c>
      <c r="O695" s="13" t="s">
        <v>32</v>
      </c>
      <c r="P695" s="14"/>
    </row>
    <row r="696" spans="1:16" x14ac:dyDescent="0.25">
      <c r="A696" s="7"/>
      <c r="B696" s="7">
        <v>44277</v>
      </c>
      <c r="C696" s="8" t="s">
        <v>2123</v>
      </c>
      <c r="D696" s="8" t="s">
        <v>1853</v>
      </c>
      <c r="E696" s="9" t="s">
        <v>1206</v>
      </c>
      <c r="F696" s="9" t="s">
        <v>36</v>
      </c>
      <c r="G696" s="17">
        <v>0.80208333333333337</v>
      </c>
      <c r="H696" s="17">
        <v>0.8354166666666667</v>
      </c>
      <c r="I696" s="9">
        <v>11780</v>
      </c>
      <c r="J696" s="9">
        <v>6700</v>
      </c>
      <c r="K696" s="10">
        <f t="shared" si="25"/>
        <v>5080</v>
      </c>
      <c r="L696" s="10">
        <v>26691</v>
      </c>
      <c r="M696" s="11" t="s">
        <v>1490</v>
      </c>
      <c r="N696" s="12">
        <v>5080</v>
      </c>
      <c r="O696" s="13" t="s">
        <v>32</v>
      </c>
      <c r="P696" s="14"/>
    </row>
    <row r="697" spans="1:16" x14ac:dyDescent="0.25">
      <c r="A697" s="7"/>
      <c r="B697" s="7">
        <v>44277</v>
      </c>
      <c r="C697" s="8" t="s">
        <v>2123</v>
      </c>
      <c r="D697" s="8" t="s">
        <v>2026</v>
      </c>
      <c r="E697" s="9" t="s">
        <v>2125</v>
      </c>
      <c r="F697" s="9" t="s">
        <v>36</v>
      </c>
      <c r="G697" s="17">
        <v>0.84444444444444444</v>
      </c>
      <c r="H697" s="17">
        <v>0.86875000000000002</v>
      </c>
      <c r="I697" s="9">
        <v>6110</v>
      </c>
      <c r="J697" s="9">
        <v>2670</v>
      </c>
      <c r="K697" s="10">
        <f t="shared" si="25"/>
        <v>3440</v>
      </c>
      <c r="L697" s="10">
        <v>26694</v>
      </c>
      <c r="M697" s="11" t="s">
        <v>965</v>
      </c>
      <c r="N697" s="12">
        <v>3440</v>
      </c>
      <c r="O697" s="13" t="s">
        <v>32</v>
      </c>
      <c r="P697" s="14"/>
    </row>
    <row r="698" spans="1:16" x14ac:dyDescent="0.25">
      <c r="A698" s="7"/>
      <c r="B698" s="7">
        <v>44277</v>
      </c>
      <c r="C698" s="8" t="s">
        <v>2123</v>
      </c>
      <c r="D698" s="8" t="s">
        <v>1847</v>
      </c>
      <c r="E698" s="9" t="s">
        <v>2047</v>
      </c>
      <c r="F698" s="9" t="s">
        <v>36</v>
      </c>
      <c r="G698" s="17">
        <v>0.84722222222222221</v>
      </c>
      <c r="H698" s="17">
        <v>0.87083333333333324</v>
      </c>
      <c r="I698" s="9">
        <v>4210</v>
      </c>
      <c r="J698" s="9">
        <v>2550</v>
      </c>
      <c r="K698" s="10">
        <f t="shared" si="25"/>
        <v>1660</v>
      </c>
      <c r="L698" s="10">
        <v>26695</v>
      </c>
      <c r="M698" s="11" t="s">
        <v>965</v>
      </c>
      <c r="N698" s="12">
        <v>1660</v>
      </c>
      <c r="O698" s="13" t="s">
        <v>32</v>
      </c>
      <c r="P698" s="14">
        <f>+N698*2.2/90</f>
        <v>40.577777777777783</v>
      </c>
    </row>
    <row r="699" spans="1:16" x14ac:dyDescent="0.25">
      <c r="A699" s="7"/>
      <c r="B699" s="7">
        <v>44277</v>
      </c>
      <c r="C699" s="8" t="s">
        <v>2123</v>
      </c>
      <c r="D699" s="8" t="s">
        <v>2204</v>
      </c>
      <c r="E699" s="9" t="s">
        <v>2205</v>
      </c>
      <c r="F699" s="9" t="s">
        <v>36</v>
      </c>
      <c r="G699" s="17">
        <v>0.85069444444444453</v>
      </c>
      <c r="H699" s="17">
        <v>0.89097222222222217</v>
      </c>
      <c r="I699" s="9">
        <v>5460</v>
      </c>
      <c r="J699" s="9">
        <v>2630</v>
      </c>
      <c r="K699" s="10">
        <f t="shared" si="25"/>
        <v>2830</v>
      </c>
      <c r="L699" s="10">
        <v>26697</v>
      </c>
      <c r="M699" s="11" t="s">
        <v>965</v>
      </c>
      <c r="N699" s="12">
        <v>2830</v>
      </c>
      <c r="O699" s="13" t="s">
        <v>32</v>
      </c>
      <c r="P699" s="14">
        <f>+N699*2.2/90</f>
        <v>69.177777777777791</v>
      </c>
    </row>
    <row r="700" spans="1:16" x14ac:dyDescent="0.25">
      <c r="A700" s="7"/>
      <c r="B700" s="7">
        <v>44277</v>
      </c>
      <c r="C700" s="8" t="s">
        <v>2123</v>
      </c>
      <c r="D700" s="8" t="s">
        <v>999</v>
      </c>
      <c r="E700" s="9" t="s">
        <v>1000</v>
      </c>
      <c r="F700" s="9" t="s">
        <v>36</v>
      </c>
      <c r="G700" s="17">
        <v>0.87430555555555556</v>
      </c>
      <c r="H700" s="17">
        <v>0.8833333333333333</v>
      </c>
      <c r="I700" s="9">
        <v>2430</v>
      </c>
      <c r="J700" s="9">
        <v>1920</v>
      </c>
      <c r="K700" s="10">
        <f t="shared" si="25"/>
        <v>510</v>
      </c>
      <c r="L700" s="10">
        <v>26696</v>
      </c>
      <c r="M700" s="11" t="s">
        <v>965</v>
      </c>
      <c r="N700" s="12">
        <v>510</v>
      </c>
      <c r="O700" s="13" t="s">
        <v>32</v>
      </c>
      <c r="P700" s="14"/>
    </row>
    <row r="701" spans="1:16" x14ac:dyDescent="0.25">
      <c r="A701" s="6"/>
      <c r="B701" s="7">
        <v>44277</v>
      </c>
      <c r="C701" s="8" t="s">
        <v>2123</v>
      </c>
      <c r="D701" s="8" t="s">
        <v>183</v>
      </c>
      <c r="E701" s="9" t="s">
        <v>2044</v>
      </c>
      <c r="F701" s="9" t="s">
        <v>36</v>
      </c>
      <c r="G701" s="17">
        <v>0.88124999999999998</v>
      </c>
      <c r="H701" s="17">
        <v>0.91736111111111107</v>
      </c>
      <c r="I701" s="9">
        <v>5580</v>
      </c>
      <c r="J701" s="9">
        <v>2220</v>
      </c>
      <c r="K701" s="10">
        <f t="shared" si="25"/>
        <v>3360</v>
      </c>
      <c r="L701" s="10">
        <v>26698</v>
      </c>
      <c r="M701" s="11" t="s">
        <v>965</v>
      </c>
      <c r="N701" s="12">
        <v>3360</v>
      </c>
      <c r="O701" s="13" t="s">
        <v>32</v>
      </c>
      <c r="P701" s="14"/>
    </row>
    <row r="702" spans="1:16" x14ac:dyDescent="0.25">
      <c r="A702" s="6"/>
      <c r="B702" s="7">
        <v>44277</v>
      </c>
      <c r="C702" s="8" t="s">
        <v>2101</v>
      </c>
      <c r="D702" s="8" t="s">
        <v>299</v>
      </c>
      <c r="E702" s="9" t="s">
        <v>813</v>
      </c>
      <c r="F702" s="9" t="s">
        <v>814</v>
      </c>
      <c r="G702" s="17">
        <v>0.90763888888888899</v>
      </c>
      <c r="H702" s="17">
        <v>0.9194444444444444</v>
      </c>
      <c r="I702" s="9">
        <v>36540</v>
      </c>
      <c r="J702" s="9"/>
      <c r="K702" s="10">
        <f t="shared" si="25"/>
        <v>36540</v>
      </c>
      <c r="L702" s="10">
        <v>26698</v>
      </c>
      <c r="M702" s="11" t="s">
        <v>1359</v>
      </c>
      <c r="N702" s="12"/>
      <c r="O702" s="13" t="s">
        <v>32</v>
      </c>
      <c r="P702" s="14"/>
    </row>
    <row r="703" spans="1:16" x14ac:dyDescent="0.25">
      <c r="A703" s="6"/>
      <c r="B703" s="7">
        <v>44277</v>
      </c>
      <c r="C703" s="8" t="s">
        <v>37</v>
      </c>
      <c r="D703" s="8" t="s">
        <v>1055</v>
      </c>
      <c r="E703" s="17" t="s">
        <v>39</v>
      </c>
      <c r="F703" s="9" t="s">
        <v>36</v>
      </c>
      <c r="G703" s="17">
        <v>0.92569444444444438</v>
      </c>
      <c r="H703" s="17">
        <v>2.7083333333333334E-2</v>
      </c>
      <c r="I703" s="9">
        <v>16405</v>
      </c>
      <c r="J703" s="9">
        <v>6270</v>
      </c>
      <c r="K703" s="10">
        <f t="shared" si="25"/>
        <v>10135</v>
      </c>
      <c r="L703" s="10">
        <v>26700</v>
      </c>
      <c r="M703" s="11" t="s">
        <v>2206</v>
      </c>
      <c r="N703" s="12">
        <v>10135</v>
      </c>
      <c r="O703" s="13" t="s">
        <v>32</v>
      </c>
      <c r="P703" s="14"/>
    </row>
    <row r="704" spans="1:16" x14ac:dyDescent="0.25">
      <c r="A704" s="6"/>
      <c r="B704" s="7">
        <v>44277</v>
      </c>
      <c r="C704" s="8" t="s">
        <v>366</v>
      </c>
      <c r="D704" s="8" t="s">
        <v>1076</v>
      </c>
      <c r="E704" s="9" t="s">
        <v>220</v>
      </c>
      <c r="F704" s="9" t="s">
        <v>924</v>
      </c>
      <c r="G704" s="17">
        <v>0.99305555555555547</v>
      </c>
      <c r="H704" s="17">
        <v>0.41666666666666669</v>
      </c>
      <c r="I704" s="9">
        <v>21870</v>
      </c>
      <c r="J704" s="9">
        <v>9330</v>
      </c>
      <c r="K704" s="10">
        <f t="shared" si="25"/>
        <v>12540</v>
      </c>
      <c r="L704" s="10" t="s">
        <v>2207</v>
      </c>
      <c r="M704" s="11" t="s">
        <v>2208</v>
      </c>
      <c r="N704" s="12">
        <f>2579+10021</f>
        <v>12600</v>
      </c>
      <c r="O704" s="13" t="s">
        <v>32</v>
      </c>
      <c r="P704" s="14"/>
    </row>
    <row r="705" spans="1:17" x14ac:dyDescent="0.25">
      <c r="A705" s="6"/>
      <c r="B705" s="7">
        <v>44278</v>
      </c>
      <c r="C705" s="8" t="s">
        <v>2209</v>
      </c>
      <c r="D705" s="8" t="s">
        <v>458</v>
      </c>
      <c r="E705" s="9" t="s">
        <v>699</v>
      </c>
      <c r="F705" s="9" t="s">
        <v>459</v>
      </c>
      <c r="G705" s="17">
        <v>0.11041666666666666</v>
      </c>
      <c r="H705" s="17">
        <v>0.34375</v>
      </c>
      <c r="I705" s="9">
        <v>18520</v>
      </c>
      <c r="J705" s="9">
        <v>8230</v>
      </c>
      <c r="K705" s="10">
        <f t="shared" si="25"/>
        <v>10290</v>
      </c>
      <c r="L705" s="10" t="s">
        <v>2210</v>
      </c>
      <c r="M705" s="11" t="s">
        <v>48</v>
      </c>
      <c r="N705" s="12">
        <f>5820+15599</f>
        <v>21419</v>
      </c>
      <c r="O705" s="13" t="s">
        <v>49</v>
      </c>
      <c r="P705" s="14"/>
    </row>
    <row r="706" spans="1:17" x14ac:dyDescent="0.25">
      <c r="A706" s="6"/>
      <c r="B706" s="7">
        <v>44278</v>
      </c>
      <c r="C706" s="8" t="s">
        <v>142</v>
      </c>
      <c r="D706" s="8" t="s">
        <v>1656</v>
      </c>
      <c r="E706" s="9" t="s">
        <v>87</v>
      </c>
      <c r="F706" s="9" t="s">
        <v>88</v>
      </c>
      <c r="G706" s="17">
        <v>0.11527777777777777</v>
      </c>
      <c r="H706" s="17">
        <v>0.12152777777777778</v>
      </c>
      <c r="I706" s="9">
        <v>32260</v>
      </c>
      <c r="J706" s="9">
        <v>17250</v>
      </c>
      <c r="K706" s="10">
        <f t="shared" si="25"/>
        <v>15010</v>
      </c>
      <c r="L706" s="10">
        <v>790</v>
      </c>
      <c r="M706" s="11" t="s">
        <v>2211</v>
      </c>
      <c r="N706" s="12">
        <v>15330</v>
      </c>
      <c r="O706" s="13" t="s">
        <v>32</v>
      </c>
      <c r="P706" s="14"/>
    </row>
    <row r="707" spans="1:17" x14ac:dyDescent="0.25">
      <c r="A707" s="6"/>
      <c r="B707" s="15">
        <v>44278</v>
      </c>
      <c r="C707" s="16" t="s">
        <v>2212</v>
      </c>
      <c r="D707" s="8" t="s">
        <v>2213</v>
      </c>
      <c r="E707" s="9" t="s">
        <v>2214</v>
      </c>
      <c r="F707" s="9" t="s">
        <v>36</v>
      </c>
      <c r="G707" s="17">
        <v>0.33055555555555555</v>
      </c>
      <c r="H707" s="17">
        <v>0.33263888888888887</v>
      </c>
      <c r="I707" s="9">
        <v>14410</v>
      </c>
      <c r="J707" s="9">
        <v>8280</v>
      </c>
      <c r="K707" s="10">
        <f t="shared" si="25"/>
        <v>6130</v>
      </c>
      <c r="L707" s="10">
        <v>82921</v>
      </c>
      <c r="M707" s="11" t="s">
        <v>2215</v>
      </c>
      <c r="N707" s="12">
        <v>6130</v>
      </c>
      <c r="O707" s="13" t="s">
        <v>32</v>
      </c>
      <c r="P707" s="14"/>
    </row>
    <row r="708" spans="1:17" x14ac:dyDescent="0.25">
      <c r="A708" s="6"/>
      <c r="B708" s="7">
        <v>44278</v>
      </c>
      <c r="C708" s="8" t="s">
        <v>208</v>
      </c>
      <c r="D708" s="8" t="s">
        <v>899</v>
      </c>
      <c r="E708" s="9" t="s">
        <v>490</v>
      </c>
      <c r="F708" s="9" t="s">
        <v>491</v>
      </c>
      <c r="G708" s="17">
        <v>0.33819444444444446</v>
      </c>
      <c r="H708" s="17">
        <v>0.35972222222222222</v>
      </c>
      <c r="I708" s="9">
        <v>39920</v>
      </c>
      <c r="J708" s="9">
        <v>18300</v>
      </c>
      <c r="K708" s="10">
        <f t="shared" ref="K708" si="27">+I708-J708</f>
        <v>21620</v>
      </c>
      <c r="L708" s="10">
        <v>4880</v>
      </c>
      <c r="M708" s="11" t="s">
        <v>2199</v>
      </c>
      <c r="N708" s="12">
        <v>21560</v>
      </c>
      <c r="O708" s="13" t="s">
        <v>32</v>
      </c>
      <c r="P708" s="14"/>
    </row>
    <row r="709" spans="1:17" x14ac:dyDescent="0.25">
      <c r="A709" s="6"/>
      <c r="B709" s="7">
        <v>44278</v>
      </c>
      <c r="C709" s="8" t="s">
        <v>2216</v>
      </c>
      <c r="D709" s="8" t="s">
        <v>2217</v>
      </c>
      <c r="E709" s="9" t="s">
        <v>2218</v>
      </c>
      <c r="F709" s="9" t="s">
        <v>36</v>
      </c>
      <c r="G709" s="17">
        <v>0.35000000000000003</v>
      </c>
      <c r="H709" s="17">
        <v>0.48541666666666666</v>
      </c>
      <c r="I709" s="9">
        <v>12730</v>
      </c>
      <c r="J709" s="9">
        <v>39230</v>
      </c>
      <c r="K709" s="10">
        <f t="shared" si="25"/>
        <v>-26500</v>
      </c>
      <c r="L709" s="10">
        <v>5878</v>
      </c>
      <c r="M709" s="11" t="s">
        <v>53</v>
      </c>
      <c r="N709" s="12">
        <v>530</v>
      </c>
      <c r="O709" s="13" t="s">
        <v>1099</v>
      </c>
      <c r="P709" s="14"/>
    </row>
    <row r="710" spans="1:17" x14ac:dyDescent="0.25">
      <c r="A710" s="6"/>
      <c r="B710" s="7">
        <v>44278</v>
      </c>
      <c r="C710" s="8" t="s">
        <v>2216</v>
      </c>
      <c r="D710" s="8" t="s">
        <v>2219</v>
      </c>
      <c r="E710" s="9" t="s">
        <v>2220</v>
      </c>
      <c r="F710" s="9" t="s">
        <v>36</v>
      </c>
      <c r="G710" s="17">
        <v>0.3527777777777778</v>
      </c>
      <c r="H710" s="17">
        <v>0.48194444444444445</v>
      </c>
      <c r="I710" s="9">
        <v>12910</v>
      </c>
      <c r="J710" s="9">
        <v>39410</v>
      </c>
      <c r="K710" s="10">
        <f t="shared" si="25"/>
        <v>-26500</v>
      </c>
      <c r="L710" s="10">
        <v>5877</v>
      </c>
      <c r="M710" s="11" t="s">
        <v>53</v>
      </c>
      <c r="N710" s="12">
        <v>530</v>
      </c>
      <c r="O710" s="13" t="s">
        <v>1099</v>
      </c>
      <c r="P710" s="14"/>
    </row>
    <row r="711" spans="1:17" x14ac:dyDescent="0.25">
      <c r="A711" s="6"/>
      <c r="B711" s="7">
        <v>44278</v>
      </c>
      <c r="C711" s="8" t="s">
        <v>2216</v>
      </c>
      <c r="D711" s="8" t="s">
        <v>2221</v>
      </c>
      <c r="E711" s="9" t="s">
        <v>2222</v>
      </c>
      <c r="F711" s="9" t="s">
        <v>36</v>
      </c>
      <c r="G711" s="17">
        <v>0.35416666666666669</v>
      </c>
      <c r="H711" s="17">
        <v>0.54513888888888895</v>
      </c>
      <c r="I711" s="9">
        <v>17490</v>
      </c>
      <c r="J711" s="9">
        <v>43990</v>
      </c>
      <c r="K711" s="10">
        <f t="shared" si="25"/>
        <v>-26500</v>
      </c>
      <c r="L711" s="10">
        <v>5879</v>
      </c>
      <c r="M711" s="11" t="s">
        <v>53</v>
      </c>
      <c r="N711" s="12">
        <v>530</v>
      </c>
      <c r="O711" s="13" t="s">
        <v>1099</v>
      </c>
      <c r="P711" s="14"/>
    </row>
    <row r="712" spans="1:17" x14ac:dyDescent="0.25">
      <c r="A712" s="6"/>
      <c r="B712" s="7">
        <v>44278</v>
      </c>
      <c r="C712" s="8" t="s">
        <v>2216</v>
      </c>
      <c r="D712" s="8" t="s">
        <v>2223</v>
      </c>
      <c r="E712" s="9" t="s">
        <v>2224</v>
      </c>
      <c r="F712" s="9" t="s">
        <v>36</v>
      </c>
      <c r="G712" s="17">
        <v>0.35625000000000001</v>
      </c>
      <c r="H712" s="17">
        <v>0.5493055555555556</v>
      </c>
      <c r="I712" s="9">
        <v>17660</v>
      </c>
      <c r="J712" s="9">
        <v>44160</v>
      </c>
      <c r="K712" s="10">
        <f t="shared" si="25"/>
        <v>-26500</v>
      </c>
      <c r="L712" s="10">
        <v>5880</v>
      </c>
      <c r="M712" s="11" t="s">
        <v>53</v>
      </c>
      <c r="N712" s="12">
        <v>530</v>
      </c>
      <c r="O712" s="13" t="s">
        <v>1099</v>
      </c>
      <c r="P712" s="14"/>
    </row>
    <row r="713" spans="1:17" x14ac:dyDescent="0.25">
      <c r="A713" s="6"/>
      <c r="B713" s="7">
        <v>44278</v>
      </c>
      <c r="C713" s="8" t="s">
        <v>2086</v>
      </c>
      <c r="D713" s="8" t="s">
        <v>94</v>
      </c>
      <c r="E713" s="9" t="s">
        <v>1774</v>
      </c>
      <c r="F713" s="9" t="s">
        <v>1775</v>
      </c>
      <c r="G713" s="17">
        <v>0.43611111111111112</v>
      </c>
      <c r="H713" s="17">
        <v>0.44791666666666669</v>
      </c>
      <c r="I713" s="9">
        <v>9090</v>
      </c>
      <c r="J713" s="9">
        <v>7460</v>
      </c>
      <c r="K713" s="10">
        <f t="shared" si="25"/>
        <v>1630</v>
      </c>
      <c r="L713" s="10">
        <v>23650</v>
      </c>
      <c r="M713" s="11" t="s">
        <v>2225</v>
      </c>
      <c r="N713" s="12">
        <v>1.75</v>
      </c>
      <c r="O713" s="13" t="s">
        <v>855</v>
      </c>
      <c r="P713" s="14"/>
    </row>
    <row r="714" spans="1:17" x14ac:dyDescent="0.25">
      <c r="A714" s="6"/>
      <c r="B714" s="7">
        <v>44278</v>
      </c>
      <c r="C714" s="8" t="s">
        <v>2216</v>
      </c>
      <c r="D714" s="8" t="s">
        <v>2226</v>
      </c>
      <c r="E714" s="9" t="s">
        <v>2227</v>
      </c>
      <c r="F714" s="9" t="s">
        <v>36</v>
      </c>
      <c r="G714" s="17">
        <v>0.4375</v>
      </c>
      <c r="H714" s="17">
        <v>0.7006944444444444</v>
      </c>
      <c r="I714" s="9">
        <v>13520</v>
      </c>
      <c r="J714" s="9">
        <v>40020</v>
      </c>
      <c r="K714" s="10">
        <f t="shared" si="25"/>
        <v>-26500</v>
      </c>
      <c r="L714" s="10">
        <v>5882</v>
      </c>
      <c r="M714" s="11" t="s">
        <v>53</v>
      </c>
      <c r="N714" s="12">
        <v>530</v>
      </c>
      <c r="O714" s="13" t="s">
        <v>1099</v>
      </c>
      <c r="P714" s="14"/>
    </row>
    <row r="715" spans="1:17" x14ac:dyDescent="0.25">
      <c r="A715" s="6"/>
      <c r="B715" s="7">
        <v>44278</v>
      </c>
      <c r="C715" s="8" t="s">
        <v>164</v>
      </c>
      <c r="D715" s="8" t="s">
        <v>1672</v>
      </c>
      <c r="E715" s="9" t="s">
        <v>51</v>
      </c>
      <c r="F715" s="9" t="s">
        <v>99</v>
      </c>
      <c r="G715" s="17">
        <v>0.4465277777777778</v>
      </c>
      <c r="H715" s="17">
        <v>0.46527777777777773</v>
      </c>
      <c r="I715" s="9">
        <v>6130</v>
      </c>
      <c r="J715" s="9">
        <v>18550</v>
      </c>
      <c r="K715" s="10">
        <f t="shared" si="25"/>
        <v>-12420</v>
      </c>
      <c r="L715" s="10">
        <v>15927</v>
      </c>
      <c r="M715" s="11" t="s">
        <v>166</v>
      </c>
      <c r="N715" s="12">
        <v>252</v>
      </c>
      <c r="O715" s="13" t="s">
        <v>1099</v>
      </c>
      <c r="P715" s="14"/>
    </row>
    <row r="716" spans="1:17" x14ac:dyDescent="0.25">
      <c r="A716" s="6"/>
      <c r="B716" s="7">
        <v>44278</v>
      </c>
      <c r="C716" s="8" t="s">
        <v>2228</v>
      </c>
      <c r="D716" s="8" t="s">
        <v>243</v>
      </c>
      <c r="E716" s="9" t="s">
        <v>440</v>
      </c>
      <c r="F716" s="9" t="s">
        <v>1276</v>
      </c>
      <c r="G716" s="17">
        <v>0.47847222222222219</v>
      </c>
      <c r="H716" s="17">
        <v>0.48819444444444443</v>
      </c>
      <c r="I716" s="9">
        <v>21970</v>
      </c>
      <c r="J716" s="9">
        <v>14220</v>
      </c>
      <c r="K716" s="10">
        <f t="shared" si="25"/>
        <v>7750</v>
      </c>
      <c r="L716" s="10" t="s">
        <v>2229</v>
      </c>
      <c r="M716" s="11" t="s">
        <v>1041</v>
      </c>
      <c r="N716" s="12">
        <v>6.6</v>
      </c>
      <c r="O716" s="13" t="s">
        <v>855</v>
      </c>
      <c r="P716" s="14"/>
    </row>
    <row r="717" spans="1:17" x14ac:dyDescent="0.25">
      <c r="A717" s="6"/>
      <c r="B717" s="7">
        <v>44278</v>
      </c>
      <c r="C717" s="8" t="s">
        <v>2233</v>
      </c>
      <c r="D717" s="8" t="s">
        <v>2234</v>
      </c>
      <c r="E717" s="9" t="s">
        <v>2235</v>
      </c>
      <c r="F717" s="9" t="s">
        <v>36</v>
      </c>
      <c r="G717" s="17">
        <v>0.53749999999999998</v>
      </c>
      <c r="H717" s="17">
        <v>0.56180555555555556</v>
      </c>
      <c r="I717" s="9">
        <v>3960</v>
      </c>
      <c r="J717" s="9">
        <v>3400</v>
      </c>
      <c r="K717" s="10">
        <f t="shared" ref="K717" si="28">+I717-J717</f>
        <v>560</v>
      </c>
      <c r="L717" s="10">
        <v>46</v>
      </c>
      <c r="M717" s="11" t="s">
        <v>2236</v>
      </c>
      <c r="N717" s="12">
        <v>20</v>
      </c>
      <c r="O717" s="13" t="s">
        <v>80</v>
      </c>
      <c r="P717" s="14"/>
    </row>
    <row r="718" spans="1:17" x14ac:dyDescent="0.25">
      <c r="A718" s="6"/>
      <c r="B718" s="7">
        <v>44278</v>
      </c>
      <c r="C718" s="8" t="s">
        <v>2216</v>
      </c>
      <c r="D718" s="8" t="s">
        <v>2230</v>
      </c>
      <c r="E718" s="9" t="s">
        <v>2150</v>
      </c>
      <c r="F718" s="9" t="s">
        <v>36</v>
      </c>
      <c r="G718" s="17">
        <v>0.54722222222222217</v>
      </c>
      <c r="H718" s="17">
        <v>0.69791666666666663</v>
      </c>
      <c r="I718" s="9">
        <v>16340</v>
      </c>
      <c r="J718" s="9">
        <v>42840</v>
      </c>
      <c r="K718" s="10">
        <f t="shared" si="25"/>
        <v>-26500</v>
      </c>
      <c r="L718" s="10">
        <v>5883</v>
      </c>
      <c r="M718" s="11" t="s">
        <v>53</v>
      </c>
      <c r="N718" s="12">
        <v>700</v>
      </c>
      <c r="O718" s="13" t="s">
        <v>1099</v>
      </c>
      <c r="P718" s="14"/>
      <c r="Q718" s="2"/>
    </row>
    <row r="719" spans="1:17" x14ac:dyDescent="0.25">
      <c r="A719" s="6"/>
      <c r="B719" s="7">
        <v>44278</v>
      </c>
      <c r="C719" s="8" t="s">
        <v>2216</v>
      </c>
      <c r="D719" s="8" t="s">
        <v>2231</v>
      </c>
      <c r="E719" s="9" t="s">
        <v>2232</v>
      </c>
      <c r="F719" s="9" t="s">
        <v>36</v>
      </c>
      <c r="G719" s="17">
        <v>0.54791666666666672</v>
      </c>
      <c r="H719" s="17">
        <v>0.83124999999999993</v>
      </c>
      <c r="I719" s="9">
        <v>15290</v>
      </c>
      <c r="J719" s="9">
        <v>41790</v>
      </c>
      <c r="K719" s="10">
        <f t="shared" si="25"/>
        <v>-26500</v>
      </c>
      <c r="L719" s="10">
        <v>5894</v>
      </c>
      <c r="M719" s="11" t="s">
        <v>53</v>
      </c>
      <c r="N719" s="12">
        <v>530</v>
      </c>
      <c r="O719" s="13" t="s">
        <v>1099</v>
      </c>
      <c r="P719" s="14"/>
    </row>
    <row r="720" spans="1:17" x14ac:dyDescent="0.25">
      <c r="A720" s="6"/>
      <c r="B720" s="7">
        <v>44278</v>
      </c>
      <c r="C720" s="8" t="s">
        <v>2216</v>
      </c>
      <c r="D720" s="8" t="s">
        <v>2237</v>
      </c>
      <c r="E720" s="9" t="s">
        <v>2238</v>
      </c>
      <c r="F720" s="9" t="s">
        <v>36</v>
      </c>
      <c r="G720" s="17">
        <v>0.55625000000000002</v>
      </c>
      <c r="H720" s="17">
        <v>0.83333333333333337</v>
      </c>
      <c r="I720" s="9">
        <v>14800</v>
      </c>
      <c r="J720" s="9">
        <v>41300</v>
      </c>
      <c r="K720" s="10">
        <f t="shared" si="25"/>
        <v>-26500</v>
      </c>
      <c r="L720" s="10">
        <v>5895</v>
      </c>
      <c r="M720" s="11" t="s">
        <v>53</v>
      </c>
      <c r="N720" s="12">
        <v>530</v>
      </c>
      <c r="O720" s="13" t="s">
        <v>1099</v>
      </c>
      <c r="P720" s="14"/>
    </row>
    <row r="721" spans="1:23" x14ac:dyDescent="0.25">
      <c r="A721" s="6"/>
      <c r="B721" s="7">
        <v>44278</v>
      </c>
      <c r="C721" s="8" t="s">
        <v>1525</v>
      </c>
      <c r="D721" s="8" t="s">
        <v>2239</v>
      </c>
      <c r="E721" s="9" t="s">
        <v>2240</v>
      </c>
      <c r="F721" s="9" t="s">
        <v>36</v>
      </c>
      <c r="G721" s="17">
        <v>0.56041666666666667</v>
      </c>
      <c r="H721" s="17">
        <v>0.62916666666666665</v>
      </c>
      <c r="I721" s="9">
        <v>53850</v>
      </c>
      <c r="J721" s="9">
        <v>18610</v>
      </c>
      <c r="K721" s="10">
        <f t="shared" si="25"/>
        <v>35240</v>
      </c>
      <c r="L721" s="10">
        <v>970</v>
      </c>
      <c r="M721" s="11" t="s">
        <v>306</v>
      </c>
      <c r="N721" s="12">
        <v>10000</v>
      </c>
      <c r="O721" s="13" t="s">
        <v>84</v>
      </c>
      <c r="P721" s="14"/>
    </row>
    <row r="722" spans="1:23" x14ac:dyDescent="0.25">
      <c r="A722" s="6"/>
      <c r="B722" s="7">
        <v>44278</v>
      </c>
      <c r="C722" s="8" t="s">
        <v>2123</v>
      </c>
      <c r="D722" s="8" t="s">
        <v>1677</v>
      </c>
      <c r="E722" s="9" t="s">
        <v>1095</v>
      </c>
      <c r="F722" s="9" t="s">
        <v>36</v>
      </c>
      <c r="G722" s="17">
        <v>0.59583333333333333</v>
      </c>
      <c r="H722" s="17">
        <v>0.6118055555555556</v>
      </c>
      <c r="I722" s="9">
        <v>2470</v>
      </c>
      <c r="J722" s="9">
        <v>1210</v>
      </c>
      <c r="K722" s="10">
        <f t="shared" si="25"/>
        <v>1260</v>
      </c>
      <c r="L722" s="10">
        <v>26701</v>
      </c>
      <c r="M722" s="11" t="s">
        <v>965</v>
      </c>
      <c r="N722" s="12">
        <v>1260</v>
      </c>
      <c r="O722" s="13" t="s">
        <v>32</v>
      </c>
      <c r="P722" s="14"/>
    </row>
    <row r="723" spans="1:23" x14ac:dyDescent="0.25">
      <c r="A723" s="6"/>
      <c r="B723" s="7">
        <v>44278</v>
      </c>
      <c r="C723" s="8" t="s">
        <v>2123</v>
      </c>
      <c r="D723" s="8" t="s">
        <v>2204</v>
      </c>
      <c r="E723" s="9" t="s">
        <v>2241</v>
      </c>
      <c r="F723" s="9" t="s">
        <v>36</v>
      </c>
      <c r="G723" s="17">
        <v>0.59791666666666665</v>
      </c>
      <c r="H723" s="17">
        <v>0.61944444444444446</v>
      </c>
      <c r="I723" s="9">
        <v>2510</v>
      </c>
      <c r="J723" s="9">
        <v>1180</v>
      </c>
      <c r="K723" s="10">
        <f t="shared" si="25"/>
        <v>1330</v>
      </c>
      <c r="L723" s="10">
        <v>26702</v>
      </c>
      <c r="M723" s="11" t="s">
        <v>965</v>
      </c>
      <c r="N723" s="12">
        <v>1330</v>
      </c>
      <c r="O723" s="13" t="s">
        <v>32</v>
      </c>
      <c r="P723" s="14"/>
    </row>
    <row r="724" spans="1:23" x14ac:dyDescent="0.25">
      <c r="A724" s="6"/>
      <c r="B724" s="7">
        <v>44278</v>
      </c>
      <c r="C724" s="8" t="s">
        <v>2123</v>
      </c>
      <c r="D724" s="8" t="s">
        <v>183</v>
      </c>
      <c r="E724" s="9" t="s">
        <v>2044</v>
      </c>
      <c r="F724" s="9" t="s">
        <v>36</v>
      </c>
      <c r="G724" s="17">
        <v>0.59861111111111109</v>
      </c>
      <c r="H724" s="17">
        <v>0.62430555555555556</v>
      </c>
      <c r="I724" s="9">
        <v>5510</v>
      </c>
      <c r="J724" s="9">
        <v>2170</v>
      </c>
      <c r="K724" s="10">
        <f t="shared" si="25"/>
        <v>3340</v>
      </c>
      <c r="L724" s="10">
        <v>26703</v>
      </c>
      <c r="M724" s="11" t="s">
        <v>965</v>
      </c>
      <c r="N724" s="12">
        <v>3340</v>
      </c>
      <c r="O724" s="13" t="s">
        <v>32</v>
      </c>
      <c r="P724" s="14"/>
    </row>
    <row r="725" spans="1:23" x14ac:dyDescent="0.25">
      <c r="A725" s="6"/>
      <c r="B725" s="7">
        <v>44278</v>
      </c>
      <c r="C725" s="8" t="s">
        <v>208</v>
      </c>
      <c r="D725" s="8" t="s">
        <v>899</v>
      </c>
      <c r="E725" s="9" t="s">
        <v>490</v>
      </c>
      <c r="F725" s="9" t="s">
        <v>491</v>
      </c>
      <c r="G725" s="17">
        <v>0.61319444444444449</v>
      </c>
      <c r="H725" s="17">
        <v>0.63472222222222219</v>
      </c>
      <c r="I725" s="9">
        <v>43050</v>
      </c>
      <c r="J725" s="9">
        <v>18270</v>
      </c>
      <c r="K725" s="10">
        <f t="shared" si="25"/>
        <v>24780</v>
      </c>
      <c r="L725" s="10">
        <v>4881</v>
      </c>
      <c r="M725" s="11" t="s">
        <v>2198</v>
      </c>
      <c r="N725" s="12">
        <v>25060</v>
      </c>
      <c r="O725" s="13" t="s">
        <v>32</v>
      </c>
      <c r="P725" s="14"/>
    </row>
    <row r="726" spans="1:23" x14ac:dyDescent="0.25">
      <c r="A726" s="6"/>
      <c r="B726" s="7">
        <v>44278</v>
      </c>
      <c r="C726" s="8" t="s">
        <v>188</v>
      </c>
      <c r="D726" s="8" t="s">
        <v>284</v>
      </c>
      <c r="E726" s="9" t="s">
        <v>177</v>
      </c>
      <c r="F726" s="9" t="s">
        <v>178</v>
      </c>
      <c r="G726" s="17">
        <v>0.62777777777777777</v>
      </c>
      <c r="H726" s="17">
        <v>0.69166666666666676</v>
      </c>
      <c r="I726" s="9">
        <v>14520</v>
      </c>
      <c r="J726" s="9">
        <v>49670</v>
      </c>
      <c r="K726" s="10">
        <f t="shared" ref="K726:K790" si="29">+I726-J726</f>
        <v>-35150</v>
      </c>
      <c r="L726" s="10">
        <v>5885</v>
      </c>
      <c r="M726" s="11" t="s">
        <v>53</v>
      </c>
      <c r="N726" s="12">
        <v>700</v>
      </c>
      <c r="O726" s="13" t="s">
        <v>1099</v>
      </c>
      <c r="P726" s="14"/>
    </row>
    <row r="727" spans="1:23" x14ac:dyDescent="0.25">
      <c r="A727" s="6"/>
      <c r="B727" s="7">
        <v>44278</v>
      </c>
      <c r="C727" s="8" t="s">
        <v>957</v>
      </c>
      <c r="D727" s="8" t="s">
        <v>2242</v>
      </c>
      <c r="E727" s="9" t="s">
        <v>2243</v>
      </c>
      <c r="F727" s="9" t="s">
        <v>36</v>
      </c>
      <c r="G727" s="17">
        <v>0.6381944444444444</v>
      </c>
      <c r="H727" s="17">
        <v>0.78541666666666676</v>
      </c>
      <c r="I727" s="9">
        <v>18000</v>
      </c>
      <c r="J727" s="9">
        <v>41440</v>
      </c>
      <c r="K727" s="10">
        <f t="shared" si="29"/>
        <v>-23440</v>
      </c>
      <c r="L727" s="10">
        <v>5896</v>
      </c>
      <c r="M727" s="11" t="s">
        <v>2244</v>
      </c>
      <c r="N727" s="12">
        <v>22289</v>
      </c>
      <c r="O727" s="13" t="s">
        <v>32</v>
      </c>
      <c r="P727" s="14" t="s">
        <v>753</v>
      </c>
    </row>
    <row r="728" spans="1:23" x14ac:dyDescent="0.25">
      <c r="A728" s="6"/>
      <c r="B728" s="7">
        <v>44278</v>
      </c>
      <c r="C728" s="8" t="s">
        <v>2123</v>
      </c>
      <c r="D728" s="8" t="s">
        <v>999</v>
      </c>
      <c r="E728" s="9" t="s">
        <v>1000</v>
      </c>
      <c r="F728" s="9" t="s">
        <v>36</v>
      </c>
      <c r="G728" s="17">
        <v>0.65</v>
      </c>
      <c r="H728" s="17">
        <v>0.65833333333333333</v>
      </c>
      <c r="I728" s="9">
        <v>3100</v>
      </c>
      <c r="J728" s="9">
        <v>1920</v>
      </c>
      <c r="K728" s="10">
        <f t="shared" si="29"/>
        <v>1180</v>
      </c>
      <c r="L728" s="10">
        <v>26704</v>
      </c>
      <c r="M728" s="11" t="s">
        <v>965</v>
      </c>
      <c r="N728" s="12">
        <v>1180</v>
      </c>
      <c r="O728" s="13" t="s">
        <v>32</v>
      </c>
      <c r="P728" s="14"/>
    </row>
    <row r="729" spans="1:23" x14ac:dyDescent="0.25">
      <c r="A729" s="6"/>
      <c r="B729" s="7">
        <v>44278</v>
      </c>
      <c r="C729" s="8" t="s">
        <v>188</v>
      </c>
      <c r="D729" s="8" t="s">
        <v>853</v>
      </c>
      <c r="E729" s="9" t="s">
        <v>51</v>
      </c>
      <c r="F729" s="9" t="s">
        <v>52</v>
      </c>
      <c r="G729" s="17">
        <v>0.65347222222222223</v>
      </c>
      <c r="H729" s="17">
        <v>0.70208333333333339</v>
      </c>
      <c r="I729" s="9">
        <v>16030</v>
      </c>
      <c r="J729" s="9">
        <v>51130</v>
      </c>
      <c r="K729" s="10">
        <f t="shared" si="29"/>
        <v>-35100</v>
      </c>
      <c r="L729" s="10">
        <v>5886</v>
      </c>
      <c r="M729" s="11" t="s">
        <v>53</v>
      </c>
      <c r="N729" s="12">
        <v>700</v>
      </c>
      <c r="O729" s="13" t="s">
        <v>32</v>
      </c>
      <c r="P729" s="14"/>
    </row>
    <row r="730" spans="1:23" x14ac:dyDescent="0.25">
      <c r="A730" s="6"/>
      <c r="B730" s="7">
        <v>44278</v>
      </c>
      <c r="C730" s="8" t="s">
        <v>2246</v>
      </c>
      <c r="D730" s="8" t="s">
        <v>1794</v>
      </c>
      <c r="E730" s="9" t="s">
        <v>628</v>
      </c>
      <c r="F730" s="9" t="s">
        <v>629</v>
      </c>
      <c r="G730" s="17">
        <v>0.68263888888888891</v>
      </c>
      <c r="H730" s="17">
        <v>0.68680555555555556</v>
      </c>
      <c r="I730" s="9">
        <v>12950</v>
      </c>
      <c r="J730" s="9">
        <v>9610</v>
      </c>
      <c r="K730" s="10">
        <f t="shared" si="29"/>
        <v>3340</v>
      </c>
      <c r="L730" s="10">
        <v>23653</v>
      </c>
      <c r="M730" s="11" t="s">
        <v>2247</v>
      </c>
      <c r="N730" s="12">
        <v>3340</v>
      </c>
      <c r="O730" s="13" t="s">
        <v>855</v>
      </c>
      <c r="P730" s="14"/>
      <c r="R730" s="1" t="s">
        <v>91</v>
      </c>
      <c r="S730" s="1">
        <v>57</v>
      </c>
      <c r="T730" s="18">
        <v>9</v>
      </c>
      <c r="U730" s="1">
        <f>+T730*S730</f>
        <v>513</v>
      </c>
    </row>
    <row r="731" spans="1:23" x14ac:dyDescent="0.25">
      <c r="A731" s="6"/>
      <c r="B731" s="7">
        <v>44278</v>
      </c>
      <c r="C731" s="8" t="s">
        <v>188</v>
      </c>
      <c r="D731" s="8" t="s">
        <v>1355</v>
      </c>
      <c r="E731" s="9" t="s">
        <v>1048</v>
      </c>
      <c r="F731" s="9" t="s">
        <v>526</v>
      </c>
      <c r="G731" s="17">
        <v>0.71111111111111114</v>
      </c>
      <c r="H731" s="17">
        <v>0.74375000000000002</v>
      </c>
      <c r="I731" s="9">
        <v>17190</v>
      </c>
      <c r="J731" s="9">
        <v>47300</v>
      </c>
      <c r="K731" s="10">
        <f t="shared" si="29"/>
        <v>-30110</v>
      </c>
      <c r="L731" s="10">
        <v>5892</v>
      </c>
      <c r="M731" s="11" t="s">
        <v>53</v>
      </c>
      <c r="N731" s="12">
        <v>700</v>
      </c>
      <c r="O731" s="13" t="s">
        <v>1099</v>
      </c>
      <c r="P731" s="14"/>
      <c r="R731" s="1" t="s">
        <v>646</v>
      </c>
      <c r="S731" s="1">
        <v>58</v>
      </c>
      <c r="T731" s="18">
        <v>11</v>
      </c>
      <c r="U731" s="1">
        <f>+T731*S731</f>
        <v>638</v>
      </c>
    </row>
    <row r="732" spans="1:23" x14ac:dyDescent="0.25">
      <c r="A732" s="6"/>
      <c r="B732" s="7">
        <v>44278</v>
      </c>
      <c r="C732" s="8" t="s">
        <v>1065</v>
      </c>
      <c r="D732" s="8" t="s">
        <v>1850</v>
      </c>
      <c r="E732" s="9" t="s">
        <v>144</v>
      </c>
      <c r="F732" s="9" t="s">
        <v>626</v>
      </c>
      <c r="G732" s="17">
        <v>0.71250000000000002</v>
      </c>
      <c r="H732" s="17">
        <v>0.71736111111111101</v>
      </c>
      <c r="I732" s="9">
        <v>38370</v>
      </c>
      <c r="J732" s="9">
        <v>15650</v>
      </c>
      <c r="K732" s="10">
        <f t="shared" si="29"/>
        <v>22720</v>
      </c>
      <c r="L732" s="10">
        <v>23654</v>
      </c>
      <c r="M732" s="11" t="s">
        <v>1041</v>
      </c>
      <c r="N732" s="12">
        <v>21.6</v>
      </c>
      <c r="O732" s="13" t="s">
        <v>855</v>
      </c>
      <c r="P732" s="14"/>
      <c r="R732" s="1" t="s">
        <v>669</v>
      </c>
      <c r="S732" s="1">
        <v>63</v>
      </c>
      <c r="T732" s="18"/>
      <c r="U732" s="1">
        <f>+T732*S732</f>
        <v>0</v>
      </c>
    </row>
    <row r="733" spans="1:23" x14ac:dyDescent="0.25">
      <c r="A733" s="6"/>
      <c r="B733" s="7">
        <v>44278</v>
      </c>
      <c r="C733" s="8" t="s">
        <v>1065</v>
      </c>
      <c r="D733" s="8" t="s">
        <v>94</v>
      </c>
      <c r="E733" s="9" t="s">
        <v>1774</v>
      </c>
      <c r="F733" s="9" t="s">
        <v>1775</v>
      </c>
      <c r="G733" s="17">
        <v>0.71875</v>
      </c>
      <c r="H733" s="17">
        <v>0.72291666666666676</v>
      </c>
      <c r="I733" s="9">
        <v>17730</v>
      </c>
      <c r="J733" s="9">
        <v>7560</v>
      </c>
      <c r="K733" s="10">
        <f t="shared" si="29"/>
        <v>10170</v>
      </c>
      <c r="L733" s="10">
        <v>23654</v>
      </c>
      <c r="M733" s="11" t="s">
        <v>1041</v>
      </c>
      <c r="N733" s="12">
        <v>9.6</v>
      </c>
      <c r="O733" s="13" t="s">
        <v>855</v>
      </c>
      <c r="P733" s="14"/>
      <c r="T733" s="18">
        <f>SUM(T730:T732)</f>
        <v>20</v>
      </c>
      <c r="U733" s="18">
        <f>SUM(U730:U732)</f>
        <v>1151</v>
      </c>
      <c r="V733" s="18">
        <v>23440</v>
      </c>
      <c r="W733" s="18">
        <f>+V733-U733</f>
        <v>22289</v>
      </c>
    </row>
    <row r="734" spans="1:23" x14ac:dyDescent="0.25">
      <c r="A734" s="6"/>
      <c r="B734" s="7">
        <v>44278</v>
      </c>
      <c r="C734" s="8" t="s">
        <v>1065</v>
      </c>
      <c r="D734" s="8" t="s">
        <v>198</v>
      </c>
      <c r="E734" s="9" t="s">
        <v>160</v>
      </c>
      <c r="F734" s="9" t="s">
        <v>161</v>
      </c>
      <c r="G734" s="17">
        <v>0.73958333333333337</v>
      </c>
      <c r="H734" s="17">
        <v>0.74722222222222223</v>
      </c>
      <c r="I734" s="9">
        <v>29810</v>
      </c>
      <c r="J734" s="9">
        <v>16660</v>
      </c>
      <c r="K734" s="10">
        <f t="shared" si="29"/>
        <v>13150</v>
      </c>
      <c r="L734" s="10">
        <v>23655</v>
      </c>
      <c r="M734" s="11" t="s">
        <v>1041</v>
      </c>
      <c r="N734" s="12">
        <v>13150</v>
      </c>
      <c r="O734" s="13" t="s">
        <v>32</v>
      </c>
      <c r="P734" s="14" t="s">
        <v>2248</v>
      </c>
    </row>
    <row r="735" spans="1:23" x14ac:dyDescent="0.25">
      <c r="A735" s="6"/>
      <c r="B735" s="7">
        <v>44278</v>
      </c>
      <c r="C735" s="8" t="s">
        <v>1065</v>
      </c>
      <c r="D735" s="8" t="s">
        <v>2249</v>
      </c>
      <c r="E735" s="9" t="s">
        <v>2250</v>
      </c>
      <c r="F735" s="9" t="s">
        <v>2251</v>
      </c>
      <c r="G735" s="17">
        <v>0.74930555555555556</v>
      </c>
      <c r="H735" s="17">
        <v>0.75416666666666676</v>
      </c>
      <c r="I735" s="9">
        <v>31580</v>
      </c>
      <c r="J735" s="9">
        <v>13590</v>
      </c>
      <c r="K735" s="10">
        <f t="shared" si="29"/>
        <v>17990</v>
      </c>
      <c r="L735" s="10">
        <v>23654</v>
      </c>
      <c r="M735" s="11" t="s">
        <v>1041</v>
      </c>
      <c r="N735" s="12">
        <v>16.8</v>
      </c>
      <c r="O735" s="13" t="s">
        <v>855</v>
      </c>
      <c r="P735" s="14"/>
    </row>
    <row r="736" spans="1:23" x14ac:dyDescent="0.25">
      <c r="A736" s="6"/>
      <c r="B736" s="7">
        <v>44278</v>
      </c>
      <c r="C736" s="8" t="s">
        <v>991</v>
      </c>
      <c r="D736" s="8" t="s">
        <v>299</v>
      </c>
      <c r="E736" s="9" t="s">
        <v>813</v>
      </c>
      <c r="F736" s="9" t="s">
        <v>814</v>
      </c>
      <c r="G736" s="17">
        <v>0.75624999999999998</v>
      </c>
      <c r="H736" s="17">
        <v>0.76250000000000007</v>
      </c>
      <c r="I736" s="9">
        <v>40600</v>
      </c>
      <c r="J736" s="9">
        <v>17410</v>
      </c>
      <c r="K736" s="10">
        <f t="shared" si="29"/>
        <v>23190</v>
      </c>
      <c r="L736" s="10">
        <v>23656</v>
      </c>
      <c r="M736" s="11" t="s">
        <v>1041</v>
      </c>
      <c r="N736" s="12">
        <v>21.6</v>
      </c>
      <c r="O736" s="13" t="s">
        <v>855</v>
      </c>
      <c r="P736" s="14"/>
    </row>
    <row r="737" spans="1:16" x14ac:dyDescent="0.25">
      <c r="A737" s="6"/>
      <c r="B737" s="7">
        <v>44278</v>
      </c>
      <c r="C737" s="8" t="s">
        <v>991</v>
      </c>
      <c r="D737" s="8" t="s">
        <v>243</v>
      </c>
      <c r="E737" s="9" t="s">
        <v>440</v>
      </c>
      <c r="F737" s="9" t="s">
        <v>1276</v>
      </c>
      <c r="G737" s="17">
        <v>0.76458333333333339</v>
      </c>
      <c r="H737" s="17">
        <v>0.77013888888888893</v>
      </c>
      <c r="I737" s="9">
        <v>37260</v>
      </c>
      <c r="J737" s="9">
        <v>14230</v>
      </c>
      <c r="K737" s="10">
        <f t="shared" si="29"/>
        <v>23030</v>
      </c>
      <c r="L737" s="10">
        <v>23656</v>
      </c>
      <c r="M737" s="11" t="s">
        <v>1041</v>
      </c>
      <c r="N737" s="12">
        <v>21.6</v>
      </c>
      <c r="O737" s="13" t="s">
        <v>855</v>
      </c>
      <c r="P737" s="14"/>
    </row>
    <row r="738" spans="1:16" x14ac:dyDescent="0.25">
      <c r="A738" s="6"/>
      <c r="B738" s="7">
        <v>44278</v>
      </c>
      <c r="C738" s="8" t="s">
        <v>991</v>
      </c>
      <c r="D738" s="8" t="s">
        <v>1672</v>
      </c>
      <c r="E738" s="9" t="s">
        <v>881</v>
      </c>
      <c r="F738" s="9" t="s">
        <v>749</v>
      </c>
      <c r="G738" s="17">
        <v>0.78888888888888886</v>
      </c>
      <c r="H738" s="17">
        <v>0.79652777777777783</v>
      </c>
      <c r="I738" s="9">
        <v>39960</v>
      </c>
      <c r="J738" s="9">
        <v>16770</v>
      </c>
      <c r="K738" s="10">
        <f t="shared" si="29"/>
        <v>23190</v>
      </c>
      <c r="L738" s="10">
        <v>23656</v>
      </c>
      <c r="M738" s="11" t="s">
        <v>1474</v>
      </c>
      <c r="N738" s="12">
        <v>21.6</v>
      </c>
      <c r="O738" s="13" t="s">
        <v>855</v>
      </c>
      <c r="P738" s="14"/>
    </row>
    <row r="739" spans="1:16" x14ac:dyDescent="0.25">
      <c r="A739" s="6"/>
      <c r="B739" s="7">
        <v>44278</v>
      </c>
      <c r="C739" s="8" t="s">
        <v>991</v>
      </c>
      <c r="D739" s="8" t="s">
        <v>1794</v>
      </c>
      <c r="E739" s="9" t="s">
        <v>628</v>
      </c>
      <c r="F739" s="9" t="s">
        <v>629</v>
      </c>
      <c r="G739" s="17">
        <v>0.79513888888888884</v>
      </c>
      <c r="H739" s="17">
        <v>0.80069444444444438</v>
      </c>
      <c r="I739" s="9">
        <v>22470</v>
      </c>
      <c r="J739" s="9">
        <v>9620</v>
      </c>
      <c r="K739" s="10">
        <f t="shared" si="29"/>
        <v>12850</v>
      </c>
      <c r="L739" s="10">
        <v>23656</v>
      </c>
      <c r="M739" s="11" t="s">
        <v>1474</v>
      </c>
      <c r="N739" s="12">
        <v>12</v>
      </c>
      <c r="O739" s="13" t="s">
        <v>855</v>
      </c>
      <c r="P739" s="14"/>
    </row>
    <row r="740" spans="1:16" x14ac:dyDescent="0.25">
      <c r="A740" s="6"/>
      <c r="B740" s="7">
        <v>44278</v>
      </c>
      <c r="C740" s="8" t="s">
        <v>991</v>
      </c>
      <c r="D740" s="8" t="s">
        <v>1850</v>
      </c>
      <c r="E740" s="9" t="s">
        <v>144</v>
      </c>
      <c r="F740" s="9" t="s">
        <v>626</v>
      </c>
      <c r="G740" s="17">
        <v>0.79861111111111116</v>
      </c>
      <c r="H740" s="17">
        <v>0.80347222222222225</v>
      </c>
      <c r="I740" s="9">
        <v>38100</v>
      </c>
      <c r="J740" s="9">
        <v>15660</v>
      </c>
      <c r="K740" s="10">
        <f t="shared" si="29"/>
        <v>22440</v>
      </c>
      <c r="L740" s="10">
        <v>23656</v>
      </c>
      <c r="M740" s="11" t="s">
        <v>1474</v>
      </c>
      <c r="N740" s="12">
        <v>21.6</v>
      </c>
      <c r="O740" s="13" t="s">
        <v>855</v>
      </c>
      <c r="P740" s="14"/>
    </row>
    <row r="741" spans="1:16" x14ac:dyDescent="0.25">
      <c r="A741" s="6"/>
      <c r="B741" s="7">
        <v>44278</v>
      </c>
      <c r="C741" s="8" t="s">
        <v>991</v>
      </c>
      <c r="D741" s="8" t="s">
        <v>94</v>
      </c>
      <c r="E741" s="9" t="s">
        <v>1774</v>
      </c>
      <c r="F741" s="9" t="s">
        <v>1775</v>
      </c>
      <c r="G741" s="17">
        <v>0.7993055555555556</v>
      </c>
      <c r="H741" s="17">
        <v>0.80486111111111114</v>
      </c>
      <c r="I741" s="9">
        <v>17620</v>
      </c>
      <c r="J741" s="9">
        <v>7560</v>
      </c>
      <c r="K741" s="10">
        <f t="shared" si="29"/>
        <v>10060</v>
      </c>
      <c r="L741" s="10">
        <v>23656</v>
      </c>
      <c r="M741" s="11" t="s">
        <v>1041</v>
      </c>
      <c r="N741" s="12">
        <f>4*2.4</f>
        <v>9.6</v>
      </c>
      <c r="O741" s="13" t="s">
        <v>855</v>
      </c>
      <c r="P741" s="14"/>
    </row>
    <row r="742" spans="1:16" x14ac:dyDescent="0.25">
      <c r="A742" s="6"/>
      <c r="B742" s="7">
        <v>44278</v>
      </c>
      <c r="C742" s="8" t="s">
        <v>2123</v>
      </c>
      <c r="D742" s="8" t="s">
        <v>1853</v>
      </c>
      <c r="E742" s="9" t="s">
        <v>1206</v>
      </c>
      <c r="F742" s="9" t="s">
        <v>36</v>
      </c>
      <c r="G742" s="17">
        <v>0.82638888888888884</v>
      </c>
      <c r="H742" s="17">
        <v>0.85277777777777775</v>
      </c>
      <c r="I742" s="9">
        <v>12590</v>
      </c>
      <c r="J742" s="9">
        <v>6680</v>
      </c>
      <c r="K742" s="10">
        <f t="shared" si="29"/>
        <v>5910</v>
      </c>
      <c r="L742" s="10">
        <v>26705</v>
      </c>
      <c r="M742" s="11" t="s">
        <v>1208</v>
      </c>
      <c r="N742" s="12">
        <v>5910</v>
      </c>
      <c r="O742" s="13" t="s">
        <v>32</v>
      </c>
      <c r="P742" s="14"/>
    </row>
    <row r="743" spans="1:16" x14ac:dyDescent="0.25">
      <c r="A743" s="6"/>
      <c r="B743" s="7">
        <v>44278</v>
      </c>
      <c r="C743" s="8" t="s">
        <v>991</v>
      </c>
      <c r="D743" s="8" t="s">
        <v>2249</v>
      </c>
      <c r="E743" s="9" t="s">
        <v>2250</v>
      </c>
      <c r="F743" s="9" t="s">
        <v>2251</v>
      </c>
      <c r="G743" s="17">
        <v>0.82916666666666661</v>
      </c>
      <c r="H743" s="17">
        <v>0.8354166666666667</v>
      </c>
      <c r="I743" s="9">
        <v>36210</v>
      </c>
      <c r="J743" s="9">
        <v>13600</v>
      </c>
      <c r="K743" s="10">
        <f t="shared" si="29"/>
        <v>22610</v>
      </c>
      <c r="L743" s="10">
        <v>23656</v>
      </c>
      <c r="M743" s="11" t="s">
        <v>1041</v>
      </c>
      <c r="N743" s="12">
        <v>21.6</v>
      </c>
      <c r="O743" s="13" t="s">
        <v>855</v>
      </c>
      <c r="P743" s="14"/>
    </row>
    <row r="744" spans="1:16" x14ac:dyDescent="0.25">
      <c r="A744" s="6"/>
      <c r="B744" s="7">
        <v>44278</v>
      </c>
      <c r="C744" s="8" t="s">
        <v>991</v>
      </c>
      <c r="D744" s="8" t="s">
        <v>299</v>
      </c>
      <c r="E744" s="9" t="s">
        <v>813</v>
      </c>
      <c r="F744" s="9" t="s">
        <v>814</v>
      </c>
      <c r="G744" s="17">
        <v>0.83611111111111114</v>
      </c>
      <c r="H744" s="17">
        <v>0.85</v>
      </c>
      <c r="I744" s="9">
        <v>40150</v>
      </c>
      <c r="J744" s="9">
        <v>17490</v>
      </c>
      <c r="K744" s="10">
        <f t="shared" si="29"/>
        <v>22660</v>
      </c>
      <c r="L744" s="10">
        <v>23656</v>
      </c>
      <c r="M744" s="11" t="s">
        <v>1041</v>
      </c>
      <c r="N744" s="12">
        <v>21.6</v>
      </c>
      <c r="O744" s="13" t="s">
        <v>855</v>
      </c>
      <c r="P744" s="14"/>
    </row>
    <row r="745" spans="1:16" x14ac:dyDescent="0.25">
      <c r="A745" s="6"/>
      <c r="B745" s="7">
        <v>44278</v>
      </c>
      <c r="C745" s="8" t="s">
        <v>208</v>
      </c>
      <c r="D745" s="8" t="s">
        <v>899</v>
      </c>
      <c r="E745" s="9" t="s">
        <v>490</v>
      </c>
      <c r="F745" s="9" t="s">
        <v>491</v>
      </c>
      <c r="G745" s="17">
        <v>0.84652777777777777</v>
      </c>
      <c r="H745" s="17">
        <v>0.85625000000000007</v>
      </c>
      <c r="I745" s="9">
        <v>42290</v>
      </c>
      <c r="J745" s="9">
        <v>18450</v>
      </c>
      <c r="K745" s="10">
        <f t="shared" si="29"/>
        <v>23840</v>
      </c>
      <c r="L745" s="10">
        <v>41285</v>
      </c>
      <c r="M745" s="11" t="s">
        <v>2199</v>
      </c>
      <c r="N745" s="12">
        <v>23830</v>
      </c>
      <c r="O745" s="13" t="s">
        <v>32</v>
      </c>
      <c r="P745" s="14"/>
    </row>
    <row r="746" spans="1:16" x14ac:dyDescent="0.25">
      <c r="A746" s="6"/>
      <c r="B746" s="7">
        <v>44278</v>
      </c>
      <c r="C746" s="8" t="s">
        <v>984</v>
      </c>
      <c r="D746" s="8" t="s">
        <v>243</v>
      </c>
      <c r="E746" s="9" t="s">
        <v>440</v>
      </c>
      <c r="F746" s="9" t="s">
        <v>1276</v>
      </c>
      <c r="G746" s="17">
        <v>0.84791666666666676</v>
      </c>
      <c r="H746" s="17">
        <v>0.8618055555555556</v>
      </c>
      <c r="I746" s="9">
        <v>34890</v>
      </c>
      <c r="J746" s="9">
        <v>14230</v>
      </c>
      <c r="K746" s="10">
        <f t="shared" si="29"/>
        <v>20660</v>
      </c>
      <c r="L746" s="10">
        <v>23657</v>
      </c>
      <c r="M746" s="11" t="s">
        <v>1041</v>
      </c>
      <c r="N746" s="12">
        <v>20660</v>
      </c>
      <c r="O746" s="13" t="s">
        <v>32</v>
      </c>
      <c r="P746" s="14" t="s">
        <v>989</v>
      </c>
    </row>
    <row r="747" spans="1:16" x14ac:dyDescent="0.25">
      <c r="A747" s="6"/>
      <c r="B747" s="7">
        <v>44278</v>
      </c>
      <c r="C747" s="8" t="s">
        <v>208</v>
      </c>
      <c r="D747" s="8" t="s">
        <v>198</v>
      </c>
      <c r="E747" s="9" t="s">
        <v>160</v>
      </c>
      <c r="F747" s="9" t="s">
        <v>161</v>
      </c>
      <c r="G747" s="17">
        <v>0.84861111111111109</v>
      </c>
      <c r="H747" s="17">
        <v>0.8833333333333333</v>
      </c>
      <c r="I747" s="9">
        <v>42420</v>
      </c>
      <c r="J747" s="9">
        <v>18620</v>
      </c>
      <c r="K747" s="10">
        <f t="shared" si="29"/>
        <v>23800</v>
      </c>
      <c r="L747" s="10">
        <v>41282</v>
      </c>
      <c r="M747" s="11" t="s">
        <v>1626</v>
      </c>
      <c r="N747" s="12">
        <v>23710</v>
      </c>
      <c r="O747" s="13" t="s">
        <v>32</v>
      </c>
      <c r="P747" s="14"/>
    </row>
    <row r="748" spans="1:16" x14ac:dyDescent="0.25">
      <c r="A748" s="6"/>
      <c r="B748" s="7">
        <v>44278</v>
      </c>
      <c r="C748" s="8" t="s">
        <v>984</v>
      </c>
      <c r="D748" s="8" t="s">
        <v>1794</v>
      </c>
      <c r="E748" s="9" t="s">
        <v>628</v>
      </c>
      <c r="F748" s="9" t="s">
        <v>629</v>
      </c>
      <c r="G748" s="17">
        <v>0.85555555555555562</v>
      </c>
      <c r="H748" s="17">
        <v>0.86319444444444438</v>
      </c>
      <c r="I748" s="9">
        <v>15170</v>
      </c>
      <c r="J748" s="9">
        <v>9610</v>
      </c>
      <c r="K748" s="10">
        <f t="shared" si="29"/>
        <v>5560</v>
      </c>
      <c r="L748" s="10">
        <v>23657</v>
      </c>
      <c r="M748" s="11" t="s">
        <v>1041</v>
      </c>
      <c r="N748" s="12">
        <v>5560</v>
      </c>
      <c r="O748" s="13" t="s">
        <v>32</v>
      </c>
      <c r="P748" s="14" t="s">
        <v>1258</v>
      </c>
    </row>
    <row r="749" spans="1:16" x14ac:dyDescent="0.25">
      <c r="A749" s="6"/>
      <c r="B749" s="7">
        <v>44278</v>
      </c>
      <c r="C749" s="8" t="s">
        <v>320</v>
      </c>
      <c r="D749" s="8" t="s">
        <v>1084</v>
      </c>
      <c r="E749" s="9" t="s">
        <v>1745</v>
      </c>
      <c r="F749" s="9" t="s">
        <v>1992</v>
      </c>
      <c r="G749" s="17">
        <v>0.86041666666666661</v>
      </c>
      <c r="H749" s="17">
        <v>0.88124999999999998</v>
      </c>
      <c r="I749" s="9">
        <v>9270</v>
      </c>
      <c r="J749" s="9">
        <v>6600</v>
      </c>
      <c r="K749" s="10">
        <f t="shared" si="29"/>
        <v>2670</v>
      </c>
      <c r="L749" s="10">
        <v>20195</v>
      </c>
      <c r="M749" s="11" t="s">
        <v>1087</v>
      </c>
      <c r="N749" s="12">
        <v>2670</v>
      </c>
      <c r="O749" s="13" t="s">
        <v>32</v>
      </c>
      <c r="P749" s="14" t="s">
        <v>1357</v>
      </c>
    </row>
    <row r="750" spans="1:16" x14ac:dyDescent="0.25">
      <c r="A750" s="6"/>
      <c r="B750" s="7">
        <v>44278</v>
      </c>
      <c r="C750" s="8" t="s">
        <v>991</v>
      </c>
      <c r="D750" s="8" t="s">
        <v>1672</v>
      </c>
      <c r="E750" s="9" t="s">
        <v>881</v>
      </c>
      <c r="F750" s="9" t="s">
        <v>749</v>
      </c>
      <c r="G750" s="17">
        <v>0.86111111111111116</v>
      </c>
      <c r="H750" s="17">
        <v>0.87222222222222223</v>
      </c>
      <c r="I750" s="9">
        <v>35090</v>
      </c>
      <c r="J750" s="9">
        <v>16760</v>
      </c>
      <c r="K750" s="10">
        <f t="shared" si="29"/>
        <v>18330</v>
      </c>
      <c r="L750" s="10">
        <v>23656</v>
      </c>
      <c r="M750" s="11" t="s">
        <v>1041</v>
      </c>
      <c r="N750" s="12">
        <v>16.8</v>
      </c>
      <c r="O750" s="13" t="s">
        <v>855</v>
      </c>
      <c r="P750" s="14"/>
    </row>
    <row r="751" spans="1:16" x14ac:dyDescent="0.25">
      <c r="A751" s="6"/>
      <c r="B751" s="7">
        <v>44278</v>
      </c>
      <c r="C751" s="8" t="s">
        <v>984</v>
      </c>
      <c r="D751" s="8" t="s">
        <v>1850</v>
      </c>
      <c r="E751" s="9" t="s">
        <v>144</v>
      </c>
      <c r="F751" s="9" t="s">
        <v>626</v>
      </c>
      <c r="G751" s="17">
        <v>0.8652777777777777</v>
      </c>
      <c r="H751" s="17">
        <v>0.87916666666666676</v>
      </c>
      <c r="I751" s="9">
        <v>36150</v>
      </c>
      <c r="J751" s="9">
        <v>15630</v>
      </c>
      <c r="K751" s="10">
        <f t="shared" si="29"/>
        <v>20520</v>
      </c>
      <c r="L751" s="10">
        <v>23658</v>
      </c>
      <c r="M751" s="11" t="s">
        <v>1041</v>
      </c>
      <c r="N751" s="12">
        <v>21.6</v>
      </c>
      <c r="O751" s="13" t="s">
        <v>855</v>
      </c>
      <c r="P751" s="14"/>
    </row>
    <row r="752" spans="1:16" x14ac:dyDescent="0.25">
      <c r="A752" s="6"/>
      <c r="B752" s="7">
        <v>44278</v>
      </c>
      <c r="C752" s="8" t="s">
        <v>984</v>
      </c>
      <c r="D752" s="8" t="s">
        <v>94</v>
      </c>
      <c r="E752" s="9" t="s">
        <v>1774</v>
      </c>
      <c r="F752" s="9" t="s">
        <v>1775</v>
      </c>
      <c r="G752" s="17">
        <v>0.86736111111111114</v>
      </c>
      <c r="H752" s="17">
        <v>0.89236111111111116</v>
      </c>
      <c r="I752" s="9">
        <v>16890</v>
      </c>
      <c r="J752" s="9">
        <v>7550</v>
      </c>
      <c r="K752" s="10">
        <f t="shared" si="29"/>
        <v>9340</v>
      </c>
      <c r="L752" s="10">
        <v>23658</v>
      </c>
      <c r="M752" s="11" t="s">
        <v>1041</v>
      </c>
      <c r="N752" s="12">
        <f>4*2.4</f>
        <v>9.6</v>
      </c>
      <c r="O752" s="13" t="s">
        <v>855</v>
      </c>
      <c r="P752" s="14"/>
    </row>
    <row r="753" spans="1:16" x14ac:dyDescent="0.25">
      <c r="A753" s="6"/>
      <c r="B753" s="7">
        <v>44278</v>
      </c>
      <c r="C753" s="8" t="s">
        <v>984</v>
      </c>
      <c r="D753" s="8" t="s">
        <v>2249</v>
      </c>
      <c r="E753" s="9" t="s">
        <v>2250</v>
      </c>
      <c r="F753" s="9" t="s">
        <v>2251</v>
      </c>
      <c r="G753" s="17">
        <v>0.8965277777777777</v>
      </c>
      <c r="H753" s="17">
        <v>0.90694444444444444</v>
      </c>
      <c r="I753" s="9">
        <v>34620</v>
      </c>
      <c r="J753" s="9">
        <v>13570</v>
      </c>
      <c r="K753" s="10">
        <f t="shared" si="29"/>
        <v>21050</v>
      </c>
      <c r="L753" s="10">
        <v>23658</v>
      </c>
      <c r="M753" s="11" t="s">
        <v>1041</v>
      </c>
      <c r="N753" s="12">
        <v>21.6</v>
      </c>
      <c r="O753" s="13" t="s">
        <v>855</v>
      </c>
      <c r="P753" s="14"/>
    </row>
    <row r="754" spans="1:16" x14ac:dyDescent="0.25">
      <c r="A754" s="6"/>
      <c r="B754" s="7">
        <v>44278</v>
      </c>
      <c r="C754" s="8" t="s">
        <v>984</v>
      </c>
      <c r="D754" s="8" t="s">
        <v>299</v>
      </c>
      <c r="E754" s="9" t="s">
        <v>813</v>
      </c>
      <c r="F754" s="9" t="s">
        <v>814</v>
      </c>
      <c r="G754" s="17">
        <v>0.91249999999999998</v>
      </c>
      <c r="H754" s="17">
        <v>0.92986111111111114</v>
      </c>
      <c r="I754" s="9">
        <v>40710</v>
      </c>
      <c r="J754" s="9">
        <v>17400</v>
      </c>
      <c r="K754" s="10">
        <f t="shared" si="29"/>
        <v>23310</v>
      </c>
      <c r="L754" s="10">
        <v>23658</v>
      </c>
      <c r="M754" s="11" t="s">
        <v>1041</v>
      </c>
      <c r="N754" s="12">
        <v>24</v>
      </c>
      <c r="O754" s="13" t="s">
        <v>855</v>
      </c>
      <c r="P754" s="14"/>
    </row>
    <row r="755" spans="1:16" x14ac:dyDescent="0.25">
      <c r="A755" s="6"/>
      <c r="B755" s="7">
        <v>44278</v>
      </c>
      <c r="C755" s="8" t="s">
        <v>984</v>
      </c>
      <c r="D755" s="8" t="s">
        <v>1794</v>
      </c>
      <c r="E755" s="9" t="s">
        <v>628</v>
      </c>
      <c r="F755" s="9" t="s">
        <v>629</v>
      </c>
      <c r="G755" s="17">
        <v>0.92569444444444438</v>
      </c>
      <c r="H755" s="17">
        <v>0.94513888888888886</v>
      </c>
      <c r="I755" s="9">
        <v>21360</v>
      </c>
      <c r="J755" s="9">
        <v>9610</v>
      </c>
      <c r="K755" s="10">
        <f t="shared" si="29"/>
        <v>11750</v>
      </c>
      <c r="L755" s="10">
        <v>23658</v>
      </c>
      <c r="M755" s="11" t="s">
        <v>1041</v>
      </c>
      <c r="N755" s="12">
        <v>12</v>
      </c>
      <c r="O755" s="13" t="s">
        <v>855</v>
      </c>
      <c r="P755" s="14"/>
    </row>
    <row r="756" spans="1:16" x14ac:dyDescent="0.25">
      <c r="A756" s="6"/>
      <c r="B756" s="7">
        <v>44278</v>
      </c>
      <c r="C756" s="8" t="s">
        <v>984</v>
      </c>
      <c r="D756" s="8" t="s">
        <v>1672</v>
      </c>
      <c r="E756" s="9" t="s">
        <v>881</v>
      </c>
      <c r="F756" s="9" t="s">
        <v>749</v>
      </c>
      <c r="G756" s="17">
        <v>0.93541666666666667</v>
      </c>
      <c r="H756" s="17">
        <v>0.94097222222222221</v>
      </c>
      <c r="I756" s="9">
        <v>20450</v>
      </c>
      <c r="J756" s="9">
        <v>16740</v>
      </c>
      <c r="K756" s="10">
        <f t="shared" si="29"/>
        <v>3710</v>
      </c>
      <c r="L756" s="10">
        <v>23658</v>
      </c>
      <c r="M756" s="11" t="s">
        <v>1041</v>
      </c>
      <c r="N756" s="12">
        <v>3.6</v>
      </c>
      <c r="O756" s="13" t="s">
        <v>855</v>
      </c>
      <c r="P756" s="14"/>
    </row>
    <row r="757" spans="1:16" x14ac:dyDescent="0.25">
      <c r="A757" s="6"/>
      <c r="B757" s="7">
        <v>44278</v>
      </c>
      <c r="C757" s="8" t="s">
        <v>1616</v>
      </c>
      <c r="D757" s="8" t="s">
        <v>1055</v>
      </c>
      <c r="E757" s="9" t="s">
        <v>39</v>
      </c>
      <c r="F757" s="9" t="s">
        <v>36</v>
      </c>
      <c r="G757" s="17">
        <v>0.94374999999999998</v>
      </c>
      <c r="H757" s="17">
        <v>0.9868055555555556</v>
      </c>
      <c r="I757" s="9">
        <v>17510</v>
      </c>
      <c r="J757" s="9">
        <v>6360</v>
      </c>
      <c r="K757" s="10">
        <f t="shared" si="29"/>
        <v>11150</v>
      </c>
      <c r="L757" s="10">
        <v>267066</v>
      </c>
      <c r="M757" s="11" t="s">
        <v>2252</v>
      </c>
      <c r="N757" s="12">
        <v>11150</v>
      </c>
      <c r="O757" s="13" t="s">
        <v>683</v>
      </c>
      <c r="P757" s="14"/>
    </row>
    <row r="758" spans="1:16" x14ac:dyDescent="0.25">
      <c r="A758" s="6"/>
      <c r="B758" s="7">
        <v>44278</v>
      </c>
      <c r="C758" s="8" t="s">
        <v>1431</v>
      </c>
      <c r="D758" s="8" t="s">
        <v>94</v>
      </c>
      <c r="E758" s="9" t="s">
        <v>1774</v>
      </c>
      <c r="F758" s="9" t="s">
        <v>1775</v>
      </c>
      <c r="G758" s="17">
        <v>0.9506944444444444</v>
      </c>
      <c r="H758" s="17">
        <v>0.96736111111111101</v>
      </c>
      <c r="I758" s="9">
        <v>10290</v>
      </c>
      <c r="J758" s="9">
        <v>7570</v>
      </c>
      <c r="K758" s="10">
        <f t="shared" si="29"/>
        <v>2720</v>
      </c>
      <c r="L758" s="10">
        <v>23659</v>
      </c>
      <c r="M758" s="11" t="s">
        <v>1041</v>
      </c>
      <c r="N758" s="12">
        <v>2720</v>
      </c>
      <c r="O758" s="13" t="s">
        <v>683</v>
      </c>
      <c r="P758" s="14"/>
    </row>
    <row r="759" spans="1:16" x14ac:dyDescent="0.25">
      <c r="A759" s="6"/>
      <c r="B759" s="7">
        <v>44278</v>
      </c>
      <c r="C759" s="8" t="s">
        <v>320</v>
      </c>
      <c r="D759" s="8" t="s">
        <v>94</v>
      </c>
      <c r="E759" s="9" t="s">
        <v>1774</v>
      </c>
      <c r="F759" s="9" t="s">
        <v>1775</v>
      </c>
      <c r="G759" s="17">
        <v>0.99930555555555556</v>
      </c>
      <c r="H759" s="17">
        <v>6.9444444444444441E-3</v>
      </c>
      <c r="I759" s="9">
        <v>8670</v>
      </c>
      <c r="J759" s="9">
        <v>7520</v>
      </c>
      <c r="K759" s="10">
        <f t="shared" si="29"/>
        <v>1150</v>
      </c>
      <c r="L759" s="10">
        <v>24737</v>
      </c>
      <c r="M759" s="11" t="s">
        <v>1041</v>
      </c>
      <c r="N759" s="12">
        <v>1.2</v>
      </c>
      <c r="O759" s="13" t="s">
        <v>855</v>
      </c>
      <c r="P759" s="14"/>
    </row>
    <row r="760" spans="1:16" x14ac:dyDescent="0.25">
      <c r="A760" s="6"/>
      <c r="B760" s="7">
        <v>44279</v>
      </c>
      <c r="C760" s="8" t="s">
        <v>971</v>
      </c>
      <c r="D760" s="8" t="s">
        <v>202</v>
      </c>
      <c r="E760" s="9" t="s">
        <v>604</v>
      </c>
      <c r="F760" s="9" t="s">
        <v>36</v>
      </c>
      <c r="G760" s="17">
        <v>0.17291666666666669</v>
      </c>
      <c r="H760" s="17">
        <v>0.22430555555555556</v>
      </c>
      <c r="I760" s="9">
        <v>8660</v>
      </c>
      <c r="J760" s="9">
        <v>4200</v>
      </c>
      <c r="K760" s="10">
        <f t="shared" si="29"/>
        <v>4460</v>
      </c>
      <c r="L760" s="10">
        <v>119</v>
      </c>
      <c r="M760" s="11" t="s">
        <v>731</v>
      </c>
      <c r="N760" s="12">
        <v>7237</v>
      </c>
      <c r="O760" s="13" t="s">
        <v>49</v>
      </c>
      <c r="P760" s="14"/>
    </row>
    <row r="761" spans="1:16" x14ac:dyDescent="0.25">
      <c r="A761" s="6"/>
      <c r="B761" s="7">
        <v>44279</v>
      </c>
      <c r="C761" s="8" t="s">
        <v>1789</v>
      </c>
      <c r="D761" s="8" t="s">
        <v>999</v>
      </c>
      <c r="E761" s="9" t="s">
        <v>1000</v>
      </c>
      <c r="F761" s="9" t="s">
        <v>36</v>
      </c>
      <c r="G761" s="17">
        <v>0.27430555555555552</v>
      </c>
      <c r="H761" s="17">
        <v>0.27986111111111112</v>
      </c>
      <c r="I761" s="9">
        <v>2190</v>
      </c>
      <c r="J761" s="9">
        <v>1900</v>
      </c>
      <c r="K761" s="10">
        <f t="shared" si="29"/>
        <v>290</v>
      </c>
      <c r="L761" s="10">
        <v>26707</v>
      </c>
      <c r="M761" s="11" t="s">
        <v>965</v>
      </c>
      <c r="N761" s="12"/>
      <c r="O761" s="13" t="s">
        <v>683</v>
      </c>
      <c r="P761" s="14"/>
    </row>
    <row r="762" spans="1:16" x14ac:dyDescent="0.25">
      <c r="A762" s="6"/>
      <c r="B762" s="15">
        <v>44279</v>
      </c>
      <c r="C762" s="8" t="s">
        <v>142</v>
      </c>
      <c r="D762" s="8" t="s">
        <v>1656</v>
      </c>
      <c r="E762" s="9" t="s">
        <v>87</v>
      </c>
      <c r="F762" s="9" t="s">
        <v>88</v>
      </c>
      <c r="G762" s="17">
        <v>0.27499999999999997</v>
      </c>
      <c r="H762" s="17">
        <v>0.28750000000000003</v>
      </c>
      <c r="I762" s="9">
        <v>45980</v>
      </c>
      <c r="J762" s="9">
        <v>19540</v>
      </c>
      <c r="K762" s="10">
        <f t="shared" si="29"/>
        <v>26440</v>
      </c>
      <c r="L762" s="10">
        <v>791</v>
      </c>
      <c r="M762" s="11" t="s">
        <v>2211</v>
      </c>
      <c r="N762" s="12">
        <v>26556</v>
      </c>
      <c r="O762" s="13" t="s">
        <v>32</v>
      </c>
      <c r="P762" s="14"/>
    </row>
    <row r="763" spans="1:16" x14ac:dyDescent="0.25">
      <c r="A763" s="6"/>
      <c r="B763" s="7">
        <v>44279</v>
      </c>
      <c r="C763" s="8" t="s">
        <v>2253</v>
      </c>
      <c r="D763" s="8" t="s">
        <v>2254</v>
      </c>
      <c r="E763" s="9" t="s">
        <v>2255</v>
      </c>
      <c r="F763" s="9" t="s">
        <v>36</v>
      </c>
      <c r="G763" s="17">
        <v>0.37638888888888888</v>
      </c>
      <c r="H763" s="17">
        <v>0.56111111111111112</v>
      </c>
      <c r="I763" s="9">
        <v>13760</v>
      </c>
      <c r="J763" s="9">
        <v>40260</v>
      </c>
      <c r="K763" s="10">
        <f t="shared" si="29"/>
        <v>-26500</v>
      </c>
      <c r="L763" s="10">
        <v>5899</v>
      </c>
      <c r="M763" s="11" t="s">
        <v>53</v>
      </c>
      <c r="N763" s="12">
        <v>530</v>
      </c>
      <c r="O763" s="13" t="s">
        <v>1099</v>
      </c>
      <c r="P763" s="14"/>
    </row>
    <row r="764" spans="1:16" x14ac:dyDescent="0.25">
      <c r="A764" s="6"/>
      <c r="B764" s="7">
        <v>44279</v>
      </c>
      <c r="C764" s="8" t="s">
        <v>2253</v>
      </c>
      <c r="D764" s="8" t="s">
        <v>2221</v>
      </c>
      <c r="E764" s="9" t="s">
        <v>2222</v>
      </c>
      <c r="F764" s="9" t="s">
        <v>36</v>
      </c>
      <c r="G764" s="17">
        <v>0.38680555555555557</v>
      </c>
      <c r="H764" s="17">
        <v>0.56319444444444444</v>
      </c>
      <c r="I764" s="9">
        <v>17630</v>
      </c>
      <c r="J764" s="9">
        <v>44130</v>
      </c>
      <c r="K764" s="10">
        <f t="shared" si="29"/>
        <v>-26500</v>
      </c>
      <c r="L764" s="10">
        <v>5900</v>
      </c>
      <c r="M764" s="11" t="s">
        <v>53</v>
      </c>
      <c r="N764" s="12">
        <v>530</v>
      </c>
      <c r="O764" s="13" t="s">
        <v>1099</v>
      </c>
      <c r="P764" s="14"/>
    </row>
    <row r="765" spans="1:16" x14ac:dyDescent="0.25">
      <c r="A765" s="6"/>
      <c r="B765" s="7">
        <v>44279</v>
      </c>
      <c r="C765" s="8" t="s">
        <v>208</v>
      </c>
      <c r="D765" s="8" t="s">
        <v>899</v>
      </c>
      <c r="E765" s="9" t="s">
        <v>490</v>
      </c>
      <c r="F765" s="9" t="s">
        <v>491</v>
      </c>
      <c r="G765" s="17">
        <v>0.42499999999999999</v>
      </c>
      <c r="H765" s="17">
        <v>0.44236111111111115</v>
      </c>
      <c r="I765" s="9">
        <v>38440</v>
      </c>
      <c r="J765" s="9">
        <v>18410</v>
      </c>
      <c r="K765" s="10">
        <f t="shared" si="29"/>
        <v>20030</v>
      </c>
      <c r="L765" s="10">
        <v>4883</v>
      </c>
      <c r="M765" s="11" t="s">
        <v>442</v>
      </c>
      <c r="N765" s="12">
        <v>20020</v>
      </c>
      <c r="O765" s="13" t="s">
        <v>32</v>
      </c>
      <c r="P765" s="14"/>
    </row>
    <row r="766" spans="1:16" x14ac:dyDescent="0.25">
      <c r="A766" s="6"/>
      <c r="B766" s="7">
        <v>44279</v>
      </c>
      <c r="C766" s="8" t="s">
        <v>1843</v>
      </c>
      <c r="D766" s="8" t="s">
        <v>1084</v>
      </c>
      <c r="E766" s="9" t="s">
        <v>1174</v>
      </c>
      <c r="F766" s="9" t="s">
        <v>2190</v>
      </c>
      <c r="G766" s="17">
        <v>0.46527777777777773</v>
      </c>
      <c r="H766" s="17">
        <v>0.47291666666666665</v>
      </c>
      <c r="I766" s="9">
        <v>5950</v>
      </c>
      <c r="J766" s="9">
        <v>5390</v>
      </c>
      <c r="K766" s="10">
        <f t="shared" si="29"/>
        <v>560</v>
      </c>
      <c r="L766" s="10">
        <v>20196</v>
      </c>
      <c r="M766" s="11" t="s">
        <v>1873</v>
      </c>
      <c r="N766" s="12">
        <v>560</v>
      </c>
      <c r="O766" s="13" t="s">
        <v>32</v>
      </c>
      <c r="P766" s="14" t="s">
        <v>883</v>
      </c>
    </row>
    <row r="767" spans="1:16" x14ac:dyDescent="0.25">
      <c r="A767" s="6"/>
      <c r="B767" s="7">
        <v>44279</v>
      </c>
      <c r="C767" s="8" t="s">
        <v>2253</v>
      </c>
      <c r="D767" s="8" t="s">
        <v>2256</v>
      </c>
      <c r="E767" s="9" t="s">
        <v>2257</v>
      </c>
      <c r="F767" s="9" t="s">
        <v>36</v>
      </c>
      <c r="G767" s="17">
        <v>0.46736111111111112</v>
      </c>
      <c r="H767" s="17">
        <v>0.61249999999999993</v>
      </c>
      <c r="I767" s="9">
        <v>16750</v>
      </c>
      <c r="J767" s="9">
        <v>43250</v>
      </c>
      <c r="K767" s="10">
        <f t="shared" si="29"/>
        <v>-26500</v>
      </c>
      <c r="L767" s="10">
        <v>5901</v>
      </c>
      <c r="M767" s="11" t="s">
        <v>53</v>
      </c>
      <c r="N767" s="12">
        <v>530</v>
      </c>
      <c r="O767" s="13" t="s">
        <v>1099</v>
      </c>
      <c r="P767" s="14"/>
    </row>
    <row r="768" spans="1:16" x14ac:dyDescent="0.25">
      <c r="A768" s="6"/>
      <c r="B768" s="7">
        <v>44279</v>
      </c>
      <c r="C768" s="8" t="s">
        <v>2253</v>
      </c>
      <c r="D768" s="8" t="s">
        <v>2223</v>
      </c>
      <c r="E768" s="9" t="s">
        <v>2224</v>
      </c>
      <c r="F768" s="9" t="s">
        <v>36</v>
      </c>
      <c r="G768" s="17">
        <v>0.47152777777777777</v>
      </c>
      <c r="H768" s="17">
        <v>0.59861111111111109</v>
      </c>
      <c r="I768" s="9">
        <v>17680</v>
      </c>
      <c r="J768" s="9">
        <v>44180</v>
      </c>
      <c r="K768" s="10">
        <f t="shared" si="29"/>
        <v>-26500</v>
      </c>
      <c r="L768" s="10">
        <v>5902</v>
      </c>
      <c r="M768" s="11" t="s">
        <v>53</v>
      </c>
      <c r="N768" s="12">
        <v>530</v>
      </c>
      <c r="O768" s="13" t="s">
        <v>1099</v>
      </c>
      <c r="P768" s="14"/>
    </row>
    <row r="769" spans="1:16" x14ac:dyDescent="0.25">
      <c r="A769" s="6"/>
      <c r="B769" s="7">
        <v>44279</v>
      </c>
      <c r="C769" s="8" t="s">
        <v>2253</v>
      </c>
      <c r="D769" s="8" t="s">
        <v>2237</v>
      </c>
      <c r="E769" s="9" t="s">
        <v>2238</v>
      </c>
      <c r="F769" s="9" t="s">
        <v>36</v>
      </c>
      <c r="G769" s="17">
        <v>0.47361111111111115</v>
      </c>
      <c r="H769" s="17">
        <v>0.6743055555555556</v>
      </c>
      <c r="I769" s="9">
        <v>14860</v>
      </c>
      <c r="J769" s="9">
        <v>41360</v>
      </c>
      <c r="K769" s="10">
        <f t="shared" si="29"/>
        <v>-26500</v>
      </c>
      <c r="L769" s="10">
        <v>5904</v>
      </c>
      <c r="M769" s="11" t="s">
        <v>53</v>
      </c>
      <c r="N769" s="12">
        <v>530</v>
      </c>
      <c r="O769" s="13" t="s">
        <v>1099</v>
      </c>
      <c r="P769" s="14"/>
    </row>
    <row r="770" spans="1:16" x14ac:dyDescent="0.25">
      <c r="A770" s="6"/>
      <c r="B770" s="7">
        <v>44279</v>
      </c>
      <c r="C770" s="8" t="s">
        <v>2253</v>
      </c>
      <c r="D770" s="8" t="s">
        <v>2258</v>
      </c>
      <c r="E770" s="9" t="s">
        <v>2259</v>
      </c>
      <c r="F770" s="9" t="s">
        <v>36</v>
      </c>
      <c r="G770" s="17">
        <v>0.48125000000000001</v>
      </c>
      <c r="H770" s="17">
        <v>0.67708333333333337</v>
      </c>
      <c r="I770" s="9">
        <v>16680</v>
      </c>
      <c r="J770" s="9">
        <v>43180</v>
      </c>
      <c r="K770" s="10">
        <f t="shared" si="29"/>
        <v>-26500</v>
      </c>
      <c r="L770" s="10">
        <v>5903</v>
      </c>
      <c r="M770" s="11" t="s">
        <v>53</v>
      </c>
      <c r="N770" s="12">
        <v>530</v>
      </c>
      <c r="O770" s="13" t="s">
        <v>1099</v>
      </c>
      <c r="P770" s="14"/>
    </row>
    <row r="771" spans="1:16" x14ac:dyDescent="0.25">
      <c r="A771" s="6"/>
      <c r="B771" s="7">
        <v>44279</v>
      </c>
      <c r="C771" s="8" t="s">
        <v>2260</v>
      </c>
      <c r="D771" s="8" t="s">
        <v>1794</v>
      </c>
      <c r="E771" s="9" t="s">
        <v>628</v>
      </c>
      <c r="F771" s="9" t="s">
        <v>629</v>
      </c>
      <c r="G771" s="17">
        <v>0.55763888888888891</v>
      </c>
      <c r="H771" s="17">
        <v>0.56527777777777777</v>
      </c>
      <c r="I771" s="9">
        <v>12960</v>
      </c>
      <c r="J771" s="9">
        <v>9740</v>
      </c>
      <c r="K771" s="10">
        <f t="shared" si="29"/>
        <v>3220</v>
      </c>
      <c r="L771" s="10" t="s">
        <v>2261</v>
      </c>
      <c r="M771" s="11" t="s">
        <v>2262</v>
      </c>
      <c r="N771" s="12">
        <v>2.8</v>
      </c>
      <c r="O771" s="13" t="s">
        <v>855</v>
      </c>
      <c r="P771" s="14"/>
    </row>
    <row r="772" spans="1:16" x14ac:dyDescent="0.25">
      <c r="A772" s="6"/>
      <c r="B772" s="7">
        <v>44279</v>
      </c>
      <c r="C772" s="8" t="s">
        <v>1081</v>
      </c>
      <c r="D772" s="8" t="s">
        <v>94</v>
      </c>
      <c r="E772" s="9" t="s">
        <v>1774</v>
      </c>
      <c r="F772" s="9" t="s">
        <v>1775</v>
      </c>
      <c r="G772" s="17">
        <v>0.5756944444444444</v>
      </c>
      <c r="H772" s="17">
        <v>0.58472222222222225</v>
      </c>
      <c r="I772" s="9">
        <v>13735</v>
      </c>
      <c r="J772" s="9">
        <v>7520</v>
      </c>
      <c r="K772" s="10">
        <f t="shared" si="29"/>
        <v>6215</v>
      </c>
      <c r="L772" s="10">
        <v>23662</v>
      </c>
      <c r="M772" s="11" t="s">
        <v>1041</v>
      </c>
      <c r="N772" s="12">
        <v>6215</v>
      </c>
      <c r="O772" s="13" t="s">
        <v>32</v>
      </c>
      <c r="P772" s="14" t="s">
        <v>1868</v>
      </c>
    </row>
    <row r="773" spans="1:16" x14ac:dyDescent="0.25">
      <c r="A773" s="6"/>
      <c r="B773" s="7">
        <v>44279</v>
      </c>
      <c r="C773" s="8" t="s">
        <v>2263</v>
      </c>
      <c r="D773" s="8" t="s">
        <v>2264</v>
      </c>
      <c r="E773" s="9" t="s">
        <v>2265</v>
      </c>
      <c r="F773" s="9" t="s">
        <v>36</v>
      </c>
      <c r="G773" s="17">
        <v>0.61388888888888882</v>
      </c>
      <c r="H773" s="17">
        <v>0.63194444444444442</v>
      </c>
      <c r="I773" s="9">
        <v>4890</v>
      </c>
      <c r="J773" s="9">
        <v>2700</v>
      </c>
      <c r="K773" s="10">
        <f t="shared" si="29"/>
        <v>2190</v>
      </c>
      <c r="L773" s="10">
        <v>26708</v>
      </c>
      <c r="M773" s="11" t="s">
        <v>965</v>
      </c>
      <c r="N773" s="12">
        <v>2190</v>
      </c>
      <c r="O773" s="13" t="s">
        <v>32</v>
      </c>
      <c r="P773" s="14"/>
    </row>
    <row r="774" spans="1:16" x14ac:dyDescent="0.25">
      <c r="A774" s="6"/>
      <c r="B774" s="7">
        <v>44279</v>
      </c>
      <c r="C774" s="7" t="s">
        <v>1601</v>
      </c>
      <c r="D774" s="8" t="s">
        <v>2266</v>
      </c>
      <c r="E774" s="9" t="s">
        <v>2267</v>
      </c>
      <c r="F774" s="9" t="s">
        <v>36</v>
      </c>
      <c r="G774" s="17">
        <v>0.61597222222222225</v>
      </c>
      <c r="H774" s="17">
        <v>0.64513888888888882</v>
      </c>
      <c r="I774" s="9">
        <v>7640</v>
      </c>
      <c r="J774" s="9">
        <v>4030</v>
      </c>
      <c r="K774" s="10">
        <f t="shared" si="29"/>
        <v>3610</v>
      </c>
      <c r="L774" s="10">
        <v>141268</v>
      </c>
      <c r="M774" s="11" t="s">
        <v>478</v>
      </c>
      <c r="N774" s="12">
        <v>30000</v>
      </c>
      <c r="O774" s="13" t="s">
        <v>1099</v>
      </c>
      <c r="P774" s="14"/>
    </row>
    <row r="775" spans="1:16" x14ac:dyDescent="0.25">
      <c r="A775" s="6"/>
      <c r="B775" s="7">
        <v>44279</v>
      </c>
      <c r="C775" s="7" t="s">
        <v>962</v>
      </c>
      <c r="D775" s="8" t="s">
        <v>2268</v>
      </c>
      <c r="E775" s="9" t="s">
        <v>2241</v>
      </c>
      <c r="F775" s="9" t="s">
        <v>36</v>
      </c>
      <c r="G775" s="17">
        <v>0.62916666666666665</v>
      </c>
      <c r="H775" s="17">
        <v>0.65416666666666667</v>
      </c>
      <c r="I775" s="9">
        <v>2190</v>
      </c>
      <c r="J775" s="9">
        <v>1170</v>
      </c>
      <c r="K775" s="10">
        <f t="shared" si="29"/>
        <v>1020</v>
      </c>
      <c r="L775" s="10">
        <v>26709</v>
      </c>
      <c r="M775" s="11" t="s">
        <v>965</v>
      </c>
      <c r="N775" s="12">
        <v>1020</v>
      </c>
      <c r="O775" s="13" t="s">
        <v>32</v>
      </c>
      <c r="P775" s="14"/>
    </row>
    <row r="776" spans="1:16" x14ac:dyDescent="0.25">
      <c r="A776" s="6"/>
      <c r="B776" s="7">
        <v>44279</v>
      </c>
      <c r="C776" s="8" t="s">
        <v>188</v>
      </c>
      <c r="D776" s="8" t="s">
        <v>284</v>
      </c>
      <c r="E776" s="9" t="s">
        <v>177</v>
      </c>
      <c r="F776" s="9" t="s">
        <v>178</v>
      </c>
      <c r="G776" s="17">
        <v>0.63402777777777775</v>
      </c>
      <c r="H776" s="17">
        <v>0.7055555555555556</v>
      </c>
      <c r="I776" s="9">
        <v>14560</v>
      </c>
      <c r="J776" s="9">
        <v>49660</v>
      </c>
      <c r="K776" s="10">
        <f t="shared" si="29"/>
        <v>-35100</v>
      </c>
      <c r="L776" s="10">
        <v>5905</v>
      </c>
      <c r="M776" s="11" t="s">
        <v>53</v>
      </c>
      <c r="N776" s="12">
        <v>700</v>
      </c>
      <c r="O776" s="13" t="s">
        <v>1099</v>
      </c>
      <c r="P776" s="14"/>
    </row>
    <row r="777" spans="1:16" x14ac:dyDescent="0.25">
      <c r="A777" s="6"/>
      <c r="B777" s="7">
        <v>44279</v>
      </c>
      <c r="C777" s="7" t="s">
        <v>2269</v>
      </c>
      <c r="D777" s="8" t="s">
        <v>2270</v>
      </c>
      <c r="E777" s="9" t="s">
        <v>201</v>
      </c>
      <c r="F777" s="9" t="s">
        <v>36</v>
      </c>
      <c r="G777" s="17">
        <v>0.64652777777777781</v>
      </c>
      <c r="H777" s="17">
        <v>0.68888888888888899</v>
      </c>
      <c r="I777" s="9">
        <v>9460</v>
      </c>
      <c r="J777" s="9">
        <v>4260</v>
      </c>
      <c r="K777" s="10">
        <f t="shared" si="29"/>
        <v>5200</v>
      </c>
      <c r="L777" s="10">
        <v>4280</v>
      </c>
      <c r="M777" s="11" t="s">
        <v>48</v>
      </c>
      <c r="N777" s="12">
        <v>11815</v>
      </c>
      <c r="O777" s="13" t="s">
        <v>49</v>
      </c>
      <c r="P777" s="14"/>
    </row>
    <row r="778" spans="1:16" x14ac:dyDescent="0.25">
      <c r="A778" s="6"/>
      <c r="B778" s="7">
        <v>44279</v>
      </c>
      <c r="C778" s="8" t="s">
        <v>208</v>
      </c>
      <c r="D778" s="8" t="s">
        <v>899</v>
      </c>
      <c r="E778" s="9" t="s">
        <v>490</v>
      </c>
      <c r="F778" s="9" t="s">
        <v>491</v>
      </c>
      <c r="G778" s="17">
        <v>0.64930555555555558</v>
      </c>
      <c r="H778" s="17">
        <v>0.67847222222222225</v>
      </c>
      <c r="I778" s="9">
        <v>43260</v>
      </c>
      <c r="J778" s="9">
        <v>18400</v>
      </c>
      <c r="K778" s="10">
        <f t="shared" si="29"/>
        <v>24860</v>
      </c>
      <c r="L778" s="10">
        <v>4884</v>
      </c>
      <c r="M778" s="11" t="s">
        <v>2198</v>
      </c>
      <c r="N778" s="12">
        <v>24870</v>
      </c>
      <c r="O778" s="13" t="s">
        <v>32</v>
      </c>
      <c r="P778" s="14"/>
    </row>
    <row r="779" spans="1:16" x14ac:dyDescent="0.25">
      <c r="A779" s="6"/>
      <c r="B779" s="7">
        <v>44279</v>
      </c>
      <c r="C779" s="8" t="s">
        <v>188</v>
      </c>
      <c r="D779" s="8" t="s">
        <v>853</v>
      </c>
      <c r="E779" s="9" t="s">
        <v>51</v>
      </c>
      <c r="F779" s="9" t="s">
        <v>52</v>
      </c>
      <c r="G779" s="17">
        <v>0.65833333333333333</v>
      </c>
      <c r="H779" s="17">
        <v>0.71944444444444444</v>
      </c>
      <c r="I779" s="9">
        <v>16080</v>
      </c>
      <c r="J779" s="9">
        <v>51180</v>
      </c>
      <c r="K779" s="10">
        <f t="shared" si="29"/>
        <v>-35100</v>
      </c>
      <c r="L779" s="10">
        <v>5906</v>
      </c>
      <c r="M779" s="11" t="s">
        <v>53</v>
      </c>
      <c r="N779" s="12">
        <v>700</v>
      </c>
      <c r="O779" s="13" t="s">
        <v>1099</v>
      </c>
      <c r="P779" s="14"/>
    </row>
    <row r="780" spans="1:16" x14ac:dyDescent="0.25">
      <c r="A780" s="6"/>
      <c r="B780" s="7">
        <v>44279</v>
      </c>
      <c r="C780" s="7" t="s">
        <v>2271</v>
      </c>
      <c r="D780" s="8" t="s">
        <v>1850</v>
      </c>
      <c r="E780" s="9" t="s">
        <v>144</v>
      </c>
      <c r="F780" s="9" t="s">
        <v>626</v>
      </c>
      <c r="G780" s="17">
        <v>0.68125000000000002</v>
      </c>
      <c r="H780" s="17">
        <v>0.69097222222222221</v>
      </c>
      <c r="I780" s="9">
        <v>33270</v>
      </c>
      <c r="J780" s="9">
        <v>15600</v>
      </c>
      <c r="K780" s="10">
        <f t="shared" si="29"/>
        <v>17670</v>
      </c>
      <c r="L780" s="10" t="s">
        <v>2272</v>
      </c>
      <c r="M780" s="11" t="s">
        <v>1515</v>
      </c>
      <c r="N780" s="12">
        <v>18.7</v>
      </c>
      <c r="O780" s="13" t="s">
        <v>855</v>
      </c>
      <c r="P780" s="14"/>
    </row>
    <row r="781" spans="1:16" x14ac:dyDescent="0.25">
      <c r="A781" s="6"/>
      <c r="B781" s="7">
        <v>44279</v>
      </c>
      <c r="C781" s="8" t="s">
        <v>2123</v>
      </c>
      <c r="D781" s="8" t="s">
        <v>994</v>
      </c>
      <c r="E781" s="9" t="s">
        <v>995</v>
      </c>
      <c r="F781" s="9" t="s">
        <v>36</v>
      </c>
      <c r="G781" s="17">
        <v>0.68680555555555556</v>
      </c>
      <c r="H781" s="17">
        <v>0.70763888888888893</v>
      </c>
      <c r="I781" s="9">
        <v>7250</v>
      </c>
      <c r="J781" s="9">
        <v>3230</v>
      </c>
      <c r="K781" s="10">
        <f t="shared" si="29"/>
        <v>4020</v>
      </c>
      <c r="L781" s="10">
        <v>26710</v>
      </c>
      <c r="M781" s="11" t="s">
        <v>965</v>
      </c>
      <c r="N781" s="12">
        <v>4020</v>
      </c>
      <c r="O781" s="13" t="s">
        <v>32</v>
      </c>
      <c r="P781" s="14"/>
    </row>
    <row r="782" spans="1:16" x14ac:dyDescent="0.25">
      <c r="A782" s="6"/>
      <c r="B782" s="7">
        <v>44279</v>
      </c>
      <c r="C782" s="7" t="s">
        <v>950</v>
      </c>
      <c r="D782" s="8" t="s">
        <v>1794</v>
      </c>
      <c r="E782" s="9" t="s">
        <v>628</v>
      </c>
      <c r="F782" s="9" t="s">
        <v>629</v>
      </c>
      <c r="G782" s="17">
        <v>0.6875</v>
      </c>
      <c r="H782" s="17">
        <v>0.69444444444444453</v>
      </c>
      <c r="I782" s="9">
        <v>16490</v>
      </c>
      <c r="J782" s="9">
        <v>9670</v>
      </c>
      <c r="K782" s="10">
        <f t="shared" si="29"/>
        <v>6820</v>
      </c>
      <c r="L782" s="10">
        <v>23665</v>
      </c>
      <c r="M782" s="11" t="s">
        <v>978</v>
      </c>
      <c r="N782" s="12">
        <v>6</v>
      </c>
      <c r="O782" s="13" t="s">
        <v>855</v>
      </c>
      <c r="P782" s="14"/>
    </row>
    <row r="783" spans="1:16" x14ac:dyDescent="0.25">
      <c r="A783" s="6"/>
      <c r="B783" s="7">
        <v>44279</v>
      </c>
      <c r="C783" s="8" t="s">
        <v>188</v>
      </c>
      <c r="D783" s="8" t="s">
        <v>1355</v>
      </c>
      <c r="E783" s="9" t="s">
        <v>1048</v>
      </c>
      <c r="F783" s="9" t="s">
        <v>526</v>
      </c>
      <c r="G783" s="17">
        <v>0.69027777777777777</v>
      </c>
      <c r="H783" s="17">
        <v>0.73749999999999993</v>
      </c>
      <c r="I783" s="9">
        <v>17010</v>
      </c>
      <c r="J783" s="9">
        <v>47080</v>
      </c>
      <c r="K783" s="10">
        <f t="shared" si="29"/>
        <v>-30070</v>
      </c>
      <c r="L783" s="10">
        <v>5907</v>
      </c>
      <c r="M783" s="11" t="s">
        <v>53</v>
      </c>
      <c r="N783" s="12">
        <v>600</v>
      </c>
      <c r="O783" s="13" t="s">
        <v>1099</v>
      </c>
      <c r="P783" s="14"/>
    </row>
    <row r="784" spans="1:16" x14ac:dyDescent="0.25">
      <c r="A784" s="6"/>
      <c r="B784" s="7">
        <v>44279</v>
      </c>
      <c r="C784" s="8" t="s">
        <v>2123</v>
      </c>
      <c r="D784" s="8" t="s">
        <v>183</v>
      </c>
      <c r="E784" s="9" t="s">
        <v>2044</v>
      </c>
      <c r="F784" s="9" t="s">
        <v>36</v>
      </c>
      <c r="G784" s="17">
        <v>0.69305555555555554</v>
      </c>
      <c r="H784" s="17">
        <v>0.71111111111111114</v>
      </c>
      <c r="I784" s="9">
        <v>3380</v>
      </c>
      <c r="J784" s="9">
        <v>2150</v>
      </c>
      <c r="K784" s="10">
        <f t="shared" si="29"/>
        <v>1230</v>
      </c>
      <c r="L784" s="10">
        <v>26711</v>
      </c>
      <c r="M784" s="11" t="s">
        <v>965</v>
      </c>
      <c r="N784" s="12">
        <v>1230</v>
      </c>
      <c r="O784" s="13" t="s">
        <v>32</v>
      </c>
      <c r="P784" s="14"/>
    </row>
    <row r="785" spans="1:20" x14ac:dyDescent="0.25">
      <c r="A785" s="6"/>
      <c r="B785" s="7">
        <v>44279</v>
      </c>
      <c r="C785" s="8" t="s">
        <v>957</v>
      </c>
      <c r="D785" s="8" t="s">
        <v>1850</v>
      </c>
      <c r="E785" s="9" t="s">
        <v>144</v>
      </c>
      <c r="F785" s="9" t="s">
        <v>626</v>
      </c>
      <c r="G785" s="17">
        <v>0.71527777777777779</v>
      </c>
      <c r="H785" s="17">
        <v>0.7729166666666667</v>
      </c>
      <c r="I785" s="9">
        <v>18010</v>
      </c>
      <c r="J785" s="9">
        <v>37870</v>
      </c>
      <c r="K785" s="10">
        <f>+I785-J785</f>
        <v>-19860</v>
      </c>
      <c r="L785" s="10">
        <v>5908</v>
      </c>
      <c r="M785" s="11" t="s">
        <v>664</v>
      </c>
      <c r="N785" s="12">
        <v>5715</v>
      </c>
      <c r="O785" s="13" t="s">
        <v>84</v>
      </c>
      <c r="P785" s="14"/>
    </row>
    <row r="786" spans="1:20" x14ac:dyDescent="0.25">
      <c r="A786" s="6"/>
      <c r="B786" s="7">
        <v>44279</v>
      </c>
      <c r="C786" s="8" t="s">
        <v>208</v>
      </c>
      <c r="D786" s="8" t="s">
        <v>899</v>
      </c>
      <c r="E786" s="9" t="s">
        <v>490</v>
      </c>
      <c r="F786" s="9" t="s">
        <v>491</v>
      </c>
      <c r="G786" s="17">
        <v>0.75624999999999998</v>
      </c>
      <c r="H786" s="17">
        <v>0.76250000000000007</v>
      </c>
      <c r="I786" s="9">
        <v>40790</v>
      </c>
      <c r="J786" s="9">
        <v>18460</v>
      </c>
      <c r="K786" s="10">
        <f t="shared" si="29"/>
        <v>22330</v>
      </c>
      <c r="L786" s="10">
        <v>41304</v>
      </c>
      <c r="M786" s="11" t="s">
        <v>2198</v>
      </c>
      <c r="N786" s="12">
        <v>22410</v>
      </c>
      <c r="O786" s="13" t="s">
        <v>32</v>
      </c>
      <c r="P786" s="14"/>
    </row>
    <row r="787" spans="1:20" x14ac:dyDescent="0.25">
      <c r="A787" s="6"/>
      <c r="B787" s="7">
        <v>44279</v>
      </c>
      <c r="C787" s="8" t="s">
        <v>2123</v>
      </c>
      <c r="D787" s="8" t="s">
        <v>1674</v>
      </c>
      <c r="E787" s="9" t="s">
        <v>1675</v>
      </c>
      <c r="F787" s="9" t="s">
        <v>36</v>
      </c>
      <c r="G787" s="17">
        <v>0.75763888888888886</v>
      </c>
      <c r="H787" s="17">
        <v>0.78472222222222221</v>
      </c>
      <c r="I787" s="9">
        <v>6890</v>
      </c>
      <c r="J787" s="9">
        <v>2690</v>
      </c>
      <c r="K787" s="10">
        <f t="shared" si="29"/>
        <v>4200</v>
      </c>
      <c r="L787" s="10">
        <v>26713</v>
      </c>
      <c r="M787" s="11" t="s">
        <v>965</v>
      </c>
      <c r="N787" s="12">
        <v>4200</v>
      </c>
      <c r="O787" s="13" t="s">
        <v>32</v>
      </c>
      <c r="P787" s="14"/>
    </row>
    <row r="788" spans="1:20" x14ac:dyDescent="0.25">
      <c r="A788" s="6"/>
      <c r="B788" s="7">
        <v>44279</v>
      </c>
      <c r="C788" s="8" t="s">
        <v>2123</v>
      </c>
      <c r="D788" s="8" t="s">
        <v>1094</v>
      </c>
      <c r="E788" s="9" t="s">
        <v>2273</v>
      </c>
      <c r="F788" s="9" t="s">
        <v>36</v>
      </c>
      <c r="G788" s="17">
        <v>0.75902777777777775</v>
      </c>
      <c r="H788" s="17">
        <v>0.78263888888888899</v>
      </c>
      <c r="I788" s="9">
        <v>2040</v>
      </c>
      <c r="J788" s="9">
        <v>1160</v>
      </c>
      <c r="K788" s="10">
        <f t="shared" si="29"/>
        <v>880</v>
      </c>
      <c r="L788" s="10">
        <v>26712</v>
      </c>
      <c r="M788" s="11" t="s">
        <v>965</v>
      </c>
      <c r="N788" s="12">
        <v>880</v>
      </c>
      <c r="O788" s="13" t="s">
        <v>32</v>
      </c>
      <c r="P788" s="14"/>
    </row>
    <row r="789" spans="1:20" x14ac:dyDescent="0.25">
      <c r="A789" s="6"/>
      <c r="B789" s="7">
        <v>44279</v>
      </c>
      <c r="C789" s="8" t="s">
        <v>2123</v>
      </c>
      <c r="D789" s="8" t="s">
        <v>2274</v>
      </c>
      <c r="E789" s="9" t="s">
        <v>1000</v>
      </c>
      <c r="F789" s="9" t="s">
        <v>36</v>
      </c>
      <c r="G789" s="17">
        <v>0.78125</v>
      </c>
      <c r="H789" s="17">
        <v>0.79375000000000007</v>
      </c>
      <c r="I789" s="9">
        <v>3730</v>
      </c>
      <c r="J789" s="9">
        <v>1900</v>
      </c>
      <c r="K789" s="10">
        <f t="shared" si="29"/>
        <v>1830</v>
      </c>
      <c r="L789" s="10">
        <v>26714</v>
      </c>
      <c r="M789" s="11" t="s">
        <v>965</v>
      </c>
      <c r="N789" s="12">
        <v>1830</v>
      </c>
      <c r="O789" s="13" t="s">
        <v>32</v>
      </c>
      <c r="P789" s="14"/>
    </row>
    <row r="790" spans="1:20" x14ac:dyDescent="0.25">
      <c r="A790" s="6"/>
      <c r="B790" s="7">
        <v>44279</v>
      </c>
      <c r="C790" s="8" t="s">
        <v>973</v>
      </c>
      <c r="D790" s="8" t="s">
        <v>1794</v>
      </c>
      <c r="E790" s="9" t="s">
        <v>628</v>
      </c>
      <c r="F790" s="9" t="s">
        <v>629</v>
      </c>
      <c r="G790" s="17">
        <v>0.79583333333333339</v>
      </c>
      <c r="H790" s="17">
        <v>0.80069444444444438</v>
      </c>
      <c r="I790" s="9">
        <v>17650</v>
      </c>
      <c r="J790" s="9">
        <v>9670</v>
      </c>
      <c r="K790" s="10">
        <f t="shared" si="29"/>
        <v>7980</v>
      </c>
      <c r="L790" s="10">
        <v>23666</v>
      </c>
      <c r="M790" s="11" t="s">
        <v>1515</v>
      </c>
      <c r="N790" s="12">
        <v>8.8000000000000007</v>
      </c>
      <c r="O790" s="13" t="s">
        <v>855</v>
      </c>
      <c r="P790" s="14"/>
    </row>
    <row r="791" spans="1:20" x14ac:dyDescent="0.25">
      <c r="A791" s="6"/>
      <c r="B791" s="7">
        <v>44279</v>
      </c>
      <c r="C791" s="8" t="s">
        <v>208</v>
      </c>
      <c r="D791" s="8" t="s">
        <v>243</v>
      </c>
      <c r="E791" s="9" t="s">
        <v>440</v>
      </c>
      <c r="F791" s="9" t="s">
        <v>1276</v>
      </c>
      <c r="G791" s="17">
        <v>0.79999999999999993</v>
      </c>
      <c r="H791" s="17">
        <v>0.82291666666666663</v>
      </c>
      <c r="I791" s="9">
        <v>36960</v>
      </c>
      <c r="J791" s="9">
        <v>16260</v>
      </c>
      <c r="K791" s="10">
        <f t="shared" ref="K791:K853" si="30">+I791-J791</f>
        <v>20700</v>
      </c>
      <c r="L791" s="10">
        <v>41306</v>
      </c>
      <c r="M791" s="11" t="s">
        <v>1626</v>
      </c>
      <c r="N791" s="12">
        <v>20730</v>
      </c>
      <c r="O791" s="13" t="s">
        <v>32</v>
      </c>
      <c r="P791" s="14"/>
    </row>
    <row r="792" spans="1:20" x14ac:dyDescent="0.25">
      <c r="A792" s="6"/>
      <c r="B792" s="7">
        <v>44279</v>
      </c>
      <c r="C792" s="8" t="s">
        <v>2123</v>
      </c>
      <c r="D792" s="8" t="s">
        <v>1847</v>
      </c>
      <c r="E792" s="9" t="s">
        <v>2047</v>
      </c>
      <c r="F792" s="9" t="s">
        <v>36</v>
      </c>
      <c r="G792" s="17">
        <v>0.81944444444444453</v>
      </c>
      <c r="H792" s="17">
        <v>0.83819444444444446</v>
      </c>
      <c r="I792" s="9">
        <v>6690</v>
      </c>
      <c r="J792" s="9">
        <v>2590</v>
      </c>
      <c r="K792" s="10">
        <f t="shared" si="30"/>
        <v>4100</v>
      </c>
      <c r="L792" s="10">
        <v>26715</v>
      </c>
      <c r="M792" s="11" t="s">
        <v>965</v>
      </c>
      <c r="N792" s="12">
        <v>4100</v>
      </c>
      <c r="O792" s="13" t="s">
        <v>32</v>
      </c>
      <c r="P792" s="14"/>
    </row>
    <row r="793" spans="1:20" x14ac:dyDescent="0.25">
      <c r="A793" s="6"/>
      <c r="B793" s="7">
        <v>44279</v>
      </c>
      <c r="C793" s="8" t="s">
        <v>2123</v>
      </c>
      <c r="D793" s="8" t="s">
        <v>2130</v>
      </c>
      <c r="E793" s="9" t="s">
        <v>2275</v>
      </c>
      <c r="F793" s="9" t="s">
        <v>36</v>
      </c>
      <c r="G793" s="17">
        <v>0.8305555555555556</v>
      </c>
      <c r="H793" s="17">
        <v>0.86249999999999993</v>
      </c>
      <c r="I793" s="9">
        <v>7670</v>
      </c>
      <c r="J793" s="9">
        <v>2660</v>
      </c>
      <c r="K793" s="10">
        <f t="shared" si="30"/>
        <v>5010</v>
      </c>
      <c r="L793" s="10">
        <v>26716</v>
      </c>
      <c r="M793" s="11" t="s">
        <v>965</v>
      </c>
      <c r="N793" s="12">
        <v>5010</v>
      </c>
      <c r="O793" s="13" t="s">
        <v>32</v>
      </c>
      <c r="P793" s="14"/>
      <c r="T793" s="1">
        <v>-20359</v>
      </c>
    </row>
    <row r="794" spans="1:20" x14ac:dyDescent="0.25">
      <c r="A794" s="6"/>
      <c r="B794" s="7">
        <v>44279</v>
      </c>
      <c r="C794" s="8" t="s">
        <v>1029</v>
      </c>
      <c r="D794" s="8" t="s">
        <v>94</v>
      </c>
      <c r="E794" s="9" t="s">
        <v>1774</v>
      </c>
      <c r="F794" s="9" t="s">
        <v>1775</v>
      </c>
      <c r="G794" s="17">
        <v>0.83194444444444438</v>
      </c>
      <c r="H794" s="17">
        <v>0.84305555555555556</v>
      </c>
      <c r="I794" s="9">
        <v>9790</v>
      </c>
      <c r="J794" s="9">
        <v>7460</v>
      </c>
      <c r="K794" s="10">
        <v>2330</v>
      </c>
      <c r="L794" s="10">
        <v>23667</v>
      </c>
      <c r="M794" s="11" t="s">
        <v>2276</v>
      </c>
      <c r="N794" s="12">
        <v>1.92</v>
      </c>
      <c r="O794" s="13" t="s">
        <v>855</v>
      </c>
      <c r="P794" s="14"/>
    </row>
    <row r="795" spans="1:20" x14ac:dyDescent="0.25">
      <c r="A795" s="6"/>
      <c r="B795" s="7">
        <v>44279</v>
      </c>
      <c r="C795" s="8" t="s">
        <v>1673</v>
      </c>
      <c r="D795" s="8" t="s">
        <v>2277</v>
      </c>
      <c r="E795" s="9" t="s">
        <v>2278</v>
      </c>
      <c r="F795" s="9" t="s">
        <v>36</v>
      </c>
      <c r="G795" s="17">
        <v>0.86111111111111116</v>
      </c>
      <c r="H795" s="17">
        <v>0.88055555555555554</v>
      </c>
      <c r="I795" s="9">
        <v>2770</v>
      </c>
      <c r="J795" s="9">
        <v>1170</v>
      </c>
      <c r="K795" s="10">
        <f t="shared" si="30"/>
        <v>1600</v>
      </c>
      <c r="L795" s="10">
        <v>26717</v>
      </c>
      <c r="M795" s="11" t="s">
        <v>965</v>
      </c>
      <c r="N795" s="12">
        <v>1600</v>
      </c>
      <c r="O795" s="13" t="s">
        <v>683</v>
      </c>
      <c r="P795" s="14"/>
    </row>
    <row r="796" spans="1:20" x14ac:dyDescent="0.25">
      <c r="A796" s="6"/>
      <c r="B796" s="7">
        <v>44279</v>
      </c>
      <c r="C796" s="8" t="s">
        <v>2123</v>
      </c>
      <c r="D796" s="8" t="s">
        <v>183</v>
      </c>
      <c r="E796" s="9" t="s">
        <v>2044</v>
      </c>
      <c r="F796" s="9" t="s">
        <v>36</v>
      </c>
      <c r="G796" s="17">
        <v>0.86875000000000002</v>
      </c>
      <c r="H796" s="17">
        <v>0.90486111111111101</v>
      </c>
      <c r="I796" s="93">
        <v>5710</v>
      </c>
      <c r="J796" s="9">
        <v>2210</v>
      </c>
      <c r="K796" s="10">
        <v>3500</v>
      </c>
      <c r="L796" s="10">
        <v>26718</v>
      </c>
      <c r="M796" s="11" t="s">
        <v>965</v>
      </c>
      <c r="N796" s="12">
        <v>3500</v>
      </c>
      <c r="O796" s="13" t="s">
        <v>683</v>
      </c>
      <c r="P796" s="14"/>
    </row>
    <row r="797" spans="1:20" x14ac:dyDescent="0.25">
      <c r="A797" s="6"/>
      <c r="B797" s="7">
        <v>44279</v>
      </c>
      <c r="C797" s="8" t="s">
        <v>2123</v>
      </c>
      <c r="D797" s="8" t="s">
        <v>994</v>
      </c>
      <c r="E797" s="9" t="s">
        <v>995</v>
      </c>
      <c r="F797" s="9" t="s">
        <v>36</v>
      </c>
      <c r="G797" s="17">
        <v>0.88680555555555562</v>
      </c>
      <c r="H797" s="17">
        <v>0.91805555555555562</v>
      </c>
      <c r="I797" s="9">
        <v>4080</v>
      </c>
      <c r="J797" s="9">
        <v>3170</v>
      </c>
      <c r="K797" s="10">
        <f t="shared" si="30"/>
        <v>910</v>
      </c>
      <c r="L797" s="10">
        <v>26719</v>
      </c>
      <c r="M797" s="11" t="s">
        <v>965</v>
      </c>
      <c r="N797" s="12">
        <v>910</v>
      </c>
      <c r="O797" s="13" t="s">
        <v>32</v>
      </c>
      <c r="P797" s="14"/>
    </row>
    <row r="798" spans="1:20" x14ac:dyDescent="0.25">
      <c r="A798" s="6"/>
      <c r="B798" s="7">
        <v>44279</v>
      </c>
      <c r="C798" s="8" t="s">
        <v>2279</v>
      </c>
      <c r="D798" s="8" t="s">
        <v>94</v>
      </c>
      <c r="E798" s="9" t="s">
        <v>1774</v>
      </c>
      <c r="F798" s="9" t="s">
        <v>1775</v>
      </c>
      <c r="G798" s="17">
        <v>0.89374999999999993</v>
      </c>
      <c r="H798" s="17">
        <v>0.89930555555555547</v>
      </c>
      <c r="I798" s="9">
        <v>9780</v>
      </c>
      <c r="J798" s="9">
        <v>7460</v>
      </c>
      <c r="K798" s="10">
        <f t="shared" si="30"/>
        <v>2320</v>
      </c>
      <c r="L798" s="10">
        <v>23668</v>
      </c>
      <c r="M798" s="11" t="s">
        <v>1041</v>
      </c>
      <c r="N798" s="12">
        <v>2.4</v>
      </c>
      <c r="O798" s="13" t="s">
        <v>855</v>
      </c>
      <c r="P798" s="14"/>
    </row>
    <row r="799" spans="1:20" x14ac:dyDescent="0.25">
      <c r="A799" s="6"/>
      <c r="B799" s="7">
        <v>44279</v>
      </c>
      <c r="C799" s="8" t="s">
        <v>1616</v>
      </c>
      <c r="D799" s="8" t="s">
        <v>1055</v>
      </c>
      <c r="E799" s="9" t="s">
        <v>39</v>
      </c>
      <c r="F799" s="9" t="s">
        <v>36</v>
      </c>
      <c r="G799" s="17">
        <v>0.9277777777777777</v>
      </c>
      <c r="H799" s="17">
        <v>0.95624999999999993</v>
      </c>
      <c r="I799" s="9">
        <v>19845</v>
      </c>
      <c r="J799" s="9">
        <v>6250</v>
      </c>
      <c r="K799" s="10">
        <v>13595</v>
      </c>
      <c r="L799" s="10">
        <v>26720</v>
      </c>
      <c r="M799" s="11" t="s">
        <v>2280</v>
      </c>
      <c r="N799" s="12">
        <v>13595</v>
      </c>
      <c r="O799" s="13" t="s">
        <v>32</v>
      </c>
      <c r="P799" s="14"/>
    </row>
    <row r="800" spans="1:20" x14ac:dyDescent="0.25">
      <c r="A800" s="6"/>
      <c r="B800" s="7">
        <v>44279</v>
      </c>
      <c r="C800" s="8" t="s">
        <v>366</v>
      </c>
      <c r="D800" s="8" t="s">
        <v>1076</v>
      </c>
      <c r="E800" s="9" t="s">
        <v>220</v>
      </c>
      <c r="F800" s="9" t="s">
        <v>924</v>
      </c>
      <c r="G800" s="17">
        <v>0.98958333333333337</v>
      </c>
      <c r="H800" s="17">
        <v>0.14444444444444446</v>
      </c>
      <c r="I800" s="9">
        <v>21900</v>
      </c>
      <c r="J800" s="9">
        <v>9300</v>
      </c>
      <c r="K800" s="10">
        <f t="shared" si="30"/>
        <v>12600</v>
      </c>
      <c r="L800" s="10" t="s">
        <v>2284</v>
      </c>
      <c r="M800" s="11" t="s">
        <v>2154</v>
      </c>
      <c r="N800" s="12">
        <v>12632</v>
      </c>
      <c r="O800" s="13" t="s">
        <v>32</v>
      </c>
      <c r="P800" s="14"/>
    </row>
    <row r="801" spans="1:22" x14ac:dyDescent="0.25">
      <c r="A801" s="6"/>
      <c r="B801" s="7">
        <v>44280</v>
      </c>
      <c r="C801" s="8" t="s">
        <v>366</v>
      </c>
      <c r="D801" s="8" t="s">
        <v>464</v>
      </c>
      <c r="E801" s="9" t="s">
        <v>277</v>
      </c>
      <c r="F801" s="9" t="s">
        <v>266</v>
      </c>
      <c r="G801" s="17">
        <v>1.5972222222222224E-2</v>
      </c>
      <c r="H801" s="17">
        <v>6.6666666666666666E-2</v>
      </c>
      <c r="I801" s="9">
        <v>11230</v>
      </c>
      <c r="J801" s="9">
        <v>1190</v>
      </c>
      <c r="K801" s="10">
        <f t="shared" si="30"/>
        <v>10040</v>
      </c>
      <c r="L801" s="10">
        <v>7601</v>
      </c>
      <c r="M801" s="11" t="s">
        <v>2285</v>
      </c>
      <c r="N801" s="12">
        <v>10124</v>
      </c>
      <c r="O801" s="13" t="s">
        <v>32</v>
      </c>
      <c r="P801" s="14"/>
    </row>
    <row r="802" spans="1:22" x14ac:dyDescent="0.25">
      <c r="A802" s="6"/>
      <c r="B802" s="7">
        <v>44280</v>
      </c>
      <c r="C802" s="8" t="s">
        <v>366</v>
      </c>
      <c r="D802" s="8" t="s">
        <v>464</v>
      </c>
      <c r="E802" s="9" t="s">
        <v>277</v>
      </c>
      <c r="F802" s="9" t="s">
        <v>266</v>
      </c>
      <c r="G802" s="17">
        <v>3.0555555555555555E-2</v>
      </c>
      <c r="H802" s="17">
        <v>5.5555555555555552E-2</v>
      </c>
      <c r="I802" s="9">
        <v>2810</v>
      </c>
      <c r="J802" s="9">
        <v>320</v>
      </c>
      <c r="K802" s="10">
        <f t="shared" si="30"/>
        <v>2490</v>
      </c>
      <c r="L802" s="10">
        <v>7501</v>
      </c>
      <c r="M802" s="11" t="s">
        <v>809</v>
      </c>
      <c r="N802" s="12">
        <v>2508</v>
      </c>
      <c r="O802" s="13" t="s">
        <v>32</v>
      </c>
      <c r="P802" s="14"/>
    </row>
    <row r="803" spans="1:22" x14ac:dyDescent="0.25">
      <c r="A803" s="6"/>
      <c r="B803" s="7">
        <v>44280</v>
      </c>
      <c r="C803" s="8" t="s">
        <v>2281</v>
      </c>
      <c r="D803" s="8" t="s">
        <v>458</v>
      </c>
      <c r="E803" s="9" t="s">
        <v>699</v>
      </c>
      <c r="F803" s="9" t="s">
        <v>459</v>
      </c>
      <c r="G803" s="17">
        <v>4.8611111111111112E-2</v>
      </c>
      <c r="H803" s="17">
        <v>8.6111111111111124E-2</v>
      </c>
      <c r="I803" s="9">
        <v>12280</v>
      </c>
      <c r="J803" s="9">
        <v>8260</v>
      </c>
      <c r="K803" s="10">
        <f t="shared" ref="K803" si="31">+I803-J803</f>
        <v>4020</v>
      </c>
      <c r="L803" s="10" t="s">
        <v>2282</v>
      </c>
      <c r="M803" s="11" t="s">
        <v>2283</v>
      </c>
      <c r="N803" s="12">
        <v>4020</v>
      </c>
      <c r="O803" s="13" t="s">
        <v>32</v>
      </c>
      <c r="P803" s="14"/>
    </row>
    <row r="804" spans="1:22" x14ac:dyDescent="0.25">
      <c r="A804" s="6"/>
      <c r="B804" s="7">
        <v>44280</v>
      </c>
      <c r="C804" s="8" t="s">
        <v>142</v>
      </c>
      <c r="D804" s="8" t="s">
        <v>1656</v>
      </c>
      <c r="E804" s="9" t="s">
        <v>87</v>
      </c>
      <c r="F804" s="9" t="s">
        <v>88</v>
      </c>
      <c r="G804" s="17">
        <v>0.15</v>
      </c>
      <c r="H804" s="17">
        <v>0.16458333333333333</v>
      </c>
      <c r="I804" s="9">
        <v>45240</v>
      </c>
      <c r="J804" s="9">
        <v>19550</v>
      </c>
      <c r="K804" s="10">
        <f t="shared" si="30"/>
        <v>25690</v>
      </c>
      <c r="L804" s="10">
        <v>793</v>
      </c>
      <c r="M804" s="11" t="s">
        <v>2211</v>
      </c>
      <c r="N804" s="12">
        <v>26437</v>
      </c>
      <c r="O804" s="13" t="s">
        <v>32</v>
      </c>
      <c r="P804" s="14"/>
    </row>
    <row r="805" spans="1:22" x14ac:dyDescent="0.25">
      <c r="A805" s="6"/>
      <c r="B805" s="15">
        <v>44280</v>
      </c>
      <c r="C805" s="8" t="s">
        <v>208</v>
      </c>
      <c r="D805" s="8" t="s">
        <v>899</v>
      </c>
      <c r="E805" s="9" t="s">
        <v>490</v>
      </c>
      <c r="F805" s="9" t="s">
        <v>491</v>
      </c>
      <c r="G805" s="17">
        <v>0.3347222222222222</v>
      </c>
      <c r="H805" s="17">
        <v>0.35347222222222219</v>
      </c>
      <c r="I805" s="9">
        <v>41700</v>
      </c>
      <c r="J805" s="9">
        <v>18380</v>
      </c>
      <c r="K805" s="10">
        <f t="shared" si="30"/>
        <v>23320</v>
      </c>
      <c r="L805" s="10">
        <v>41304</v>
      </c>
      <c r="M805" s="11" t="s">
        <v>809</v>
      </c>
      <c r="N805" s="12">
        <v>23230</v>
      </c>
      <c r="O805" s="13" t="s">
        <v>32</v>
      </c>
      <c r="P805" s="14"/>
    </row>
    <row r="806" spans="1:22" x14ac:dyDescent="0.25">
      <c r="A806" s="6"/>
      <c r="B806" s="7">
        <v>44280</v>
      </c>
      <c r="C806" s="8" t="s">
        <v>164</v>
      </c>
      <c r="D806" s="8" t="s">
        <v>1655</v>
      </c>
      <c r="E806" s="9" t="s">
        <v>2286</v>
      </c>
      <c r="F806" s="9" t="s">
        <v>2287</v>
      </c>
      <c r="G806" s="17">
        <v>0.3756944444444445</v>
      </c>
      <c r="H806" s="17">
        <v>0.4236111111111111</v>
      </c>
      <c r="I806" s="9">
        <v>8440</v>
      </c>
      <c r="J806" s="9">
        <v>21100</v>
      </c>
      <c r="K806" s="10">
        <f t="shared" si="30"/>
        <v>-12660</v>
      </c>
      <c r="L806" s="10">
        <v>15930</v>
      </c>
      <c r="M806" s="11" t="s">
        <v>166</v>
      </c>
      <c r="N806" s="12">
        <v>252</v>
      </c>
      <c r="O806" s="13" t="s">
        <v>1099</v>
      </c>
      <c r="P806" s="14"/>
    </row>
    <row r="807" spans="1:22" x14ac:dyDescent="0.25">
      <c r="A807" s="6"/>
      <c r="B807" s="7">
        <v>44280</v>
      </c>
      <c r="C807" s="8" t="s">
        <v>310</v>
      </c>
      <c r="D807" s="8" t="s">
        <v>311</v>
      </c>
      <c r="E807" s="9" t="s">
        <v>2288</v>
      </c>
      <c r="F807" s="9" t="s">
        <v>36</v>
      </c>
      <c r="G807" s="17">
        <v>0.41319444444444442</v>
      </c>
      <c r="H807" s="17">
        <v>0.42777777777777781</v>
      </c>
      <c r="I807" s="9">
        <v>5230</v>
      </c>
      <c r="J807" s="9">
        <v>3290</v>
      </c>
      <c r="K807" s="10">
        <f t="shared" si="30"/>
        <v>1940</v>
      </c>
      <c r="L807" s="10">
        <v>11084</v>
      </c>
      <c r="M807" s="11" t="s">
        <v>2289</v>
      </c>
      <c r="N807" s="12">
        <v>1940</v>
      </c>
      <c r="O807" s="13" t="s">
        <v>32</v>
      </c>
      <c r="P807" s="14"/>
    </row>
    <row r="808" spans="1:22" x14ac:dyDescent="0.25">
      <c r="A808" s="6"/>
      <c r="B808" s="7">
        <v>44280</v>
      </c>
      <c r="C808" s="8" t="s">
        <v>164</v>
      </c>
      <c r="D808" s="8" t="s">
        <v>243</v>
      </c>
      <c r="E808" s="9" t="s">
        <v>440</v>
      </c>
      <c r="F808" s="9" t="s">
        <v>1276</v>
      </c>
      <c r="G808" s="17">
        <v>0.41875000000000001</v>
      </c>
      <c r="H808" s="17">
        <v>0.44722222222222219</v>
      </c>
      <c r="I808" s="9">
        <v>16010</v>
      </c>
      <c r="J808" s="9">
        <v>37140</v>
      </c>
      <c r="K808" s="10">
        <f t="shared" si="30"/>
        <v>-21130</v>
      </c>
      <c r="L808" s="10">
        <v>15931</v>
      </c>
      <c r="M808" s="11" t="s">
        <v>166</v>
      </c>
      <c r="N808" s="12">
        <v>420</v>
      </c>
      <c r="O808" s="13" t="s">
        <v>1099</v>
      </c>
      <c r="P808" s="14"/>
    </row>
    <row r="809" spans="1:22" x14ac:dyDescent="0.25">
      <c r="A809" s="6"/>
      <c r="B809" s="7">
        <v>44280</v>
      </c>
      <c r="C809" s="8" t="s">
        <v>164</v>
      </c>
      <c r="D809" s="8" t="s">
        <v>1655</v>
      </c>
      <c r="E809" s="9" t="s">
        <v>2286</v>
      </c>
      <c r="F809" s="9" t="s">
        <v>2287</v>
      </c>
      <c r="G809" s="17">
        <v>0.48819444444444443</v>
      </c>
      <c r="H809" s="17">
        <v>0.50277777777777777</v>
      </c>
      <c r="I809" s="9">
        <v>8450</v>
      </c>
      <c r="J809" s="9">
        <v>21100</v>
      </c>
      <c r="K809" s="10">
        <f t="shared" si="30"/>
        <v>-12650</v>
      </c>
      <c r="L809" s="10">
        <v>15933</v>
      </c>
      <c r="M809" s="11" t="s">
        <v>166</v>
      </c>
      <c r="N809" s="12">
        <v>252</v>
      </c>
      <c r="O809" s="13" t="s">
        <v>1099</v>
      </c>
      <c r="P809" s="14"/>
    </row>
    <row r="810" spans="1:22" x14ac:dyDescent="0.25">
      <c r="A810" s="6"/>
      <c r="B810" s="7">
        <v>44280</v>
      </c>
      <c r="C810" s="8" t="s">
        <v>164</v>
      </c>
      <c r="D810" s="8" t="s">
        <v>243</v>
      </c>
      <c r="E810" s="9" t="s">
        <v>440</v>
      </c>
      <c r="F810" s="9" t="s">
        <v>1276</v>
      </c>
      <c r="G810" s="17">
        <v>0.54652777777777783</v>
      </c>
      <c r="H810" s="17">
        <v>0.59305555555555556</v>
      </c>
      <c r="I810" s="9">
        <v>16040</v>
      </c>
      <c r="J810" s="9">
        <v>37150</v>
      </c>
      <c r="K810" s="10">
        <f t="shared" si="30"/>
        <v>-21110</v>
      </c>
      <c r="L810" s="10">
        <v>15934</v>
      </c>
      <c r="M810" s="11" t="s">
        <v>166</v>
      </c>
      <c r="N810" s="12">
        <v>420</v>
      </c>
      <c r="O810" s="13" t="s">
        <v>1099</v>
      </c>
      <c r="P810" s="14"/>
    </row>
    <row r="811" spans="1:22" x14ac:dyDescent="0.25">
      <c r="A811" s="6"/>
      <c r="B811" s="7">
        <v>44280</v>
      </c>
      <c r="C811" s="8" t="s">
        <v>188</v>
      </c>
      <c r="D811" s="8" t="s">
        <v>853</v>
      </c>
      <c r="E811" s="9" t="s">
        <v>51</v>
      </c>
      <c r="F811" s="9" t="s">
        <v>52</v>
      </c>
      <c r="G811" s="17">
        <v>0.57500000000000007</v>
      </c>
      <c r="H811" s="17">
        <v>0.69513888888888886</v>
      </c>
      <c r="I811" s="9">
        <v>16080</v>
      </c>
      <c r="J811" s="9">
        <v>46190</v>
      </c>
      <c r="K811" s="10">
        <f t="shared" si="30"/>
        <v>-30110</v>
      </c>
      <c r="L811" s="10">
        <v>5911</v>
      </c>
      <c r="M811" s="11" t="s">
        <v>53</v>
      </c>
      <c r="N811" s="12">
        <v>600</v>
      </c>
      <c r="O811" s="13" t="s">
        <v>1099</v>
      </c>
      <c r="P811" s="14"/>
    </row>
    <row r="812" spans="1:22" x14ac:dyDescent="0.25">
      <c r="A812" s="6"/>
      <c r="B812" s="7">
        <v>44280</v>
      </c>
      <c r="C812" s="8" t="s">
        <v>164</v>
      </c>
      <c r="D812" s="8" t="s">
        <v>1655</v>
      </c>
      <c r="E812" s="9" t="s">
        <v>2286</v>
      </c>
      <c r="F812" s="9" t="s">
        <v>2287</v>
      </c>
      <c r="G812" s="17">
        <v>0.59166666666666667</v>
      </c>
      <c r="H812" s="17">
        <v>0.6381944444444444</v>
      </c>
      <c r="I812" s="9">
        <v>8410</v>
      </c>
      <c r="J812" s="9">
        <v>21110</v>
      </c>
      <c r="K812" s="10">
        <f t="shared" si="30"/>
        <v>-12700</v>
      </c>
      <c r="L812" s="10">
        <v>15935</v>
      </c>
      <c r="M812" s="11" t="s">
        <v>166</v>
      </c>
      <c r="N812" s="12">
        <v>252</v>
      </c>
      <c r="O812" s="13" t="s">
        <v>1099</v>
      </c>
      <c r="P812" s="14"/>
    </row>
    <row r="813" spans="1:22" x14ac:dyDescent="0.25">
      <c r="A813" s="6"/>
      <c r="B813" s="7">
        <v>44280</v>
      </c>
      <c r="C813" s="8" t="s">
        <v>208</v>
      </c>
      <c r="D813" s="8" t="s">
        <v>899</v>
      </c>
      <c r="E813" s="9" t="s">
        <v>490</v>
      </c>
      <c r="F813" s="9" t="s">
        <v>491</v>
      </c>
      <c r="G813" s="17">
        <v>0.60902777777777783</v>
      </c>
      <c r="H813" s="17">
        <v>0.6166666666666667</v>
      </c>
      <c r="I813" s="9">
        <v>42220</v>
      </c>
      <c r="J813" s="9">
        <v>18490</v>
      </c>
      <c r="K813" s="10">
        <f t="shared" si="30"/>
        <v>23730</v>
      </c>
      <c r="L813" s="10">
        <v>41329</v>
      </c>
      <c r="M813" s="11" t="s">
        <v>804</v>
      </c>
      <c r="N813" s="12">
        <f>6990+16870</f>
        <v>23860</v>
      </c>
      <c r="O813" s="13" t="s">
        <v>32</v>
      </c>
      <c r="P813" s="14"/>
    </row>
    <row r="814" spans="1:22" x14ac:dyDescent="0.25">
      <c r="A814" s="6"/>
      <c r="B814" s="7">
        <v>44280</v>
      </c>
      <c r="C814" s="8" t="s">
        <v>188</v>
      </c>
      <c r="D814" s="8" t="s">
        <v>284</v>
      </c>
      <c r="E814" s="9" t="s">
        <v>177</v>
      </c>
      <c r="F814" s="9" t="s">
        <v>178</v>
      </c>
      <c r="G814" s="17">
        <v>0.62638888888888888</v>
      </c>
      <c r="H814" s="17">
        <v>0.67638888888888893</v>
      </c>
      <c r="I814" s="9">
        <v>14680</v>
      </c>
      <c r="J814" s="9">
        <v>49820</v>
      </c>
      <c r="K814" s="10">
        <f t="shared" si="30"/>
        <v>-35140</v>
      </c>
      <c r="L814" s="10">
        <v>5909</v>
      </c>
      <c r="M814" s="11" t="s">
        <v>53</v>
      </c>
      <c r="N814" s="12">
        <v>700</v>
      </c>
      <c r="O814" s="13" t="s">
        <v>1099</v>
      </c>
      <c r="P814" s="14"/>
    </row>
    <row r="815" spans="1:22" x14ac:dyDescent="0.25">
      <c r="A815" s="6"/>
      <c r="B815" s="7">
        <v>44280</v>
      </c>
      <c r="C815" s="8" t="s">
        <v>55</v>
      </c>
      <c r="D815" s="8" t="s">
        <v>2242</v>
      </c>
      <c r="E815" s="9" t="s">
        <v>2243</v>
      </c>
      <c r="F815" s="9" t="s">
        <v>36</v>
      </c>
      <c r="G815" s="17">
        <v>0.67222222222222217</v>
      </c>
      <c r="H815" s="17">
        <v>0.73263888888888884</v>
      </c>
      <c r="I815" s="9">
        <v>17900</v>
      </c>
      <c r="J815" s="9">
        <v>41170</v>
      </c>
      <c r="K815" s="10">
        <f t="shared" si="30"/>
        <v>-23270</v>
      </c>
      <c r="L815" s="10">
        <v>5912</v>
      </c>
      <c r="M815" s="11" t="s">
        <v>2033</v>
      </c>
      <c r="N815" s="12">
        <v>22123</v>
      </c>
      <c r="O815" s="13" t="s">
        <v>32</v>
      </c>
      <c r="P815" s="14" t="s">
        <v>2291</v>
      </c>
    </row>
    <row r="816" spans="1:22" x14ac:dyDescent="0.25">
      <c r="B816" s="7">
        <v>44280</v>
      </c>
      <c r="C816" s="43" t="s">
        <v>1630</v>
      </c>
      <c r="D816" s="43" t="s">
        <v>933</v>
      </c>
      <c r="E816" s="44" t="s">
        <v>1632</v>
      </c>
      <c r="F816" s="44" t="s">
        <v>266</v>
      </c>
      <c r="G816" s="17">
        <v>0.6777777777777777</v>
      </c>
      <c r="H816" s="17">
        <v>0.68055555555555547</v>
      </c>
      <c r="I816" s="9">
        <v>5680</v>
      </c>
      <c r="J816" s="9">
        <v>5490</v>
      </c>
      <c r="K816" s="10">
        <f t="shared" si="30"/>
        <v>190</v>
      </c>
      <c r="L816" s="10" t="s">
        <v>2284</v>
      </c>
      <c r="M816" s="47" t="s">
        <v>2290</v>
      </c>
      <c r="N816" s="12">
        <v>190</v>
      </c>
      <c r="O816" s="13" t="s">
        <v>32</v>
      </c>
      <c r="P816" s="14"/>
      <c r="S816" s="1" t="s">
        <v>91</v>
      </c>
      <c r="T816" s="1">
        <v>57</v>
      </c>
      <c r="U816" s="18">
        <f>4+9</f>
        <v>13</v>
      </c>
      <c r="V816" s="1">
        <f>+U816*T816</f>
        <v>741</v>
      </c>
    </row>
    <row r="817" spans="1:24" x14ac:dyDescent="0.25">
      <c r="B817" s="7">
        <v>44280</v>
      </c>
      <c r="C817" s="8" t="s">
        <v>188</v>
      </c>
      <c r="D817" s="8" t="s">
        <v>1355</v>
      </c>
      <c r="E817" s="9" t="s">
        <v>1048</v>
      </c>
      <c r="F817" s="9" t="s">
        <v>526</v>
      </c>
      <c r="G817" s="17">
        <v>0.69791666666666663</v>
      </c>
      <c r="H817" s="17">
        <v>0.74375000000000002</v>
      </c>
      <c r="I817" s="9">
        <v>17300</v>
      </c>
      <c r="J817" s="9">
        <v>52410</v>
      </c>
      <c r="K817" s="10">
        <f t="shared" si="30"/>
        <v>-35110</v>
      </c>
      <c r="L817" s="10">
        <v>5910</v>
      </c>
      <c r="M817" s="11" t="s">
        <v>53</v>
      </c>
      <c r="N817" s="12">
        <v>700</v>
      </c>
      <c r="O817" s="13" t="s">
        <v>1099</v>
      </c>
      <c r="P817" s="14"/>
      <c r="S817" s="1" t="s">
        <v>646</v>
      </c>
      <c r="T817" s="1">
        <v>58</v>
      </c>
      <c r="U817" s="18">
        <f>6+1</f>
        <v>7</v>
      </c>
      <c r="V817" s="1">
        <f>+U817*T817</f>
        <v>406</v>
      </c>
    </row>
    <row r="818" spans="1:24" x14ac:dyDescent="0.25">
      <c r="B818" s="7">
        <v>44280</v>
      </c>
      <c r="C818" s="8" t="s">
        <v>164</v>
      </c>
      <c r="D818" s="8" t="s">
        <v>1655</v>
      </c>
      <c r="E818" s="9" t="s">
        <v>2286</v>
      </c>
      <c r="F818" s="9" t="s">
        <v>2287</v>
      </c>
      <c r="G818" s="17">
        <v>0.7055555555555556</v>
      </c>
      <c r="H818" s="17">
        <v>0.71597222222222223</v>
      </c>
      <c r="I818" s="9">
        <v>11500</v>
      </c>
      <c r="J818" s="9">
        <v>7800</v>
      </c>
      <c r="K818" s="10">
        <f t="shared" si="30"/>
        <v>3700</v>
      </c>
      <c r="L818" s="10">
        <v>15995</v>
      </c>
      <c r="M818" s="11" t="s">
        <v>919</v>
      </c>
      <c r="N818" s="12">
        <v>36</v>
      </c>
      <c r="O818" s="13" t="s">
        <v>96</v>
      </c>
      <c r="P818" s="14"/>
      <c r="S818" s="1" t="s">
        <v>669</v>
      </c>
      <c r="U818" s="18"/>
      <c r="V818" s="1">
        <f>+U818*T818</f>
        <v>0</v>
      </c>
    </row>
    <row r="819" spans="1:24" x14ac:dyDescent="0.25">
      <c r="B819" s="7">
        <v>44280</v>
      </c>
      <c r="C819" s="8" t="s">
        <v>2292</v>
      </c>
      <c r="D819" s="8" t="s">
        <v>1850</v>
      </c>
      <c r="E819" s="9" t="s">
        <v>144</v>
      </c>
      <c r="F819" s="9" t="s">
        <v>626</v>
      </c>
      <c r="G819" s="17">
        <v>0.76041666666666663</v>
      </c>
      <c r="H819" s="17">
        <v>0.43124999999999997</v>
      </c>
      <c r="I819" s="9">
        <v>18130</v>
      </c>
      <c r="J819" s="9">
        <v>38780</v>
      </c>
      <c r="K819" s="10">
        <f>+I819-J819</f>
        <v>-20650</v>
      </c>
      <c r="L819" s="10">
        <v>5913</v>
      </c>
      <c r="M819" s="11" t="s">
        <v>664</v>
      </c>
      <c r="N819" s="12">
        <v>5943</v>
      </c>
      <c r="O819" s="13" t="s">
        <v>84</v>
      </c>
      <c r="P819" s="14"/>
      <c r="U819" s="18">
        <f>SUM(U816:U818)</f>
        <v>20</v>
      </c>
      <c r="V819" s="18">
        <f>SUM(V816:V818)</f>
        <v>1147</v>
      </c>
      <c r="W819" s="18">
        <v>23270</v>
      </c>
      <c r="X819" s="18">
        <f>+W819-V819</f>
        <v>22123</v>
      </c>
    </row>
    <row r="820" spans="1:24" x14ac:dyDescent="0.25">
      <c r="B820" s="7">
        <v>44280</v>
      </c>
      <c r="C820" s="8" t="s">
        <v>208</v>
      </c>
      <c r="D820" s="8" t="s">
        <v>899</v>
      </c>
      <c r="E820" s="9" t="s">
        <v>490</v>
      </c>
      <c r="F820" s="9" t="s">
        <v>491</v>
      </c>
      <c r="G820" s="17">
        <v>0.76250000000000007</v>
      </c>
      <c r="H820" s="17">
        <v>0.7729166666666667</v>
      </c>
      <c r="I820" s="9">
        <v>38140</v>
      </c>
      <c r="J820" s="9">
        <v>18360</v>
      </c>
      <c r="K820" s="10">
        <f t="shared" si="30"/>
        <v>19780</v>
      </c>
      <c r="L820" s="10">
        <v>41329</v>
      </c>
      <c r="M820" s="11" t="s">
        <v>257</v>
      </c>
      <c r="N820" s="12">
        <v>19790</v>
      </c>
      <c r="O820" s="13" t="s">
        <v>32</v>
      </c>
      <c r="P820" s="14"/>
    </row>
    <row r="821" spans="1:24" x14ac:dyDescent="0.25">
      <c r="B821" s="7">
        <v>44280</v>
      </c>
      <c r="C821" s="8" t="s">
        <v>142</v>
      </c>
      <c r="D821" s="8" t="s">
        <v>2300</v>
      </c>
      <c r="E821" s="9" t="s">
        <v>2293</v>
      </c>
      <c r="F821" s="9" t="s">
        <v>36</v>
      </c>
      <c r="G821" s="17">
        <v>0.79513888888888884</v>
      </c>
      <c r="H821" s="17">
        <v>0.82916666666666661</v>
      </c>
      <c r="I821" s="9">
        <v>15500</v>
      </c>
      <c r="J821" s="9">
        <v>6230</v>
      </c>
      <c r="K821" s="10">
        <f t="shared" si="30"/>
        <v>9270</v>
      </c>
      <c r="L821" s="10">
        <v>794</v>
      </c>
      <c r="M821" s="11" t="s">
        <v>2298</v>
      </c>
      <c r="N821" s="12">
        <v>10506</v>
      </c>
      <c r="O821" s="13" t="s">
        <v>683</v>
      </c>
      <c r="P821" s="40"/>
    </row>
    <row r="822" spans="1:24" x14ac:dyDescent="0.25">
      <c r="B822" s="7">
        <v>44280</v>
      </c>
      <c r="C822" s="8" t="s">
        <v>208</v>
      </c>
      <c r="D822" s="8" t="s">
        <v>880</v>
      </c>
      <c r="E822" s="9" t="s">
        <v>440</v>
      </c>
      <c r="F822" s="9" t="s">
        <v>1276</v>
      </c>
      <c r="G822" s="17">
        <v>0.8256944444444444</v>
      </c>
      <c r="H822" s="17">
        <v>0.36041666666666666</v>
      </c>
      <c r="I822" s="9">
        <v>39650</v>
      </c>
      <c r="J822" s="9">
        <v>16190</v>
      </c>
      <c r="K822" s="10">
        <f t="shared" si="30"/>
        <v>23460</v>
      </c>
      <c r="L822" s="10">
        <v>41338</v>
      </c>
      <c r="M822" s="11" t="s">
        <v>1626</v>
      </c>
      <c r="N822" s="12">
        <v>23520</v>
      </c>
      <c r="O822" s="13" t="s">
        <v>32</v>
      </c>
      <c r="P822" s="14"/>
    </row>
    <row r="823" spans="1:24" x14ac:dyDescent="0.25">
      <c r="B823" s="7">
        <v>44280</v>
      </c>
      <c r="C823" s="8" t="s">
        <v>1789</v>
      </c>
      <c r="D823" s="8" t="s">
        <v>2294</v>
      </c>
      <c r="E823" s="9" t="s">
        <v>2044</v>
      </c>
      <c r="F823" s="9" t="s">
        <v>154</v>
      </c>
      <c r="G823" s="17">
        <v>0.84583333333333333</v>
      </c>
      <c r="H823" s="17">
        <v>0.87430555555555556</v>
      </c>
      <c r="I823" s="9">
        <v>5340</v>
      </c>
      <c r="J823" s="9">
        <v>2160</v>
      </c>
      <c r="K823" s="10">
        <f t="shared" si="30"/>
        <v>3180</v>
      </c>
      <c r="L823" s="10">
        <v>26721</v>
      </c>
      <c r="M823" s="11" t="s">
        <v>1694</v>
      </c>
      <c r="N823" s="12">
        <v>3180</v>
      </c>
      <c r="O823" s="13" t="s">
        <v>32</v>
      </c>
      <c r="P823" s="14"/>
    </row>
    <row r="824" spans="1:24" x14ac:dyDescent="0.25">
      <c r="B824" s="7">
        <v>44280</v>
      </c>
      <c r="C824" s="8" t="s">
        <v>1789</v>
      </c>
      <c r="D824" s="8" t="s">
        <v>2295</v>
      </c>
      <c r="E824" s="9" t="s">
        <v>964</v>
      </c>
      <c r="F824" s="9" t="s">
        <v>154</v>
      </c>
      <c r="G824" s="17">
        <v>0.84791666666666676</v>
      </c>
      <c r="H824" s="17">
        <v>0.86736111111111114</v>
      </c>
      <c r="I824" s="9">
        <v>4330</v>
      </c>
      <c r="J824" s="9">
        <v>1850</v>
      </c>
      <c r="K824" s="10">
        <f t="shared" si="30"/>
        <v>2480</v>
      </c>
      <c r="L824" s="10">
        <v>26722</v>
      </c>
      <c r="M824" s="11" t="s">
        <v>1694</v>
      </c>
      <c r="N824" s="12">
        <v>2480</v>
      </c>
      <c r="O824" s="13" t="s">
        <v>32</v>
      </c>
      <c r="P824" s="14"/>
    </row>
    <row r="825" spans="1:24" x14ac:dyDescent="0.25">
      <c r="B825" s="7">
        <v>44280</v>
      </c>
      <c r="C825" s="8" t="s">
        <v>1673</v>
      </c>
      <c r="D825" s="8" t="s">
        <v>1679</v>
      </c>
      <c r="E825" s="9" t="s">
        <v>1000</v>
      </c>
      <c r="F825" s="9" t="s">
        <v>154</v>
      </c>
      <c r="G825" s="17">
        <v>0.84861111111111109</v>
      </c>
      <c r="H825" s="17">
        <v>0.85416666666666663</v>
      </c>
      <c r="I825" s="9">
        <v>4490</v>
      </c>
      <c r="J825" s="9">
        <v>1910</v>
      </c>
      <c r="K825" s="10">
        <f t="shared" si="30"/>
        <v>2580</v>
      </c>
      <c r="L825" s="10">
        <v>26723</v>
      </c>
      <c r="M825" s="11" t="s">
        <v>1339</v>
      </c>
      <c r="N825" s="12">
        <v>2580</v>
      </c>
      <c r="O825" s="13" t="s">
        <v>683</v>
      </c>
      <c r="P825" s="14"/>
    </row>
    <row r="826" spans="1:24" x14ac:dyDescent="0.25">
      <c r="B826" s="7">
        <v>44280</v>
      </c>
      <c r="C826" s="8" t="s">
        <v>1789</v>
      </c>
      <c r="D826" s="8" t="s">
        <v>1677</v>
      </c>
      <c r="E826" s="9" t="s">
        <v>2273</v>
      </c>
      <c r="F826" s="9" t="s">
        <v>36</v>
      </c>
      <c r="G826" s="17">
        <v>0.86944444444444446</v>
      </c>
      <c r="H826" s="17">
        <v>0.88750000000000007</v>
      </c>
      <c r="I826" s="9">
        <v>2420</v>
      </c>
      <c r="J826" s="9">
        <v>1230</v>
      </c>
      <c r="K826" s="10">
        <f t="shared" si="30"/>
        <v>1190</v>
      </c>
      <c r="L826" s="10">
        <v>26724</v>
      </c>
      <c r="M826" s="11" t="s">
        <v>1694</v>
      </c>
      <c r="N826" s="12">
        <v>1190</v>
      </c>
      <c r="O826" s="13" t="s">
        <v>32</v>
      </c>
      <c r="P826" s="14"/>
    </row>
    <row r="827" spans="1:24" x14ac:dyDescent="0.25">
      <c r="A827" s="7"/>
      <c r="B827" s="7">
        <v>44280</v>
      </c>
      <c r="C827" s="8" t="s">
        <v>1673</v>
      </c>
      <c r="D827" s="8" t="s">
        <v>1847</v>
      </c>
      <c r="E827" s="9" t="s">
        <v>2047</v>
      </c>
      <c r="F827" s="9" t="s">
        <v>36</v>
      </c>
      <c r="G827" s="17">
        <v>0.87013888888888891</v>
      </c>
      <c r="H827" s="17">
        <v>0.90138888888888891</v>
      </c>
      <c r="I827" s="9">
        <v>5910</v>
      </c>
      <c r="J827" s="9">
        <v>2590</v>
      </c>
      <c r="K827" s="10">
        <f t="shared" si="30"/>
        <v>3320</v>
      </c>
      <c r="L827" s="10">
        <v>26725</v>
      </c>
      <c r="M827" s="11" t="s">
        <v>1694</v>
      </c>
      <c r="N827" s="12">
        <v>3320</v>
      </c>
      <c r="O827" s="13" t="s">
        <v>32</v>
      </c>
      <c r="P827" s="14"/>
    </row>
    <row r="828" spans="1:24" x14ac:dyDescent="0.25">
      <c r="A828" s="7"/>
      <c r="B828" s="7">
        <v>44280</v>
      </c>
      <c r="C828" s="8" t="s">
        <v>1789</v>
      </c>
      <c r="D828" s="8" t="s">
        <v>2268</v>
      </c>
      <c r="E828" s="9" t="s">
        <v>2278</v>
      </c>
      <c r="F828" s="9" t="s">
        <v>154</v>
      </c>
      <c r="G828" s="17">
        <v>0.89930555555555547</v>
      </c>
      <c r="H828" s="17">
        <v>0.92499999999999993</v>
      </c>
      <c r="I828" s="9">
        <v>2300</v>
      </c>
      <c r="J828" s="9">
        <v>1180</v>
      </c>
      <c r="K828" s="10">
        <f t="shared" si="30"/>
        <v>1120</v>
      </c>
      <c r="L828" s="10">
        <v>26726</v>
      </c>
      <c r="M828" s="11" t="s">
        <v>1694</v>
      </c>
      <c r="N828" s="12">
        <v>1120</v>
      </c>
      <c r="O828" s="13" t="s">
        <v>32</v>
      </c>
      <c r="P828" s="14"/>
    </row>
    <row r="829" spans="1:24" x14ac:dyDescent="0.25">
      <c r="A829" s="7"/>
      <c r="B829" s="7">
        <v>44280</v>
      </c>
      <c r="C829" s="8" t="s">
        <v>1789</v>
      </c>
      <c r="D829" s="8" t="s">
        <v>1674</v>
      </c>
      <c r="E829" s="9" t="s">
        <v>1675</v>
      </c>
      <c r="F829" s="9" t="s">
        <v>36</v>
      </c>
      <c r="G829" s="17">
        <v>0.93402777777777779</v>
      </c>
      <c r="H829" s="17">
        <v>0.95347222222222217</v>
      </c>
      <c r="I829" s="9">
        <v>4940</v>
      </c>
      <c r="J829" s="9">
        <v>2730</v>
      </c>
      <c r="K829" s="10">
        <f t="shared" si="30"/>
        <v>2210</v>
      </c>
      <c r="L829" s="10">
        <v>26727</v>
      </c>
      <c r="M829" s="11" t="s">
        <v>1339</v>
      </c>
      <c r="N829" s="12">
        <v>2210</v>
      </c>
      <c r="O829" s="13" t="s">
        <v>32</v>
      </c>
      <c r="P829" s="14"/>
    </row>
    <row r="830" spans="1:24" x14ac:dyDescent="0.25">
      <c r="A830" s="7"/>
      <c r="B830" s="7">
        <v>44280</v>
      </c>
      <c r="C830" s="8" t="s">
        <v>37</v>
      </c>
      <c r="D830" s="8" t="s">
        <v>1055</v>
      </c>
      <c r="E830" s="9" t="s">
        <v>39</v>
      </c>
      <c r="F830" s="9" t="s">
        <v>2296</v>
      </c>
      <c r="G830" s="17">
        <v>0.94513888888888886</v>
      </c>
      <c r="H830" s="17">
        <v>0.97986111111111107</v>
      </c>
      <c r="I830" s="9">
        <v>18980</v>
      </c>
      <c r="J830" s="9">
        <v>6290</v>
      </c>
      <c r="K830" s="10">
        <f t="shared" si="30"/>
        <v>12690</v>
      </c>
      <c r="L830" s="10">
        <v>26728</v>
      </c>
      <c r="M830" s="11" t="s">
        <v>2297</v>
      </c>
      <c r="N830" s="12">
        <v>12690</v>
      </c>
      <c r="O830" s="13" t="s">
        <v>32</v>
      </c>
      <c r="P830" s="14"/>
    </row>
    <row r="831" spans="1:24" x14ac:dyDescent="0.25">
      <c r="A831" s="7"/>
      <c r="B831" s="7">
        <v>44281</v>
      </c>
      <c r="C831" s="8" t="s">
        <v>142</v>
      </c>
      <c r="D831" s="8" t="s">
        <v>1656</v>
      </c>
      <c r="E831" s="9" t="s">
        <v>87</v>
      </c>
      <c r="F831" s="9" t="s">
        <v>88</v>
      </c>
      <c r="G831" s="17">
        <v>0.10347222222222223</v>
      </c>
      <c r="H831" s="17">
        <v>0.12083333333333333</v>
      </c>
      <c r="I831" s="9">
        <v>47020</v>
      </c>
      <c r="J831" s="9">
        <v>19510</v>
      </c>
      <c r="K831" s="10">
        <f t="shared" si="30"/>
        <v>27510</v>
      </c>
      <c r="L831" s="10">
        <v>795</v>
      </c>
      <c r="M831" s="11" t="s">
        <v>257</v>
      </c>
      <c r="N831" s="12">
        <v>27478</v>
      </c>
      <c r="O831" s="13" t="s">
        <v>32</v>
      </c>
      <c r="P831" s="14"/>
    </row>
    <row r="832" spans="1:24" x14ac:dyDescent="0.25">
      <c r="A832" s="7"/>
      <c r="B832" s="15">
        <v>44281</v>
      </c>
      <c r="C832" s="16" t="s">
        <v>208</v>
      </c>
      <c r="D832" s="8" t="s">
        <v>899</v>
      </c>
      <c r="E832" s="9" t="s">
        <v>490</v>
      </c>
      <c r="F832" s="9" t="s">
        <v>491</v>
      </c>
      <c r="G832" s="17">
        <v>0.35069444444444442</v>
      </c>
      <c r="H832" s="17">
        <v>0.38750000000000001</v>
      </c>
      <c r="I832" s="9">
        <v>39530</v>
      </c>
      <c r="J832" s="9">
        <v>18330</v>
      </c>
      <c r="K832" s="10">
        <f t="shared" si="30"/>
        <v>21200</v>
      </c>
      <c r="L832" s="10">
        <v>41329</v>
      </c>
      <c r="M832" s="11" t="s">
        <v>257</v>
      </c>
      <c r="N832" s="12">
        <v>21200</v>
      </c>
      <c r="O832" s="13" t="s">
        <v>32</v>
      </c>
      <c r="P832" s="14"/>
    </row>
    <row r="833" spans="1:16" x14ac:dyDescent="0.25">
      <c r="A833" s="7"/>
      <c r="B833" s="7">
        <v>44281</v>
      </c>
      <c r="C833" s="8" t="s">
        <v>164</v>
      </c>
      <c r="D833" s="8" t="s">
        <v>243</v>
      </c>
      <c r="E833" s="9" t="s">
        <v>440</v>
      </c>
      <c r="F833" s="9" t="s">
        <v>1276</v>
      </c>
      <c r="G833" s="17">
        <v>0.38680555555555557</v>
      </c>
      <c r="H833" s="17">
        <v>0.41944444444444445</v>
      </c>
      <c r="I833" s="9">
        <v>15210</v>
      </c>
      <c r="J833" s="9">
        <v>36310</v>
      </c>
      <c r="K833" s="10">
        <f t="shared" si="30"/>
        <v>-21100</v>
      </c>
      <c r="L833" s="10">
        <v>15936</v>
      </c>
      <c r="M833" s="11" t="s">
        <v>166</v>
      </c>
      <c r="N833" s="12">
        <v>420</v>
      </c>
      <c r="O833" s="13" t="s">
        <v>1099</v>
      </c>
      <c r="P833" s="14"/>
    </row>
    <row r="834" spans="1:16" x14ac:dyDescent="0.25">
      <c r="A834" s="7"/>
      <c r="B834" s="7">
        <v>44281</v>
      </c>
      <c r="C834" s="8" t="s">
        <v>164</v>
      </c>
      <c r="D834" s="8" t="s">
        <v>299</v>
      </c>
      <c r="E834" s="9" t="s">
        <v>813</v>
      </c>
      <c r="F834" s="9" t="s">
        <v>814</v>
      </c>
      <c r="G834" s="17">
        <v>0.3888888888888889</v>
      </c>
      <c r="H834" s="17">
        <v>0.4513888888888889</v>
      </c>
      <c r="I834" s="9">
        <v>17090</v>
      </c>
      <c r="J834" s="9">
        <v>42050</v>
      </c>
      <c r="K834" s="10">
        <f t="shared" si="30"/>
        <v>-24960</v>
      </c>
      <c r="L834" s="10">
        <v>15937</v>
      </c>
      <c r="M834" s="11" t="s">
        <v>166</v>
      </c>
      <c r="N834" s="12">
        <v>497</v>
      </c>
      <c r="O834" s="13" t="s">
        <v>1099</v>
      </c>
      <c r="P834" s="14"/>
    </row>
    <row r="835" spans="1:16" x14ac:dyDescent="0.25">
      <c r="A835" s="7"/>
      <c r="B835" s="7">
        <v>44281</v>
      </c>
      <c r="C835" s="8" t="s">
        <v>1843</v>
      </c>
      <c r="D835" s="8" t="s">
        <v>1084</v>
      </c>
      <c r="E835" s="9" t="s">
        <v>1174</v>
      </c>
      <c r="F835" s="9" t="s">
        <v>2190</v>
      </c>
      <c r="G835" s="17">
        <v>0.49027777777777781</v>
      </c>
      <c r="H835" s="17">
        <v>0.5083333333333333</v>
      </c>
      <c r="I835" s="9">
        <v>6830</v>
      </c>
      <c r="J835" s="9">
        <v>5550</v>
      </c>
      <c r="K835" s="10">
        <f t="shared" si="30"/>
        <v>1280</v>
      </c>
      <c r="L835" s="10">
        <v>4478</v>
      </c>
      <c r="M835" s="11" t="s">
        <v>2299</v>
      </c>
      <c r="N835" s="12">
        <v>1280</v>
      </c>
      <c r="O835" s="13" t="s">
        <v>32</v>
      </c>
      <c r="P835" s="14"/>
    </row>
    <row r="836" spans="1:16" x14ac:dyDescent="0.25">
      <c r="A836" s="7"/>
      <c r="B836" s="7">
        <v>44281</v>
      </c>
      <c r="C836" s="8" t="s">
        <v>164</v>
      </c>
      <c r="D836" s="8" t="s">
        <v>243</v>
      </c>
      <c r="E836" s="9" t="s">
        <v>440</v>
      </c>
      <c r="F836" s="9" t="s">
        <v>1276</v>
      </c>
      <c r="G836" s="17">
        <v>0.51458333333333328</v>
      </c>
      <c r="H836" s="17">
        <v>0.59513888888888888</v>
      </c>
      <c r="I836" s="9">
        <v>36250</v>
      </c>
      <c r="J836" s="9">
        <v>15460</v>
      </c>
      <c r="K836" s="10">
        <f t="shared" si="30"/>
        <v>20790</v>
      </c>
      <c r="L836" s="10">
        <v>15996</v>
      </c>
      <c r="M836" s="11" t="s">
        <v>398</v>
      </c>
      <c r="N836" s="12">
        <v>410</v>
      </c>
      <c r="O836" s="13" t="s">
        <v>1099</v>
      </c>
      <c r="P836" s="14"/>
    </row>
    <row r="837" spans="1:16" x14ac:dyDescent="0.25">
      <c r="A837" s="7"/>
      <c r="B837" s="7">
        <v>44281</v>
      </c>
      <c r="C837" s="8" t="s">
        <v>164</v>
      </c>
      <c r="D837" s="8" t="s">
        <v>299</v>
      </c>
      <c r="E837" s="9" t="s">
        <v>813</v>
      </c>
      <c r="F837" s="9" t="s">
        <v>814</v>
      </c>
      <c r="G837" s="17">
        <v>0.54861111111111105</v>
      </c>
      <c r="H837" s="17">
        <v>0.57777777777777783</v>
      </c>
      <c r="I837" s="9">
        <v>27190</v>
      </c>
      <c r="J837" s="9">
        <v>15840</v>
      </c>
      <c r="K837" s="10">
        <f t="shared" si="30"/>
        <v>11350</v>
      </c>
      <c r="L837" s="10">
        <v>15997</v>
      </c>
      <c r="M837" s="11" t="s">
        <v>398</v>
      </c>
      <c r="N837" s="12">
        <v>102</v>
      </c>
      <c r="O837" s="13" t="s">
        <v>1099</v>
      </c>
      <c r="P837" s="14"/>
    </row>
    <row r="838" spans="1:16" x14ac:dyDescent="0.25">
      <c r="A838" s="7"/>
      <c r="B838" s="7">
        <v>44281</v>
      </c>
      <c r="C838" s="8" t="s">
        <v>208</v>
      </c>
      <c r="D838" s="8" t="s">
        <v>899</v>
      </c>
      <c r="E838" s="9" t="s">
        <v>490</v>
      </c>
      <c r="F838" s="9" t="s">
        <v>491</v>
      </c>
      <c r="G838" s="17">
        <v>0.61458333333333337</v>
      </c>
      <c r="H838" s="17">
        <v>0.64374999999999993</v>
      </c>
      <c r="I838" s="9">
        <v>45470</v>
      </c>
      <c r="J838" s="9">
        <v>18330</v>
      </c>
      <c r="K838" s="10">
        <f t="shared" si="30"/>
        <v>27140</v>
      </c>
      <c r="L838" s="10">
        <v>41367</v>
      </c>
      <c r="M838" s="11" t="s">
        <v>804</v>
      </c>
      <c r="N838" s="12">
        <f>5550+21580</f>
        <v>27130</v>
      </c>
      <c r="O838" s="13" t="s">
        <v>32</v>
      </c>
      <c r="P838" s="14"/>
    </row>
    <row r="839" spans="1:16" x14ac:dyDescent="0.25">
      <c r="A839" s="7"/>
      <c r="B839" s="7">
        <v>44281</v>
      </c>
      <c r="C839" s="8" t="s">
        <v>188</v>
      </c>
      <c r="D839" s="8" t="s">
        <v>284</v>
      </c>
      <c r="E839" s="9" t="s">
        <v>177</v>
      </c>
      <c r="F839" s="9" t="s">
        <v>178</v>
      </c>
      <c r="G839" s="17">
        <v>0.62847222222222221</v>
      </c>
      <c r="H839" s="17">
        <v>0.70486111111111116</v>
      </c>
      <c r="I839" s="9">
        <v>14700</v>
      </c>
      <c r="J839" s="9">
        <v>49810</v>
      </c>
      <c r="K839" s="10">
        <f t="shared" si="30"/>
        <v>-35110</v>
      </c>
      <c r="L839" s="10">
        <v>5914</v>
      </c>
      <c r="M839" s="11" t="s">
        <v>53</v>
      </c>
      <c r="N839" s="12">
        <v>700</v>
      </c>
      <c r="O839" s="13" t="s">
        <v>1099</v>
      </c>
      <c r="P839" s="14"/>
    </row>
    <row r="840" spans="1:16" x14ac:dyDescent="0.25">
      <c r="A840" s="7"/>
      <c r="B840" s="7">
        <v>44281</v>
      </c>
      <c r="C840" s="8" t="s">
        <v>188</v>
      </c>
      <c r="D840" s="8" t="s">
        <v>853</v>
      </c>
      <c r="E840" s="9" t="s">
        <v>51</v>
      </c>
      <c r="F840" s="9" t="s">
        <v>52</v>
      </c>
      <c r="G840" s="17">
        <v>0.65486111111111112</v>
      </c>
      <c r="H840" s="17">
        <v>0.70347222222222217</v>
      </c>
      <c r="I840" s="9">
        <v>16080</v>
      </c>
      <c r="J840" s="9">
        <v>51150</v>
      </c>
      <c r="K840" s="10">
        <f t="shared" si="30"/>
        <v>-35070</v>
      </c>
      <c r="L840" s="10">
        <v>5915</v>
      </c>
      <c r="M840" s="11" t="s">
        <v>53</v>
      </c>
      <c r="N840" s="12">
        <v>700</v>
      </c>
      <c r="O840" s="13" t="s">
        <v>1099</v>
      </c>
      <c r="P840" s="14"/>
    </row>
    <row r="841" spans="1:16" x14ac:dyDescent="0.25">
      <c r="B841" s="7">
        <v>44281</v>
      </c>
      <c r="C841" s="8" t="s">
        <v>188</v>
      </c>
      <c r="D841" s="8" t="s">
        <v>1355</v>
      </c>
      <c r="E841" s="9" t="s">
        <v>1048</v>
      </c>
      <c r="F841" s="9" t="s">
        <v>526</v>
      </c>
      <c r="G841" s="17">
        <v>0.68611111111111101</v>
      </c>
      <c r="H841" s="17">
        <v>0.76527777777777783</v>
      </c>
      <c r="I841" s="9">
        <v>17160</v>
      </c>
      <c r="J841" s="9">
        <v>47250</v>
      </c>
      <c r="K841" s="10">
        <f t="shared" si="30"/>
        <v>-30090</v>
      </c>
      <c r="L841" s="10">
        <v>5916</v>
      </c>
      <c r="M841" s="11" t="s">
        <v>53</v>
      </c>
      <c r="N841" s="12">
        <v>600</v>
      </c>
      <c r="O841" s="13" t="s">
        <v>1099</v>
      </c>
      <c r="P841" s="14"/>
    </row>
    <row r="842" spans="1:16" x14ac:dyDescent="0.25">
      <c r="B842" s="7">
        <v>44281</v>
      </c>
      <c r="C842" s="8" t="s">
        <v>208</v>
      </c>
      <c r="D842" s="8" t="s">
        <v>1008</v>
      </c>
      <c r="E842" s="9" t="s">
        <v>490</v>
      </c>
      <c r="F842" s="9" t="s">
        <v>491</v>
      </c>
      <c r="G842" s="17">
        <v>18.25</v>
      </c>
      <c r="H842" s="17">
        <v>0.77638888888888891</v>
      </c>
      <c r="I842" s="9">
        <v>39480</v>
      </c>
      <c r="J842" s="9">
        <v>18320</v>
      </c>
      <c r="K842" s="10">
        <f t="shared" si="30"/>
        <v>21160</v>
      </c>
      <c r="L842" s="10">
        <v>41368</v>
      </c>
      <c r="M842" s="11" t="s">
        <v>773</v>
      </c>
      <c r="N842" s="12">
        <f>17120+4050</f>
        <v>21170</v>
      </c>
      <c r="O842" s="13" t="s">
        <v>32</v>
      </c>
      <c r="P842" s="14"/>
    </row>
    <row r="843" spans="1:16" x14ac:dyDescent="0.25">
      <c r="B843" s="7">
        <v>44281</v>
      </c>
      <c r="C843" s="8" t="s">
        <v>208</v>
      </c>
      <c r="D843" s="8" t="s">
        <v>880</v>
      </c>
      <c r="E843" s="9" t="s">
        <v>440</v>
      </c>
      <c r="F843" s="9" t="s">
        <v>1276</v>
      </c>
      <c r="G843" s="17">
        <v>0.7680555555555556</v>
      </c>
      <c r="H843" s="17">
        <v>0.35694444444444445</v>
      </c>
      <c r="I843" s="9">
        <v>40210</v>
      </c>
      <c r="J843" s="9">
        <v>16160</v>
      </c>
      <c r="K843" s="10">
        <f t="shared" si="30"/>
        <v>24050</v>
      </c>
      <c r="L843" s="10">
        <v>41375</v>
      </c>
      <c r="M843" s="11" t="s">
        <v>1626</v>
      </c>
      <c r="N843" s="12">
        <v>24080</v>
      </c>
      <c r="O843" s="13" t="s">
        <v>32</v>
      </c>
      <c r="P843" s="14"/>
    </row>
    <row r="844" spans="1:16" x14ac:dyDescent="0.25">
      <c r="B844" s="7">
        <v>44281</v>
      </c>
      <c r="C844" s="8" t="s">
        <v>142</v>
      </c>
      <c r="D844" s="8" t="s">
        <v>2300</v>
      </c>
      <c r="E844" s="9" t="s">
        <v>967</v>
      </c>
      <c r="F844" s="9" t="s">
        <v>36</v>
      </c>
      <c r="G844" s="17">
        <v>0.8208333333333333</v>
      </c>
      <c r="H844" s="17">
        <v>0.87361111111111101</v>
      </c>
      <c r="I844" s="9">
        <v>17660</v>
      </c>
      <c r="J844" s="9">
        <v>6360</v>
      </c>
      <c r="K844" s="10">
        <f t="shared" si="30"/>
        <v>11300</v>
      </c>
      <c r="L844" s="10">
        <v>796</v>
      </c>
      <c r="M844" s="11" t="s">
        <v>2298</v>
      </c>
      <c r="N844" s="12">
        <v>12228</v>
      </c>
      <c r="O844" s="13" t="s">
        <v>683</v>
      </c>
      <c r="P844" s="14"/>
    </row>
    <row r="845" spans="1:16" x14ac:dyDescent="0.25">
      <c r="B845" s="7">
        <v>44281</v>
      </c>
      <c r="C845" s="8" t="s">
        <v>1789</v>
      </c>
      <c r="D845" s="8" t="s">
        <v>994</v>
      </c>
      <c r="E845" s="9" t="s">
        <v>995</v>
      </c>
      <c r="F845" s="9" t="s">
        <v>36</v>
      </c>
      <c r="G845" s="17">
        <v>0.87013888888888891</v>
      </c>
      <c r="H845" s="17">
        <v>0.90625</v>
      </c>
      <c r="I845" s="9">
        <v>8090</v>
      </c>
      <c r="J845" s="9">
        <v>3160</v>
      </c>
      <c r="K845" s="10">
        <f t="shared" si="30"/>
        <v>4930</v>
      </c>
      <c r="L845" s="10">
        <v>26729</v>
      </c>
      <c r="M845" s="11" t="s">
        <v>1694</v>
      </c>
      <c r="N845" s="12">
        <v>4930</v>
      </c>
      <c r="O845" s="13" t="s">
        <v>683</v>
      </c>
      <c r="P845" s="14">
        <f>+N845*2.2/90</f>
        <v>120.51111111111111</v>
      </c>
    </row>
    <row r="846" spans="1:16" x14ac:dyDescent="0.25">
      <c r="B846" s="7">
        <v>44281</v>
      </c>
      <c r="C846" s="8" t="s">
        <v>469</v>
      </c>
      <c r="D846" s="8" t="s">
        <v>1850</v>
      </c>
      <c r="E846" s="9" t="s">
        <v>144</v>
      </c>
      <c r="F846" s="9" t="s">
        <v>626</v>
      </c>
      <c r="G846" s="17">
        <v>0.89444444444444438</v>
      </c>
      <c r="H846" s="17">
        <v>0.48472222222222222</v>
      </c>
      <c r="I846" s="9">
        <v>18160</v>
      </c>
      <c r="J846" s="9">
        <v>38390</v>
      </c>
      <c r="K846" s="10">
        <f t="shared" si="30"/>
        <v>-20230</v>
      </c>
      <c r="L846" s="10">
        <v>5917</v>
      </c>
      <c r="M846" s="11" t="s">
        <v>664</v>
      </c>
      <c r="N846" s="12">
        <v>5822</v>
      </c>
      <c r="O846" s="13" t="s">
        <v>84</v>
      </c>
      <c r="P846" s="14"/>
    </row>
    <row r="847" spans="1:16" x14ac:dyDescent="0.25">
      <c r="B847" s="7">
        <v>44281</v>
      </c>
      <c r="C847" s="8" t="s">
        <v>1789</v>
      </c>
      <c r="D847" s="8" t="s">
        <v>2200</v>
      </c>
      <c r="E847" s="9" t="s">
        <v>2201</v>
      </c>
      <c r="F847" s="9" t="s">
        <v>36</v>
      </c>
      <c r="G847" s="17">
        <v>0.90902777777777777</v>
      </c>
      <c r="H847" s="17">
        <v>0.93055555555555547</v>
      </c>
      <c r="I847" s="9">
        <v>7440</v>
      </c>
      <c r="J847" s="9">
        <v>2720</v>
      </c>
      <c r="K847" s="10">
        <f t="shared" si="30"/>
        <v>4720</v>
      </c>
      <c r="L847" s="10">
        <v>26731</v>
      </c>
      <c r="M847" s="11" t="s">
        <v>1694</v>
      </c>
      <c r="N847" s="12">
        <v>4720</v>
      </c>
      <c r="O847" s="13" t="s">
        <v>683</v>
      </c>
      <c r="P847" s="14">
        <f>+N847*2.2/90</f>
        <v>115.37777777777778</v>
      </c>
    </row>
    <row r="848" spans="1:16" x14ac:dyDescent="0.25">
      <c r="B848" s="7">
        <v>44281</v>
      </c>
      <c r="C848" s="8" t="s">
        <v>1789</v>
      </c>
      <c r="D848" s="8" t="s">
        <v>2295</v>
      </c>
      <c r="E848" s="9" t="s">
        <v>964</v>
      </c>
      <c r="F848" s="9" t="s">
        <v>36</v>
      </c>
      <c r="G848" s="17">
        <v>0.91041666666666676</v>
      </c>
      <c r="H848" s="17">
        <v>0.92569444444444438</v>
      </c>
      <c r="I848" s="9">
        <v>3990</v>
      </c>
      <c r="J848" s="9">
        <v>1790</v>
      </c>
      <c r="K848" s="10">
        <f t="shared" si="30"/>
        <v>2200</v>
      </c>
      <c r="L848" s="10">
        <v>26730</v>
      </c>
      <c r="M848" s="11" t="s">
        <v>1694</v>
      </c>
      <c r="N848" s="12">
        <v>2200</v>
      </c>
      <c r="O848" s="13" t="s">
        <v>683</v>
      </c>
      <c r="P848" s="14"/>
    </row>
    <row r="849" spans="2:20" x14ac:dyDescent="0.25">
      <c r="B849" s="7">
        <v>44281</v>
      </c>
      <c r="C849" s="8" t="s">
        <v>1789</v>
      </c>
      <c r="D849" s="8" t="s">
        <v>1677</v>
      </c>
      <c r="E849" s="9" t="s">
        <v>2273</v>
      </c>
      <c r="F849" s="9" t="s">
        <v>36</v>
      </c>
      <c r="G849" s="17">
        <v>0.91249999999999998</v>
      </c>
      <c r="H849" s="17">
        <v>0.95277777777777783</v>
      </c>
      <c r="I849" s="9">
        <v>1930</v>
      </c>
      <c r="J849" s="9">
        <v>1150</v>
      </c>
      <c r="K849" s="10">
        <f t="shared" si="30"/>
        <v>780</v>
      </c>
      <c r="L849" s="10">
        <v>26735</v>
      </c>
      <c r="M849" s="11" t="s">
        <v>1694</v>
      </c>
      <c r="N849" s="12">
        <v>780</v>
      </c>
      <c r="O849" s="13" t="s">
        <v>683</v>
      </c>
      <c r="P849" s="14">
        <f>+N849*2.2/90</f>
        <v>19.06666666666667</v>
      </c>
    </row>
    <row r="850" spans="2:20" x14ac:dyDescent="0.25">
      <c r="B850" s="7">
        <v>44281</v>
      </c>
      <c r="C850" s="8" t="s">
        <v>1789</v>
      </c>
      <c r="D850" s="8" t="s">
        <v>2301</v>
      </c>
      <c r="E850" s="9" t="s">
        <v>2088</v>
      </c>
      <c r="F850" s="9" t="s">
        <v>36</v>
      </c>
      <c r="G850" s="17">
        <v>0.91388888888888886</v>
      </c>
      <c r="H850" s="17">
        <v>0.93680555555555556</v>
      </c>
      <c r="I850" s="9">
        <v>6700</v>
      </c>
      <c r="J850" s="9">
        <v>2950</v>
      </c>
      <c r="K850" s="10">
        <f t="shared" si="30"/>
        <v>3750</v>
      </c>
      <c r="L850" s="10">
        <v>26732</v>
      </c>
      <c r="M850" s="11" t="s">
        <v>1694</v>
      </c>
      <c r="N850" s="12">
        <v>3750</v>
      </c>
      <c r="O850" s="13" t="s">
        <v>683</v>
      </c>
      <c r="P850" s="14">
        <f>+N850*2.2/90</f>
        <v>91.666666666666671</v>
      </c>
    </row>
    <row r="851" spans="2:20" x14ac:dyDescent="0.25">
      <c r="B851" s="7">
        <v>44281</v>
      </c>
      <c r="C851" s="8" t="s">
        <v>1789</v>
      </c>
      <c r="D851" s="8" t="s">
        <v>2204</v>
      </c>
      <c r="E851" s="9" t="s">
        <v>2205</v>
      </c>
      <c r="F851" s="9" t="s">
        <v>36</v>
      </c>
      <c r="G851" s="17">
        <v>0.91527777777777775</v>
      </c>
      <c r="H851" s="17">
        <v>0.96111111111111114</v>
      </c>
      <c r="I851" s="9">
        <v>6190</v>
      </c>
      <c r="J851" s="9">
        <v>2630</v>
      </c>
      <c r="K851" s="10">
        <f t="shared" si="30"/>
        <v>3560</v>
      </c>
      <c r="L851" s="10">
        <v>26736</v>
      </c>
      <c r="M851" s="11" t="s">
        <v>1694</v>
      </c>
      <c r="N851" s="12">
        <v>3560</v>
      </c>
      <c r="O851" s="13" t="s">
        <v>683</v>
      </c>
      <c r="P851" s="14">
        <f>+N851*2.2/90</f>
        <v>87.022222222222226</v>
      </c>
    </row>
    <row r="852" spans="2:20" x14ac:dyDescent="0.25">
      <c r="B852" s="7">
        <v>44281</v>
      </c>
      <c r="C852" s="8" t="s">
        <v>37</v>
      </c>
      <c r="D852" s="8" t="s">
        <v>1055</v>
      </c>
      <c r="E852" s="9" t="s">
        <v>39</v>
      </c>
      <c r="F852" s="9" t="s">
        <v>2296</v>
      </c>
      <c r="G852" s="17">
        <v>0.9194444444444444</v>
      </c>
      <c r="H852" s="17">
        <v>0.94513888888888886</v>
      </c>
      <c r="I852" s="9">
        <v>15715</v>
      </c>
      <c r="J852" s="9">
        <v>6230</v>
      </c>
      <c r="K852" s="10">
        <f t="shared" si="30"/>
        <v>9485</v>
      </c>
      <c r="L852" s="10">
        <v>26733</v>
      </c>
      <c r="M852" s="11" t="s">
        <v>2302</v>
      </c>
      <c r="N852" s="12">
        <v>9485</v>
      </c>
      <c r="O852" s="13" t="s">
        <v>32</v>
      </c>
      <c r="P852" s="14"/>
    </row>
    <row r="853" spans="2:20" x14ac:dyDescent="0.25">
      <c r="B853" s="7">
        <v>44281</v>
      </c>
      <c r="C853" s="8" t="s">
        <v>1789</v>
      </c>
      <c r="D853" s="8" t="s">
        <v>2268</v>
      </c>
      <c r="E853" s="9" t="s">
        <v>2278</v>
      </c>
      <c r="F853" s="9" t="s">
        <v>154</v>
      </c>
      <c r="G853" s="17">
        <v>0.92847222222222225</v>
      </c>
      <c r="H853" s="17">
        <v>0.96875</v>
      </c>
      <c r="I853" s="9">
        <v>2370</v>
      </c>
      <c r="J853" s="9">
        <v>1170</v>
      </c>
      <c r="K853" s="10">
        <f t="shared" si="30"/>
        <v>1200</v>
      </c>
      <c r="L853" s="10">
        <v>26737</v>
      </c>
      <c r="M853" s="11" t="s">
        <v>1694</v>
      </c>
      <c r="N853" s="12">
        <v>1200</v>
      </c>
      <c r="O853" s="13" t="s">
        <v>683</v>
      </c>
      <c r="P853" s="14"/>
    </row>
    <row r="854" spans="2:20" x14ac:dyDescent="0.25">
      <c r="B854" s="7">
        <v>44281</v>
      </c>
      <c r="C854" s="8" t="s">
        <v>2303</v>
      </c>
      <c r="D854" s="8" t="s">
        <v>2304</v>
      </c>
      <c r="E854" s="9" t="s">
        <v>1394</v>
      </c>
      <c r="F854" s="9" t="s">
        <v>154</v>
      </c>
      <c r="G854" s="17">
        <v>0.93958333333333333</v>
      </c>
      <c r="H854" s="17">
        <v>0.9506944444444444</v>
      </c>
      <c r="I854" s="9">
        <v>10310</v>
      </c>
      <c r="J854" s="9">
        <v>9250</v>
      </c>
      <c r="K854" s="10">
        <f t="shared" ref="K854:K917" si="32">+I854-J854</f>
        <v>1060</v>
      </c>
      <c r="L854" s="10">
        <v>26734</v>
      </c>
      <c r="M854" s="11" t="s">
        <v>1694</v>
      </c>
      <c r="N854" s="12">
        <v>1060</v>
      </c>
      <c r="O854" s="13" t="s">
        <v>683</v>
      </c>
      <c r="P854" s="14"/>
    </row>
    <row r="855" spans="2:20" x14ac:dyDescent="0.25">
      <c r="B855" s="7">
        <v>44281</v>
      </c>
      <c r="C855" s="8" t="s">
        <v>1789</v>
      </c>
      <c r="D855" s="8" t="s">
        <v>2025</v>
      </c>
      <c r="E855" s="9" t="s">
        <v>2128</v>
      </c>
      <c r="F855" s="9" t="s">
        <v>154</v>
      </c>
      <c r="G855" s="17">
        <v>0.94444444444444453</v>
      </c>
      <c r="H855" s="17">
        <v>0.99652777777777779</v>
      </c>
      <c r="I855" s="9">
        <v>11140</v>
      </c>
      <c r="J855" s="9">
        <v>5520</v>
      </c>
      <c r="K855" s="10">
        <f t="shared" si="32"/>
        <v>5620</v>
      </c>
      <c r="L855" s="10">
        <v>26739</v>
      </c>
      <c r="M855" s="11" t="s">
        <v>1694</v>
      </c>
      <c r="N855" s="12">
        <v>5620</v>
      </c>
      <c r="O855" s="13" t="s">
        <v>683</v>
      </c>
      <c r="P855" s="14"/>
    </row>
    <row r="856" spans="2:20" x14ac:dyDescent="0.25">
      <c r="B856" s="7">
        <v>44281</v>
      </c>
      <c r="C856" s="8" t="s">
        <v>1789</v>
      </c>
      <c r="D856" s="8" t="s">
        <v>2026</v>
      </c>
      <c r="E856" s="9" t="s">
        <v>1675</v>
      </c>
      <c r="F856" s="9" t="s">
        <v>154</v>
      </c>
      <c r="G856" s="17">
        <v>0.95833333333333337</v>
      </c>
      <c r="H856" s="17">
        <v>0.97986111111111107</v>
      </c>
      <c r="I856" s="9">
        <v>5990</v>
      </c>
      <c r="J856" s="9">
        <v>2700</v>
      </c>
      <c r="K856" s="10">
        <f t="shared" si="32"/>
        <v>3290</v>
      </c>
      <c r="L856" s="10">
        <v>26738</v>
      </c>
      <c r="M856" s="11" t="s">
        <v>1694</v>
      </c>
      <c r="N856" s="12">
        <v>3290</v>
      </c>
      <c r="O856" s="13" t="s">
        <v>683</v>
      </c>
      <c r="P856" s="14">
        <f>+N856*2.2/90</f>
        <v>80.422222222222231</v>
      </c>
      <c r="R856" s="1" t="s">
        <v>965</v>
      </c>
      <c r="S856" s="1">
        <v>36.619999999999997</v>
      </c>
      <c r="T856" s="1" t="s">
        <v>855</v>
      </c>
    </row>
    <row r="857" spans="2:20" x14ac:dyDescent="0.25">
      <c r="B857" s="7">
        <v>44281</v>
      </c>
      <c r="C857" s="8" t="s">
        <v>366</v>
      </c>
      <c r="D857" s="8" t="s">
        <v>1076</v>
      </c>
      <c r="E857" s="9" t="s">
        <v>220</v>
      </c>
      <c r="F857" s="9" t="s">
        <v>924</v>
      </c>
      <c r="G857" s="17">
        <v>0.95972222222222225</v>
      </c>
      <c r="H857" s="17">
        <v>0.12083333333333333</v>
      </c>
      <c r="I857" s="9">
        <v>22220</v>
      </c>
      <c r="J857" s="9">
        <v>9410</v>
      </c>
      <c r="K857" s="10">
        <f t="shared" si="32"/>
        <v>12810</v>
      </c>
      <c r="L857" s="10" t="s">
        <v>2305</v>
      </c>
      <c r="M857" s="11" t="s">
        <v>2154</v>
      </c>
      <c r="N857" s="12">
        <f>10358+2510</f>
        <v>12868</v>
      </c>
      <c r="O857" s="13" t="s">
        <v>683</v>
      </c>
      <c r="P857" s="14"/>
      <c r="R857" s="1" t="s">
        <v>965</v>
      </c>
      <c r="S857" s="1">
        <v>36620</v>
      </c>
      <c r="T857" s="1" t="s">
        <v>32</v>
      </c>
    </row>
    <row r="858" spans="2:20" x14ac:dyDescent="0.25">
      <c r="B858" s="7">
        <v>44281</v>
      </c>
      <c r="C858" s="8" t="s">
        <v>1789</v>
      </c>
      <c r="D858" s="8" t="s">
        <v>2294</v>
      </c>
      <c r="E858" s="9" t="s">
        <v>2044</v>
      </c>
      <c r="F858" s="9" t="s">
        <v>154</v>
      </c>
      <c r="G858" s="17">
        <v>0.96319444444444446</v>
      </c>
      <c r="H858" s="17">
        <v>0.99861111111111101</v>
      </c>
      <c r="I858" s="9">
        <v>5590</v>
      </c>
      <c r="J858" s="9">
        <v>2170</v>
      </c>
      <c r="K858" s="10">
        <f t="shared" si="32"/>
        <v>3420</v>
      </c>
      <c r="L858" s="10">
        <v>26740</v>
      </c>
      <c r="M858" s="11" t="s">
        <v>1694</v>
      </c>
      <c r="N858" s="12">
        <v>3420</v>
      </c>
      <c r="O858" s="13" t="s">
        <v>683</v>
      </c>
      <c r="P858" s="14"/>
    </row>
    <row r="859" spans="2:20" x14ac:dyDescent="0.25">
      <c r="B859" s="7">
        <v>44281</v>
      </c>
      <c r="C859" s="8" t="s">
        <v>1789</v>
      </c>
      <c r="D859" s="8" t="s">
        <v>2130</v>
      </c>
      <c r="E859" s="9" t="s">
        <v>2131</v>
      </c>
      <c r="F859" s="9" t="s">
        <v>154</v>
      </c>
      <c r="G859" s="17">
        <v>0.96527777777777779</v>
      </c>
      <c r="H859" s="17">
        <v>5.5555555555555558E-3</v>
      </c>
      <c r="I859" s="9">
        <v>5830</v>
      </c>
      <c r="J859" s="9">
        <v>2680</v>
      </c>
      <c r="K859" s="10">
        <f t="shared" si="32"/>
        <v>3150</v>
      </c>
      <c r="L859" s="10">
        <v>26741</v>
      </c>
      <c r="M859" s="11" t="s">
        <v>1694</v>
      </c>
      <c r="N859" s="12">
        <v>3150</v>
      </c>
      <c r="O859" s="13" t="s">
        <v>683</v>
      </c>
      <c r="P859" s="14"/>
    </row>
    <row r="860" spans="2:20" x14ac:dyDescent="0.25">
      <c r="B860" s="7">
        <v>44282</v>
      </c>
      <c r="C860" s="8" t="s">
        <v>2306</v>
      </c>
      <c r="D860" s="8" t="s">
        <v>458</v>
      </c>
      <c r="E860" s="9" t="s">
        <v>699</v>
      </c>
      <c r="F860" s="9" t="s">
        <v>459</v>
      </c>
      <c r="G860" s="17">
        <v>8.1250000000000003E-2</v>
      </c>
      <c r="H860" s="17">
        <v>0.10833333333333334</v>
      </c>
      <c r="I860" s="9">
        <v>18890</v>
      </c>
      <c r="J860" s="9">
        <v>8270</v>
      </c>
      <c r="K860" s="10">
        <f t="shared" si="32"/>
        <v>10620</v>
      </c>
      <c r="L860" s="10" t="s">
        <v>2307</v>
      </c>
      <c r="M860" s="11" t="s">
        <v>718</v>
      </c>
      <c r="N860" s="12">
        <v>23155</v>
      </c>
      <c r="O860" s="13" t="s">
        <v>32</v>
      </c>
      <c r="P860" s="14"/>
      <c r="Q860" s="2">
        <v>528</v>
      </c>
    </row>
    <row r="861" spans="2:20" x14ac:dyDescent="0.25">
      <c r="B861" s="7">
        <v>44282</v>
      </c>
      <c r="C861" s="8" t="s">
        <v>142</v>
      </c>
      <c r="D861" s="8" t="s">
        <v>1656</v>
      </c>
      <c r="E861" s="9" t="s">
        <v>87</v>
      </c>
      <c r="F861" s="9" t="s">
        <v>88</v>
      </c>
      <c r="G861" s="17">
        <v>0.10972222222222222</v>
      </c>
      <c r="H861" s="17">
        <v>0.12847222222222224</v>
      </c>
      <c r="I861" s="9">
        <v>43480</v>
      </c>
      <c r="J861" s="9">
        <v>19520</v>
      </c>
      <c r="K861" s="10">
        <f t="shared" si="32"/>
        <v>23960</v>
      </c>
      <c r="L861" s="10">
        <v>798</v>
      </c>
      <c r="M861" s="11" t="s">
        <v>2308</v>
      </c>
      <c r="N861" s="12">
        <v>22509</v>
      </c>
      <c r="O861" s="13" t="s">
        <v>32</v>
      </c>
      <c r="P861" s="14"/>
    </row>
    <row r="862" spans="2:20" x14ac:dyDescent="0.25">
      <c r="B862" s="15">
        <v>44282</v>
      </c>
      <c r="C862" s="16" t="s">
        <v>208</v>
      </c>
      <c r="D862" s="8" t="s">
        <v>1008</v>
      </c>
      <c r="E862" s="9" t="s">
        <v>490</v>
      </c>
      <c r="F862" s="9" t="s">
        <v>491</v>
      </c>
      <c r="G862" s="17">
        <v>0.3354166666666667</v>
      </c>
      <c r="H862" s="17">
        <v>0.35347222222222219</v>
      </c>
      <c r="I862" s="9">
        <v>44680</v>
      </c>
      <c r="J862" s="9">
        <v>18370</v>
      </c>
      <c r="K862" s="10">
        <f t="shared" si="32"/>
        <v>26310</v>
      </c>
      <c r="L862" s="10">
        <v>41367</v>
      </c>
      <c r="M862" s="11" t="s">
        <v>2308</v>
      </c>
      <c r="N862" s="12">
        <v>26370</v>
      </c>
      <c r="O862" s="13" t="s">
        <v>32</v>
      </c>
      <c r="P862" s="14"/>
    </row>
    <row r="863" spans="2:20" x14ac:dyDescent="0.25">
      <c r="B863" s="7">
        <v>44282</v>
      </c>
      <c r="C863" s="43" t="s">
        <v>1630</v>
      </c>
      <c r="D863" s="43" t="s">
        <v>602</v>
      </c>
      <c r="E863" s="44" t="s">
        <v>1632</v>
      </c>
      <c r="F863" s="44" t="s">
        <v>266</v>
      </c>
      <c r="G863" s="17">
        <v>0.37986111111111115</v>
      </c>
      <c r="H863" s="17">
        <v>0.41597222222222219</v>
      </c>
      <c r="I863" s="9">
        <v>5850</v>
      </c>
      <c r="J863" s="9">
        <v>5480</v>
      </c>
      <c r="K863" s="10">
        <f t="shared" si="32"/>
        <v>370</v>
      </c>
      <c r="L863" s="10" t="s">
        <v>2309</v>
      </c>
      <c r="M863" s="47" t="s">
        <v>2310</v>
      </c>
      <c r="N863" s="12">
        <v>370</v>
      </c>
      <c r="O863" s="13" t="s">
        <v>32</v>
      </c>
      <c r="P863" s="14"/>
    </row>
    <row r="864" spans="2:20" x14ac:dyDescent="0.25">
      <c r="B864" s="7">
        <v>44282</v>
      </c>
      <c r="C864" s="8" t="s">
        <v>424</v>
      </c>
      <c r="D864" s="8" t="s">
        <v>1008</v>
      </c>
      <c r="E864" s="9" t="s">
        <v>490</v>
      </c>
      <c r="F864" s="9" t="s">
        <v>491</v>
      </c>
      <c r="G864" s="17">
        <v>0.57986111111111105</v>
      </c>
      <c r="H864" s="17">
        <v>0.71388888888888891</v>
      </c>
      <c r="I864" s="9">
        <v>15940</v>
      </c>
      <c r="J864" s="9">
        <v>51080</v>
      </c>
      <c r="K864" s="10">
        <f t="shared" si="32"/>
        <v>-35140</v>
      </c>
      <c r="L864" s="10">
        <v>5918</v>
      </c>
      <c r="M864" s="11" t="s">
        <v>53</v>
      </c>
      <c r="N864" s="12">
        <v>700</v>
      </c>
      <c r="O864" s="13" t="s">
        <v>1099</v>
      </c>
      <c r="P864" s="14"/>
    </row>
    <row r="865" spans="2:23" x14ac:dyDescent="0.25">
      <c r="B865" s="7">
        <v>44282</v>
      </c>
      <c r="C865" s="8" t="s">
        <v>188</v>
      </c>
      <c r="D865" s="8" t="s">
        <v>1355</v>
      </c>
      <c r="E865" s="9" t="s">
        <v>1048</v>
      </c>
      <c r="F865" s="9" t="s">
        <v>526</v>
      </c>
      <c r="G865" s="17">
        <v>0.60486111111111118</v>
      </c>
      <c r="H865" s="17">
        <v>0.72152777777777777</v>
      </c>
      <c r="I865" s="9">
        <v>17080</v>
      </c>
      <c r="J865" s="9">
        <v>52140</v>
      </c>
      <c r="K865" s="10">
        <f t="shared" si="32"/>
        <v>-35060</v>
      </c>
      <c r="L865" s="10">
        <v>5919</v>
      </c>
      <c r="M865" s="11" t="s">
        <v>53</v>
      </c>
      <c r="N865" s="12">
        <v>700</v>
      </c>
      <c r="O865" s="13" t="s">
        <v>1099</v>
      </c>
      <c r="P865" s="14"/>
    </row>
    <row r="866" spans="2:23" x14ac:dyDescent="0.25">
      <c r="B866" s="7">
        <v>44282</v>
      </c>
      <c r="C866" s="8" t="s">
        <v>188</v>
      </c>
      <c r="D866" s="8" t="s">
        <v>853</v>
      </c>
      <c r="E866" s="9" t="s">
        <v>51</v>
      </c>
      <c r="F866" s="9" t="s">
        <v>52</v>
      </c>
      <c r="G866" s="17">
        <v>0.60555555555555551</v>
      </c>
      <c r="H866" s="17">
        <v>0.72013888888888899</v>
      </c>
      <c r="I866" s="9">
        <v>16030</v>
      </c>
      <c r="J866" s="9">
        <v>46120</v>
      </c>
      <c r="K866" s="10">
        <f t="shared" si="32"/>
        <v>-30090</v>
      </c>
      <c r="L866" s="10">
        <v>5920</v>
      </c>
      <c r="M866" s="11" t="s">
        <v>53</v>
      </c>
      <c r="N866" s="12">
        <v>600</v>
      </c>
      <c r="O866" s="13" t="s">
        <v>1099</v>
      </c>
      <c r="P866" s="14"/>
    </row>
    <row r="867" spans="2:23" x14ac:dyDescent="0.25">
      <c r="B867" s="7">
        <v>44282</v>
      </c>
      <c r="C867" s="8" t="s">
        <v>1386</v>
      </c>
      <c r="D867" s="8" t="s">
        <v>198</v>
      </c>
      <c r="E867" s="9" t="s">
        <v>160</v>
      </c>
      <c r="F867" s="9" t="s">
        <v>161</v>
      </c>
      <c r="G867" s="17">
        <v>0.89513888888888893</v>
      </c>
      <c r="H867" s="17">
        <v>0.37986111111111115</v>
      </c>
      <c r="I867" s="9">
        <v>25270</v>
      </c>
      <c r="J867" s="9">
        <v>15810</v>
      </c>
      <c r="K867" s="10">
        <f t="shared" si="32"/>
        <v>9460</v>
      </c>
      <c r="L867" s="10">
        <v>5569</v>
      </c>
      <c r="M867" s="11" t="s">
        <v>2311</v>
      </c>
      <c r="N867" s="12">
        <v>90</v>
      </c>
      <c r="O867" s="13" t="s">
        <v>96</v>
      </c>
      <c r="P867" s="14"/>
    </row>
    <row r="868" spans="2:23" x14ac:dyDescent="0.25">
      <c r="B868" s="15">
        <v>44284</v>
      </c>
      <c r="C868" s="8" t="s">
        <v>164</v>
      </c>
      <c r="D868" s="8" t="s">
        <v>243</v>
      </c>
      <c r="E868" s="9" t="s">
        <v>440</v>
      </c>
      <c r="F868" s="9" t="s">
        <v>1276</v>
      </c>
      <c r="G868" s="17">
        <v>0.3833333333333333</v>
      </c>
      <c r="H868" s="17">
        <v>0.4284722222222222</v>
      </c>
      <c r="I868" s="9">
        <v>15790</v>
      </c>
      <c r="J868" s="9">
        <v>36920</v>
      </c>
      <c r="K868" s="10">
        <f t="shared" si="32"/>
        <v>-21130</v>
      </c>
      <c r="L868" s="10">
        <v>15941</v>
      </c>
      <c r="M868" s="11" t="s">
        <v>166</v>
      </c>
      <c r="N868" s="12">
        <v>420</v>
      </c>
      <c r="O868" s="13" t="s">
        <v>1099</v>
      </c>
      <c r="P868" s="14"/>
    </row>
    <row r="869" spans="2:23" x14ac:dyDescent="0.25">
      <c r="B869" s="7">
        <v>44284</v>
      </c>
      <c r="C869" s="8" t="s">
        <v>164</v>
      </c>
      <c r="D869" s="8" t="s">
        <v>198</v>
      </c>
      <c r="E869" s="9" t="s">
        <v>160</v>
      </c>
      <c r="F869" s="9" t="s">
        <v>161</v>
      </c>
      <c r="G869" s="17">
        <v>0.39444444444444443</v>
      </c>
      <c r="H869" s="17">
        <v>0.43611111111111112</v>
      </c>
      <c r="I869" s="9">
        <v>17040</v>
      </c>
      <c r="J869" s="9">
        <v>40680</v>
      </c>
      <c r="K869" s="10">
        <f t="shared" si="32"/>
        <v>-23640</v>
      </c>
      <c r="L869" s="10">
        <v>15942</v>
      </c>
      <c r="M869" s="11" t="s">
        <v>166</v>
      </c>
      <c r="N869" s="12">
        <v>471</v>
      </c>
      <c r="O869" s="13" t="s">
        <v>1099</v>
      </c>
      <c r="P869" s="14"/>
    </row>
    <row r="870" spans="2:23" x14ac:dyDescent="0.25">
      <c r="B870" s="7">
        <v>44284</v>
      </c>
      <c r="C870" s="8" t="s">
        <v>164</v>
      </c>
      <c r="D870" s="8" t="s">
        <v>2249</v>
      </c>
      <c r="E870" s="9" t="s">
        <v>2250</v>
      </c>
      <c r="F870" s="9" t="s">
        <v>2251</v>
      </c>
      <c r="G870" s="17">
        <v>0.40208333333333335</v>
      </c>
      <c r="H870" s="17">
        <v>0.45555555555555555</v>
      </c>
      <c r="I870" s="9">
        <v>15800</v>
      </c>
      <c r="J870" s="9">
        <v>36700</v>
      </c>
      <c r="K870" s="10">
        <f t="shared" si="32"/>
        <v>-20900</v>
      </c>
      <c r="L870" s="10">
        <v>15943</v>
      </c>
      <c r="M870" s="11" t="s">
        <v>166</v>
      </c>
      <c r="N870" s="12">
        <v>336</v>
      </c>
      <c r="O870" s="13" t="s">
        <v>1099</v>
      </c>
      <c r="P870" s="14"/>
    </row>
    <row r="871" spans="2:23" x14ac:dyDescent="0.25">
      <c r="B871" s="7">
        <v>44284</v>
      </c>
      <c r="C871" s="8" t="s">
        <v>164</v>
      </c>
      <c r="D871" s="8" t="s">
        <v>198</v>
      </c>
      <c r="E871" s="9" t="s">
        <v>2313</v>
      </c>
      <c r="F871" s="9" t="s">
        <v>161</v>
      </c>
      <c r="G871" s="17">
        <v>0.51458333333333328</v>
      </c>
      <c r="H871" s="17">
        <v>0.58333333333333337</v>
      </c>
      <c r="I871" s="9">
        <v>17100</v>
      </c>
      <c r="J871" s="9">
        <v>41670</v>
      </c>
      <c r="K871" s="10">
        <f t="shared" si="32"/>
        <v>-24570</v>
      </c>
      <c r="L871" s="10">
        <v>15945</v>
      </c>
      <c r="M871" s="11" t="s">
        <v>166</v>
      </c>
      <c r="N871" s="12">
        <v>491</v>
      </c>
      <c r="O871" s="13" t="s">
        <v>1099</v>
      </c>
      <c r="P871" s="14"/>
    </row>
    <row r="872" spans="2:23" x14ac:dyDescent="0.25">
      <c r="B872" s="7">
        <v>44284</v>
      </c>
      <c r="C872" s="8" t="s">
        <v>164</v>
      </c>
      <c r="D872" s="8" t="s">
        <v>2249</v>
      </c>
      <c r="E872" s="9" t="s">
        <v>2250</v>
      </c>
      <c r="F872" s="9" t="s">
        <v>2251</v>
      </c>
      <c r="G872" s="17">
        <v>0.57222222222222219</v>
      </c>
      <c r="H872" s="17">
        <v>0.60138888888888886</v>
      </c>
      <c r="I872" s="9">
        <v>15630</v>
      </c>
      <c r="J872" s="9">
        <v>36460</v>
      </c>
      <c r="K872" s="10">
        <f t="shared" si="32"/>
        <v>-20830</v>
      </c>
      <c r="L872" s="10">
        <v>15946</v>
      </c>
      <c r="M872" s="11" t="s">
        <v>166</v>
      </c>
      <c r="N872" s="12">
        <v>416</v>
      </c>
      <c r="O872" s="13" t="s">
        <v>1099</v>
      </c>
      <c r="P872" s="14"/>
    </row>
    <row r="873" spans="2:23" x14ac:dyDescent="0.25">
      <c r="B873" s="7">
        <v>44284</v>
      </c>
      <c r="C873" s="8" t="s">
        <v>424</v>
      </c>
      <c r="D873" s="8" t="s">
        <v>853</v>
      </c>
      <c r="E873" s="9" t="s">
        <v>51</v>
      </c>
      <c r="F873" s="9" t="s">
        <v>52</v>
      </c>
      <c r="G873" s="17">
        <v>0.58888888888888891</v>
      </c>
      <c r="H873" s="17">
        <v>0.71597222222222223</v>
      </c>
      <c r="I873" s="9">
        <v>16040</v>
      </c>
      <c r="J873" s="9">
        <v>51180</v>
      </c>
      <c r="K873" s="10">
        <f t="shared" si="32"/>
        <v>-35140</v>
      </c>
      <c r="L873" s="10">
        <v>5921</v>
      </c>
      <c r="M873" s="11" t="s">
        <v>53</v>
      </c>
      <c r="N873" s="12">
        <v>700</v>
      </c>
      <c r="O873" s="13" t="s">
        <v>1099</v>
      </c>
      <c r="P873" s="14"/>
    </row>
    <row r="874" spans="2:23" x14ac:dyDescent="0.25">
      <c r="B874" s="7">
        <v>44284</v>
      </c>
      <c r="C874" s="8" t="s">
        <v>424</v>
      </c>
      <c r="D874" s="8" t="s">
        <v>1008</v>
      </c>
      <c r="E874" s="9" t="s">
        <v>490</v>
      </c>
      <c r="F874" s="9" t="s">
        <v>491</v>
      </c>
      <c r="G874" s="17">
        <v>0.6</v>
      </c>
      <c r="H874" s="17">
        <v>0.71805555555555556</v>
      </c>
      <c r="I874" s="9">
        <v>15940</v>
      </c>
      <c r="J874" s="9">
        <v>51080</v>
      </c>
      <c r="K874" s="10">
        <f t="shared" si="32"/>
        <v>-35140</v>
      </c>
      <c r="L874" s="10">
        <v>5922</v>
      </c>
      <c r="M874" s="11" t="s">
        <v>53</v>
      </c>
      <c r="N874" s="12">
        <v>700</v>
      </c>
      <c r="O874" s="13" t="s">
        <v>1099</v>
      </c>
      <c r="P874" s="14"/>
    </row>
    <row r="875" spans="2:23" x14ac:dyDescent="0.25">
      <c r="B875" s="7">
        <v>44284</v>
      </c>
      <c r="C875" s="8" t="s">
        <v>164</v>
      </c>
      <c r="D875" s="8" t="s">
        <v>1655</v>
      </c>
      <c r="E875" s="9" t="s">
        <v>2286</v>
      </c>
      <c r="F875" s="9" t="s">
        <v>2287</v>
      </c>
      <c r="G875" s="17">
        <v>0.60416666666666663</v>
      </c>
      <c r="H875" s="17">
        <v>0.62569444444444444</v>
      </c>
      <c r="I875" s="9">
        <v>8480</v>
      </c>
      <c r="J875" s="9">
        <v>20280</v>
      </c>
      <c r="K875" s="10">
        <f t="shared" si="32"/>
        <v>-11800</v>
      </c>
      <c r="L875" s="10">
        <v>15948</v>
      </c>
      <c r="M875" s="11" t="s">
        <v>166</v>
      </c>
      <c r="N875" s="12">
        <v>252</v>
      </c>
      <c r="O875" s="13" t="s">
        <v>1099</v>
      </c>
      <c r="P875" s="14"/>
    </row>
    <row r="876" spans="2:23" x14ac:dyDescent="0.25">
      <c r="B876" s="7">
        <v>44284</v>
      </c>
      <c r="C876" s="8" t="s">
        <v>208</v>
      </c>
      <c r="D876" s="8" t="s">
        <v>243</v>
      </c>
      <c r="E876" s="9" t="s">
        <v>440</v>
      </c>
      <c r="F876" s="9" t="s">
        <v>1276</v>
      </c>
      <c r="G876" s="17">
        <v>0.61944444444444446</v>
      </c>
      <c r="H876" s="17">
        <v>0.63472222222222219</v>
      </c>
      <c r="I876" s="9">
        <v>39000</v>
      </c>
      <c r="J876" s="9">
        <v>16590</v>
      </c>
      <c r="K876" s="10">
        <f t="shared" si="32"/>
        <v>22410</v>
      </c>
      <c r="L876" s="10">
        <v>41391</v>
      </c>
      <c r="M876" s="11" t="s">
        <v>2312</v>
      </c>
      <c r="N876" s="12">
        <f>14510+7900</f>
        <v>22410</v>
      </c>
      <c r="O876" s="13" t="s">
        <v>32</v>
      </c>
      <c r="P876" s="14"/>
    </row>
    <row r="877" spans="2:23" x14ac:dyDescent="0.25">
      <c r="B877" s="7">
        <v>44284</v>
      </c>
      <c r="C877" s="8" t="s">
        <v>85</v>
      </c>
      <c r="D877" s="8" t="s">
        <v>198</v>
      </c>
      <c r="E877" s="9" t="s">
        <v>2313</v>
      </c>
      <c r="F877" s="9" t="s">
        <v>161</v>
      </c>
      <c r="G877" s="17">
        <v>0.67083333333333339</v>
      </c>
      <c r="H877" s="17">
        <v>0.70694444444444438</v>
      </c>
      <c r="I877" s="9">
        <v>15820</v>
      </c>
      <c r="J877" s="9">
        <v>39170</v>
      </c>
      <c r="K877" s="10">
        <f t="shared" si="32"/>
        <v>-23350</v>
      </c>
      <c r="L877" s="10">
        <v>5924</v>
      </c>
      <c r="M877" s="11" t="s">
        <v>2033</v>
      </c>
      <c r="N877" s="12">
        <v>22196</v>
      </c>
      <c r="O877" s="13" t="s">
        <v>32</v>
      </c>
      <c r="P877" s="14" t="s">
        <v>2314</v>
      </c>
      <c r="R877" s="1" t="s">
        <v>91</v>
      </c>
      <c r="S877" s="1">
        <v>57</v>
      </c>
      <c r="T877" s="18">
        <v>11</v>
      </c>
      <c r="U877" s="1">
        <f>+T877*S877</f>
        <v>627</v>
      </c>
    </row>
    <row r="878" spans="2:23" x14ac:dyDescent="0.25">
      <c r="B878" s="7">
        <v>44284</v>
      </c>
      <c r="C878" s="8" t="s">
        <v>424</v>
      </c>
      <c r="D878" s="8" t="s">
        <v>1355</v>
      </c>
      <c r="E878" s="9" t="s">
        <v>1048</v>
      </c>
      <c r="F878" s="9" t="s">
        <v>526</v>
      </c>
      <c r="G878" s="17">
        <v>0.67499999999999993</v>
      </c>
      <c r="H878" s="17">
        <v>0.76388888888888884</v>
      </c>
      <c r="I878" s="9">
        <v>17300</v>
      </c>
      <c r="J878" s="9">
        <v>47410</v>
      </c>
      <c r="K878" s="10">
        <f t="shared" si="32"/>
        <v>-30110</v>
      </c>
      <c r="L878" s="10">
        <v>5923</v>
      </c>
      <c r="M878" s="11" t="s">
        <v>53</v>
      </c>
      <c r="N878" s="12">
        <v>600</v>
      </c>
      <c r="O878" s="13" t="s">
        <v>1099</v>
      </c>
      <c r="P878" s="14"/>
      <c r="R878" s="1" t="s">
        <v>646</v>
      </c>
      <c r="S878" s="1">
        <v>58</v>
      </c>
      <c r="T878" s="18">
        <v>8</v>
      </c>
      <c r="U878" s="1">
        <f>+T878*S878</f>
        <v>464</v>
      </c>
    </row>
    <row r="879" spans="2:23" x14ac:dyDescent="0.25">
      <c r="B879" s="7">
        <v>44284</v>
      </c>
      <c r="C879" s="8" t="s">
        <v>1391</v>
      </c>
      <c r="D879" s="8" t="s">
        <v>2242</v>
      </c>
      <c r="E879" s="9" t="s">
        <v>2243</v>
      </c>
      <c r="F879" s="9" t="s">
        <v>36</v>
      </c>
      <c r="G879" s="17">
        <v>0.74236111111111114</v>
      </c>
      <c r="H879" s="17">
        <v>0.7680555555555556</v>
      </c>
      <c r="I879" s="9">
        <v>17800</v>
      </c>
      <c r="J879" s="9">
        <v>40750</v>
      </c>
      <c r="K879" s="10">
        <f t="shared" si="32"/>
        <v>-22950</v>
      </c>
      <c r="L879" s="10">
        <v>5925</v>
      </c>
      <c r="M879" s="11" t="s">
        <v>2033</v>
      </c>
      <c r="N879" s="12">
        <v>21794</v>
      </c>
      <c r="O879" s="13" t="s">
        <v>32</v>
      </c>
      <c r="P879" s="14" t="s">
        <v>2316</v>
      </c>
      <c r="R879" s="1" t="s">
        <v>669</v>
      </c>
      <c r="S879" s="1">
        <v>63</v>
      </c>
      <c r="T879" s="18">
        <v>1</v>
      </c>
      <c r="U879" s="1">
        <f>+T879*S879</f>
        <v>63</v>
      </c>
    </row>
    <row r="880" spans="2:23" x14ac:dyDescent="0.25">
      <c r="B880" s="7">
        <v>44284</v>
      </c>
      <c r="C880" s="8" t="s">
        <v>208</v>
      </c>
      <c r="D880" s="8" t="s">
        <v>243</v>
      </c>
      <c r="E880" s="9" t="s">
        <v>440</v>
      </c>
      <c r="F880" s="9" t="s">
        <v>1276</v>
      </c>
      <c r="G880" s="17">
        <v>0.76527777777777783</v>
      </c>
      <c r="H880" s="17">
        <v>0.77986111111111101</v>
      </c>
      <c r="I880" s="9">
        <v>35830</v>
      </c>
      <c r="J880" s="9">
        <v>16580</v>
      </c>
      <c r="K880" s="10">
        <f t="shared" si="32"/>
        <v>19250</v>
      </c>
      <c r="L880" s="10">
        <v>41391</v>
      </c>
      <c r="M880" s="11" t="s">
        <v>2315</v>
      </c>
      <c r="N880" s="12">
        <v>19220</v>
      </c>
      <c r="O880" s="13" t="s">
        <v>32</v>
      </c>
      <c r="P880" s="14"/>
      <c r="T880" s="18">
        <f>SUM(T877:T879)</f>
        <v>20</v>
      </c>
      <c r="U880" s="18">
        <f>SUM(U877:U879)</f>
        <v>1154</v>
      </c>
      <c r="V880" s="18">
        <v>23350</v>
      </c>
      <c r="W880" s="18">
        <f>+V880-U880</f>
        <v>22196</v>
      </c>
    </row>
    <row r="881" spans="1:23" x14ac:dyDescent="0.25">
      <c r="B881" s="7">
        <v>44284</v>
      </c>
      <c r="C881" s="8" t="s">
        <v>1239</v>
      </c>
      <c r="D881" s="8" t="s">
        <v>1920</v>
      </c>
      <c r="E881" s="9" t="s">
        <v>1921</v>
      </c>
      <c r="F881" s="9" t="s">
        <v>36</v>
      </c>
      <c r="G881" s="17">
        <v>0.7729166666666667</v>
      </c>
      <c r="H881" s="17">
        <v>0.79999999999999993</v>
      </c>
      <c r="I881" s="9">
        <v>14460</v>
      </c>
      <c r="J881" s="9">
        <v>8150</v>
      </c>
      <c r="K881" s="10">
        <f t="shared" si="32"/>
        <v>6310</v>
      </c>
      <c r="L881" s="10">
        <v>18</v>
      </c>
      <c r="M881" s="11" t="s">
        <v>413</v>
      </c>
      <c r="N881" s="12">
        <v>6</v>
      </c>
      <c r="O881" s="13" t="s">
        <v>80</v>
      </c>
      <c r="P881" s="14"/>
    </row>
    <row r="882" spans="1:23" x14ac:dyDescent="0.25">
      <c r="B882" s="7">
        <v>44284</v>
      </c>
      <c r="C882" s="8" t="s">
        <v>208</v>
      </c>
      <c r="D882" s="8" t="s">
        <v>2249</v>
      </c>
      <c r="E882" s="9" t="s">
        <v>2250</v>
      </c>
      <c r="F882" s="9" t="s">
        <v>2251</v>
      </c>
      <c r="G882" s="17">
        <v>0.79652777777777783</v>
      </c>
      <c r="H882" s="17">
        <v>0.41736111111111113</v>
      </c>
      <c r="I882" s="9">
        <v>34060</v>
      </c>
      <c r="J882" s="9">
        <v>15740</v>
      </c>
      <c r="K882" s="10">
        <f t="shared" si="32"/>
        <v>18320</v>
      </c>
      <c r="L882" s="10">
        <v>41400</v>
      </c>
      <c r="M882" s="11" t="s">
        <v>1626</v>
      </c>
      <c r="N882" s="12">
        <v>18290</v>
      </c>
      <c r="O882" s="13" t="s">
        <v>32</v>
      </c>
      <c r="P882" s="14"/>
      <c r="R882" s="1" t="s">
        <v>91</v>
      </c>
      <c r="S882" s="1">
        <v>57</v>
      </c>
      <c r="T882" s="18">
        <v>9</v>
      </c>
      <c r="U882" s="1">
        <f>+T882*S882</f>
        <v>513</v>
      </c>
    </row>
    <row r="883" spans="1:23" x14ac:dyDescent="0.25">
      <c r="B883" s="7">
        <v>44284</v>
      </c>
      <c r="C883" s="8" t="s">
        <v>2317</v>
      </c>
      <c r="D883" s="8" t="s">
        <v>2264</v>
      </c>
      <c r="E883" s="9" t="s">
        <v>1814</v>
      </c>
      <c r="F883" s="9" t="s">
        <v>36</v>
      </c>
      <c r="G883" s="17">
        <v>0.8881944444444444</v>
      </c>
      <c r="H883" s="17">
        <v>0.91736111111111107</v>
      </c>
      <c r="I883" s="9">
        <v>10860</v>
      </c>
      <c r="J883" s="9">
        <v>5580</v>
      </c>
      <c r="K883" s="10">
        <f t="shared" si="32"/>
        <v>5280</v>
      </c>
      <c r="L883" s="10">
        <v>26742</v>
      </c>
      <c r="M883" s="11" t="s">
        <v>2318</v>
      </c>
      <c r="N883" s="12">
        <v>5280</v>
      </c>
      <c r="O883" s="13" t="s">
        <v>32</v>
      </c>
      <c r="P883" s="14"/>
      <c r="R883" s="1" t="s">
        <v>646</v>
      </c>
      <c r="S883" s="1">
        <v>58</v>
      </c>
      <c r="T883" s="18">
        <v>10</v>
      </c>
      <c r="U883" s="1">
        <f>+T883*S883</f>
        <v>580</v>
      </c>
    </row>
    <row r="884" spans="1:23" x14ac:dyDescent="0.25">
      <c r="B884" s="7">
        <v>44284</v>
      </c>
      <c r="C884" s="8" t="s">
        <v>1789</v>
      </c>
      <c r="D884" s="8" t="s">
        <v>994</v>
      </c>
      <c r="E884" s="9" t="s">
        <v>995</v>
      </c>
      <c r="F884" s="9" t="s">
        <v>36</v>
      </c>
      <c r="G884" s="17">
        <v>0.90208333333333324</v>
      </c>
      <c r="H884" s="17">
        <v>0.93680555555555556</v>
      </c>
      <c r="I884" s="9">
        <v>5520</v>
      </c>
      <c r="J884" s="9">
        <v>3110</v>
      </c>
      <c r="K884" s="10">
        <f t="shared" si="32"/>
        <v>2410</v>
      </c>
      <c r="L884" s="10">
        <v>26743</v>
      </c>
      <c r="M884" s="11" t="s">
        <v>2318</v>
      </c>
      <c r="N884" s="12">
        <v>2410</v>
      </c>
      <c r="O884" s="13" t="s">
        <v>32</v>
      </c>
      <c r="P884" s="14"/>
      <c r="R884" s="1" t="s">
        <v>669</v>
      </c>
      <c r="S884" s="1">
        <v>63</v>
      </c>
      <c r="T884" s="18">
        <v>1</v>
      </c>
      <c r="U884" s="1">
        <f>+T884*S884</f>
        <v>63</v>
      </c>
    </row>
    <row r="885" spans="1:23" x14ac:dyDescent="0.25">
      <c r="A885" s="26"/>
      <c r="B885" s="7">
        <v>44284</v>
      </c>
      <c r="C885" s="8" t="s">
        <v>1789</v>
      </c>
      <c r="D885" s="8" t="s">
        <v>2294</v>
      </c>
      <c r="E885" s="9" t="s">
        <v>2044</v>
      </c>
      <c r="F885" s="9" t="s">
        <v>154</v>
      </c>
      <c r="G885" s="17">
        <v>0.93194444444444446</v>
      </c>
      <c r="H885" s="17">
        <v>0.9458333333333333</v>
      </c>
      <c r="I885" s="9">
        <v>3750</v>
      </c>
      <c r="J885" s="9">
        <v>2150</v>
      </c>
      <c r="K885" s="10">
        <f t="shared" si="32"/>
        <v>1600</v>
      </c>
      <c r="L885" s="10">
        <v>26744</v>
      </c>
      <c r="M885" s="11" t="s">
        <v>2318</v>
      </c>
      <c r="N885" s="12">
        <v>1600</v>
      </c>
      <c r="O885" s="13" t="s">
        <v>32</v>
      </c>
      <c r="P885" s="14"/>
      <c r="Q885" s="26"/>
      <c r="T885" s="18">
        <f>SUM(T882:T884)</f>
        <v>20</v>
      </c>
      <c r="U885" s="18">
        <f>SUM(U882:U884)</f>
        <v>1156</v>
      </c>
      <c r="V885" s="18">
        <v>22950</v>
      </c>
      <c r="W885" s="18">
        <f>+V885-U885</f>
        <v>21794</v>
      </c>
    </row>
    <row r="886" spans="1:23" x14ac:dyDescent="0.25">
      <c r="B886" s="7">
        <v>44284</v>
      </c>
      <c r="C886" s="8" t="s">
        <v>2040</v>
      </c>
      <c r="D886" s="8" t="s">
        <v>2319</v>
      </c>
      <c r="E886" s="9" t="s">
        <v>2320</v>
      </c>
      <c r="F886" s="9" t="s">
        <v>154</v>
      </c>
      <c r="G886" s="17">
        <v>0.93333333333333324</v>
      </c>
      <c r="H886" s="17">
        <v>0.98263888888888884</v>
      </c>
      <c r="I886" s="9">
        <v>13500</v>
      </c>
      <c r="J886" s="9">
        <v>6440</v>
      </c>
      <c r="K886" s="10">
        <f t="shared" si="32"/>
        <v>7060</v>
      </c>
      <c r="L886" s="10">
        <v>26745</v>
      </c>
      <c r="M886" s="11" t="s">
        <v>2318</v>
      </c>
      <c r="N886" s="12">
        <v>7060</v>
      </c>
      <c r="O886" s="13" t="s">
        <v>32</v>
      </c>
      <c r="P886" s="14"/>
    </row>
    <row r="887" spans="1:23" x14ac:dyDescent="0.25">
      <c r="B887" s="7">
        <v>44284</v>
      </c>
      <c r="C887" s="8" t="s">
        <v>2317</v>
      </c>
      <c r="D887" s="8" t="s">
        <v>2264</v>
      </c>
      <c r="E887" s="9" t="s">
        <v>2321</v>
      </c>
      <c r="F887" s="9" t="s">
        <v>36</v>
      </c>
      <c r="G887" s="17">
        <v>0.95000000000000007</v>
      </c>
      <c r="H887" s="17">
        <v>0.97291666666666676</v>
      </c>
      <c r="I887" s="9">
        <v>7870</v>
      </c>
      <c r="J887" s="9">
        <v>2690</v>
      </c>
      <c r="K887" s="10">
        <f t="shared" si="32"/>
        <v>5180</v>
      </c>
      <c r="L887" s="10">
        <v>26746</v>
      </c>
      <c r="M887" s="11" t="s">
        <v>2318</v>
      </c>
      <c r="N887" s="12">
        <v>5180</v>
      </c>
      <c r="O887" s="13" t="s">
        <v>32</v>
      </c>
      <c r="P887" s="14"/>
    </row>
    <row r="888" spans="1:23" x14ac:dyDescent="0.25">
      <c r="B888" s="7">
        <v>44284</v>
      </c>
      <c r="C888" s="8" t="s">
        <v>366</v>
      </c>
      <c r="D888" s="8" t="s">
        <v>1076</v>
      </c>
      <c r="E888" s="9" t="s">
        <v>220</v>
      </c>
      <c r="F888" s="9" t="s">
        <v>924</v>
      </c>
      <c r="G888" s="17">
        <v>0.96458333333333324</v>
      </c>
      <c r="H888" s="17">
        <v>0.10833333333333334</v>
      </c>
      <c r="I888" s="9">
        <v>21420</v>
      </c>
      <c r="J888" s="9">
        <v>9300</v>
      </c>
      <c r="K888" s="10">
        <f t="shared" si="32"/>
        <v>12120</v>
      </c>
      <c r="L888" s="10" t="s">
        <v>2322</v>
      </c>
      <c r="M888" s="11" t="s">
        <v>2323</v>
      </c>
      <c r="N888" s="12">
        <v>12157</v>
      </c>
      <c r="O888" s="13" t="s">
        <v>32</v>
      </c>
      <c r="P888" s="14"/>
    </row>
    <row r="889" spans="1:23" x14ac:dyDescent="0.25">
      <c r="B889" s="7">
        <v>44284</v>
      </c>
      <c r="C889" s="8" t="s">
        <v>2324</v>
      </c>
      <c r="D889" s="8" t="s">
        <v>2324</v>
      </c>
      <c r="E889" s="9" t="s">
        <v>2325</v>
      </c>
      <c r="F889" s="9" t="s">
        <v>36</v>
      </c>
      <c r="G889" s="17">
        <v>0.99722222222222223</v>
      </c>
      <c r="H889" s="17">
        <v>1.3194444444444444E-2</v>
      </c>
      <c r="I889" s="9">
        <v>2090</v>
      </c>
      <c r="J889" s="9">
        <v>1620</v>
      </c>
      <c r="K889" s="10">
        <f t="shared" si="32"/>
        <v>470</v>
      </c>
      <c r="L889" s="10">
        <v>26747</v>
      </c>
      <c r="M889" s="11" t="s">
        <v>2318</v>
      </c>
      <c r="N889" s="12">
        <v>470</v>
      </c>
      <c r="O889" s="13" t="s">
        <v>32</v>
      </c>
      <c r="P889" s="14"/>
    </row>
    <row r="890" spans="1:23" x14ac:dyDescent="0.25">
      <c r="B890" s="15">
        <v>44285</v>
      </c>
      <c r="C890" s="16" t="s">
        <v>2326</v>
      </c>
      <c r="D890" s="8" t="s">
        <v>458</v>
      </c>
      <c r="E890" s="9" t="s">
        <v>699</v>
      </c>
      <c r="F890" s="9" t="s">
        <v>459</v>
      </c>
      <c r="G890" s="17">
        <v>0.21597222222222223</v>
      </c>
      <c r="H890" s="17">
        <v>0.26527777777777778</v>
      </c>
      <c r="I890" s="9">
        <v>22990</v>
      </c>
      <c r="J890" s="9">
        <v>8260</v>
      </c>
      <c r="K890" s="10">
        <f t="shared" ref="K890" si="33">+I890-J890</f>
        <v>14730</v>
      </c>
      <c r="L890" s="10" t="s">
        <v>2327</v>
      </c>
      <c r="M890" s="11" t="s">
        <v>718</v>
      </c>
      <c r="N890" s="12">
        <v>33880</v>
      </c>
      <c r="O890" s="13" t="s">
        <v>49</v>
      </c>
      <c r="P890" s="14"/>
    </row>
    <row r="891" spans="1:23" x14ac:dyDescent="0.25">
      <c r="B891" s="7">
        <v>44285</v>
      </c>
      <c r="C891" s="8" t="s">
        <v>142</v>
      </c>
      <c r="D891" s="8" t="s">
        <v>1656</v>
      </c>
      <c r="E891" s="9" t="s">
        <v>87</v>
      </c>
      <c r="F891" s="9" t="s">
        <v>88</v>
      </c>
      <c r="G891" s="17">
        <v>0.2673611111111111</v>
      </c>
      <c r="H891" s="17">
        <v>0.28125</v>
      </c>
      <c r="I891" s="9">
        <v>37470</v>
      </c>
      <c r="J891" s="9">
        <v>19470</v>
      </c>
      <c r="K891" s="10">
        <f t="shared" si="32"/>
        <v>18000</v>
      </c>
      <c r="L891" s="10">
        <v>800</v>
      </c>
      <c r="M891" s="11" t="s">
        <v>2328</v>
      </c>
      <c r="N891" s="12">
        <v>17852</v>
      </c>
      <c r="O891" s="13" t="s">
        <v>32</v>
      </c>
      <c r="P891" s="14"/>
    </row>
    <row r="892" spans="1:23" x14ac:dyDescent="0.25">
      <c r="B892" s="7">
        <v>44285</v>
      </c>
      <c r="C892" s="8" t="s">
        <v>2329</v>
      </c>
      <c r="D892" s="8" t="s">
        <v>2164</v>
      </c>
      <c r="E892" s="9" t="s">
        <v>2330</v>
      </c>
      <c r="F892" s="9" t="s">
        <v>36</v>
      </c>
      <c r="G892" s="17">
        <v>0.33749999999999997</v>
      </c>
      <c r="H892" s="17">
        <v>0.60763888888888895</v>
      </c>
      <c r="I892" s="9">
        <v>17680</v>
      </c>
      <c r="J892" s="9">
        <v>44180</v>
      </c>
      <c r="K892" s="10">
        <f t="shared" si="32"/>
        <v>-26500</v>
      </c>
      <c r="L892" s="10">
        <v>5929</v>
      </c>
      <c r="M892" s="11" t="s">
        <v>53</v>
      </c>
      <c r="N892" s="12">
        <v>530</v>
      </c>
      <c r="O892" s="13" t="s">
        <v>1099</v>
      </c>
      <c r="P892" s="14"/>
    </row>
    <row r="893" spans="1:23" x14ac:dyDescent="0.25">
      <c r="B893" s="7">
        <v>44285</v>
      </c>
      <c r="C893" s="8" t="s">
        <v>2329</v>
      </c>
      <c r="D893" s="8" t="s">
        <v>2219</v>
      </c>
      <c r="E893" s="9" t="s">
        <v>2161</v>
      </c>
      <c r="F893" s="9" t="s">
        <v>36</v>
      </c>
      <c r="G893" s="17">
        <v>0.33888888888888885</v>
      </c>
      <c r="H893" s="17">
        <v>0.60486111111111118</v>
      </c>
      <c r="I893" s="9">
        <v>12860</v>
      </c>
      <c r="J893" s="9">
        <v>39360</v>
      </c>
      <c r="K893" s="10">
        <f t="shared" si="32"/>
        <v>-26500</v>
      </c>
      <c r="L893" s="10">
        <v>5928</v>
      </c>
      <c r="M893" s="11" t="s">
        <v>53</v>
      </c>
      <c r="N893" s="12">
        <v>530</v>
      </c>
      <c r="O893" s="13" t="s">
        <v>1099</v>
      </c>
      <c r="P893" s="14"/>
    </row>
    <row r="894" spans="1:23" x14ac:dyDescent="0.25">
      <c r="B894" s="7">
        <v>44285</v>
      </c>
      <c r="C894" s="8" t="s">
        <v>2329</v>
      </c>
      <c r="D894" s="8" t="s">
        <v>1637</v>
      </c>
      <c r="E894" s="9" t="s">
        <v>1970</v>
      </c>
      <c r="F894" s="9" t="s">
        <v>36</v>
      </c>
      <c r="G894" s="17">
        <v>0.34027777777777773</v>
      </c>
      <c r="H894" s="17">
        <v>0.61041666666666672</v>
      </c>
      <c r="I894" s="9">
        <v>16870</v>
      </c>
      <c r="J894" s="9">
        <v>43370</v>
      </c>
      <c r="K894" s="10">
        <f t="shared" si="32"/>
        <v>-26500</v>
      </c>
      <c r="L894" s="10">
        <v>5926</v>
      </c>
      <c r="M894" s="11" t="s">
        <v>53</v>
      </c>
      <c r="N894" s="12">
        <v>530</v>
      </c>
      <c r="O894" s="13" t="s">
        <v>1099</v>
      </c>
      <c r="P894" s="14"/>
    </row>
    <row r="895" spans="1:23" x14ac:dyDescent="0.25">
      <c r="B895" s="7">
        <v>44285</v>
      </c>
      <c r="C895" s="8" t="s">
        <v>208</v>
      </c>
      <c r="D895" s="8" t="s">
        <v>243</v>
      </c>
      <c r="E895" s="9" t="s">
        <v>440</v>
      </c>
      <c r="F895" s="9" t="s">
        <v>1276</v>
      </c>
      <c r="G895" s="17">
        <v>0.34722222222222227</v>
      </c>
      <c r="H895" s="17">
        <v>0.36527777777777781</v>
      </c>
      <c r="I895" s="9">
        <v>41070</v>
      </c>
      <c r="J895" s="9">
        <v>16570</v>
      </c>
      <c r="K895" s="10">
        <f t="shared" si="32"/>
        <v>24500</v>
      </c>
      <c r="L895" s="10">
        <v>41391</v>
      </c>
      <c r="M895" s="11" t="s">
        <v>2328</v>
      </c>
      <c r="N895" s="12">
        <v>24510</v>
      </c>
      <c r="O895" s="13" t="s">
        <v>32</v>
      </c>
      <c r="P895" s="14"/>
    </row>
    <row r="896" spans="1:23" x14ac:dyDescent="0.25">
      <c r="B896" s="7">
        <v>44285</v>
      </c>
      <c r="C896" s="8" t="s">
        <v>2332</v>
      </c>
      <c r="D896" s="8" t="s">
        <v>1794</v>
      </c>
      <c r="E896" s="9" t="s">
        <v>628</v>
      </c>
      <c r="F896" s="9" t="s">
        <v>629</v>
      </c>
      <c r="G896" s="17">
        <v>0.36388888888888887</v>
      </c>
      <c r="H896" s="17">
        <v>0.43333333333333335</v>
      </c>
      <c r="I896" s="9">
        <v>9630</v>
      </c>
      <c r="J896" s="9">
        <v>20170</v>
      </c>
      <c r="K896" s="10">
        <f t="shared" si="32"/>
        <v>-10540</v>
      </c>
      <c r="L896" s="10">
        <v>83110</v>
      </c>
      <c r="M896" s="11" t="s">
        <v>2331</v>
      </c>
      <c r="N896" s="12">
        <v>10540</v>
      </c>
      <c r="O896" s="13" t="s">
        <v>32</v>
      </c>
      <c r="P896" s="14"/>
      <c r="Q896" s="2">
        <v>45</v>
      </c>
      <c r="R896" s="1">
        <v>3</v>
      </c>
    </row>
    <row r="897" spans="2:21" x14ac:dyDescent="0.25">
      <c r="B897" s="7">
        <v>44285</v>
      </c>
      <c r="C897" s="8" t="s">
        <v>2329</v>
      </c>
      <c r="D897" s="8" t="s">
        <v>2223</v>
      </c>
      <c r="E897" s="9" t="s">
        <v>2163</v>
      </c>
      <c r="F897" s="9" t="s">
        <v>36</v>
      </c>
      <c r="G897" s="17">
        <v>0.39930555555555558</v>
      </c>
      <c r="H897" s="17">
        <v>0.67708333333333337</v>
      </c>
      <c r="I897" s="9">
        <v>17800</v>
      </c>
      <c r="J897" s="9">
        <v>44300</v>
      </c>
      <c r="K897" s="10">
        <f t="shared" si="32"/>
        <v>-26500</v>
      </c>
      <c r="L897" s="10">
        <v>5931</v>
      </c>
      <c r="M897" s="11" t="s">
        <v>53</v>
      </c>
      <c r="N897" s="12">
        <v>530</v>
      </c>
      <c r="O897" s="13" t="s">
        <v>1099</v>
      </c>
      <c r="P897" s="14"/>
      <c r="Q897" s="2">
        <v>15</v>
      </c>
      <c r="R897" s="1">
        <v>5</v>
      </c>
    </row>
    <row r="898" spans="2:21" x14ac:dyDescent="0.25">
      <c r="B898" s="7">
        <v>44285</v>
      </c>
      <c r="C898" s="8" t="s">
        <v>2329</v>
      </c>
      <c r="D898" s="8" t="s">
        <v>564</v>
      </c>
      <c r="E898" s="9" t="s">
        <v>565</v>
      </c>
      <c r="F898" s="9" t="s">
        <v>36</v>
      </c>
      <c r="G898" s="17">
        <v>0.46597222222222223</v>
      </c>
      <c r="H898" s="17">
        <v>0.81458333333333333</v>
      </c>
      <c r="I898" s="9">
        <v>14970</v>
      </c>
      <c r="J898" s="9">
        <v>41470</v>
      </c>
      <c r="K898" s="10">
        <f t="shared" si="32"/>
        <v>-26500</v>
      </c>
      <c r="L898" s="10">
        <v>5927</v>
      </c>
      <c r="M898" s="11" t="s">
        <v>53</v>
      </c>
      <c r="N898" s="12">
        <v>530</v>
      </c>
      <c r="O898" s="13" t="s">
        <v>1099</v>
      </c>
      <c r="P898" s="22" t="s">
        <v>2338</v>
      </c>
      <c r="Q898" s="2">
        <v>0</v>
      </c>
    </row>
    <row r="899" spans="2:21" x14ac:dyDescent="0.25">
      <c r="B899" s="7">
        <v>44285</v>
      </c>
      <c r="C899" s="43" t="s">
        <v>1630</v>
      </c>
      <c r="D899" s="43" t="s">
        <v>933</v>
      </c>
      <c r="E899" s="44" t="s">
        <v>1632</v>
      </c>
      <c r="F899" s="44" t="s">
        <v>266</v>
      </c>
      <c r="G899" s="17">
        <v>0.47152777777777777</v>
      </c>
      <c r="H899" s="17">
        <v>0.47430555555555554</v>
      </c>
      <c r="I899" s="9">
        <v>390</v>
      </c>
      <c r="J899" s="9">
        <v>90</v>
      </c>
      <c r="K899" s="10">
        <f t="shared" ref="K899" si="34">+I899-J899</f>
        <v>300</v>
      </c>
      <c r="L899" s="10" t="s">
        <v>2322</v>
      </c>
      <c r="M899" s="47" t="s">
        <v>2310</v>
      </c>
      <c r="N899" s="12">
        <v>300</v>
      </c>
      <c r="O899" s="13" t="s">
        <v>32</v>
      </c>
      <c r="P899" s="14"/>
    </row>
    <row r="900" spans="2:21" x14ac:dyDescent="0.25">
      <c r="B900" s="7">
        <v>44285</v>
      </c>
      <c r="C900" s="8" t="s">
        <v>2329</v>
      </c>
      <c r="D900" s="8" t="s">
        <v>1942</v>
      </c>
      <c r="E900" s="9" t="s">
        <v>1557</v>
      </c>
      <c r="F900" s="9" t="s">
        <v>36</v>
      </c>
      <c r="G900" s="17">
        <v>0.47569444444444442</v>
      </c>
      <c r="H900" s="17">
        <v>0.69027777777777777</v>
      </c>
      <c r="I900" s="9">
        <v>16580</v>
      </c>
      <c r="J900" s="9">
        <v>43080</v>
      </c>
      <c r="K900" s="10">
        <f t="shared" si="32"/>
        <v>-26500</v>
      </c>
      <c r="L900" s="10">
        <v>5930</v>
      </c>
      <c r="M900" s="11" t="s">
        <v>53</v>
      </c>
      <c r="N900" s="12">
        <v>530</v>
      </c>
      <c r="O900" s="13" t="s">
        <v>1099</v>
      </c>
      <c r="P900" s="14"/>
    </row>
    <row r="901" spans="2:21" x14ac:dyDescent="0.25">
      <c r="B901" s="7">
        <v>44285</v>
      </c>
      <c r="C901" s="8" t="s">
        <v>2334</v>
      </c>
      <c r="D901" s="8" t="s">
        <v>2333</v>
      </c>
      <c r="E901" s="9" t="s">
        <v>1304</v>
      </c>
      <c r="F901" s="9" t="s">
        <v>36</v>
      </c>
      <c r="G901" s="17">
        <v>0.49513888888888885</v>
      </c>
      <c r="H901" s="17">
        <v>0.61249999999999993</v>
      </c>
      <c r="I901" s="9">
        <v>5600</v>
      </c>
      <c r="J901" s="9">
        <v>11060</v>
      </c>
      <c r="K901" s="10">
        <f t="shared" si="32"/>
        <v>-5460</v>
      </c>
      <c r="L901" s="10">
        <v>15695</v>
      </c>
      <c r="M901" s="11" t="s">
        <v>2335</v>
      </c>
      <c r="N901" s="12">
        <v>5460</v>
      </c>
      <c r="O901" s="13" t="s">
        <v>32</v>
      </c>
      <c r="P901" s="14"/>
      <c r="R901" s="1">
        <v>8890</v>
      </c>
      <c r="S901" s="1">
        <v>19558</v>
      </c>
      <c r="T901" s="1">
        <v>18358</v>
      </c>
      <c r="U901" s="1" t="s">
        <v>26</v>
      </c>
    </row>
    <row r="902" spans="2:21" x14ac:dyDescent="0.25">
      <c r="B902" s="7">
        <v>44285</v>
      </c>
      <c r="C902" s="8" t="s">
        <v>2332</v>
      </c>
      <c r="D902" s="8" t="s">
        <v>1794</v>
      </c>
      <c r="E902" s="9" t="s">
        <v>628</v>
      </c>
      <c r="F902" s="9" t="s">
        <v>629</v>
      </c>
      <c r="G902" s="17">
        <v>0.50486111111111109</v>
      </c>
      <c r="H902" s="17">
        <v>0.52708333333333335</v>
      </c>
      <c r="I902" s="9">
        <v>9670</v>
      </c>
      <c r="J902" s="9">
        <v>19990</v>
      </c>
      <c r="K902" s="10">
        <f t="shared" si="32"/>
        <v>-10320</v>
      </c>
      <c r="L902" s="10">
        <v>83112</v>
      </c>
      <c r="M902" s="11" t="s">
        <v>2331</v>
      </c>
      <c r="N902" s="12">
        <v>10320</v>
      </c>
      <c r="O902" s="13" t="s">
        <v>32</v>
      </c>
      <c r="P902" s="14"/>
      <c r="T902" s="1">
        <v>1200</v>
      </c>
      <c r="U902" s="1" t="s">
        <v>27</v>
      </c>
    </row>
    <row r="903" spans="2:21" x14ac:dyDescent="0.25">
      <c r="B903" s="7">
        <v>44285</v>
      </c>
      <c r="C903" s="8" t="s">
        <v>208</v>
      </c>
      <c r="D903" s="8" t="s">
        <v>243</v>
      </c>
      <c r="E903" s="9" t="s">
        <v>440</v>
      </c>
      <c r="F903" s="9" t="s">
        <v>1276</v>
      </c>
      <c r="G903" s="17">
        <v>0.54375000000000007</v>
      </c>
      <c r="H903" s="17">
        <v>0.56041666666666667</v>
      </c>
      <c r="I903" s="9">
        <v>39320</v>
      </c>
      <c r="J903" s="9">
        <v>16730</v>
      </c>
      <c r="K903" s="10">
        <f t="shared" si="32"/>
        <v>22590</v>
      </c>
      <c r="L903" s="10">
        <v>41414</v>
      </c>
      <c r="M903" s="11" t="s">
        <v>2328</v>
      </c>
      <c r="N903" s="12">
        <f>9010+13610</f>
        <v>22620</v>
      </c>
      <c r="O903" s="13" t="s">
        <v>32</v>
      </c>
      <c r="P903" s="14"/>
      <c r="S903" s="1">
        <v>4390</v>
      </c>
      <c r="T903" s="1">
        <v>9658</v>
      </c>
    </row>
    <row r="904" spans="2:21" x14ac:dyDescent="0.25">
      <c r="B904" s="7">
        <v>44285</v>
      </c>
      <c r="C904" s="8" t="s">
        <v>55</v>
      </c>
      <c r="D904" s="8" t="s">
        <v>853</v>
      </c>
      <c r="E904" s="9" t="s">
        <v>51</v>
      </c>
      <c r="F904" s="9" t="s">
        <v>52</v>
      </c>
      <c r="G904" s="17">
        <v>0.54513888888888895</v>
      </c>
      <c r="H904" s="17">
        <v>0.15625</v>
      </c>
      <c r="I904" s="9">
        <v>16060</v>
      </c>
      <c r="J904" s="9">
        <v>51170</v>
      </c>
      <c r="K904" s="10">
        <f t="shared" si="32"/>
        <v>-35110</v>
      </c>
      <c r="L904" s="60">
        <v>5932</v>
      </c>
      <c r="M904" s="11" t="s">
        <v>53</v>
      </c>
      <c r="N904" s="12">
        <v>700</v>
      </c>
      <c r="O904" s="13" t="s">
        <v>1099</v>
      </c>
      <c r="P904" s="14"/>
      <c r="T904" s="1">
        <v>200</v>
      </c>
    </row>
    <row r="905" spans="2:21" x14ac:dyDescent="0.25">
      <c r="B905" s="7">
        <v>44285</v>
      </c>
      <c r="C905" s="8" t="s">
        <v>2332</v>
      </c>
      <c r="D905" s="8" t="s">
        <v>1794</v>
      </c>
      <c r="E905" s="9" t="s">
        <v>628</v>
      </c>
      <c r="F905" s="9" t="s">
        <v>629</v>
      </c>
      <c r="G905" s="17">
        <v>0.55208333333333337</v>
      </c>
      <c r="H905" s="17">
        <v>0.58819444444444446</v>
      </c>
      <c r="I905" s="9">
        <v>19250</v>
      </c>
      <c r="J905" s="9">
        <v>9610</v>
      </c>
      <c r="K905" s="10">
        <f t="shared" si="32"/>
        <v>9640</v>
      </c>
      <c r="L905" s="10">
        <v>83113</v>
      </c>
      <c r="M905" s="11" t="s">
        <v>2331</v>
      </c>
      <c r="N905" s="12">
        <v>9640</v>
      </c>
      <c r="O905" s="13" t="s">
        <v>32</v>
      </c>
      <c r="P905" s="14"/>
      <c r="T905" s="1">
        <v>-9458</v>
      </c>
      <c r="U905" s="1">
        <v>9658</v>
      </c>
    </row>
    <row r="906" spans="2:21" x14ac:dyDescent="0.25">
      <c r="B906" s="7">
        <v>44285</v>
      </c>
      <c r="C906" s="8" t="s">
        <v>2334</v>
      </c>
      <c r="D906" s="8" t="s">
        <v>2333</v>
      </c>
      <c r="E906" s="9" t="s">
        <v>1304</v>
      </c>
      <c r="F906" s="9" t="s">
        <v>36</v>
      </c>
      <c r="G906" s="17">
        <v>0.59444444444444444</v>
      </c>
      <c r="H906" s="17">
        <v>0.65625</v>
      </c>
      <c r="I906" s="9">
        <v>11060</v>
      </c>
      <c r="J906" s="9">
        <v>12730</v>
      </c>
      <c r="K906" s="10">
        <f t="shared" si="32"/>
        <v>-1670</v>
      </c>
      <c r="L906" s="10">
        <v>15696</v>
      </c>
      <c r="M906" s="11" t="s">
        <v>2336</v>
      </c>
      <c r="N906" s="12">
        <v>1670</v>
      </c>
      <c r="O906" s="13" t="s">
        <v>32</v>
      </c>
      <c r="P906" s="14"/>
    </row>
    <row r="907" spans="2:21" x14ac:dyDescent="0.25">
      <c r="B907" s="7">
        <v>44285</v>
      </c>
      <c r="C907" s="8" t="s">
        <v>85</v>
      </c>
      <c r="D907" s="8" t="s">
        <v>198</v>
      </c>
      <c r="E907" s="9" t="s">
        <v>160</v>
      </c>
      <c r="F907" s="9" t="s">
        <v>161</v>
      </c>
      <c r="G907" s="17">
        <v>0.72569444444444453</v>
      </c>
      <c r="H907" s="17">
        <v>0.4284722222222222</v>
      </c>
      <c r="I907" s="9">
        <v>16880</v>
      </c>
      <c r="J907" s="9">
        <v>15620</v>
      </c>
      <c r="K907" s="10">
        <f t="shared" si="32"/>
        <v>1260</v>
      </c>
      <c r="L907" s="10">
        <v>83131</v>
      </c>
      <c r="M907" s="11" t="s">
        <v>2337</v>
      </c>
      <c r="N907" s="12">
        <v>20</v>
      </c>
      <c r="O907" s="13" t="s">
        <v>80</v>
      </c>
      <c r="P907" s="14"/>
      <c r="R907" s="1">
        <v>6080</v>
      </c>
      <c r="S907" s="1">
        <v>13376.000000000002</v>
      </c>
    </row>
    <row r="908" spans="2:21" x14ac:dyDescent="0.25">
      <c r="B908" s="7">
        <v>44285</v>
      </c>
      <c r="C908" s="8" t="s">
        <v>1391</v>
      </c>
      <c r="D908" s="8" t="s">
        <v>2242</v>
      </c>
      <c r="E908" s="9" t="s">
        <v>2243</v>
      </c>
      <c r="F908" s="9" t="s">
        <v>36</v>
      </c>
      <c r="G908" s="17">
        <v>0.76458333333333339</v>
      </c>
      <c r="H908" s="17">
        <v>0.80625000000000002</v>
      </c>
      <c r="I908" s="9">
        <v>20320</v>
      </c>
      <c r="J908" s="9">
        <v>17740</v>
      </c>
      <c r="K908" s="10">
        <f t="shared" si="32"/>
        <v>2580</v>
      </c>
      <c r="L908" s="10">
        <v>2640</v>
      </c>
      <c r="M908" s="11" t="s">
        <v>2337</v>
      </c>
      <c r="N908" s="12">
        <v>40</v>
      </c>
      <c r="O908" s="13" t="s">
        <v>80</v>
      </c>
      <c r="P908" s="14"/>
      <c r="S908" s="1">
        <v>11076.000000000002</v>
      </c>
    </row>
    <row r="909" spans="2:21" x14ac:dyDescent="0.25">
      <c r="B909" s="7">
        <v>44285</v>
      </c>
      <c r="C909" s="8" t="s">
        <v>208</v>
      </c>
      <c r="D909" s="8" t="s">
        <v>243</v>
      </c>
      <c r="E909" s="9" t="s">
        <v>440</v>
      </c>
      <c r="F909" s="9" t="s">
        <v>1276</v>
      </c>
      <c r="G909" s="17">
        <v>0.76597222222222217</v>
      </c>
      <c r="H909" s="17">
        <v>0.77777777777777779</v>
      </c>
      <c r="I909" s="9">
        <v>39340</v>
      </c>
      <c r="J909" s="9">
        <v>16730</v>
      </c>
      <c r="K909" s="10">
        <f t="shared" si="32"/>
        <v>22610</v>
      </c>
      <c r="L909" s="10">
        <v>41415</v>
      </c>
      <c r="M909" s="11" t="s">
        <v>2328</v>
      </c>
      <c r="N909" s="12">
        <v>22650</v>
      </c>
      <c r="O909" s="13" t="s">
        <v>32</v>
      </c>
      <c r="P909" s="14"/>
      <c r="S909" s="1">
        <v>2300</v>
      </c>
    </row>
    <row r="910" spans="2:21" x14ac:dyDescent="0.25">
      <c r="B910" s="7">
        <v>44285</v>
      </c>
      <c r="C910" s="8" t="s">
        <v>208</v>
      </c>
      <c r="D910" s="8" t="s">
        <v>2249</v>
      </c>
      <c r="E910" s="9" t="s">
        <v>2250</v>
      </c>
      <c r="F910" s="9" t="s">
        <v>2251</v>
      </c>
      <c r="G910" s="17">
        <v>0.77569444444444446</v>
      </c>
      <c r="H910" s="17">
        <v>0.37152777777777773</v>
      </c>
      <c r="I910" s="9">
        <v>36020</v>
      </c>
      <c r="J910" s="9">
        <v>15740</v>
      </c>
      <c r="K910" s="10">
        <f t="shared" si="32"/>
        <v>20280</v>
      </c>
      <c r="L910" s="10">
        <v>41428</v>
      </c>
      <c r="M910" s="11" t="s">
        <v>1626</v>
      </c>
      <c r="N910" s="12">
        <v>20260</v>
      </c>
      <c r="O910" s="13" t="s">
        <v>32</v>
      </c>
      <c r="P910" s="14"/>
    </row>
    <row r="911" spans="2:21" x14ac:dyDescent="0.25">
      <c r="B911" s="7">
        <v>44285</v>
      </c>
      <c r="C911" s="8" t="s">
        <v>1789</v>
      </c>
      <c r="D911" s="8" t="s">
        <v>1674</v>
      </c>
      <c r="E911" s="9" t="s">
        <v>1675</v>
      </c>
      <c r="F911" s="9" t="s">
        <v>154</v>
      </c>
      <c r="G911" s="17">
        <v>0.89444444444444438</v>
      </c>
      <c r="H911" s="17">
        <v>0.90625</v>
      </c>
      <c r="I911" s="9">
        <v>3160</v>
      </c>
      <c r="J911" s="9">
        <v>2700</v>
      </c>
      <c r="K911" s="10">
        <f t="shared" si="32"/>
        <v>460</v>
      </c>
      <c r="L911" s="10">
        <v>26748</v>
      </c>
      <c r="M911" s="11" t="s">
        <v>159</v>
      </c>
      <c r="N911" s="12">
        <v>460</v>
      </c>
      <c r="O911" s="13" t="s">
        <v>32</v>
      </c>
      <c r="P911" s="14">
        <v>4</v>
      </c>
    </row>
    <row r="912" spans="2:21" x14ac:dyDescent="0.25">
      <c r="B912" s="7">
        <v>44285</v>
      </c>
      <c r="C912" s="8" t="s">
        <v>2040</v>
      </c>
      <c r="D912" s="8" t="s">
        <v>2319</v>
      </c>
      <c r="E912" s="9" t="s">
        <v>2320</v>
      </c>
      <c r="F912" s="9" t="s">
        <v>154</v>
      </c>
      <c r="G912" s="17">
        <v>0.93888888888888899</v>
      </c>
      <c r="H912" s="17">
        <v>0.99652777777777779</v>
      </c>
      <c r="I912" s="9">
        <v>12615</v>
      </c>
      <c r="J912" s="9">
        <v>6490</v>
      </c>
      <c r="K912" s="10">
        <f t="shared" si="32"/>
        <v>6125</v>
      </c>
      <c r="L912" s="10">
        <v>26749</v>
      </c>
      <c r="M912" s="11" t="s">
        <v>2339</v>
      </c>
      <c r="N912" s="12">
        <v>6125</v>
      </c>
      <c r="O912" s="13" t="s">
        <v>32</v>
      </c>
      <c r="P912" s="14"/>
      <c r="R912" s="1">
        <v>800</v>
      </c>
    </row>
    <row r="913" spans="2:23" x14ac:dyDescent="0.25">
      <c r="B913" s="7">
        <v>44286</v>
      </c>
      <c r="C913" s="8" t="s">
        <v>142</v>
      </c>
      <c r="D913" s="8" t="s">
        <v>1656</v>
      </c>
      <c r="E913" s="9" t="s">
        <v>87</v>
      </c>
      <c r="F913" s="9" t="s">
        <v>88</v>
      </c>
      <c r="G913" s="17">
        <v>0.14861111111111111</v>
      </c>
      <c r="H913" s="17">
        <v>0.16527777777777777</v>
      </c>
      <c r="I913" s="9">
        <v>38850</v>
      </c>
      <c r="J913" s="9">
        <v>19470</v>
      </c>
      <c r="K913" s="10">
        <f t="shared" si="32"/>
        <v>19380</v>
      </c>
      <c r="L913" s="10">
        <v>801</v>
      </c>
      <c r="M913" s="11" t="s">
        <v>2340</v>
      </c>
      <c r="N913" s="12">
        <v>18986</v>
      </c>
      <c r="O913" s="13" t="s">
        <v>32</v>
      </c>
      <c r="P913" s="14"/>
    </row>
    <row r="914" spans="2:23" x14ac:dyDescent="0.25">
      <c r="B914" s="94">
        <v>44286</v>
      </c>
      <c r="C914" s="86" t="s">
        <v>208</v>
      </c>
      <c r="D914" s="8" t="s">
        <v>243</v>
      </c>
      <c r="E914" s="9" t="s">
        <v>440</v>
      </c>
      <c r="F914" s="9" t="s">
        <v>1276</v>
      </c>
      <c r="G914" s="17">
        <v>0.34583333333333338</v>
      </c>
      <c r="H914" s="17">
        <v>0.36736111111111108</v>
      </c>
      <c r="I914" s="9">
        <v>42090</v>
      </c>
      <c r="J914" s="9">
        <v>16710</v>
      </c>
      <c r="K914" s="10">
        <f t="shared" si="32"/>
        <v>25380</v>
      </c>
      <c r="L914" s="10">
        <v>41415</v>
      </c>
      <c r="M914" s="11" t="s">
        <v>2328</v>
      </c>
      <c r="N914" s="12">
        <v>25410</v>
      </c>
      <c r="O914" s="13" t="s">
        <v>32</v>
      </c>
      <c r="P914" s="14"/>
      <c r="R914" s="1">
        <v>2370</v>
      </c>
      <c r="S914" s="1">
        <v>5214</v>
      </c>
      <c r="T914" s="1">
        <v>4414</v>
      </c>
    </row>
    <row r="915" spans="2:23" x14ac:dyDescent="0.25">
      <c r="B915" s="7">
        <v>44286</v>
      </c>
      <c r="C915" s="8" t="s">
        <v>208</v>
      </c>
      <c r="D915" s="8" t="s">
        <v>243</v>
      </c>
      <c r="E915" s="9" t="s">
        <v>440</v>
      </c>
      <c r="F915" s="9" t="s">
        <v>1276</v>
      </c>
      <c r="G915" s="17">
        <v>0.54305555555555551</v>
      </c>
      <c r="H915" s="17">
        <v>0.55833333333333335</v>
      </c>
      <c r="I915" s="9">
        <v>39970</v>
      </c>
      <c r="J915" s="9">
        <v>16700</v>
      </c>
      <c r="K915" s="10">
        <f t="shared" si="32"/>
        <v>23270</v>
      </c>
      <c r="L915" s="10">
        <v>41448</v>
      </c>
      <c r="M915" s="11" t="s">
        <v>2341</v>
      </c>
      <c r="N915" s="12">
        <v>23250</v>
      </c>
      <c r="O915" s="13" t="s">
        <v>32</v>
      </c>
    </row>
    <row r="916" spans="2:23" x14ac:dyDescent="0.25">
      <c r="B916" s="7">
        <v>44286</v>
      </c>
      <c r="C916" s="8" t="s">
        <v>469</v>
      </c>
      <c r="D916" s="8" t="s">
        <v>1850</v>
      </c>
      <c r="E916" s="9" t="s">
        <v>144</v>
      </c>
      <c r="F916" s="9" t="s">
        <v>626</v>
      </c>
      <c r="G916" s="17">
        <v>0.6479166666666667</v>
      </c>
      <c r="H916" s="17">
        <v>0.72013888888888899</v>
      </c>
      <c r="I916" s="9">
        <v>15400</v>
      </c>
      <c r="J916" s="9">
        <v>50500</v>
      </c>
      <c r="K916" s="10">
        <f t="shared" si="32"/>
        <v>-35100</v>
      </c>
      <c r="L916" s="10">
        <v>5933</v>
      </c>
      <c r="M916" s="11" t="s">
        <v>53</v>
      </c>
      <c r="N916" s="12">
        <v>700</v>
      </c>
      <c r="O916" s="13" t="s">
        <v>1099</v>
      </c>
      <c r="P916" s="14"/>
    </row>
    <row r="917" spans="2:23" x14ac:dyDescent="0.25">
      <c r="B917" s="7">
        <v>44286</v>
      </c>
      <c r="C917" s="8" t="s">
        <v>469</v>
      </c>
      <c r="D917" s="8" t="s">
        <v>2342</v>
      </c>
      <c r="E917" s="9" t="s">
        <v>2343</v>
      </c>
      <c r="F917" s="9" t="s">
        <v>814</v>
      </c>
      <c r="G917" s="17">
        <v>0.70000000000000007</v>
      </c>
      <c r="H917" s="17">
        <v>0.72777777777777775</v>
      </c>
      <c r="I917" s="9">
        <v>15120</v>
      </c>
      <c r="J917" s="9">
        <v>38450</v>
      </c>
      <c r="K917" s="10">
        <f t="shared" si="32"/>
        <v>-23330</v>
      </c>
      <c r="L917" s="10">
        <v>5934</v>
      </c>
      <c r="M917" s="11" t="s">
        <v>2033</v>
      </c>
      <c r="N917" s="12">
        <v>22170</v>
      </c>
      <c r="O917" s="13" t="s">
        <v>32</v>
      </c>
      <c r="P917" s="1" t="s">
        <v>468</v>
      </c>
      <c r="R917" s="1">
        <v>5</v>
      </c>
    </row>
    <row r="918" spans="2:23" x14ac:dyDescent="0.25">
      <c r="B918" s="7">
        <v>44286</v>
      </c>
      <c r="C918" s="8" t="s">
        <v>208</v>
      </c>
      <c r="D918" s="8" t="s">
        <v>243</v>
      </c>
      <c r="E918" s="9" t="s">
        <v>440</v>
      </c>
      <c r="F918" s="9" t="s">
        <v>1276</v>
      </c>
      <c r="G918" s="17">
        <v>0.77500000000000002</v>
      </c>
      <c r="H918" s="17">
        <v>0.7895833333333333</v>
      </c>
      <c r="I918" s="9">
        <v>35880</v>
      </c>
      <c r="J918" s="9">
        <v>16700</v>
      </c>
      <c r="K918" s="10">
        <f t="shared" ref="K918:K936" si="35">+I918-J918</f>
        <v>19180</v>
      </c>
      <c r="L918" s="10">
        <v>41449</v>
      </c>
      <c r="M918" s="11" t="s">
        <v>2344</v>
      </c>
      <c r="N918" s="12">
        <v>19200</v>
      </c>
      <c r="O918" s="13" t="s">
        <v>32</v>
      </c>
      <c r="P918" s="14"/>
    </row>
    <row r="919" spans="2:23" x14ac:dyDescent="0.25">
      <c r="B919" s="7">
        <v>44286</v>
      </c>
      <c r="C919" s="8" t="s">
        <v>208</v>
      </c>
      <c r="D919" s="8" t="s">
        <v>2249</v>
      </c>
      <c r="E919" s="9" t="s">
        <v>2250</v>
      </c>
      <c r="F919" s="9" t="s">
        <v>2251</v>
      </c>
      <c r="G919" s="17">
        <v>0.78819444444444453</v>
      </c>
      <c r="H919" s="17">
        <v>0.375</v>
      </c>
      <c r="I919" s="9">
        <v>33360</v>
      </c>
      <c r="J919" s="9">
        <v>15710</v>
      </c>
      <c r="K919" s="10">
        <f t="shared" si="35"/>
        <v>17650</v>
      </c>
      <c r="L919" s="10">
        <v>41450</v>
      </c>
      <c r="M919" s="11" t="s">
        <v>1626</v>
      </c>
      <c r="N919" s="12">
        <v>17620</v>
      </c>
      <c r="O919" s="13" t="s">
        <v>32</v>
      </c>
      <c r="P919" s="14"/>
      <c r="R919" s="1">
        <v>12056.000000000002</v>
      </c>
      <c r="S919" s="1">
        <v>1700</v>
      </c>
      <c r="T919" s="1">
        <v>150</v>
      </c>
      <c r="U919" s="1">
        <v>706</v>
      </c>
      <c r="V919" s="1">
        <v>2556</v>
      </c>
      <c r="W919" s="1">
        <v>-9500.0000000000018</v>
      </c>
    </row>
    <row r="920" spans="2:23" x14ac:dyDescent="0.25">
      <c r="B920" s="7">
        <v>44286</v>
      </c>
      <c r="C920" s="8" t="s">
        <v>2040</v>
      </c>
      <c r="D920" s="8" t="s">
        <v>2319</v>
      </c>
      <c r="E920" s="9" t="s">
        <v>2320</v>
      </c>
      <c r="F920" s="9" t="s">
        <v>154</v>
      </c>
      <c r="G920" s="17">
        <v>0.94444444444444453</v>
      </c>
      <c r="H920" s="17">
        <v>0.9916666666666667</v>
      </c>
      <c r="I920" s="9">
        <v>17630</v>
      </c>
      <c r="J920" s="9">
        <v>6430</v>
      </c>
      <c r="K920" s="10">
        <f t="shared" si="35"/>
        <v>11200</v>
      </c>
      <c r="L920" s="10">
        <v>26750</v>
      </c>
      <c r="M920" s="11" t="s">
        <v>2339</v>
      </c>
      <c r="N920" s="12">
        <v>11200</v>
      </c>
      <c r="O920" s="13" t="s">
        <v>32</v>
      </c>
      <c r="P920" s="14"/>
      <c r="R920" s="1">
        <v>500</v>
      </c>
    </row>
    <row r="921" spans="2:23" x14ac:dyDescent="0.25">
      <c r="B921" s="7">
        <v>44286</v>
      </c>
      <c r="C921" s="8" t="s">
        <v>2345</v>
      </c>
      <c r="D921" s="8" t="s">
        <v>458</v>
      </c>
      <c r="E921" s="9" t="s">
        <v>699</v>
      </c>
      <c r="F921" s="9" t="s">
        <v>459</v>
      </c>
      <c r="G921" s="17">
        <v>0.94652777777777775</v>
      </c>
      <c r="H921" s="17">
        <v>0.9902777777777777</v>
      </c>
      <c r="I921" s="9">
        <v>12210</v>
      </c>
      <c r="J921" s="9">
        <v>8270</v>
      </c>
      <c r="K921" s="10">
        <f t="shared" si="35"/>
        <v>3940</v>
      </c>
      <c r="L921" s="10" t="s">
        <v>2346</v>
      </c>
      <c r="M921" s="11" t="s">
        <v>2283</v>
      </c>
      <c r="N921" s="12">
        <v>8256</v>
      </c>
      <c r="O921" s="13" t="s">
        <v>49</v>
      </c>
      <c r="P921" s="14"/>
      <c r="T921" s="1">
        <v>3056</v>
      </c>
    </row>
    <row r="922" spans="2:23" x14ac:dyDescent="0.25">
      <c r="B922" s="7"/>
      <c r="C922" s="8"/>
      <c r="D922" s="8"/>
      <c r="E922" s="9"/>
      <c r="F922" s="9"/>
      <c r="G922" s="17"/>
      <c r="H922" s="17"/>
      <c r="I922" s="9"/>
      <c r="J922" s="9"/>
      <c r="K922" s="10">
        <f t="shared" si="35"/>
        <v>0</v>
      </c>
      <c r="L922" s="10"/>
      <c r="M922" s="11"/>
      <c r="N922" s="12"/>
      <c r="O922" s="13"/>
      <c r="P922" s="14"/>
      <c r="W922" s="1">
        <f>555+555</f>
        <v>1110</v>
      </c>
    </row>
    <row r="923" spans="2:23" x14ac:dyDescent="0.25">
      <c r="B923" s="7"/>
      <c r="C923" s="8"/>
      <c r="D923" s="8"/>
      <c r="E923" s="9"/>
      <c r="F923" s="9"/>
      <c r="G923" s="17"/>
      <c r="H923" s="17"/>
      <c r="I923" s="9"/>
      <c r="J923" s="9"/>
      <c r="K923" s="10">
        <f t="shared" si="35"/>
        <v>0</v>
      </c>
      <c r="L923" s="10"/>
      <c r="M923" s="11"/>
      <c r="N923" s="12"/>
      <c r="O923" s="13"/>
      <c r="P923" s="14"/>
      <c r="Q923" s="2">
        <v>9677</v>
      </c>
      <c r="W923" s="1">
        <v>40</v>
      </c>
    </row>
    <row r="924" spans="2:23" x14ac:dyDescent="0.25">
      <c r="B924" s="7"/>
      <c r="C924" s="8"/>
      <c r="D924" s="8"/>
      <c r="E924" s="9"/>
      <c r="F924" s="9"/>
      <c r="G924" s="17"/>
      <c r="H924" s="17"/>
      <c r="I924" s="9"/>
      <c r="J924" s="9"/>
      <c r="K924" s="10">
        <f t="shared" si="35"/>
        <v>0</v>
      </c>
      <c r="L924" s="10"/>
      <c r="M924" s="11"/>
      <c r="N924" s="12"/>
      <c r="O924" s="13"/>
      <c r="P924" s="14"/>
      <c r="Q924" s="2">
        <v>459</v>
      </c>
    </row>
    <row r="925" spans="2:23" x14ac:dyDescent="0.25">
      <c r="B925" s="7"/>
      <c r="C925" s="8"/>
      <c r="D925" s="8"/>
      <c r="E925" s="9"/>
      <c r="F925" s="9"/>
      <c r="G925" s="17"/>
      <c r="H925" s="17"/>
      <c r="I925" s="9"/>
      <c r="J925" s="9"/>
      <c r="K925" s="10">
        <f t="shared" si="35"/>
        <v>0</v>
      </c>
      <c r="L925" s="10"/>
      <c r="M925" s="11"/>
      <c r="N925" s="12"/>
      <c r="O925" s="13"/>
      <c r="P925" s="14"/>
    </row>
    <row r="926" spans="2:23" x14ac:dyDescent="0.25">
      <c r="B926" s="7"/>
      <c r="C926" s="8"/>
      <c r="D926" s="8"/>
      <c r="E926" s="9"/>
      <c r="F926" s="9"/>
      <c r="G926" s="17"/>
      <c r="H926" s="17"/>
      <c r="I926" s="9"/>
      <c r="J926" s="9"/>
      <c r="K926" s="10">
        <f t="shared" si="35"/>
        <v>0</v>
      </c>
      <c r="L926" s="10"/>
      <c r="M926" s="11"/>
      <c r="N926" s="12"/>
      <c r="O926" s="13"/>
      <c r="P926" s="14"/>
    </row>
    <row r="927" spans="2:23" x14ac:dyDescent="0.25">
      <c r="B927" s="7"/>
      <c r="C927" s="8"/>
      <c r="D927" s="8"/>
      <c r="E927" s="9"/>
      <c r="F927" s="9"/>
      <c r="G927" s="17"/>
      <c r="H927" s="17"/>
      <c r="I927" s="9"/>
      <c r="J927" s="9"/>
      <c r="K927" s="10">
        <f t="shared" si="35"/>
        <v>0</v>
      </c>
      <c r="L927" s="10"/>
      <c r="M927" s="11"/>
      <c r="N927" s="12"/>
      <c r="O927" s="13"/>
      <c r="P927" s="14"/>
    </row>
    <row r="928" spans="2:23" x14ac:dyDescent="0.25">
      <c r="B928" s="7"/>
      <c r="C928" s="8"/>
      <c r="D928" s="8"/>
      <c r="E928" s="9"/>
      <c r="F928" s="9"/>
      <c r="G928" s="17"/>
      <c r="H928" s="17"/>
      <c r="I928" s="9"/>
      <c r="J928" s="9"/>
      <c r="K928" s="10">
        <f t="shared" si="35"/>
        <v>0</v>
      </c>
      <c r="L928" s="10"/>
      <c r="M928" s="11"/>
      <c r="N928" s="12"/>
      <c r="O928" s="13"/>
      <c r="P928" s="14"/>
    </row>
    <row r="929" spans="2:16" x14ac:dyDescent="0.25">
      <c r="B929" s="7"/>
      <c r="C929" s="8"/>
      <c r="D929" s="8"/>
      <c r="E929" s="9"/>
      <c r="F929" s="9"/>
      <c r="G929" s="17"/>
      <c r="H929" s="17"/>
      <c r="I929" s="9"/>
      <c r="J929" s="9"/>
      <c r="K929" s="10">
        <f t="shared" si="35"/>
        <v>0</v>
      </c>
      <c r="L929" s="10"/>
      <c r="M929" s="11"/>
      <c r="N929" s="12"/>
      <c r="O929" s="13"/>
      <c r="P929" s="14"/>
    </row>
    <row r="930" spans="2:16" x14ac:dyDescent="0.25">
      <c r="B930" s="7"/>
      <c r="C930" s="8"/>
      <c r="D930" s="8"/>
      <c r="E930" s="9"/>
      <c r="F930" s="9"/>
      <c r="G930" s="17"/>
      <c r="H930" s="17"/>
      <c r="I930" s="9"/>
      <c r="J930" s="9"/>
      <c r="K930" s="10">
        <f t="shared" si="35"/>
        <v>0</v>
      </c>
      <c r="L930" s="10"/>
      <c r="M930" s="11"/>
      <c r="N930" s="12"/>
      <c r="O930" s="13"/>
      <c r="P930" s="14"/>
    </row>
    <row r="931" spans="2:16" x14ac:dyDescent="0.25">
      <c r="B931" s="7"/>
      <c r="C931" s="8"/>
      <c r="D931" s="8"/>
      <c r="E931" s="9"/>
      <c r="F931" s="9"/>
      <c r="G931" s="17"/>
      <c r="H931" s="17"/>
      <c r="I931" s="9"/>
      <c r="J931" s="9"/>
      <c r="K931" s="10">
        <f t="shared" si="35"/>
        <v>0</v>
      </c>
      <c r="L931" s="10"/>
      <c r="M931" s="11"/>
      <c r="N931" s="12"/>
      <c r="O931" s="13"/>
      <c r="P931" s="14"/>
    </row>
    <row r="932" spans="2:16" x14ac:dyDescent="0.25">
      <c r="B932" s="7"/>
      <c r="C932" s="8"/>
      <c r="D932" s="8"/>
      <c r="E932" s="9"/>
      <c r="F932" s="9"/>
      <c r="G932" s="17"/>
      <c r="H932" s="17"/>
      <c r="I932" s="9"/>
      <c r="J932" s="9"/>
      <c r="K932" s="10">
        <f t="shared" si="35"/>
        <v>0</v>
      </c>
      <c r="L932" s="10"/>
      <c r="M932" s="11"/>
      <c r="N932" s="12"/>
      <c r="O932" s="13"/>
      <c r="P932" s="14"/>
    </row>
    <row r="933" spans="2:16" x14ac:dyDescent="0.25">
      <c r="B933" s="7"/>
      <c r="C933" s="8"/>
      <c r="D933" s="8"/>
      <c r="E933" s="9"/>
      <c r="F933" s="9"/>
      <c r="G933" s="17"/>
      <c r="H933" s="17"/>
      <c r="I933" s="9"/>
      <c r="J933" s="9"/>
      <c r="K933" s="10">
        <f t="shared" si="35"/>
        <v>0</v>
      </c>
      <c r="L933" s="10"/>
      <c r="M933" s="11"/>
      <c r="N933" s="12"/>
      <c r="O933" s="13"/>
      <c r="P933" s="14"/>
    </row>
    <row r="934" spans="2:16" x14ac:dyDescent="0.25">
      <c r="B934" s="7"/>
      <c r="C934" s="8"/>
      <c r="D934" s="8"/>
      <c r="E934" s="9"/>
      <c r="F934" s="9"/>
      <c r="G934" s="17"/>
      <c r="H934" s="17"/>
      <c r="I934" s="9"/>
      <c r="J934" s="9"/>
      <c r="K934" s="10">
        <f t="shared" si="35"/>
        <v>0</v>
      </c>
      <c r="L934" s="10"/>
      <c r="M934" s="11"/>
      <c r="N934" s="12"/>
      <c r="O934" s="13"/>
      <c r="P934" s="14"/>
    </row>
    <row r="935" spans="2:16" x14ac:dyDescent="0.25">
      <c r="B935" s="7"/>
      <c r="C935" s="8"/>
      <c r="D935" s="8"/>
      <c r="E935" s="9"/>
      <c r="F935" s="9"/>
      <c r="G935" s="17"/>
      <c r="H935" s="17"/>
      <c r="I935" s="9"/>
      <c r="J935" s="9"/>
      <c r="K935" s="10">
        <f t="shared" si="35"/>
        <v>0</v>
      </c>
      <c r="L935" s="10"/>
      <c r="M935" s="11"/>
      <c r="N935" s="12"/>
      <c r="O935" s="13"/>
      <c r="P935" s="14"/>
    </row>
    <row r="936" spans="2:16" x14ac:dyDescent="0.25">
      <c r="K936" s="10">
        <f t="shared" si="35"/>
        <v>0</v>
      </c>
      <c r="P936" s="14"/>
    </row>
  </sheetData>
  <autoFilter ref="B670:P905"/>
  <mergeCells count="15">
    <mergeCell ref="A1:P1"/>
    <mergeCell ref="A2:P2"/>
    <mergeCell ref="A3:P3"/>
    <mergeCell ref="A4:A5"/>
    <mergeCell ref="B4:B5"/>
    <mergeCell ref="C4:C5"/>
    <mergeCell ref="D4:D5"/>
    <mergeCell ref="E4:E5"/>
    <mergeCell ref="F4:H4"/>
    <mergeCell ref="I4:J4"/>
    <mergeCell ref="K4:K5"/>
    <mergeCell ref="L4:L5"/>
    <mergeCell ref="M4:M5"/>
    <mergeCell ref="N4:N5"/>
    <mergeCell ref="P4:P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35"/>
  <sheetViews>
    <sheetView tabSelected="1" topLeftCell="B543" zoomScale="77" zoomScaleNormal="77" workbookViewId="0">
      <selection activeCell="B319" sqref="B319:R546"/>
    </sheetView>
  </sheetViews>
  <sheetFormatPr baseColWidth="10" defaultRowHeight="15" x14ac:dyDescent="0.25"/>
  <cols>
    <col min="1" max="1" width="11.42578125" style="1" hidden="1" customWidth="1"/>
    <col min="2" max="2" width="9.28515625" style="1" customWidth="1"/>
    <col min="3" max="3" width="25.5703125" style="1" customWidth="1"/>
    <col min="4" max="4" width="23.5703125" style="1" customWidth="1"/>
    <col min="5" max="5" width="11.42578125" style="1"/>
    <col min="6" max="6" width="15.28515625" style="1" customWidth="1"/>
    <col min="7" max="12" width="11.42578125" style="1"/>
    <col min="13" max="13" width="30.85546875" style="1" customWidth="1"/>
    <col min="14" max="14" width="11.7109375" style="1" customWidth="1"/>
    <col min="15" max="15" width="11.5703125" style="1" customWidth="1"/>
    <col min="16" max="16" width="54.7109375" style="1" customWidth="1"/>
    <col min="17" max="17" width="15" style="1" customWidth="1"/>
    <col min="18" max="16384" width="11.42578125" style="1"/>
  </cols>
  <sheetData>
    <row r="1" spans="1:22" x14ac:dyDescent="0.25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2"/>
    </row>
    <row r="2" spans="1:22" x14ac:dyDescent="0.25">
      <c r="A2" s="103" t="s">
        <v>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5"/>
    </row>
    <row r="3" spans="1:22" x14ac:dyDescent="0.25">
      <c r="A3" s="106" t="s">
        <v>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8"/>
    </row>
    <row r="4" spans="1:22" x14ac:dyDescent="0.25">
      <c r="A4" s="109" t="s">
        <v>3</v>
      </c>
      <c r="B4" s="109" t="s">
        <v>4</v>
      </c>
      <c r="C4" s="109" t="s">
        <v>5</v>
      </c>
      <c r="D4" s="109" t="s">
        <v>6</v>
      </c>
      <c r="E4" s="109" t="s">
        <v>7</v>
      </c>
      <c r="F4" s="111" t="s">
        <v>8</v>
      </c>
      <c r="G4" s="112"/>
      <c r="H4" s="113"/>
      <c r="I4" s="111" t="s">
        <v>9</v>
      </c>
      <c r="J4" s="113"/>
      <c r="K4" s="109" t="s">
        <v>10</v>
      </c>
      <c r="L4" s="109" t="s">
        <v>11</v>
      </c>
      <c r="M4" s="109" t="s">
        <v>12</v>
      </c>
      <c r="N4" s="109" t="s">
        <v>13</v>
      </c>
      <c r="O4" s="3" t="s">
        <v>14</v>
      </c>
      <c r="P4" s="114"/>
    </row>
    <row r="5" spans="1:22" x14ac:dyDescent="0.25">
      <c r="A5" s="110"/>
      <c r="B5" s="110"/>
      <c r="C5" s="110"/>
      <c r="D5" s="110"/>
      <c r="E5" s="110"/>
      <c r="F5" s="4" t="s">
        <v>15</v>
      </c>
      <c r="G5" s="4" t="s">
        <v>16</v>
      </c>
      <c r="H5" s="4" t="s">
        <v>17</v>
      </c>
      <c r="I5" s="4" t="s">
        <v>16</v>
      </c>
      <c r="J5" s="4" t="s">
        <v>17</v>
      </c>
      <c r="K5" s="110"/>
      <c r="L5" s="110"/>
      <c r="M5" s="110"/>
      <c r="N5" s="110"/>
      <c r="O5" s="5" t="s">
        <v>18</v>
      </c>
      <c r="P5" s="115"/>
    </row>
    <row r="6" spans="1:22" ht="16.5" customHeight="1" x14ac:dyDescent="0.25">
      <c r="A6" s="6"/>
      <c r="B6" s="7">
        <v>44287</v>
      </c>
      <c r="C6" s="8" t="s">
        <v>133</v>
      </c>
      <c r="D6" s="8" t="s">
        <v>1047</v>
      </c>
      <c r="E6" s="95" t="s">
        <v>220</v>
      </c>
      <c r="F6" s="9" t="s">
        <v>924</v>
      </c>
      <c r="G6" s="17">
        <v>2.4999999999999998E-2</v>
      </c>
      <c r="H6" s="17">
        <v>0.21458333333333335</v>
      </c>
      <c r="I6" s="9">
        <v>22410</v>
      </c>
      <c r="J6" s="9">
        <v>9290</v>
      </c>
      <c r="K6" s="10">
        <f t="shared" ref="K6:K69" si="0">+I6-J6</f>
        <v>13120</v>
      </c>
      <c r="L6" s="10" t="s">
        <v>2348</v>
      </c>
      <c r="M6" s="11" t="s">
        <v>2347</v>
      </c>
      <c r="N6" s="12">
        <v>13192</v>
      </c>
      <c r="O6" s="13" t="s">
        <v>32</v>
      </c>
      <c r="P6" s="11" t="s">
        <v>2349</v>
      </c>
    </row>
    <row r="7" spans="1:22" x14ac:dyDescent="0.25">
      <c r="A7" s="6"/>
      <c r="B7" s="7">
        <v>44287</v>
      </c>
      <c r="C7" s="8" t="s">
        <v>208</v>
      </c>
      <c r="D7" s="8" t="s">
        <v>243</v>
      </c>
      <c r="E7" s="9" t="s">
        <v>440</v>
      </c>
      <c r="F7" s="9" t="s">
        <v>1276</v>
      </c>
      <c r="G7" s="17">
        <v>0.3666666666666667</v>
      </c>
      <c r="H7" s="17">
        <v>0.37638888888888888</v>
      </c>
      <c r="I7" s="9">
        <v>43660</v>
      </c>
      <c r="J7" s="9">
        <v>16660</v>
      </c>
      <c r="K7" s="10">
        <f t="shared" si="0"/>
        <v>27000</v>
      </c>
      <c r="L7" s="10">
        <v>4900</v>
      </c>
      <c r="M7" s="11" t="s">
        <v>442</v>
      </c>
      <c r="N7" s="12">
        <v>27060</v>
      </c>
      <c r="O7" s="13" t="s">
        <v>32</v>
      </c>
      <c r="P7" s="11"/>
    </row>
    <row r="8" spans="1:22" x14ac:dyDescent="0.25">
      <c r="A8" s="6"/>
      <c r="B8" s="7">
        <v>44287</v>
      </c>
      <c r="C8" s="8" t="s">
        <v>1534</v>
      </c>
      <c r="D8" s="8" t="s">
        <v>1084</v>
      </c>
      <c r="E8" s="9" t="s">
        <v>502</v>
      </c>
      <c r="F8" s="9" t="s">
        <v>503</v>
      </c>
      <c r="G8" s="17">
        <v>0.38194444444444442</v>
      </c>
      <c r="H8" s="17">
        <v>0.42430555555555555</v>
      </c>
      <c r="I8" s="9">
        <v>5220</v>
      </c>
      <c r="J8" s="9">
        <v>5980</v>
      </c>
      <c r="K8" s="10">
        <f t="shared" si="0"/>
        <v>-760</v>
      </c>
      <c r="L8" s="10">
        <v>17052</v>
      </c>
      <c r="M8" s="11" t="s">
        <v>2350</v>
      </c>
      <c r="N8" s="12">
        <v>760</v>
      </c>
      <c r="O8" s="13" t="s">
        <v>32</v>
      </c>
      <c r="P8" s="11"/>
    </row>
    <row r="9" spans="1:22" x14ac:dyDescent="0.25">
      <c r="A9" s="6"/>
      <c r="B9" s="7">
        <v>44287</v>
      </c>
      <c r="C9" s="8" t="s">
        <v>164</v>
      </c>
      <c r="D9" s="8" t="s">
        <v>174</v>
      </c>
      <c r="E9" s="9" t="s">
        <v>2286</v>
      </c>
      <c r="F9" s="9" t="s">
        <v>2287</v>
      </c>
      <c r="G9" s="17">
        <v>0.3840277777777778</v>
      </c>
      <c r="H9" s="17">
        <v>0.44791666666666669</v>
      </c>
      <c r="I9" s="9">
        <v>8480</v>
      </c>
      <c r="J9" s="9">
        <v>18940</v>
      </c>
      <c r="K9" s="10">
        <f t="shared" si="0"/>
        <v>-10460</v>
      </c>
      <c r="L9" s="10">
        <v>17053</v>
      </c>
      <c r="M9" s="11" t="s">
        <v>166</v>
      </c>
      <c r="N9" s="12">
        <v>210</v>
      </c>
      <c r="O9" s="11" t="s">
        <v>54</v>
      </c>
      <c r="P9" s="11"/>
    </row>
    <row r="10" spans="1:22" x14ac:dyDescent="0.25">
      <c r="A10" s="6"/>
      <c r="B10" s="7">
        <v>44287</v>
      </c>
      <c r="C10" s="8" t="s">
        <v>164</v>
      </c>
      <c r="D10" s="8" t="s">
        <v>198</v>
      </c>
      <c r="E10" s="9" t="s">
        <v>160</v>
      </c>
      <c r="F10" s="9" t="s">
        <v>161</v>
      </c>
      <c r="G10" s="17">
        <v>0.38541666666666669</v>
      </c>
      <c r="H10" s="17">
        <v>0.55486111111111114</v>
      </c>
      <c r="I10" s="9">
        <v>16820</v>
      </c>
      <c r="J10" s="9">
        <v>40180</v>
      </c>
      <c r="K10" s="10">
        <f t="shared" si="0"/>
        <v>-23360</v>
      </c>
      <c r="L10" s="10">
        <v>17055</v>
      </c>
      <c r="M10" s="11" t="s">
        <v>166</v>
      </c>
      <c r="N10" s="12">
        <v>462</v>
      </c>
      <c r="O10" s="11" t="s">
        <v>54</v>
      </c>
      <c r="P10" s="11"/>
    </row>
    <row r="11" spans="1:22" x14ac:dyDescent="0.25">
      <c r="A11" s="6"/>
      <c r="B11" s="7">
        <v>44287</v>
      </c>
      <c r="C11" s="8" t="s">
        <v>164</v>
      </c>
      <c r="D11" s="8" t="s">
        <v>465</v>
      </c>
      <c r="E11" s="9" t="s">
        <v>748</v>
      </c>
      <c r="F11" s="9" t="s">
        <v>749</v>
      </c>
      <c r="G11" s="17">
        <v>0.38611111111111113</v>
      </c>
      <c r="H11" s="17">
        <v>0.48055555555555557</v>
      </c>
      <c r="I11" s="9">
        <v>18290</v>
      </c>
      <c r="J11" s="9">
        <v>43480</v>
      </c>
      <c r="K11" s="10">
        <f t="shared" ref="K11:K12" si="1">+I11-J11</f>
        <v>-25190</v>
      </c>
      <c r="L11" s="10">
        <v>17054</v>
      </c>
      <c r="M11" s="11" t="s">
        <v>166</v>
      </c>
      <c r="N11" s="12">
        <v>498</v>
      </c>
      <c r="O11" s="11" t="s">
        <v>54</v>
      </c>
      <c r="P11" s="11"/>
    </row>
    <row r="12" spans="1:22" x14ac:dyDescent="0.25">
      <c r="A12" s="6"/>
      <c r="B12" s="7">
        <v>44287</v>
      </c>
      <c r="C12" s="8" t="s">
        <v>1096</v>
      </c>
      <c r="D12" s="8" t="s">
        <v>1794</v>
      </c>
      <c r="E12" s="9" t="s">
        <v>628</v>
      </c>
      <c r="F12" s="9" t="s">
        <v>629</v>
      </c>
      <c r="G12" s="17">
        <v>0.4152777777777778</v>
      </c>
      <c r="H12" s="17">
        <v>0.65486111111111112</v>
      </c>
      <c r="I12" s="9">
        <v>12620</v>
      </c>
      <c r="J12" s="9">
        <v>9600</v>
      </c>
      <c r="K12" s="10">
        <f t="shared" si="1"/>
        <v>3020</v>
      </c>
      <c r="L12" s="10">
        <v>23669</v>
      </c>
      <c r="M12" s="11" t="s">
        <v>2351</v>
      </c>
      <c r="N12" s="12">
        <v>3</v>
      </c>
      <c r="O12" s="12" t="s">
        <v>855</v>
      </c>
      <c r="P12" s="11"/>
    </row>
    <row r="13" spans="1:22" x14ac:dyDescent="0.25">
      <c r="A13" s="6"/>
      <c r="B13" s="7">
        <v>44287</v>
      </c>
      <c r="C13" s="8" t="s">
        <v>164</v>
      </c>
      <c r="D13" s="8" t="s">
        <v>174</v>
      </c>
      <c r="E13" s="9" t="s">
        <v>2286</v>
      </c>
      <c r="F13" s="9" t="s">
        <v>503</v>
      </c>
      <c r="G13" s="17">
        <v>0.5083333333333333</v>
      </c>
      <c r="H13" s="17">
        <v>0.59097222222222223</v>
      </c>
      <c r="I13" s="9">
        <v>8530</v>
      </c>
      <c r="J13" s="9">
        <v>21100</v>
      </c>
      <c r="K13" s="10">
        <f t="shared" si="0"/>
        <v>-12570</v>
      </c>
      <c r="L13" s="10">
        <v>17056</v>
      </c>
      <c r="M13" s="11" t="s">
        <v>166</v>
      </c>
      <c r="N13" s="12">
        <v>252</v>
      </c>
      <c r="O13" s="11" t="s">
        <v>54</v>
      </c>
      <c r="P13" s="8"/>
    </row>
    <row r="14" spans="1:22" x14ac:dyDescent="0.25">
      <c r="A14" s="6"/>
      <c r="B14" s="7">
        <v>44287</v>
      </c>
      <c r="C14" s="8" t="s">
        <v>164</v>
      </c>
      <c r="D14" s="8" t="s">
        <v>465</v>
      </c>
      <c r="E14" s="9" t="s">
        <v>748</v>
      </c>
      <c r="F14" s="9" t="s">
        <v>749</v>
      </c>
      <c r="G14" s="17">
        <v>0.57916666666666672</v>
      </c>
      <c r="H14" s="17">
        <v>0.61388888888888882</v>
      </c>
      <c r="I14" s="9">
        <v>18280</v>
      </c>
      <c r="J14" s="9">
        <v>43590</v>
      </c>
      <c r="K14" s="10">
        <f t="shared" si="0"/>
        <v>-25310</v>
      </c>
      <c r="L14" s="10">
        <v>17057</v>
      </c>
      <c r="M14" s="11" t="s">
        <v>166</v>
      </c>
      <c r="N14" s="12">
        <v>506</v>
      </c>
      <c r="O14" s="13" t="s">
        <v>54</v>
      </c>
      <c r="P14" s="11"/>
    </row>
    <row r="15" spans="1:22" x14ac:dyDescent="0.25">
      <c r="A15" s="6"/>
      <c r="B15" s="7">
        <v>44287</v>
      </c>
      <c r="C15" s="8" t="s">
        <v>2352</v>
      </c>
      <c r="D15" s="8" t="s">
        <v>2353</v>
      </c>
      <c r="E15" s="9" t="s">
        <v>2354</v>
      </c>
      <c r="F15" s="9" t="s">
        <v>36</v>
      </c>
      <c r="G15" s="17">
        <v>0.58194444444444449</v>
      </c>
      <c r="H15" s="17">
        <v>0.66249999999999998</v>
      </c>
      <c r="I15" s="9">
        <v>54510</v>
      </c>
      <c r="J15" s="9">
        <v>18980</v>
      </c>
      <c r="K15" s="10">
        <f t="shared" si="0"/>
        <v>35530</v>
      </c>
      <c r="L15" s="10">
        <v>20963</v>
      </c>
      <c r="M15" s="11" t="s">
        <v>2355</v>
      </c>
      <c r="N15" s="12">
        <v>10000</v>
      </c>
      <c r="O15" s="13" t="s">
        <v>84</v>
      </c>
      <c r="P15" s="11"/>
    </row>
    <row r="16" spans="1:22" x14ac:dyDescent="0.25">
      <c r="A16" s="6"/>
      <c r="B16" s="7">
        <v>44287</v>
      </c>
      <c r="C16" s="8" t="s">
        <v>208</v>
      </c>
      <c r="D16" s="8" t="s">
        <v>243</v>
      </c>
      <c r="E16" s="9" t="s">
        <v>440</v>
      </c>
      <c r="F16" s="9" t="s">
        <v>1276</v>
      </c>
      <c r="G16" s="17">
        <v>0.61805555555555558</v>
      </c>
      <c r="H16" s="17">
        <v>0.67291666666666661</v>
      </c>
      <c r="I16" s="9">
        <v>44690</v>
      </c>
      <c r="J16" s="9">
        <v>16640</v>
      </c>
      <c r="K16" s="10">
        <f t="shared" si="0"/>
        <v>28050</v>
      </c>
      <c r="L16" s="10">
        <v>4901</v>
      </c>
      <c r="M16" s="11" t="s">
        <v>2341</v>
      </c>
      <c r="N16" s="12">
        <v>28130</v>
      </c>
      <c r="O16" s="13" t="s">
        <v>32</v>
      </c>
      <c r="P16" s="11"/>
      <c r="T16" s="18"/>
      <c r="V16" s="23"/>
    </row>
    <row r="17" spans="1:26" x14ac:dyDescent="0.25">
      <c r="A17" s="6"/>
      <c r="B17" s="7">
        <v>44287</v>
      </c>
      <c r="C17" s="43" t="s">
        <v>1630</v>
      </c>
      <c r="D17" s="43" t="s">
        <v>464</v>
      </c>
      <c r="E17" s="44" t="s">
        <v>1632</v>
      </c>
      <c r="F17" s="44" t="s">
        <v>266</v>
      </c>
      <c r="G17" s="17">
        <v>0.63611111111111118</v>
      </c>
      <c r="H17" s="17">
        <v>0.64374999999999993</v>
      </c>
      <c r="I17" s="9">
        <v>5860</v>
      </c>
      <c r="J17" s="9">
        <v>5490</v>
      </c>
      <c r="K17" s="10">
        <f>+I17-J17</f>
        <v>370</v>
      </c>
      <c r="L17" s="10" t="s">
        <v>2356</v>
      </c>
      <c r="M17" s="47" t="s">
        <v>2357</v>
      </c>
      <c r="N17" s="12">
        <v>370</v>
      </c>
      <c r="O17" s="13" t="s">
        <v>32</v>
      </c>
      <c r="P17" s="11"/>
      <c r="T17" s="18"/>
      <c r="V17" s="23"/>
    </row>
    <row r="18" spans="1:26" x14ac:dyDescent="0.25">
      <c r="A18" s="6"/>
      <c r="B18" s="7">
        <v>44287</v>
      </c>
      <c r="C18" s="8" t="s">
        <v>164</v>
      </c>
      <c r="D18" s="8" t="s">
        <v>198</v>
      </c>
      <c r="E18" s="9" t="s">
        <v>160</v>
      </c>
      <c r="F18" s="9" t="s">
        <v>161</v>
      </c>
      <c r="G18" s="17">
        <v>0.6381944444444444</v>
      </c>
      <c r="H18" s="17"/>
      <c r="I18" s="9">
        <v>17040</v>
      </c>
      <c r="J18" s="9"/>
      <c r="K18" s="10">
        <f t="shared" si="0"/>
        <v>17040</v>
      </c>
      <c r="L18" s="10"/>
      <c r="M18" s="96" t="s">
        <v>166</v>
      </c>
      <c r="N18" s="12"/>
      <c r="O18" s="13" t="s">
        <v>54</v>
      </c>
      <c r="P18" s="11"/>
      <c r="T18" s="18"/>
      <c r="V18" s="23"/>
    </row>
    <row r="19" spans="1:26" x14ac:dyDescent="0.25">
      <c r="A19" s="6"/>
      <c r="B19" s="7">
        <v>44287</v>
      </c>
      <c r="C19" s="8" t="s">
        <v>469</v>
      </c>
      <c r="D19" s="8" t="s">
        <v>2342</v>
      </c>
      <c r="E19" s="9" t="s">
        <v>2343</v>
      </c>
      <c r="F19" s="9" t="s">
        <v>814</v>
      </c>
      <c r="G19" s="17">
        <v>0.64236111111111105</v>
      </c>
      <c r="H19" s="17">
        <v>0.68263888888888891</v>
      </c>
      <c r="I19" s="9">
        <v>17790</v>
      </c>
      <c r="J19" s="9">
        <v>15090</v>
      </c>
      <c r="K19" s="10">
        <f t="shared" si="0"/>
        <v>2700</v>
      </c>
      <c r="L19" s="10">
        <v>83151</v>
      </c>
      <c r="M19" s="11" t="s">
        <v>2358</v>
      </c>
      <c r="N19" s="12">
        <v>40</v>
      </c>
      <c r="O19" s="13" t="s">
        <v>80</v>
      </c>
      <c r="P19" s="11"/>
    </row>
    <row r="20" spans="1:26" x14ac:dyDescent="0.25">
      <c r="A20" s="6"/>
      <c r="B20" s="7">
        <v>44287</v>
      </c>
      <c r="C20" s="8" t="s">
        <v>973</v>
      </c>
      <c r="D20" s="8" t="s">
        <v>458</v>
      </c>
      <c r="E20" s="9" t="s">
        <v>947</v>
      </c>
      <c r="F20" s="9" t="s">
        <v>948</v>
      </c>
      <c r="G20" s="17">
        <v>0.64861111111111114</v>
      </c>
      <c r="H20" s="17">
        <v>0.65972222222222221</v>
      </c>
      <c r="I20" s="9">
        <v>13870</v>
      </c>
      <c r="J20" s="9">
        <v>7470</v>
      </c>
      <c r="K20" s="10">
        <f t="shared" si="0"/>
        <v>6400</v>
      </c>
      <c r="L20" s="10">
        <v>23670</v>
      </c>
      <c r="M20" s="11" t="s">
        <v>2359</v>
      </c>
      <c r="N20" s="12">
        <v>6.6</v>
      </c>
      <c r="O20" s="13" t="s">
        <v>855</v>
      </c>
      <c r="P20" s="11"/>
      <c r="T20" s="18"/>
      <c r="V20" s="23"/>
    </row>
    <row r="21" spans="1:26" x14ac:dyDescent="0.25">
      <c r="A21" s="6"/>
      <c r="B21" s="7">
        <v>44287</v>
      </c>
      <c r="C21" s="8" t="s">
        <v>164</v>
      </c>
      <c r="D21" s="8" t="s">
        <v>174</v>
      </c>
      <c r="E21" s="9" t="s">
        <v>2286</v>
      </c>
      <c r="F21" s="9" t="s">
        <v>503</v>
      </c>
      <c r="G21" s="17">
        <v>0.6694444444444444</v>
      </c>
      <c r="H21" s="17">
        <v>0.68333333333333324</v>
      </c>
      <c r="I21" s="9">
        <v>16720</v>
      </c>
      <c r="J21" s="9">
        <v>8270</v>
      </c>
      <c r="K21" s="10">
        <f t="shared" si="0"/>
        <v>8450</v>
      </c>
      <c r="L21" s="10">
        <v>16012</v>
      </c>
      <c r="M21" s="11" t="s">
        <v>398</v>
      </c>
      <c r="N21" s="12">
        <v>168</v>
      </c>
      <c r="O21" s="13" t="s">
        <v>54</v>
      </c>
      <c r="P21" s="11"/>
      <c r="T21" s="18"/>
      <c r="V21" s="23"/>
    </row>
    <row r="22" spans="1:26" x14ac:dyDescent="0.25">
      <c r="A22" s="6"/>
      <c r="B22" s="7">
        <v>44287</v>
      </c>
      <c r="C22" s="8" t="s">
        <v>2352</v>
      </c>
      <c r="D22" s="8" t="s">
        <v>2360</v>
      </c>
      <c r="E22" s="9" t="s">
        <v>2361</v>
      </c>
      <c r="F22" s="9" t="s">
        <v>36</v>
      </c>
      <c r="G22" s="17">
        <v>0.67569444444444438</v>
      </c>
      <c r="H22" s="17">
        <v>0.74097222222222225</v>
      </c>
      <c r="I22" s="9">
        <v>56990</v>
      </c>
      <c r="J22" s="9">
        <v>21730</v>
      </c>
      <c r="K22" s="10">
        <f t="shared" si="0"/>
        <v>35260</v>
      </c>
      <c r="L22" s="10">
        <v>20962</v>
      </c>
      <c r="M22" s="11" t="s">
        <v>2355</v>
      </c>
      <c r="N22" s="12">
        <v>10000</v>
      </c>
      <c r="O22" s="13" t="s">
        <v>84</v>
      </c>
      <c r="P22" s="11"/>
      <c r="T22" s="18"/>
      <c r="V22" s="23"/>
    </row>
    <row r="23" spans="1:26" x14ac:dyDescent="0.25">
      <c r="A23" s="6"/>
      <c r="B23" s="7">
        <v>44287</v>
      </c>
      <c r="C23" s="8" t="s">
        <v>208</v>
      </c>
      <c r="D23" s="8" t="s">
        <v>243</v>
      </c>
      <c r="E23" s="9" t="s">
        <v>440</v>
      </c>
      <c r="F23" s="9" t="s">
        <v>1276</v>
      </c>
      <c r="G23" s="17">
        <v>0.79305555555555562</v>
      </c>
      <c r="H23" s="17">
        <v>0.81180555555555556</v>
      </c>
      <c r="I23" s="9">
        <v>37040</v>
      </c>
      <c r="J23" s="9">
        <v>16660</v>
      </c>
      <c r="K23" s="10">
        <f t="shared" ref="K23:K24" si="2">+I23-J23</f>
        <v>20380</v>
      </c>
      <c r="L23" s="10">
        <v>41486</v>
      </c>
      <c r="M23" s="11" t="s">
        <v>2341</v>
      </c>
      <c r="N23" s="12">
        <v>20420</v>
      </c>
      <c r="O23" s="13" t="s">
        <v>32</v>
      </c>
      <c r="P23" s="11"/>
    </row>
    <row r="24" spans="1:26" x14ac:dyDescent="0.25">
      <c r="A24" s="6"/>
      <c r="B24" s="7">
        <v>44287</v>
      </c>
      <c r="C24" s="8" t="s">
        <v>208</v>
      </c>
      <c r="D24" s="8" t="s">
        <v>2249</v>
      </c>
      <c r="E24" s="9" t="s">
        <v>2250</v>
      </c>
      <c r="F24" s="9" t="s">
        <v>2251</v>
      </c>
      <c r="G24" s="17">
        <v>0.79722222222222217</v>
      </c>
      <c r="H24" s="17">
        <v>0.3743055555555555</v>
      </c>
      <c r="I24" s="9">
        <v>33950</v>
      </c>
      <c r="J24" s="9">
        <v>15760</v>
      </c>
      <c r="K24" s="10">
        <f t="shared" si="2"/>
        <v>18190</v>
      </c>
      <c r="L24" s="10">
        <v>41504</v>
      </c>
      <c r="M24" s="11" t="s">
        <v>1626</v>
      </c>
      <c r="N24" s="12">
        <v>18230</v>
      </c>
      <c r="O24" s="13" t="s">
        <v>32</v>
      </c>
      <c r="P24" s="11"/>
      <c r="T24" s="18"/>
    </row>
    <row r="25" spans="1:26" x14ac:dyDescent="0.25">
      <c r="A25" s="6"/>
      <c r="B25" s="7">
        <v>44287</v>
      </c>
      <c r="C25" s="8" t="s">
        <v>2362</v>
      </c>
      <c r="D25" s="8" t="s">
        <v>2363</v>
      </c>
      <c r="E25" s="9" t="s">
        <v>2364</v>
      </c>
      <c r="F25" s="9" t="s">
        <v>36</v>
      </c>
      <c r="G25" s="17">
        <v>0.85555555555555562</v>
      </c>
      <c r="H25" s="17">
        <v>0.89513888888888893</v>
      </c>
      <c r="I25" s="9">
        <v>6460</v>
      </c>
      <c r="J25" s="9">
        <v>2470</v>
      </c>
      <c r="K25" s="10">
        <f t="shared" si="0"/>
        <v>3990</v>
      </c>
      <c r="L25" s="10">
        <v>26751</v>
      </c>
      <c r="M25" s="11" t="s">
        <v>2365</v>
      </c>
      <c r="N25" s="12">
        <v>3990</v>
      </c>
      <c r="O25" s="13" t="s">
        <v>32</v>
      </c>
      <c r="P25" s="11"/>
    </row>
    <row r="26" spans="1:26" x14ac:dyDescent="0.25">
      <c r="A26" s="6"/>
      <c r="B26" s="7">
        <v>44287</v>
      </c>
      <c r="C26" s="8" t="s">
        <v>2123</v>
      </c>
      <c r="D26" s="8" t="s">
        <v>1853</v>
      </c>
      <c r="E26" s="9" t="s">
        <v>1206</v>
      </c>
      <c r="F26" s="9" t="s">
        <v>36</v>
      </c>
      <c r="G26" s="17">
        <v>0.8881944444444444</v>
      </c>
      <c r="H26" s="17">
        <v>0.90763888888888899</v>
      </c>
      <c r="I26" s="9">
        <v>13080</v>
      </c>
      <c r="J26" s="9">
        <v>6650</v>
      </c>
      <c r="K26" s="10">
        <f t="shared" si="0"/>
        <v>6430</v>
      </c>
      <c r="L26" s="10">
        <v>26752</v>
      </c>
      <c r="M26" s="11" t="s">
        <v>966</v>
      </c>
      <c r="N26" s="12">
        <v>6430</v>
      </c>
      <c r="O26" s="13" t="s">
        <v>32</v>
      </c>
      <c r="P26" s="11"/>
    </row>
    <row r="27" spans="1:26" x14ac:dyDescent="0.25">
      <c r="A27" s="6"/>
      <c r="B27" s="7">
        <v>44288</v>
      </c>
      <c r="C27" s="8" t="s">
        <v>37</v>
      </c>
      <c r="D27" s="8" t="s">
        <v>1696</v>
      </c>
      <c r="E27" s="9" t="s">
        <v>967</v>
      </c>
      <c r="F27" s="9" t="s">
        <v>36</v>
      </c>
      <c r="G27" s="17">
        <v>1.5972222222222224E-2</v>
      </c>
      <c r="H27" s="17">
        <v>6.6666666666666666E-2</v>
      </c>
      <c r="I27" s="9">
        <v>17535</v>
      </c>
      <c r="J27" s="9">
        <v>6470</v>
      </c>
      <c r="K27" s="10">
        <f t="shared" si="0"/>
        <v>11065</v>
      </c>
      <c r="L27" s="10">
        <v>26756</v>
      </c>
      <c r="M27" s="11" t="s">
        <v>1512</v>
      </c>
      <c r="N27" s="12">
        <v>11065</v>
      </c>
      <c r="O27" s="13" t="s">
        <v>32</v>
      </c>
      <c r="P27" s="11"/>
    </row>
    <row r="28" spans="1:26" x14ac:dyDescent="0.25">
      <c r="A28" s="6"/>
      <c r="B28" s="7">
        <v>44288</v>
      </c>
      <c r="C28" s="8" t="s">
        <v>208</v>
      </c>
      <c r="D28" s="8" t="s">
        <v>243</v>
      </c>
      <c r="E28" s="9" t="s">
        <v>440</v>
      </c>
      <c r="F28" s="9" t="s">
        <v>1276</v>
      </c>
      <c r="G28" s="17">
        <v>0.33749999999999997</v>
      </c>
      <c r="H28" s="17">
        <v>0.3576388888888889</v>
      </c>
      <c r="I28" s="9">
        <v>41590</v>
      </c>
      <c r="J28" s="9">
        <v>16610</v>
      </c>
      <c r="K28" s="10">
        <f t="shared" si="0"/>
        <v>24980</v>
      </c>
      <c r="L28" s="10">
        <v>41486</v>
      </c>
      <c r="M28" s="11" t="s">
        <v>2341</v>
      </c>
      <c r="N28" s="12">
        <f>1980+22980</f>
        <v>24960</v>
      </c>
      <c r="O28" s="13" t="s">
        <v>32</v>
      </c>
      <c r="P28" s="11"/>
    </row>
    <row r="29" spans="1:26" x14ac:dyDescent="0.25">
      <c r="A29" s="6"/>
      <c r="B29" s="7">
        <v>44288</v>
      </c>
      <c r="C29" s="8" t="s">
        <v>2366</v>
      </c>
      <c r="D29" s="8" t="s">
        <v>1794</v>
      </c>
      <c r="E29" s="9" t="s">
        <v>628</v>
      </c>
      <c r="F29" s="9" t="s">
        <v>629</v>
      </c>
      <c r="G29" s="17">
        <v>0.46180555555555558</v>
      </c>
      <c r="H29" s="17">
        <v>0.4694444444444445</v>
      </c>
      <c r="I29" s="9">
        <v>16100</v>
      </c>
      <c r="J29" s="9">
        <v>9580</v>
      </c>
      <c r="K29" s="10">
        <f t="shared" si="0"/>
        <v>6520</v>
      </c>
      <c r="L29" s="10" t="s">
        <v>2367</v>
      </c>
      <c r="M29" s="11" t="s">
        <v>2368</v>
      </c>
      <c r="N29" s="12">
        <f>1.8+4.8</f>
        <v>6.6</v>
      </c>
      <c r="O29" s="13" t="s">
        <v>855</v>
      </c>
      <c r="P29" s="11"/>
    </row>
    <row r="30" spans="1:26" x14ac:dyDescent="0.25">
      <c r="A30" s="6"/>
      <c r="B30" s="7">
        <v>44288</v>
      </c>
      <c r="C30" s="8" t="s">
        <v>1403</v>
      </c>
      <c r="D30" s="8" t="s">
        <v>853</v>
      </c>
      <c r="E30" s="9" t="s">
        <v>51</v>
      </c>
      <c r="F30" s="9" t="s">
        <v>52</v>
      </c>
      <c r="G30" s="17">
        <v>0.50555555555555554</v>
      </c>
      <c r="H30" s="17">
        <v>0.52083333333333337</v>
      </c>
      <c r="I30" s="9">
        <v>33560</v>
      </c>
      <c r="J30" s="9">
        <v>16520</v>
      </c>
      <c r="K30" s="10">
        <f t="shared" si="0"/>
        <v>17040</v>
      </c>
      <c r="L30" s="10">
        <v>23673</v>
      </c>
      <c r="M30" s="11" t="s">
        <v>1041</v>
      </c>
      <c r="N30" s="12">
        <v>15.6</v>
      </c>
      <c r="O30" s="13" t="s">
        <v>855</v>
      </c>
      <c r="P30" s="11"/>
    </row>
    <row r="31" spans="1:26" x14ac:dyDescent="0.25">
      <c r="A31" s="6"/>
      <c r="B31" s="7">
        <v>44288</v>
      </c>
      <c r="C31" s="8" t="s">
        <v>1534</v>
      </c>
      <c r="D31" s="8" t="s">
        <v>1794</v>
      </c>
      <c r="E31" s="9" t="s">
        <v>628</v>
      </c>
      <c r="F31" s="9" t="s">
        <v>629</v>
      </c>
      <c r="G31" s="17">
        <v>0.54791666666666672</v>
      </c>
      <c r="H31" s="17">
        <v>0.5541666666666667</v>
      </c>
      <c r="I31" s="9">
        <v>10870</v>
      </c>
      <c r="J31" s="9">
        <v>9580</v>
      </c>
      <c r="K31" s="10">
        <f t="shared" si="0"/>
        <v>1290</v>
      </c>
      <c r="L31" s="10">
        <v>22340</v>
      </c>
      <c r="M31" s="11" t="s">
        <v>2369</v>
      </c>
      <c r="N31" s="12">
        <v>40</v>
      </c>
      <c r="O31" s="13" t="s">
        <v>54</v>
      </c>
      <c r="P31" s="11"/>
      <c r="Y31" s="1">
        <v>4770</v>
      </c>
      <c r="Z31" s="1">
        <v>0.68240343347639487</v>
      </c>
    </row>
    <row r="32" spans="1:26" x14ac:dyDescent="0.25">
      <c r="A32" s="6"/>
      <c r="B32" s="7">
        <v>44288</v>
      </c>
      <c r="C32" s="8" t="s">
        <v>2370</v>
      </c>
      <c r="D32" s="8" t="s">
        <v>465</v>
      </c>
      <c r="E32" s="9" t="s">
        <v>748</v>
      </c>
      <c r="F32" s="9" t="s">
        <v>749</v>
      </c>
      <c r="G32" s="17">
        <v>0.55208333333333337</v>
      </c>
      <c r="H32" s="17">
        <v>0.56597222222222221</v>
      </c>
      <c r="I32" s="9">
        <v>35630</v>
      </c>
      <c r="J32" s="9">
        <v>16790</v>
      </c>
      <c r="K32" s="10">
        <f t="shared" si="0"/>
        <v>18840</v>
      </c>
      <c r="L32" s="10">
        <v>26755</v>
      </c>
      <c r="M32" s="11" t="s">
        <v>1041</v>
      </c>
      <c r="N32" s="12">
        <v>18840</v>
      </c>
      <c r="O32" s="13" t="s">
        <v>32</v>
      </c>
      <c r="P32" s="11"/>
      <c r="Y32" s="1">
        <v>2220</v>
      </c>
      <c r="Z32" s="1">
        <v>0.31759656652360513</v>
      </c>
    </row>
    <row r="33" spans="1:26" x14ac:dyDescent="0.25">
      <c r="A33" s="6"/>
      <c r="B33" s="7">
        <v>44288</v>
      </c>
      <c r="C33" s="8" t="s">
        <v>2370</v>
      </c>
      <c r="D33" s="8" t="s">
        <v>899</v>
      </c>
      <c r="E33" s="9" t="s">
        <v>490</v>
      </c>
      <c r="F33" s="9" t="s">
        <v>491</v>
      </c>
      <c r="G33" s="17">
        <v>0.59722222222222221</v>
      </c>
      <c r="H33" s="17">
        <v>0.60833333333333328</v>
      </c>
      <c r="I33" s="9">
        <v>34470</v>
      </c>
      <c r="J33" s="9">
        <v>15970</v>
      </c>
      <c r="K33" s="10">
        <f t="shared" si="0"/>
        <v>18500</v>
      </c>
      <c r="L33" s="10">
        <v>26757</v>
      </c>
      <c r="M33" s="11" t="s">
        <v>1041</v>
      </c>
      <c r="N33" s="12">
        <v>18500</v>
      </c>
      <c r="O33" s="13" t="s">
        <v>32</v>
      </c>
      <c r="P33" s="11"/>
      <c r="Y33" s="1">
        <v>6990</v>
      </c>
      <c r="Z33" s="1">
        <v>-565</v>
      </c>
    </row>
    <row r="34" spans="1:26" x14ac:dyDescent="0.25">
      <c r="A34" s="6"/>
      <c r="B34" s="7">
        <v>44288</v>
      </c>
      <c r="C34" s="8" t="s">
        <v>2370</v>
      </c>
      <c r="D34" s="8" t="s">
        <v>1794</v>
      </c>
      <c r="E34" s="9" t="s">
        <v>628</v>
      </c>
      <c r="F34" s="9" t="s">
        <v>629</v>
      </c>
      <c r="G34" s="17">
        <v>0.79236111111111107</v>
      </c>
      <c r="H34" s="17">
        <v>0.80069444444444438</v>
      </c>
      <c r="I34" s="9">
        <v>17630</v>
      </c>
      <c r="J34" s="9">
        <v>9570</v>
      </c>
      <c r="K34" s="10">
        <f t="shared" si="0"/>
        <v>8060</v>
      </c>
      <c r="L34" s="10">
        <v>26758</v>
      </c>
      <c r="M34" s="11" t="s">
        <v>1041</v>
      </c>
      <c r="N34" s="12">
        <v>8060</v>
      </c>
      <c r="O34" s="13" t="s">
        <v>32</v>
      </c>
      <c r="P34" s="14"/>
      <c r="Y34" s="1">
        <v>7555</v>
      </c>
    </row>
    <row r="35" spans="1:26" x14ac:dyDescent="0.25">
      <c r="A35" s="6"/>
      <c r="B35" s="7">
        <v>44288</v>
      </c>
      <c r="C35" s="8" t="s">
        <v>2370</v>
      </c>
      <c r="D35" s="8" t="s">
        <v>1794</v>
      </c>
      <c r="E35" s="9" t="s">
        <v>628</v>
      </c>
      <c r="F35" s="9" t="s">
        <v>629</v>
      </c>
      <c r="G35" s="17">
        <v>0.89166666666666661</v>
      </c>
      <c r="H35" s="17">
        <v>0.89583333333333337</v>
      </c>
      <c r="I35" s="9">
        <v>22490</v>
      </c>
      <c r="J35" s="9">
        <v>9570</v>
      </c>
      <c r="K35" s="10">
        <f t="shared" ref="K35" si="3">+I35-J35</f>
        <v>12920</v>
      </c>
      <c r="L35" s="10">
        <v>26759</v>
      </c>
      <c r="M35" s="11" t="s">
        <v>1041</v>
      </c>
      <c r="N35" s="12">
        <v>12920</v>
      </c>
      <c r="O35" s="13" t="s">
        <v>32</v>
      </c>
      <c r="P35" s="14"/>
    </row>
    <row r="36" spans="1:26" x14ac:dyDescent="0.25">
      <c r="A36" s="6"/>
      <c r="B36" s="7">
        <v>44289</v>
      </c>
      <c r="C36" s="8" t="s">
        <v>2370</v>
      </c>
      <c r="D36" s="8" t="s">
        <v>1794</v>
      </c>
      <c r="E36" s="9" t="s">
        <v>628</v>
      </c>
      <c r="F36" s="9" t="s">
        <v>629</v>
      </c>
      <c r="G36" s="17">
        <v>9.7222222222222224E-3</v>
      </c>
      <c r="H36" s="17">
        <v>1.5277777777777777E-2</v>
      </c>
      <c r="I36" s="9">
        <v>15740</v>
      </c>
      <c r="J36" s="9">
        <v>9600</v>
      </c>
      <c r="K36" s="10">
        <f t="shared" si="0"/>
        <v>6140</v>
      </c>
      <c r="L36" s="10">
        <v>26760</v>
      </c>
      <c r="M36" s="11" t="s">
        <v>2371</v>
      </c>
      <c r="N36" s="12">
        <v>6140</v>
      </c>
      <c r="O36" s="13" t="s">
        <v>32</v>
      </c>
      <c r="P36" s="14"/>
    </row>
    <row r="37" spans="1:26" x14ac:dyDescent="0.25">
      <c r="A37" s="6"/>
      <c r="B37" s="15">
        <v>44289</v>
      </c>
      <c r="C37" s="8" t="s">
        <v>2372</v>
      </c>
      <c r="D37" s="8" t="s">
        <v>174</v>
      </c>
      <c r="E37" s="9" t="s">
        <v>628</v>
      </c>
      <c r="F37" s="9" t="s">
        <v>629</v>
      </c>
      <c r="G37" s="17">
        <v>0.44027777777777777</v>
      </c>
      <c r="H37" s="17">
        <v>0.44722222222222219</v>
      </c>
      <c r="I37" s="9">
        <v>22650</v>
      </c>
      <c r="J37" s="9">
        <v>9670</v>
      </c>
      <c r="K37" s="10">
        <f t="shared" si="0"/>
        <v>12980</v>
      </c>
      <c r="L37" s="10" t="s">
        <v>2374</v>
      </c>
      <c r="M37" s="11" t="s">
        <v>2373</v>
      </c>
      <c r="N37" s="12">
        <f>9.6+2.4</f>
        <v>12</v>
      </c>
      <c r="O37" s="13" t="s">
        <v>855</v>
      </c>
      <c r="P37" s="14"/>
    </row>
    <row r="38" spans="1:26" x14ac:dyDescent="0.25">
      <c r="A38" s="6"/>
      <c r="B38" s="7">
        <v>44289</v>
      </c>
      <c r="C38" s="8" t="s">
        <v>985</v>
      </c>
      <c r="D38" s="8" t="s">
        <v>174</v>
      </c>
      <c r="E38" s="9" t="s">
        <v>628</v>
      </c>
      <c r="F38" s="9" t="s">
        <v>629</v>
      </c>
      <c r="G38" s="17">
        <v>0.53194444444444444</v>
      </c>
      <c r="H38" s="17">
        <v>0.54027777777777775</v>
      </c>
      <c r="I38" s="9">
        <v>10250</v>
      </c>
      <c r="J38" s="9">
        <v>9660</v>
      </c>
      <c r="K38" s="10">
        <f t="shared" si="0"/>
        <v>590</v>
      </c>
      <c r="L38" s="10">
        <v>23676</v>
      </c>
      <c r="M38" s="11" t="s">
        <v>1515</v>
      </c>
      <c r="N38" s="12">
        <v>590</v>
      </c>
      <c r="O38" s="13" t="s">
        <v>32</v>
      </c>
      <c r="P38" s="14" t="s">
        <v>2375</v>
      </c>
    </row>
    <row r="39" spans="1:26" x14ac:dyDescent="0.25">
      <c r="A39" s="6"/>
      <c r="B39" s="7">
        <v>44289</v>
      </c>
      <c r="C39" s="8" t="s">
        <v>1534</v>
      </c>
      <c r="D39" s="8" t="s">
        <v>174</v>
      </c>
      <c r="E39" s="9" t="s">
        <v>628</v>
      </c>
      <c r="F39" s="9" t="s">
        <v>629</v>
      </c>
      <c r="G39" s="17">
        <v>0.60972222222222217</v>
      </c>
      <c r="H39" s="17">
        <v>0.61527777777777781</v>
      </c>
      <c r="I39" s="9">
        <v>11060</v>
      </c>
      <c r="J39" s="9">
        <v>9790</v>
      </c>
      <c r="K39" s="10">
        <f t="shared" si="0"/>
        <v>1270</v>
      </c>
      <c r="L39" s="10">
        <v>22351</v>
      </c>
      <c r="M39" s="11" t="s">
        <v>2376</v>
      </c>
      <c r="N39" s="12">
        <v>40</v>
      </c>
      <c r="O39" s="13" t="s">
        <v>54</v>
      </c>
      <c r="P39" s="14"/>
    </row>
    <row r="40" spans="1:26" x14ac:dyDescent="0.25">
      <c r="A40" s="6"/>
      <c r="B40" s="7">
        <v>44289</v>
      </c>
      <c r="C40" s="8" t="s">
        <v>2377</v>
      </c>
      <c r="D40" s="8" t="s">
        <v>458</v>
      </c>
      <c r="E40" s="9" t="s">
        <v>699</v>
      </c>
      <c r="F40" s="9" t="s">
        <v>459</v>
      </c>
      <c r="G40" s="17">
        <v>0.65625</v>
      </c>
      <c r="H40" s="17">
        <v>0.71180555555555547</v>
      </c>
      <c r="I40" s="9">
        <v>11530</v>
      </c>
      <c r="J40" s="9">
        <v>8270</v>
      </c>
      <c r="K40" s="10">
        <f t="shared" si="0"/>
        <v>3260</v>
      </c>
      <c r="L40" s="10" t="s">
        <v>2378</v>
      </c>
      <c r="M40" s="11" t="s">
        <v>48</v>
      </c>
      <c r="N40" s="12">
        <f>1276+5000</f>
        <v>6276</v>
      </c>
      <c r="O40" s="13" t="s">
        <v>49</v>
      </c>
      <c r="P40" s="14"/>
    </row>
    <row r="41" spans="1:26" x14ac:dyDescent="0.25">
      <c r="A41" s="6"/>
      <c r="B41" s="7">
        <v>44289</v>
      </c>
      <c r="C41" s="8" t="s">
        <v>37</v>
      </c>
      <c r="D41" s="8" t="s">
        <v>1696</v>
      </c>
      <c r="E41" s="9" t="s">
        <v>967</v>
      </c>
      <c r="F41" s="9" t="s">
        <v>36</v>
      </c>
      <c r="G41" s="17">
        <v>0.82291666666666663</v>
      </c>
      <c r="H41" s="17">
        <v>0.8652777777777777</v>
      </c>
      <c r="I41" s="9">
        <v>19780</v>
      </c>
      <c r="J41" s="9">
        <v>6430</v>
      </c>
      <c r="K41" s="10">
        <f t="shared" si="0"/>
        <v>13350</v>
      </c>
      <c r="L41" s="10">
        <v>26761</v>
      </c>
      <c r="M41" s="11" t="s">
        <v>2379</v>
      </c>
      <c r="N41" s="12">
        <v>13350</v>
      </c>
      <c r="O41" s="13" t="s">
        <v>32</v>
      </c>
      <c r="P41" s="14"/>
    </row>
    <row r="42" spans="1:26" x14ac:dyDescent="0.25">
      <c r="A42" s="6"/>
      <c r="B42" s="7">
        <v>44289</v>
      </c>
      <c r="C42" s="8" t="s">
        <v>2123</v>
      </c>
      <c r="D42" s="8" t="s">
        <v>1853</v>
      </c>
      <c r="E42" s="9" t="s">
        <v>1206</v>
      </c>
      <c r="F42" s="9" t="s">
        <v>36</v>
      </c>
      <c r="G42" s="17">
        <v>0.85138888888888886</v>
      </c>
      <c r="H42" s="17">
        <v>0.87083333333333324</v>
      </c>
      <c r="I42" s="9">
        <v>7340</v>
      </c>
      <c r="J42" s="9">
        <v>6680</v>
      </c>
      <c r="K42" s="10">
        <f t="shared" si="0"/>
        <v>660</v>
      </c>
      <c r="L42" s="10">
        <v>26762</v>
      </c>
      <c r="M42" s="11" t="s">
        <v>966</v>
      </c>
      <c r="N42" s="12">
        <v>660</v>
      </c>
      <c r="O42" s="13" t="s">
        <v>32</v>
      </c>
      <c r="P42" s="14"/>
    </row>
    <row r="43" spans="1:26" x14ac:dyDescent="0.25">
      <c r="A43" s="6"/>
      <c r="B43" s="7">
        <v>44289</v>
      </c>
      <c r="C43" s="8" t="s">
        <v>37</v>
      </c>
      <c r="D43" s="8" t="s">
        <v>1001</v>
      </c>
      <c r="E43" s="9" t="s">
        <v>1002</v>
      </c>
      <c r="F43" s="9" t="s">
        <v>36</v>
      </c>
      <c r="G43" s="17">
        <v>0.85625000000000007</v>
      </c>
      <c r="H43" s="17">
        <v>0.90277777777777779</v>
      </c>
      <c r="I43" s="9">
        <v>9120</v>
      </c>
      <c r="J43" s="9">
        <v>4000</v>
      </c>
      <c r="K43" s="10">
        <f t="shared" si="0"/>
        <v>5120</v>
      </c>
      <c r="L43" s="10">
        <v>26763</v>
      </c>
      <c r="M43" s="11" t="s">
        <v>2380</v>
      </c>
      <c r="N43" s="12">
        <v>5120</v>
      </c>
      <c r="O43" s="13" t="s">
        <v>32</v>
      </c>
      <c r="P43" s="14"/>
    </row>
    <row r="44" spans="1:26" x14ac:dyDescent="0.25">
      <c r="A44" s="6"/>
      <c r="B44" s="15">
        <v>44290</v>
      </c>
      <c r="C44" s="16" t="s">
        <v>2381</v>
      </c>
      <c r="D44" s="8" t="s">
        <v>2382</v>
      </c>
      <c r="E44" s="9" t="s">
        <v>2383</v>
      </c>
      <c r="F44" s="9" t="s">
        <v>36</v>
      </c>
      <c r="G44" s="17">
        <v>0.3979166666666667</v>
      </c>
      <c r="H44" s="17">
        <v>0.45416666666666666</v>
      </c>
      <c r="I44" s="9">
        <v>11470</v>
      </c>
      <c r="J44" s="9">
        <v>7200</v>
      </c>
      <c r="K44" s="10">
        <f t="shared" si="0"/>
        <v>4270</v>
      </c>
      <c r="L44" s="10">
        <v>26764</v>
      </c>
      <c r="M44" s="11" t="s">
        <v>2384</v>
      </c>
      <c r="N44" s="12">
        <v>4270</v>
      </c>
      <c r="O44" s="13" t="s">
        <v>32</v>
      </c>
      <c r="P44" s="14"/>
    </row>
    <row r="45" spans="1:26" x14ac:dyDescent="0.25">
      <c r="A45" s="6"/>
      <c r="B45" s="7">
        <v>44290</v>
      </c>
      <c r="C45" s="8" t="s">
        <v>2385</v>
      </c>
      <c r="D45" s="8" t="s">
        <v>1794</v>
      </c>
      <c r="E45" s="9" t="s">
        <v>628</v>
      </c>
      <c r="F45" s="9" t="s">
        <v>629</v>
      </c>
      <c r="G45" s="17">
        <v>0.40625</v>
      </c>
      <c r="H45" s="17">
        <v>0.41736111111111113</v>
      </c>
      <c r="I45" s="9">
        <v>20560</v>
      </c>
      <c r="J45" s="9">
        <v>9630</v>
      </c>
      <c r="K45" s="10">
        <f t="shared" si="0"/>
        <v>10930</v>
      </c>
      <c r="L45" s="10" t="s">
        <v>2386</v>
      </c>
      <c r="M45" s="11" t="s">
        <v>1491</v>
      </c>
      <c r="N45" s="12">
        <v>10.199999999999999</v>
      </c>
      <c r="O45" s="13" t="s">
        <v>855</v>
      </c>
      <c r="P45" s="14"/>
    </row>
    <row r="46" spans="1:26" x14ac:dyDescent="0.25">
      <c r="A46" s="6"/>
      <c r="B46" s="7">
        <v>44290</v>
      </c>
      <c r="C46" s="8" t="s">
        <v>2387</v>
      </c>
      <c r="D46" s="8" t="s">
        <v>1850</v>
      </c>
      <c r="E46" s="9" t="s">
        <v>144</v>
      </c>
      <c r="F46" s="9" t="s">
        <v>626</v>
      </c>
      <c r="G46" s="17">
        <v>0.42986111111111108</v>
      </c>
      <c r="H46" s="17">
        <v>0.4381944444444445</v>
      </c>
      <c r="I46" s="9">
        <v>28010</v>
      </c>
      <c r="J46" s="9">
        <v>15680</v>
      </c>
      <c r="K46" s="10">
        <f t="shared" si="0"/>
        <v>12330</v>
      </c>
      <c r="L46" s="10" t="s">
        <v>2388</v>
      </c>
      <c r="M46" s="11" t="s">
        <v>2389</v>
      </c>
      <c r="N46" s="12">
        <v>12.6</v>
      </c>
      <c r="O46" s="13" t="s">
        <v>855</v>
      </c>
      <c r="P46" s="14"/>
    </row>
    <row r="47" spans="1:26" x14ac:dyDescent="0.25">
      <c r="A47" s="6"/>
      <c r="B47" s="7">
        <v>44290</v>
      </c>
      <c r="C47" s="8" t="s">
        <v>2390</v>
      </c>
      <c r="D47" s="8" t="s">
        <v>853</v>
      </c>
      <c r="E47" s="9" t="s">
        <v>51</v>
      </c>
      <c r="F47" s="9" t="s">
        <v>52</v>
      </c>
      <c r="G47" s="17">
        <v>0.45902777777777781</v>
      </c>
      <c r="H47" s="17">
        <v>0.46319444444444446</v>
      </c>
      <c r="I47" s="9">
        <v>40440</v>
      </c>
      <c r="J47" s="9">
        <v>16530</v>
      </c>
      <c r="K47" s="10">
        <f t="shared" si="0"/>
        <v>23910</v>
      </c>
      <c r="L47" s="10" t="s">
        <v>2391</v>
      </c>
      <c r="M47" s="11" t="s">
        <v>1041</v>
      </c>
      <c r="N47" s="12">
        <v>22.8</v>
      </c>
      <c r="O47" s="13" t="s">
        <v>855</v>
      </c>
      <c r="P47" s="14"/>
    </row>
    <row r="48" spans="1:26" x14ac:dyDescent="0.25">
      <c r="A48" s="6"/>
      <c r="B48" s="7">
        <v>44290</v>
      </c>
      <c r="C48" s="8" t="s">
        <v>2392</v>
      </c>
      <c r="D48" s="8" t="s">
        <v>299</v>
      </c>
      <c r="E48" s="9" t="s">
        <v>813</v>
      </c>
      <c r="F48" s="9" t="s">
        <v>814</v>
      </c>
      <c r="G48" s="17">
        <v>0.47569444444444442</v>
      </c>
      <c r="H48" s="17">
        <v>0.48472222222222222</v>
      </c>
      <c r="I48" s="9">
        <v>39450</v>
      </c>
      <c r="J48" s="9">
        <v>17380</v>
      </c>
      <c r="K48" s="10">
        <f t="shared" si="0"/>
        <v>22070</v>
      </c>
      <c r="L48" s="10" t="s">
        <v>2393</v>
      </c>
      <c r="M48" s="11" t="s">
        <v>1041</v>
      </c>
      <c r="N48" s="12">
        <v>22.8</v>
      </c>
      <c r="O48" s="13" t="s">
        <v>855</v>
      </c>
      <c r="P48" s="14"/>
    </row>
    <row r="49" spans="1:17" x14ac:dyDescent="0.25">
      <c r="A49" s="6"/>
      <c r="B49" s="7">
        <v>44290</v>
      </c>
      <c r="C49" s="8" t="s">
        <v>1065</v>
      </c>
      <c r="D49" s="8" t="s">
        <v>243</v>
      </c>
      <c r="E49" s="9" t="s">
        <v>440</v>
      </c>
      <c r="F49" s="9" t="s">
        <v>1276</v>
      </c>
      <c r="G49" s="17">
        <v>0.47986111111111113</v>
      </c>
      <c r="H49" s="17">
        <v>0.49305555555555558</v>
      </c>
      <c r="I49" s="9">
        <v>38200</v>
      </c>
      <c r="J49" s="9">
        <v>16580</v>
      </c>
      <c r="K49" s="10">
        <f t="shared" si="0"/>
        <v>21620</v>
      </c>
      <c r="L49" s="10">
        <v>23682</v>
      </c>
      <c r="M49" s="11" t="s">
        <v>1041</v>
      </c>
      <c r="N49" s="12">
        <v>21.6</v>
      </c>
      <c r="O49" s="13" t="s">
        <v>855</v>
      </c>
      <c r="P49" s="14"/>
    </row>
    <row r="50" spans="1:17" x14ac:dyDescent="0.25">
      <c r="A50" s="6"/>
      <c r="B50" s="7">
        <v>44290</v>
      </c>
      <c r="C50" s="8" t="s">
        <v>1065</v>
      </c>
      <c r="D50" s="8" t="s">
        <v>465</v>
      </c>
      <c r="E50" s="9" t="s">
        <v>748</v>
      </c>
      <c r="F50" s="9" t="s">
        <v>749</v>
      </c>
      <c r="G50" s="17">
        <v>0.4909722222222222</v>
      </c>
      <c r="H50" s="17">
        <v>0.50138888888888888</v>
      </c>
      <c r="I50" s="9">
        <v>37460</v>
      </c>
      <c r="J50" s="9">
        <v>16780</v>
      </c>
      <c r="K50" s="10">
        <f t="shared" si="0"/>
        <v>20680</v>
      </c>
      <c r="L50" s="10">
        <v>23682</v>
      </c>
      <c r="M50" s="11" t="s">
        <v>1041</v>
      </c>
      <c r="N50" s="12">
        <v>21.6</v>
      </c>
      <c r="O50" s="13" t="s">
        <v>855</v>
      </c>
      <c r="P50" s="14"/>
    </row>
    <row r="51" spans="1:17" x14ac:dyDescent="0.25">
      <c r="A51" s="6"/>
      <c r="B51" s="7">
        <v>44290</v>
      </c>
      <c r="C51" s="8" t="s">
        <v>1065</v>
      </c>
      <c r="D51" s="8" t="s">
        <v>1794</v>
      </c>
      <c r="E51" s="9" t="s">
        <v>628</v>
      </c>
      <c r="F51" s="9" t="s">
        <v>629</v>
      </c>
      <c r="G51" s="17">
        <v>0.49791666666666662</v>
      </c>
      <c r="H51" s="17">
        <v>0.50555555555555554</v>
      </c>
      <c r="I51" s="9">
        <v>21190</v>
      </c>
      <c r="J51" s="9">
        <v>9630</v>
      </c>
      <c r="K51" s="10">
        <f t="shared" si="0"/>
        <v>11560</v>
      </c>
      <c r="L51" s="10">
        <v>23682</v>
      </c>
      <c r="M51" s="11" t="s">
        <v>1041</v>
      </c>
      <c r="N51" s="12">
        <v>12</v>
      </c>
      <c r="O51" s="13" t="s">
        <v>855</v>
      </c>
      <c r="P51" s="14"/>
    </row>
    <row r="52" spans="1:17" x14ac:dyDescent="0.25">
      <c r="A52" s="6"/>
      <c r="B52" s="7">
        <v>44290</v>
      </c>
      <c r="C52" s="8" t="s">
        <v>1065</v>
      </c>
      <c r="D52" s="8" t="s">
        <v>1850</v>
      </c>
      <c r="E52" s="9" t="s">
        <v>144</v>
      </c>
      <c r="F52" s="9" t="s">
        <v>626</v>
      </c>
      <c r="G52" s="17">
        <v>0.52013888888888882</v>
      </c>
      <c r="H52" s="17">
        <v>0.52708333333333335</v>
      </c>
      <c r="I52" s="9">
        <v>36490</v>
      </c>
      <c r="J52" s="9">
        <v>15660</v>
      </c>
      <c r="K52" s="10">
        <f t="shared" si="0"/>
        <v>20830</v>
      </c>
      <c r="L52" s="10">
        <v>23682</v>
      </c>
      <c r="M52" s="11" t="s">
        <v>1041</v>
      </c>
      <c r="N52" s="12">
        <v>21.6</v>
      </c>
      <c r="O52" s="13" t="s">
        <v>855</v>
      </c>
      <c r="P52" s="14"/>
    </row>
    <row r="53" spans="1:17" x14ac:dyDescent="0.25">
      <c r="A53" s="6"/>
      <c r="B53" s="7">
        <v>44290</v>
      </c>
      <c r="C53" s="8" t="s">
        <v>2394</v>
      </c>
      <c r="D53" s="8" t="s">
        <v>2395</v>
      </c>
      <c r="E53" s="9" t="s">
        <v>197</v>
      </c>
      <c r="F53" s="9" t="s">
        <v>36</v>
      </c>
      <c r="G53" s="17">
        <v>0.52430555555555558</v>
      </c>
      <c r="H53" s="17">
        <v>0.53472222222222221</v>
      </c>
      <c r="I53" s="9">
        <v>4070</v>
      </c>
      <c r="J53" s="9">
        <v>3500</v>
      </c>
      <c r="K53" s="10">
        <f t="shared" ref="K53" si="4">+I53-J53</f>
        <v>570</v>
      </c>
      <c r="L53" s="10">
        <v>4371</v>
      </c>
      <c r="M53" s="11" t="s">
        <v>2396</v>
      </c>
      <c r="N53" s="12">
        <v>10</v>
      </c>
      <c r="O53" s="13" t="s">
        <v>80</v>
      </c>
      <c r="P53" s="14"/>
    </row>
    <row r="54" spans="1:17" x14ac:dyDescent="0.25">
      <c r="A54" s="6"/>
      <c r="B54" s="7">
        <v>44290</v>
      </c>
      <c r="C54" s="8" t="s">
        <v>1065</v>
      </c>
      <c r="D54" s="8" t="s">
        <v>853</v>
      </c>
      <c r="E54" s="9" t="s">
        <v>51</v>
      </c>
      <c r="F54" s="9" t="s">
        <v>52</v>
      </c>
      <c r="G54" s="17">
        <v>0.52847222222222223</v>
      </c>
      <c r="H54" s="17">
        <v>0.53680555555555554</v>
      </c>
      <c r="I54" s="9">
        <v>32700</v>
      </c>
      <c r="J54" s="9">
        <v>16500</v>
      </c>
      <c r="K54" s="10">
        <f t="shared" si="0"/>
        <v>16200</v>
      </c>
      <c r="L54" s="10">
        <v>23682</v>
      </c>
      <c r="M54" s="11" t="s">
        <v>1041</v>
      </c>
      <c r="N54" s="12">
        <v>16.2</v>
      </c>
      <c r="O54" s="13" t="s">
        <v>855</v>
      </c>
      <c r="P54" s="14"/>
    </row>
    <row r="55" spans="1:17" x14ac:dyDescent="0.25">
      <c r="A55" s="6"/>
      <c r="B55" s="7">
        <v>44290</v>
      </c>
      <c r="C55" s="8" t="s">
        <v>2394</v>
      </c>
      <c r="D55" s="8" t="s">
        <v>2397</v>
      </c>
      <c r="E55" s="9" t="s">
        <v>171</v>
      </c>
      <c r="F55" s="9" t="s">
        <v>36</v>
      </c>
      <c r="G55" s="17">
        <v>0.54097222222222219</v>
      </c>
      <c r="H55" s="17">
        <v>0.54791666666666672</v>
      </c>
      <c r="I55" s="9">
        <v>3990</v>
      </c>
      <c r="J55" s="9">
        <v>3420</v>
      </c>
      <c r="K55" s="10">
        <f t="shared" si="0"/>
        <v>570</v>
      </c>
      <c r="L55" s="10">
        <v>342</v>
      </c>
      <c r="M55" s="11" t="s">
        <v>2396</v>
      </c>
      <c r="N55" s="12">
        <v>10</v>
      </c>
      <c r="O55" s="13" t="s">
        <v>80</v>
      </c>
      <c r="P55" s="14"/>
    </row>
    <row r="56" spans="1:17" x14ac:dyDescent="0.25">
      <c r="A56" s="6"/>
      <c r="B56" s="7">
        <v>44290</v>
      </c>
      <c r="C56" s="8" t="s">
        <v>2394</v>
      </c>
      <c r="D56" s="8" t="s">
        <v>247</v>
      </c>
      <c r="E56" s="9" t="s">
        <v>184</v>
      </c>
      <c r="F56" s="9" t="s">
        <v>36</v>
      </c>
      <c r="G56" s="17">
        <v>0.5493055555555556</v>
      </c>
      <c r="H56" s="17">
        <v>0.55694444444444446</v>
      </c>
      <c r="I56" s="9">
        <v>3980</v>
      </c>
      <c r="J56" s="9">
        <v>3400</v>
      </c>
      <c r="K56" s="10">
        <f t="shared" si="0"/>
        <v>580</v>
      </c>
      <c r="L56" s="10">
        <v>345</v>
      </c>
      <c r="M56" s="11" t="s">
        <v>2396</v>
      </c>
      <c r="N56" s="12">
        <v>10</v>
      </c>
      <c r="O56" s="13" t="s">
        <v>80</v>
      </c>
      <c r="P56" s="14"/>
    </row>
    <row r="57" spans="1:17" x14ac:dyDescent="0.25">
      <c r="A57" s="6"/>
      <c r="B57" s="7">
        <v>44290</v>
      </c>
      <c r="C57" s="8" t="s">
        <v>1403</v>
      </c>
      <c r="D57" s="8" t="s">
        <v>299</v>
      </c>
      <c r="E57" s="9" t="s">
        <v>813</v>
      </c>
      <c r="F57" s="9" t="s">
        <v>814</v>
      </c>
      <c r="G57" s="17">
        <v>0.54999999999999993</v>
      </c>
      <c r="H57" s="17">
        <v>0.55555555555555558</v>
      </c>
      <c r="I57" s="9">
        <v>33640</v>
      </c>
      <c r="J57" s="9">
        <v>17380</v>
      </c>
      <c r="K57" s="10">
        <f t="shared" si="0"/>
        <v>16260</v>
      </c>
      <c r="L57" s="10">
        <v>23683</v>
      </c>
      <c r="M57" s="11" t="s">
        <v>2398</v>
      </c>
      <c r="N57" s="12">
        <v>14.4</v>
      </c>
      <c r="O57" s="13" t="s">
        <v>855</v>
      </c>
      <c r="P57" s="14"/>
    </row>
    <row r="58" spans="1:17" x14ac:dyDescent="0.25">
      <c r="A58" s="6"/>
      <c r="B58" s="7">
        <v>44290</v>
      </c>
      <c r="C58" s="8" t="s">
        <v>1096</v>
      </c>
      <c r="D58" s="8" t="s">
        <v>1794</v>
      </c>
      <c r="E58" s="9" t="s">
        <v>628</v>
      </c>
      <c r="F58" s="9" t="s">
        <v>629</v>
      </c>
      <c r="G58" s="17">
        <v>0.56944444444444442</v>
      </c>
      <c r="H58" s="17">
        <v>0.57638888888888895</v>
      </c>
      <c r="I58" s="9">
        <v>11590</v>
      </c>
      <c r="J58" s="9">
        <v>9600</v>
      </c>
      <c r="K58" s="10">
        <f t="shared" si="0"/>
        <v>1990</v>
      </c>
      <c r="L58" s="10">
        <v>23684</v>
      </c>
      <c r="M58" s="11" t="s">
        <v>1784</v>
      </c>
      <c r="N58" s="12">
        <v>1990</v>
      </c>
      <c r="O58" s="13" t="s">
        <v>32</v>
      </c>
      <c r="P58" s="14"/>
    </row>
    <row r="59" spans="1:17" x14ac:dyDescent="0.25">
      <c r="A59" s="6"/>
      <c r="B59" s="7">
        <v>44290</v>
      </c>
      <c r="C59" s="8" t="s">
        <v>2399</v>
      </c>
      <c r="D59" s="8" t="s">
        <v>1001</v>
      </c>
      <c r="E59" s="9" t="s">
        <v>967</v>
      </c>
      <c r="F59" s="9" t="s">
        <v>36</v>
      </c>
      <c r="G59" s="17">
        <v>0.82708333333333339</v>
      </c>
      <c r="H59" s="17">
        <v>0.86944444444444446</v>
      </c>
      <c r="I59" s="9">
        <v>13245</v>
      </c>
      <c r="J59" s="9">
        <v>6440</v>
      </c>
      <c r="K59" s="10">
        <f t="shared" si="0"/>
        <v>6805</v>
      </c>
      <c r="L59" s="10">
        <v>26765</v>
      </c>
      <c r="M59" s="11" t="s">
        <v>1512</v>
      </c>
      <c r="N59" s="12">
        <v>6805</v>
      </c>
      <c r="O59" s="13" t="s">
        <v>32</v>
      </c>
      <c r="P59" s="14"/>
    </row>
    <row r="60" spans="1:17" x14ac:dyDescent="0.25">
      <c r="A60" s="6"/>
      <c r="B60" s="7">
        <v>44290</v>
      </c>
      <c r="C60" s="8" t="s">
        <v>2123</v>
      </c>
      <c r="D60" s="8" t="s">
        <v>1853</v>
      </c>
      <c r="E60" s="9" t="s">
        <v>1206</v>
      </c>
      <c r="F60" s="9" t="s">
        <v>36</v>
      </c>
      <c r="G60" s="17">
        <v>0.87430555555555556</v>
      </c>
      <c r="H60" s="17">
        <v>0.8930555555555556</v>
      </c>
      <c r="I60" s="9">
        <v>15260</v>
      </c>
      <c r="J60" s="9">
        <v>6650</v>
      </c>
      <c r="K60" s="10">
        <f t="shared" si="0"/>
        <v>8610</v>
      </c>
      <c r="L60" s="10">
        <v>26766</v>
      </c>
      <c r="M60" s="11" t="s">
        <v>966</v>
      </c>
      <c r="N60" s="12">
        <v>8610</v>
      </c>
      <c r="O60" s="13" t="s">
        <v>32</v>
      </c>
      <c r="P60" s="14"/>
    </row>
    <row r="61" spans="1:17" x14ac:dyDescent="0.25">
      <c r="A61" s="6"/>
      <c r="B61" s="15">
        <v>44291</v>
      </c>
      <c r="C61" s="16" t="s">
        <v>2123</v>
      </c>
      <c r="D61" s="8" t="s">
        <v>1853</v>
      </c>
      <c r="E61" s="9" t="s">
        <v>1206</v>
      </c>
      <c r="F61" s="9" t="s">
        <v>36</v>
      </c>
      <c r="G61" s="17">
        <v>0.38055555555555554</v>
      </c>
      <c r="H61" s="17">
        <v>0.3979166666666667</v>
      </c>
      <c r="I61" s="9">
        <v>11630</v>
      </c>
      <c r="J61" s="9">
        <v>6650</v>
      </c>
      <c r="K61" s="10">
        <f t="shared" si="0"/>
        <v>4980</v>
      </c>
      <c r="L61" s="10">
        <v>26767</v>
      </c>
      <c r="M61" s="11" t="s">
        <v>2400</v>
      </c>
      <c r="N61" s="12">
        <v>4980</v>
      </c>
      <c r="O61" s="13" t="s">
        <v>32</v>
      </c>
      <c r="P61" s="14"/>
    </row>
    <row r="62" spans="1:17" x14ac:dyDescent="0.25">
      <c r="A62" s="6"/>
      <c r="B62" s="7">
        <v>44291</v>
      </c>
      <c r="C62" s="8" t="s">
        <v>1042</v>
      </c>
      <c r="D62" s="8" t="s">
        <v>243</v>
      </c>
      <c r="E62" s="9" t="s">
        <v>440</v>
      </c>
      <c r="F62" s="9" t="s">
        <v>1276</v>
      </c>
      <c r="G62" s="17">
        <v>0.38263888888888892</v>
      </c>
      <c r="H62" s="17">
        <v>0.38750000000000001</v>
      </c>
      <c r="I62" s="9">
        <v>39440</v>
      </c>
      <c r="J62" s="9">
        <v>16580</v>
      </c>
      <c r="K62" s="10">
        <f t="shared" si="0"/>
        <v>22860</v>
      </c>
      <c r="L62" s="10">
        <v>23685</v>
      </c>
      <c r="M62" s="11" t="s">
        <v>1041</v>
      </c>
      <c r="N62" s="12">
        <v>24</v>
      </c>
      <c r="O62" s="13" t="s">
        <v>855</v>
      </c>
      <c r="P62" s="14"/>
    </row>
    <row r="63" spans="1:17" x14ac:dyDescent="0.25">
      <c r="A63" s="6"/>
      <c r="B63" s="7">
        <v>44291</v>
      </c>
      <c r="C63" s="8" t="s">
        <v>1042</v>
      </c>
      <c r="D63" s="8" t="s">
        <v>1794</v>
      </c>
      <c r="E63" s="9" t="s">
        <v>628</v>
      </c>
      <c r="F63" s="9" t="s">
        <v>629</v>
      </c>
      <c r="G63" s="17">
        <v>0.3840277777777778</v>
      </c>
      <c r="H63" s="17">
        <v>0.39930555555555558</v>
      </c>
      <c r="I63" s="9">
        <v>21170</v>
      </c>
      <c r="J63" s="9">
        <v>9600</v>
      </c>
      <c r="K63" s="10">
        <f t="shared" si="0"/>
        <v>11570</v>
      </c>
      <c r="L63" s="10">
        <v>23685</v>
      </c>
      <c r="M63" s="11" t="s">
        <v>1041</v>
      </c>
      <c r="N63" s="12">
        <v>12</v>
      </c>
      <c r="O63" s="13" t="s">
        <v>855</v>
      </c>
      <c r="P63" s="14"/>
      <c r="Q63" s="2"/>
    </row>
    <row r="64" spans="1:17" x14ac:dyDescent="0.25">
      <c r="A64" s="6"/>
      <c r="B64" s="7">
        <v>44291</v>
      </c>
      <c r="C64" s="8" t="s">
        <v>1042</v>
      </c>
      <c r="D64" s="8" t="s">
        <v>853</v>
      </c>
      <c r="E64" s="9" t="s">
        <v>51</v>
      </c>
      <c r="F64" s="9" t="s">
        <v>52</v>
      </c>
      <c r="G64" s="17">
        <v>0.3972222222222222</v>
      </c>
      <c r="H64" s="17">
        <v>0.40277777777777773</v>
      </c>
      <c r="I64" s="9">
        <v>37220</v>
      </c>
      <c r="J64" s="9">
        <v>16470</v>
      </c>
      <c r="K64" s="10">
        <f t="shared" si="0"/>
        <v>20750</v>
      </c>
      <c r="L64" s="10">
        <v>23685</v>
      </c>
      <c r="M64" s="11" t="s">
        <v>1041</v>
      </c>
      <c r="N64" s="12">
        <v>21.6</v>
      </c>
      <c r="O64" s="13" t="s">
        <v>855</v>
      </c>
      <c r="P64" s="14"/>
    </row>
    <row r="65" spans="1:18" x14ac:dyDescent="0.25">
      <c r="A65" s="6"/>
      <c r="B65" s="7">
        <v>44291</v>
      </c>
      <c r="C65" s="8" t="s">
        <v>1042</v>
      </c>
      <c r="D65" s="8" t="s">
        <v>1355</v>
      </c>
      <c r="E65" s="9" t="s">
        <v>1048</v>
      </c>
      <c r="F65" s="9" t="s">
        <v>526</v>
      </c>
      <c r="G65" s="17">
        <v>0.40138888888888885</v>
      </c>
      <c r="H65" s="17">
        <v>0.4069444444444445</v>
      </c>
      <c r="I65" s="9">
        <v>38700</v>
      </c>
      <c r="J65" s="9">
        <v>17820</v>
      </c>
      <c r="K65" s="10">
        <f t="shared" si="0"/>
        <v>20880</v>
      </c>
      <c r="L65" s="10">
        <v>23685</v>
      </c>
      <c r="M65" s="11" t="s">
        <v>1041</v>
      </c>
      <c r="N65" s="12">
        <v>21.6</v>
      </c>
      <c r="O65" s="13" t="s">
        <v>855</v>
      </c>
      <c r="P65" s="14"/>
    </row>
    <row r="66" spans="1:18" x14ac:dyDescent="0.25">
      <c r="A66" s="6"/>
      <c r="B66" s="7">
        <v>44291</v>
      </c>
      <c r="C66" s="8" t="s">
        <v>1042</v>
      </c>
      <c r="D66" s="8" t="s">
        <v>465</v>
      </c>
      <c r="E66" s="9" t="s">
        <v>748</v>
      </c>
      <c r="F66" s="9" t="s">
        <v>749</v>
      </c>
      <c r="G66" s="17">
        <v>0.40972222222222227</v>
      </c>
      <c r="H66" s="17">
        <v>0.41597222222222219</v>
      </c>
      <c r="I66" s="9">
        <v>37820</v>
      </c>
      <c r="J66" s="9">
        <v>16770</v>
      </c>
      <c r="K66" s="10">
        <f t="shared" si="0"/>
        <v>21050</v>
      </c>
      <c r="L66" s="10">
        <v>23685</v>
      </c>
      <c r="M66" s="11" t="s">
        <v>1041</v>
      </c>
      <c r="N66" s="12">
        <v>21.6</v>
      </c>
      <c r="O66" s="13" t="s">
        <v>855</v>
      </c>
      <c r="P66" s="14"/>
    </row>
    <row r="67" spans="1:18" x14ac:dyDescent="0.25">
      <c r="A67" s="6"/>
      <c r="B67" s="7">
        <v>44291</v>
      </c>
      <c r="C67" s="8" t="s">
        <v>1042</v>
      </c>
      <c r="D67" s="8" t="s">
        <v>1850</v>
      </c>
      <c r="E67" s="9" t="s">
        <v>144</v>
      </c>
      <c r="F67" s="9" t="s">
        <v>626</v>
      </c>
      <c r="G67" s="17">
        <v>0.4152777777777778</v>
      </c>
      <c r="H67" s="17">
        <v>0.42152777777777778</v>
      </c>
      <c r="I67" s="9">
        <v>37020</v>
      </c>
      <c r="J67" s="9">
        <v>15670</v>
      </c>
      <c r="K67" s="10">
        <f t="shared" si="0"/>
        <v>21350</v>
      </c>
      <c r="L67" s="10">
        <v>23685</v>
      </c>
      <c r="M67" s="11" t="s">
        <v>1041</v>
      </c>
      <c r="N67" s="12">
        <v>21.6</v>
      </c>
      <c r="O67" s="13" t="s">
        <v>855</v>
      </c>
      <c r="P67" s="14"/>
      <c r="Q67" s="2"/>
    </row>
    <row r="68" spans="1:18" x14ac:dyDescent="0.25">
      <c r="A68" s="6"/>
      <c r="B68" s="7">
        <v>44291</v>
      </c>
      <c r="C68" s="8" t="s">
        <v>1042</v>
      </c>
      <c r="D68" s="8" t="s">
        <v>299</v>
      </c>
      <c r="E68" s="9" t="s">
        <v>813</v>
      </c>
      <c r="F68" s="9" t="s">
        <v>814</v>
      </c>
      <c r="G68" s="17">
        <v>0.42291666666666666</v>
      </c>
      <c r="H68" s="17">
        <v>0.4284722222222222</v>
      </c>
      <c r="I68" s="9">
        <v>35390</v>
      </c>
      <c r="J68" s="9">
        <v>17370</v>
      </c>
      <c r="K68" s="10">
        <f t="shared" si="0"/>
        <v>18020</v>
      </c>
      <c r="L68" s="10">
        <v>23685</v>
      </c>
      <c r="M68" s="11" t="s">
        <v>1041</v>
      </c>
      <c r="N68" s="12">
        <v>18</v>
      </c>
      <c r="O68" s="13" t="s">
        <v>855</v>
      </c>
      <c r="P68" s="14"/>
    </row>
    <row r="69" spans="1:18" x14ac:dyDescent="0.25">
      <c r="A69" s="6"/>
      <c r="B69" s="7">
        <v>44291</v>
      </c>
      <c r="C69" s="8" t="s">
        <v>1070</v>
      </c>
      <c r="D69" s="8" t="s">
        <v>899</v>
      </c>
      <c r="E69" s="9" t="s">
        <v>490</v>
      </c>
      <c r="F69" s="9" t="s">
        <v>491</v>
      </c>
      <c r="G69" s="17">
        <v>0.4368055555555555</v>
      </c>
      <c r="H69" s="17">
        <v>0.44375000000000003</v>
      </c>
      <c r="I69" s="9">
        <v>34180</v>
      </c>
      <c r="J69" s="9">
        <v>15960</v>
      </c>
      <c r="K69" s="10">
        <f t="shared" si="0"/>
        <v>18220</v>
      </c>
      <c r="L69" s="10">
        <v>23686</v>
      </c>
      <c r="M69" s="11" t="s">
        <v>1041</v>
      </c>
      <c r="N69" s="12">
        <v>17.399999999999999</v>
      </c>
      <c r="O69" s="13" t="s">
        <v>855</v>
      </c>
      <c r="P69" s="14"/>
    </row>
    <row r="70" spans="1:18" x14ac:dyDescent="0.25">
      <c r="A70" s="6"/>
      <c r="B70" s="7">
        <v>44291</v>
      </c>
      <c r="C70" s="8" t="s">
        <v>1403</v>
      </c>
      <c r="D70" s="8" t="s">
        <v>928</v>
      </c>
      <c r="E70" s="9" t="s">
        <v>947</v>
      </c>
      <c r="F70" s="9" t="s">
        <v>948</v>
      </c>
      <c r="G70" s="17">
        <v>0.45208333333333334</v>
      </c>
      <c r="H70" s="17">
        <v>0.4604166666666667</v>
      </c>
      <c r="I70" s="9">
        <v>16970</v>
      </c>
      <c r="J70" s="9">
        <v>7460</v>
      </c>
      <c r="K70" s="10">
        <f t="shared" ref="K70:K135" si="5">+I70-J70</f>
        <v>9510</v>
      </c>
      <c r="L70" s="10">
        <v>23687</v>
      </c>
      <c r="M70" s="11" t="s">
        <v>1041</v>
      </c>
      <c r="N70" s="12">
        <v>9.6</v>
      </c>
      <c r="O70" s="13" t="s">
        <v>855</v>
      </c>
      <c r="P70" s="14"/>
    </row>
    <row r="71" spans="1:18" x14ac:dyDescent="0.25">
      <c r="A71" s="6"/>
      <c r="B71" s="7">
        <v>44291</v>
      </c>
      <c r="C71" s="8" t="s">
        <v>2401</v>
      </c>
      <c r="D71" s="8" t="s">
        <v>243</v>
      </c>
      <c r="E71" s="9" t="s">
        <v>440</v>
      </c>
      <c r="F71" s="9" t="s">
        <v>1276</v>
      </c>
      <c r="G71" s="17">
        <v>0.46249999999999997</v>
      </c>
      <c r="H71" s="17">
        <v>0.46736111111111112</v>
      </c>
      <c r="I71" s="9">
        <v>26910</v>
      </c>
      <c r="J71" s="9">
        <v>16630</v>
      </c>
      <c r="K71" s="10">
        <f t="shared" si="5"/>
        <v>10280</v>
      </c>
      <c r="L71" s="10" t="s">
        <v>2402</v>
      </c>
      <c r="M71" s="11" t="s">
        <v>1041</v>
      </c>
      <c r="N71" s="12">
        <v>9.6</v>
      </c>
      <c r="O71" s="13" t="s">
        <v>855</v>
      </c>
      <c r="P71" s="14"/>
    </row>
    <row r="72" spans="1:18" x14ac:dyDescent="0.25">
      <c r="A72" s="6"/>
      <c r="B72" s="7">
        <v>44291</v>
      </c>
      <c r="C72" s="8" t="s">
        <v>2403</v>
      </c>
      <c r="D72" s="8" t="s">
        <v>174</v>
      </c>
      <c r="E72" s="9" t="s">
        <v>2404</v>
      </c>
      <c r="F72" s="9" t="s">
        <v>503</v>
      </c>
      <c r="G72" s="17">
        <v>0.47083333333333338</v>
      </c>
      <c r="H72" s="17">
        <v>0.49374999999999997</v>
      </c>
      <c r="I72" s="9">
        <v>8470</v>
      </c>
      <c r="J72" s="9">
        <v>21090</v>
      </c>
      <c r="K72" s="10">
        <f t="shared" ref="K72" si="6">+I72-J72</f>
        <v>-12620</v>
      </c>
      <c r="L72" s="10">
        <v>17059</v>
      </c>
      <c r="M72" s="11" t="s">
        <v>166</v>
      </c>
      <c r="N72" s="12">
        <v>252</v>
      </c>
      <c r="O72" s="13" t="s">
        <v>54</v>
      </c>
      <c r="P72" s="14"/>
    </row>
    <row r="73" spans="1:18" x14ac:dyDescent="0.25">
      <c r="A73" s="6"/>
      <c r="B73" s="7">
        <v>44291</v>
      </c>
      <c r="C73" s="8" t="s">
        <v>1081</v>
      </c>
      <c r="D73" s="8" t="s">
        <v>2249</v>
      </c>
      <c r="E73" s="9" t="s">
        <v>2250</v>
      </c>
      <c r="F73" s="9" t="s">
        <v>2251</v>
      </c>
      <c r="G73" s="17">
        <v>0.4861111111111111</v>
      </c>
      <c r="H73" s="17">
        <v>0.49236111111111108</v>
      </c>
      <c r="I73" s="9">
        <v>32380</v>
      </c>
      <c r="J73" s="9">
        <v>13490</v>
      </c>
      <c r="K73" s="10">
        <f t="shared" si="5"/>
        <v>18890</v>
      </c>
      <c r="L73" s="10">
        <v>23689</v>
      </c>
      <c r="M73" s="11" t="s">
        <v>1041</v>
      </c>
      <c r="N73" s="12">
        <v>19.2</v>
      </c>
      <c r="O73" s="13" t="s">
        <v>855</v>
      </c>
      <c r="P73" s="14"/>
    </row>
    <row r="74" spans="1:18" x14ac:dyDescent="0.25">
      <c r="A74" s="6"/>
      <c r="B74" s="7">
        <v>44291</v>
      </c>
      <c r="C74" s="8" t="s">
        <v>1081</v>
      </c>
      <c r="D74" s="8" t="s">
        <v>1794</v>
      </c>
      <c r="E74" s="9" t="s">
        <v>628</v>
      </c>
      <c r="F74" s="9" t="s">
        <v>629</v>
      </c>
      <c r="G74" s="17">
        <v>0.48888888888888887</v>
      </c>
      <c r="H74" s="17">
        <v>0.49861111111111112</v>
      </c>
      <c r="I74" s="9">
        <v>19010</v>
      </c>
      <c r="J74" s="9">
        <v>9590</v>
      </c>
      <c r="K74" s="10">
        <f t="shared" si="5"/>
        <v>9420</v>
      </c>
      <c r="L74" s="10">
        <v>23689</v>
      </c>
      <c r="M74" s="11" t="s">
        <v>1041</v>
      </c>
      <c r="N74" s="12">
        <v>9.6</v>
      </c>
      <c r="O74" s="13" t="s">
        <v>855</v>
      </c>
      <c r="P74" s="14"/>
    </row>
    <row r="75" spans="1:18" x14ac:dyDescent="0.25">
      <c r="A75" s="6"/>
      <c r="B75" s="7">
        <v>44291</v>
      </c>
      <c r="C75" s="8" t="s">
        <v>1081</v>
      </c>
      <c r="D75" s="8" t="s">
        <v>1355</v>
      </c>
      <c r="E75" s="9" t="s">
        <v>1048</v>
      </c>
      <c r="F75" s="9" t="s">
        <v>526</v>
      </c>
      <c r="G75" s="17">
        <v>0.49722222222222223</v>
      </c>
      <c r="H75" s="17">
        <v>0.50555555555555554</v>
      </c>
      <c r="I75" s="9">
        <v>39190</v>
      </c>
      <c r="J75" s="9">
        <v>17830</v>
      </c>
      <c r="K75" s="10">
        <f t="shared" si="5"/>
        <v>21360</v>
      </c>
      <c r="L75" s="10">
        <v>23689</v>
      </c>
      <c r="M75" s="11" t="s">
        <v>1041</v>
      </c>
      <c r="N75" s="12">
        <v>21.6</v>
      </c>
      <c r="O75" s="13" t="s">
        <v>855</v>
      </c>
      <c r="P75" s="14"/>
    </row>
    <row r="76" spans="1:18" x14ac:dyDescent="0.25">
      <c r="A76" s="6"/>
      <c r="B76" s="7">
        <v>44291</v>
      </c>
      <c r="C76" s="8" t="s">
        <v>1081</v>
      </c>
      <c r="D76" s="8" t="s">
        <v>465</v>
      </c>
      <c r="E76" s="9" t="s">
        <v>748</v>
      </c>
      <c r="F76" s="9" t="s">
        <v>749</v>
      </c>
      <c r="G76" s="17">
        <v>0.50763888888888886</v>
      </c>
      <c r="H76" s="17">
        <v>0.51666666666666672</v>
      </c>
      <c r="I76" s="9">
        <v>38250</v>
      </c>
      <c r="J76" s="9">
        <v>16760</v>
      </c>
      <c r="K76" s="10">
        <f t="shared" si="5"/>
        <v>21490</v>
      </c>
      <c r="L76" s="10">
        <v>23689</v>
      </c>
      <c r="M76" s="11" t="s">
        <v>1041</v>
      </c>
      <c r="N76" s="12">
        <v>21.6</v>
      </c>
      <c r="O76" s="13" t="s">
        <v>855</v>
      </c>
      <c r="P76" s="14"/>
    </row>
    <row r="77" spans="1:18" x14ac:dyDescent="0.25">
      <c r="A77" s="6"/>
      <c r="B77" s="7">
        <v>44291</v>
      </c>
      <c r="C77" s="8" t="s">
        <v>1081</v>
      </c>
      <c r="D77" s="8" t="s">
        <v>1850</v>
      </c>
      <c r="E77" s="9" t="s">
        <v>144</v>
      </c>
      <c r="F77" s="9" t="s">
        <v>626</v>
      </c>
      <c r="G77" s="17">
        <v>0.5180555555555556</v>
      </c>
      <c r="H77" s="17">
        <v>0.52916666666666667</v>
      </c>
      <c r="I77" s="9">
        <v>36910</v>
      </c>
      <c r="J77" s="9">
        <v>15640</v>
      </c>
      <c r="K77" s="10">
        <f t="shared" si="5"/>
        <v>21270</v>
      </c>
      <c r="L77" s="10">
        <v>23689</v>
      </c>
      <c r="M77" s="11" t="s">
        <v>1041</v>
      </c>
      <c r="N77" s="12">
        <v>21.6</v>
      </c>
      <c r="O77" s="13" t="s">
        <v>855</v>
      </c>
      <c r="P77" s="14"/>
    </row>
    <row r="78" spans="1:18" x14ac:dyDescent="0.25">
      <c r="A78" s="6"/>
      <c r="B78" s="7">
        <v>44291</v>
      </c>
      <c r="C78" s="8" t="s">
        <v>2405</v>
      </c>
      <c r="D78" s="8" t="s">
        <v>853</v>
      </c>
      <c r="E78" s="9" t="s">
        <v>51</v>
      </c>
      <c r="F78" s="9" t="s">
        <v>52</v>
      </c>
      <c r="G78" s="17">
        <v>0.53402777777777777</v>
      </c>
      <c r="H78" s="17">
        <v>0.5395833333333333</v>
      </c>
      <c r="I78" s="9">
        <v>30540</v>
      </c>
      <c r="J78" s="9">
        <v>16600</v>
      </c>
      <c r="K78" s="10">
        <f t="shared" si="5"/>
        <v>13940</v>
      </c>
      <c r="L78" s="10" t="s">
        <v>2406</v>
      </c>
      <c r="M78" s="11" t="s">
        <v>2407</v>
      </c>
      <c r="N78" s="12">
        <v>12.6</v>
      </c>
      <c r="O78" s="13" t="s">
        <v>855</v>
      </c>
      <c r="P78" s="14"/>
      <c r="R78" s="18"/>
    </row>
    <row r="79" spans="1:18" x14ac:dyDescent="0.25">
      <c r="A79" s="6"/>
      <c r="B79" s="7">
        <v>44291</v>
      </c>
      <c r="C79" s="8" t="s">
        <v>2403</v>
      </c>
      <c r="D79" s="8" t="s">
        <v>2408</v>
      </c>
      <c r="E79" s="9" t="s">
        <v>2409</v>
      </c>
      <c r="F79" s="9" t="s">
        <v>99</v>
      </c>
      <c r="G79" s="17">
        <v>0.5444444444444444</v>
      </c>
      <c r="H79" s="17">
        <v>0.57847222222222217</v>
      </c>
      <c r="I79" s="9">
        <v>6720</v>
      </c>
      <c r="J79" s="9">
        <v>17150</v>
      </c>
      <c r="K79" s="10">
        <f t="shared" si="5"/>
        <v>-10430</v>
      </c>
      <c r="L79" s="10">
        <v>17060</v>
      </c>
      <c r="M79" s="11" t="s">
        <v>166</v>
      </c>
      <c r="N79" s="12">
        <v>210</v>
      </c>
      <c r="O79" s="13" t="s">
        <v>54</v>
      </c>
      <c r="P79" s="14"/>
    </row>
    <row r="80" spans="1:18" x14ac:dyDescent="0.25">
      <c r="A80" s="6"/>
      <c r="B80" s="7">
        <v>44291</v>
      </c>
      <c r="C80" s="8" t="s">
        <v>2410</v>
      </c>
      <c r="D80" s="8" t="s">
        <v>899</v>
      </c>
      <c r="E80" s="9" t="s">
        <v>490</v>
      </c>
      <c r="F80" s="9" t="s">
        <v>491</v>
      </c>
      <c r="G80" s="17">
        <v>0.57291666666666663</v>
      </c>
      <c r="H80" s="17">
        <v>0.58124999999999993</v>
      </c>
      <c r="I80" s="9">
        <v>30680</v>
      </c>
      <c r="J80" s="9">
        <v>16060</v>
      </c>
      <c r="K80" s="10">
        <f t="shared" si="5"/>
        <v>14620</v>
      </c>
      <c r="L80" s="10" t="s">
        <v>2411</v>
      </c>
      <c r="M80" s="11" t="s">
        <v>2412</v>
      </c>
      <c r="N80" s="12">
        <v>15.65</v>
      </c>
      <c r="O80" s="13" t="s">
        <v>855</v>
      </c>
      <c r="P80" s="14"/>
    </row>
    <row r="81" spans="1:17" x14ac:dyDescent="0.25">
      <c r="A81" s="6"/>
      <c r="B81" s="7">
        <v>44291</v>
      </c>
      <c r="C81" s="8" t="s">
        <v>1062</v>
      </c>
      <c r="D81" s="8" t="s">
        <v>928</v>
      </c>
      <c r="E81" s="9" t="s">
        <v>947</v>
      </c>
      <c r="F81" s="9" t="s">
        <v>948</v>
      </c>
      <c r="G81" s="17">
        <v>0.57708333333333328</v>
      </c>
      <c r="H81" s="17">
        <v>0.58750000000000002</v>
      </c>
      <c r="I81" s="9">
        <v>16610</v>
      </c>
      <c r="J81" s="9">
        <v>7460</v>
      </c>
      <c r="K81" s="10">
        <f t="shared" si="5"/>
        <v>9150</v>
      </c>
      <c r="L81" s="10">
        <v>23692</v>
      </c>
      <c r="M81" s="11" t="s">
        <v>1041</v>
      </c>
      <c r="N81" s="12">
        <v>9.6</v>
      </c>
      <c r="O81" s="13" t="s">
        <v>855</v>
      </c>
      <c r="P81" s="14"/>
    </row>
    <row r="82" spans="1:17" x14ac:dyDescent="0.25">
      <c r="A82" s="6"/>
      <c r="B82" s="7">
        <v>44291</v>
      </c>
      <c r="C82" s="8" t="s">
        <v>1062</v>
      </c>
      <c r="D82" s="8" t="s">
        <v>299</v>
      </c>
      <c r="E82" s="9" t="s">
        <v>813</v>
      </c>
      <c r="F82" s="9" t="s">
        <v>814</v>
      </c>
      <c r="G82" s="17">
        <v>0.59444444444444444</v>
      </c>
      <c r="H82" s="17">
        <v>0.59861111111111109</v>
      </c>
      <c r="I82" s="9">
        <v>40280</v>
      </c>
      <c r="J82" s="9">
        <v>17360</v>
      </c>
      <c r="K82" s="10">
        <f t="shared" si="5"/>
        <v>22920</v>
      </c>
      <c r="L82" s="10">
        <v>23692</v>
      </c>
      <c r="M82" s="11" t="s">
        <v>1041</v>
      </c>
      <c r="N82" s="12">
        <v>24</v>
      </c>
      <c r="O82" s="13" t="s">
        <v>855</v>
      </c>
      <c r="P82" s="14"/>
    </row>
    <row r="83" spans="1:17" x14ac:dyDescent="0.25">
      <c r="A83" s="6"/>
      <c r="B83" s="7">
        <v>44291</v>
      </c>
      <c r="C83" s="8" t="s">
        <v>1062</v>
      </c>
      <c r="D83" s="8" t="s">
        <v>1355</v>
      </c>
      <c r="E83" s="9" t="s">
        <v>1048</v>
      </c>
      <c r="F83" s="9" t="s">
        <v>526</v>
      </c>
      <c r="G83" s="17">
        <v>0.59791666666666665</v>
      </c>
      <c r="H83" s="17">
        <v>0.60277777777777775</v>
      </c>
      <c r="I83" s="9">
        <v>38540</v>
      </c>
      <c r="J83" s="9">
        <v>17780</v>
      </c>
      <c r="K83" s="10">
        <f t="shared" si="5"/>
        <v>20760</v>
      </c>
      <c r="L83" s="10">
        <v>23692</v>
      </c>
      <c r="M83" s="11" t="s">
        <v>1041</v>
      </c>
      <c r="N83" s="12">
        <v>21.6</v>
      </c>
      <c r="O83" s="13" t="s">
        <v>855</v>
      </c>
      <c r="P83" s="14"/>
    </row>
    <row r="84" spans="1:17" x14ac:dyDescent="0.25">
      <c r="A84" s="6"/>
      <c r="B84" s="7">
        <v>44291</v>
      </c>
      <c r="C84" s="8" t="s">
        <v>1062</v>
      </c>
      <c r="D84" s="8" t="s">
        <v>1794</v>
      </c>
      <c r="E84" s="9" t="s">
        <v>628</v>
      </c>
      <c r="F84" s="9" t="s">
        <v>629</v>
      </c>
      <c r="G84" s="17">
        <v>0.60486111111111118</v>
      </c>
      <c r="H84" s="17">
        <v>0.60763888888888895</v>
      </c>
      <c r="I84" s="9">
        <v>21150</v>
      </c>
      <c r="J84" s="9">
        <v>9580</v>
      </c>
      <c r="K84" s="10">
        <f t="shared" si="5"/>
        <v>11570</v>
      </c>
      <c r="L84" s="10">
        <v>23692</v>
      </c>
      <c r="M84" s="11" t="s">
        <v>1041</v>
      </c>
      <c r="N84" s="12">
        <v>12</v>
      </c>
      <c r="O84" s="13" t="s">
        <v>855</v>
      </c>
      <c r="P84" s="14"/>
    </row>
    <row r="85" spans="1:17" x14ac:dyDescent="0.25">
      <c r="A85" s="6"/>
      <c r="B85" s="7">
        <v>44291</v>
      </c>
      <c r="C85" s="8" t="s">
        <v>1062</v>
      </c>
      <c r="D85" s="8" t="s">
        <v>2249</v>
      </c>
      <c r="E85" s="9" t="s">
        <v>2250</v>
      </c>
      <c r="F85" s="9" t="s">
        <v>2251</v>
      </c>
      <c r="G85" s="17">
        <v>0.60625000000000007</v>
      </c>
      <c r="H85" s="17">
        <v>0.60972222222222217</v>
      </c>
      <c r="I85" s="9">
        <v>27460</v>
      </c>
      <c r="J85" s="9">
        <v>13470</v>
      </c>
      <c r="K85" s="10">
        <f t="shared" si="5"/>
        <v>13990</v>
      </c>
      <c r="L85" s="10">
        <v>23692</v>
      </c>
      <c r="M85" s="11" t="s">
        <v>1041</v>
      </c>
      <c r="N85" s="12">
        <v>14.4</v>
      </c>
      <c r="O85" s="13" t="s">
        <v>855</v>
      </c>
      <c r="P85" s="14"/>
    </row>
    <row r="86" spans="1:17" x14ac:dyDescent="0.25">
      <c r="A86" s="6"/>
      <c r="B86" s="7">
        <v>44291</v>
      </c>
      <c r="C86" s="8" t="s">
        <v>320</v>
      </c>
      <c r="D86" s="8" t="s">
        <v>1084</v>
      </c>
      <c r="E86" s="9" t="s">
        <v>1745</v>
      </c>
      <c r="F86" s="9" t="s">
        <v>1992</v>
      </c>
      <c r="G86" s="17">
        <v>0.62083333333333335</v>
      </c>
      <c r="H86" s="17">
        <v>0.64652777777777781</v>
      </c>
      <c r="I86" s="9">
        <v>10480</v>
      </c>
      <c r="J86" s="9">
        <v>6390</v>
      </c>
      <c r="K86" s="10">
        <f t="shared" si="5"/>
        <v>4090</v>
      </c>
      <c r="L86" s="10">
        <v>20197</v>
      </c>
      <c r="M86" s="11" t="s">
        <v>1087</v>
      </c>
      <c r="N86" s="12">
        <v>4090</v>
      </c>
      <c r="O86" s="13" t="s">
        <v>32</v>
      </c>
      <c r="P86" s="14" t="s">
        <v>1088</v>
      </c>
    </row>
    <row r="87" spans="1:17" x14ac:dyDescent="0.25">
      <c r="A87" s="6"/>
      <c r="B87" s="7">
        <v>44291</v>
      </c>
      <c r="C87" s="8" t="s">
        <v>2403</v>
      </c>
      <c r="D87" s="8" t="s">
        <v>1355</v>
      </c>
      <c r="E87" s="9" t="s">
        <v>1048</v>
      </c>
      <c r="F87" s="9" t="s">
        <v>526</v>
      </c>
      <c r="G87" s="17">
        <v>0.63263888888888886</v>
      </c>
      <c r="H87" s="17">
        <v>0.66249999999999998</v>
      </c>
      <c r="I87" s="9">
        <v>18780</v>
      </c>
      <c r="J87" s="9">
        <v>43950</v>
      </c>
      <c r="K87" s="10">
        <f t="shared" si="5"/>
        <v>-25170</v>
      </c>
      <c r="L87" s="10">
        <v>17061</v>
      </c>
      <c r="M87" s="11" t="s">
        <v>166</v>
      </c>
      <c r="N87" s="12">
        <v>504</v>
      </c>
      <c r="O87" s="13" t="s">
        <v>54</v>
      </c>
      <c r="P87" s="14"/>
    </row>
    <row r="88" spans="1:17" x14ac:dyDescent="0.25">
      <c r="A88" s="6"/>
      <c r="B88" s="7">
        <v>44291</v>
      </c>
      <c r="C88" s="8" t="s">
        <v>1096</v>
      </c>
      <c r="D88" s="8" t="s">
        <v>928</v>
      </c>
      <c r="E88" s="9" t="s">
        <v>947</v>
      </c>
      <c r="F88" s="9" t="s">
        <v>948</v>
      </c>
      <c r="G88" s="17">
        <v>0.64097222222222217</v>
      </c>
      <c r="H88" s="17">
        <v>0.65347222222222223</v>
      </c>
      <c r="I88" s="9">
        <v>8400</v>
      </c>
      <c r="J88" s="9">
        <v>7460</v>
      </c>
      <c r="K88" s="10">
        <f t="shared" si="5"/>
        <v>940</v>
      </c>
      <c r="L88" s="10">
        <v>23694</v>
      </c>
      <c r="M88" s="11" t="s">
        <v>1041</v>
      </c>
      <c r="N88" s="12">
        <v>940</v>
      </c>
      <c r="O88" s="13" t="s">
        <v>32</v>
      </c>
      <c r="P88" s="14" t="s">
        <v>883</v>
      </c>
    </row>
    <row r="89" spans="1:17" x14ac:dyDescent="0.25">
      <c r="A89" s="6"/>
      <c r="B89" s="7">
        <v>44291</v>
      </c>
      <c r="C89" s="8" t="s">
        <v>1053</v>
      </c>
      <c r="D89" s="8" t="s">
        <v>1850</v>
      </c>
      <c r="E89" s="9" t="s">
        <v>144</v>
      </c>
      <c r="F89" s="9" t="s">
        <v>626</v>
      </c>
      <c r="G89" s="17">
        <v>0.64513888888888882</v>
      </c>
      <c r="H89" s="17">
        <v>0.65208333333333335</v>
      </c>
      <c r="I89" s="9">
        <v>24660</v>
      </c>
      <c r="J89" s="9">
        <v>15630</v>
      </c>
      <c r="K89" s="10">
        <f t="shared" si="5"/>
        <v>9030</v>
      </c>
      <c r="L89" s="10">
        <v>23693</v>
      </c>
      <c r="M89" s="11" t="s">
        <v>1784</v>
      </c>
      <c r="N89" s="12">
        <v>8.9499999999999993</v>
      </c>
      <c r="O89" s="13" t="s">
        <v>855</v>
      </c>
      <c r="P89" s="14"/>
      <c r="Q89" s="2"/>
    </row>
    <row r="90" spans="1:17" x14ac:dyDescent="0.25">
      <c r="A90" s="6"/>
      <c r="B90" s="7">
        <v>44291</v>
      </c>
      <c r="C90" s="8" t="s">
        <v>2403</v>
      </c>
      <c r="D90" s="8" t="s">
        <v>174</v>
      </c>
      <c r="E90" s="9" t="s">
        <v>2404</v>
      </c>
      <c r="F90" s="9" t="s">
        <v>503</v>
      </c>
      <c r="G90" s="17">
        <v>0.65138888888888891</v>
      </c>
      <c r="H90" s="17">
        <v>0.66805555555555562</v>
      </c>
      <c r="I90" s="9">
        <v>12690</v>
      </c>
      <c r="J90" s="9">
        <v>8560</v>
      </c>
      <c r="K90" s="10">
        <f t="shared" si="5"/>
        <v>4130</v>
      </c>
      <c r="L90" s="10">
        <v>16013</v>
      </c>
      <c r="M90" s="11" t="s">
        <v>398</v>
      </c>
      <c r="N90" s="12">
        <v>82</v>
      </c>
      <c r="O90" s="13" t="s">
        <v>54</v>
      </c>
      <c r="P90" s="14"/>
    </row>
    <row r="91" spans="1:17" x14ac:dyDescent="0.25">
      <c r="A91" s="6"/>
      <c r="B91" s="7">
        <v>44291</v>
      </c>
      <c r="C91" s="8" t="s">
        <v>2403</v>
      </c>
      <c r="D91" s="8" t="s">
        <v>174</v>
      </c>
      <c r="E91" s="9" t="s">
        <v>2404</v>
      </c>
      <c r="F91" s="9" t="s">
        <v>503</v>
      </c>
      <c r="G91" s="17">
        <v>0.67499999999999993</v>
      </c>
      <c r="H91" s="17">
        <v>0.69305555555555554</v>
      </c>
      <c r="I91" s="9">
        <v>8470</v>
      </c>
      <c r="J91" s="9">
        <v>20200</v>
      </c>
      <c r="K91" s="10">
        <f t="shared" si="5"/>
        <v>-11730</v>
      </c>
      <c r="L91" s="10">
        <v>17062</v>
      </c>
      <c r="M91" s="11" t="s">
        <v>166</v>
      </c>
      <c r="N91" s="12">
        <v>234</v>
      </c>
      <c r="O91" s="13" t="s">
        <v>54</v>
      </c>
      <c r="P91" s="14"/>
    </row>
    <row r="92" spans="1:17" x14ac:dyDescent="0.25">
      <c r="A92" s="6"/>
      <c r="B92" s="7">
        <v>44291</v>
      </c>
      <c r="C92" s="8" t="s">
        <v>1083</v>
      </c>
      <c r="D92" s="8" t="s">
        <v>1084</v>
      </c>
      <c r="E92" s="9" t="s">
        <v>502</v>
      </c>
      <c r="F92" s="9" t="s">
        <v>503</v>
      </c>
      <c r="G92" s="17">
        <v>0.69166666666666676</v>
      </c>
      <c r="H92" s="17">
        <v>0.70763888888888893</v>
      </c>
      <c r="I92" s="9">
        <v>6020</v>
      </c>
      <c r="J92" s="9">
        <v>5360</v>
      </c>
      <c r="K92" s="10">
        <f t="shared" si="5"/>
        <v>660</v>
      </c>
      <c r="L92" s="10">
        <v>20198</v>
      </c>
      <c r="M92" s="11" t="s">
        <v>1873</v>
      </c>
      <c r="N92" s="12">
        <v>660</v>
      </c>
      <c r="O92" s="13" t="s">
        <v>32</v>
      </c>
      <c r="P92" s="14" t="s">
        <v>883</v>
      </c>
    </row>
    <row r="93" spans="1:17" x14ac:dyDescent="0.25">
      <c r="A93" s="6"/>
      <c r="B93" s="7">
        <v>44291</v>
      </c>
      <c r="C93" s="8" t="s">
        <v>469</v>
      </c>
      <c r="D93" s="8" t="s">
        <v>1355</v>
      </c>
      <c r="E93" s="9" t="s">
        <v>1048</v>
      </c>
      <c r="F93" s="9" t="s">
        <v>526</v>
      </c>
      <c r="G93" s="17">
        <v>0.71111111111111114</v>
      </c>
      <c r="H93" s="17">
        <v>0.74097222222222225</v>
      </c>
      <c r="I93" s="9">
        <v>17530</v>
      </c>
      <c r="J93" s="9">
        <v>40810</v>
      </c>
      <c r="K93" s="10">
        <f t="shared" si="5"/>
        <v>-23280</v>
      </c>
      <c r="L93" s="10">
        <v>5937</v>
      </c>
      <c r="M93" s="11" t="s">
        <v>2413</v>
      </c>
      <c r="N93" s="12">
        <v>22120</v>
      </c>
      <c r="O93" s="13" t="s">
        <v>32</v>
      </c>
      <c r="P93" s="14" t="s">
        <v>468</v>
      </c>
    </row>
    <row r="94" spans="1:17" x14ac:dyDescent="0.25">
      <c r="A94" s="6"/>
      <c r="B94" s="7">
        <v>44291</v>
      </c>
      <c r="C94" s="8" t="s">
        <v>2019</v>
      </c>
      <c r="D94" s="8" t="s">
        <v>928</v>
      </c>
      <c r="E94" s="9" t="s">
        <v>947</v>
      </c>
      <c r="F94" s="9" t="s">
        <v>948</v>
      </c>
      <c r="G94" s="17">
        <v>0.75486111111111109</v>
      </c>
      <c r="H94" s="17">
        <v>0.76250000000000007</v>
      </c>
      <c r="I94" s="9">
        <v>9550</v>
      </c>
      <c r="J94" s="9">
        <v>7440</v>
      </c>
      <c r="K94" s="10">
        <f t="shared" si="5"/>
        <v>2110</v>
      </c>
      <c r="L94" s="10">
        <v>23695</v>
      </c>
      <c r="M94" s="11" t="s">
        <v>2414</v>
      </c>
      <c r="N94" s="12">
        <v>2110</v>
      </c>
      <c r="O94" s="13" t="s">
        <v>32</v>
      </c>
      <c r="P94" s="14" t="s">
        <v>1250</v>
      </c>
    </row>
    <row r="95" spans="1:17" x14ac:dyDescent="0.25">
      <c r="A95" s="6"/>
      <c r="B95" s="7">
        <v>44291</v>
      </c>
      <c r="C95" s="8" t="s">
        <v>2123</v>
      </c>
      <c r="D95" s="8" t="s">
        <v>183</v>
      </c>
      <c r="E95" s="9" t="s">
        <v>1678</v>
      </c>
      <c r="F95" s="9" t="s">
        <v>36</v>
      </c>
      <c r="G95" s="17">
        <v>0.76111111111111107</v>
      </c>
      <c r="H95" s="17">
        <v>0.78472222222222221</v>
      </c>
      <c r="I95" s="9">
        <v>4820</v>
      </c>
      <c r="J95" s="9">
        <v>2160</v>
      </c>
      <c r="K95" s="10">
        <f t="shared" si="5"/>
        <v>2660</v>
      </c>
      <c r="L95" s="10">
        <v>26768</v>
      </c>
      <c r="M95" s="11" t="s">
        <v>965</v>
      </c>
      <c r="N95" s="12">
        <v>2660</v>
      </c>
      <c r="O95" s="13" t="s">
        <v>32</v>
      </c>
      <c r="P95" s="14"/>
    </row>
    <row r="96" spans="1:17" x14ac:dyDescent="0.25">
      <c r="A96" s="6"/>
      <c r="B96" s="7">
        <v>44291</v>
      </c>
      <c r="C96" s="8" t="s">
        <v>2123</v>
      </c>
      <c r="D96" s="8" t="s">
        <v>2025</v>
      </c>
      <c r="E96" s="9" t="s">
        <v>1675</v>
      </c>
      <c r="F96" s="9" t="s">
        <v>36</v>
      </c>
      <c r="G96" s="17">
        <v>0.77777777777777779</v>
      </c>
      <c r="H96" s="17">
        <v>0.7944444444444444</v>
      </c>
      <c r="I96" s="9">
        <v>7780</v>
      </c>
      <c r="J96" s="9">
        <v>2780</v>
      </c>
      <c r="K96" s="10">
        <f t="shared" si="5"/>
        <v>5000</v>
      </c>
      <c r="L96" s="10">
        <v>26769</v>
      </c>
      <c r="M96" s="11" t="s">
        <v>965</v>
      </c>
      <c r="N96" s="12">
        <v>5000</v>
      </c>
      <c r="O96" s="13" t="s">
        <v>32</v>
      </c>
      <c r="P96" s="14"/>
    </row>
    <row r="97" spans="1:21" x14ac:dyDescent="0.25">
      <c r="A97" s="6"/>
      <c r="B97" s="7">
        <v>44291</v>
      </c>
      <c r="C97" s="8" t="s">
        <v>208</v>
      </c>
      <c r="D97" s="8" t="s">
        <v>2249</v>
      </c>
      <c r="E97" s="9" t="s">
        <v>2250</v>
      </c>
      <c r="F97" s="9" t="s">
        <v>2251</v>
      </c>
      <c r="G97" s="17">
        <v>0.77916666666666667</v>
      </c>
      <c r="H97" s="17">
        <v>0.81180555555555556</v>
      </c>
      <c r="I97" s="9">
        <v>33220</v>
      </c>
      <c r="J97" s="9">
        <v>15680</v>
      </c>
      <c r="K97" s="10">
        <f t="shared" si="5"/>
        <v>17540</v>
      </c>
      <c r="L97" s="10">
        <v>41539</v>
      </c>
      <c r="M97" s="11" t="s">
        <v>1626</v>
      </c>
      <c r="N97" s="12">
        <v>17550</v>
      </c>
      <c r="O97" s="13" t="s">
        <v>32</v>
      </c>
      <c r="P97" s="14"/>
    </row>
    <row r="98" spans="1:21" x14ac:dyDescent="0.25">
      <c r="A98" s="6"/>
      <c r="B98" s="7">
        <v>44291</v>
      </c>
      <c r="C98" s="8" t="s">
        <v>2415</v>
      </c>
      <c r="D98" s="8" t="s">
        <v>928</v>
      </c>
      <c r="E98" s="9" t="s">
        <v>947</v>
      </c>
      <c r="F98" s="9" t="s">
        <v>948</v>
      </c>
      <c r="G98" s="17">
        <v>0.80972222222222223</v>
      </c>
      <c r="H98" s="17">
        <v>0.81527777777777777</v>
      </c>
      <c r="I98" s="9">
        <v>7980</v>
      </c>
      <c r="J98" s="9">
        <v>7430</v>
      </c>
      <c r="K98" s="10">
        <f t="shared" si="5"/>
        <v>550</v>
      </c>
      <c r="L98" s="10">
        <v>23696</v>
      </c>
      <c r="M98" s="11" t="s">
        <v>2416</v>
      </c>
      <c r="N98" s="12">
        <v>550</v>
      </c>
      <c r="O98" s="13" t="s">
        <v>32</v>
      </c>
      <c r="P98" s="14" t="s">
        <v>883</v>
      </c>
      <c r="Q98" s="20"/>
    </row>
    <row r="99" spans="1:21" x14ac:dyDescent="0.25">
      <c r="A99" s="6"/>
      <c r="B99" s="7">
        <v>44291</v>
      </c>
      <c r="C99" s="8" t="s">
        <v>2123</v>
      </c>
      <c r="D99" s="8" t="s">
        <v>994</v>
      </c>
      <c r="E99" s="9" t="s">
        <v>995</v>
      </c>
      <c r="F99" s="9" t="s">
        <v>36</v>
      </c>
      <c r="G99" s="17">
        <v>0.81111111111111101</v>
      </c>
      <c r="H99" s="17">
        <v>0.83611111111111114</v>
      </c>
      <c r="I99" s="9">
        <v>5220</v>
      </c>
      <c r="J99" s="9">
        <v>3060</v>
      </c>
      <c r="K99" s="10">
        <f t="shared" si="5"/>
        <v>2160</v>
      </c>
      <c r="L99" s="10">
        <v>26770</v>
      </c>
      <c r="M99" s="11" t="s">
        <v>965</v>
      </c>
      <c r="N99" s="12">
        <v>2160</v>
      </c>
      <c r="O99" s="13" t="s">
        <v>32</v>
      </c>
      <c r="P99" s="14">
        <f>+N99*2.2/90</f>
        <v>52.8</v>
      </c>
      <c r="U99" s="1" t="e">
        <v>#VALUE!</v>
      </c>
    </row>
    <row r="100" spans="1:21" x14ac:dyDescent="0.25">
      <c r="A100" s="6"/>
      <c r="B100" s="7">
        <v>44291</v>
      </c>
      <c r="C100" s="8" t="s">
        <v>1053</v>
      </c>
      <c r="D100" s="8" t="s">
        <v>928</v>
      </c>
      <c r="E100" s="9" t="s">
        <v>947</v>
      </c>
      <c r="F100" s="9" t="s">
        <v>948</v>
      </c>
      <c r="G100" s="17">
        <v>0.85</v>
      </c>
      <c r="H100" s="17">
        <v>0.85486111111111107</v>
      </c>
      <c r="I100" s="9">
        <v>8330</v>
      </c>
      <c r="J100" s="9">
        <v>7430</v>
      </c>
      <c r="K100" s="10">
        <f t="shared" si="5"/>
        <v>900</v>
      </c>
      <c r="L100" s="10">
        <v>23698</v>
      </c>
      <c r="M100" s="11" t="s">
        <v>2416</v>
      </c>
      <c r="N100" s="12">
        <v>900</v>
      </c>
      <c r="O100" s="13" t="s">
        <v>32</v>
      </c>
      <c r="P100" s="14" t="s">
        <v>883</v>
      </c>
    </row>
    <row r="101" spans="1:21" x14ac:dyDescent="0.25">
      <c r="A101" s="6"/>
      <c r="B101" s="7">
        <v>44291</v>
      </c>
      <c r="C101" s="8" t="s">
        <v>2123</v>
      </c>
      <c r="D101" s="8" t="s">
        <v>1853</v>
      </c>
      <c r="E101" s="9" t="s">
        <v>1206</v>
      </c>
      <c r="F101" s="9" t="s">
        <v>36</v>
      </c>
      <c r="G101" s="17">
        <v>0.8881944444444444</v>
      </c>
      <c r="H101" s="17">
        <v>0.90972222222222221</v>
      </c>
      <c r="I101" s="9">
        <v>11100</v>
      </c>
      <c r="J101" s="9">
        <v>6680</v>
      </c>
      <c r="K101" s="10">
        <f t="shared" si="5"/>
        <v>4420</v>
      </c>
      <c r="L101" s="10">
        <v>26771</v>
      </c>
      <c r="M101" s="11" t="s">
        <v>1208</v>
      </c>
      <c r="N101" s="12">
        <v>4420</v>
      </c>
      <c r="O101" s="13" t="s">
        <v>32</v>
      </c>
      <c r="P101" s="14"/>
    </row>
    <row r="102" spans="1:21" x14ac:dyDescent="0.25">
      <c r="A102" s="6"/>
      <c r="B102" s="7">
        <v>44291</v>
      </c>
      <c r="C102" s="8" t="s">
        <v>37</v>
      </c>
      <c r="D102" s="8" t="s">
        <v>2418</v>
      </c>
      <c r="E102" s="9" t="s">
        <v>39</v>
      </c>
      <c r="F102" s="9" t="s">
        <v>36</v>
      </c>
      <c r="G102" s="17">
        <v>0.93194444444444446</v>
      </c>
      <c r="H102" s="17">
        <v>0.97361111111111109</v>
      </c>
      <c r="I102" s="9">
        <v>17090</v>
      </c>
      <c r="J102" s="9">
        <v>6250</v>
      </c>
      <c r="K102" s="10">
        <f t="shared" si="5"/>
        <v>10840</v>
      </c>
      <c r="L102" s="10">
        <v>26772</v>
      </c>
      <c r="M102" s="11" t="s">
        <v>2417</v>
      </c>
      <c r="N102" s="12">
        <v>10840</v>
      </c>
      <c r="O102" s="13" t="s">
        <v>32</v>
      </c>
      <c r="P102" s="14"/>
    </row>
    <row r="103" spans="1:21" x14ac:dyDescent="0.25">
      <c r="A103" s="6"/>
      <c r="B103" s="7">
        <v>44292</v>
      </c>
      <c r="C103" s="8" t="s">
        <v>133</v>
      </c>
      <c r="D103" s="8" t="s">
        <v>2419</v>
      </c>
      <c r="E103" s="95" t="s">
        <v>220</v>
      </c>
      <c r="F103" s="9" t="s">
        <v>924</v>
      </c>
      <c r="G103" s="17">
        <v>5.6250000000000001E-2</v>
      </c>
      <c r="H103" s="17">
        <v>0.16597222222222222</v>
      </c>
      <c r="I103" s="9">
        <v>21280</v>
      </c>
      <c r="J103" s="9">
        <v>9350</v>
      </c>
      <c r="K103" s="10">
        <f t="shared" si="5"/>
        <v>11930</v>
      </c>
      <c r="L103" s="10" t="s">
        <v>2420</v>
      </c>
      <c r="M103" s="11" t="s">
        <v>2421</v>
      </c>
      <c r="N103" s="12">
        <f>9470+2517</f>
        <v>11987</v>
      </c>
      <c r="O103" s="13" t="s">
        <v>32</v>
      </c>
      <c r="P103" s="14"/>
    </row>
    <row r="104" spans="1:21" x14ac:dyDescent="0.25">
      <c r="A104" s="6"/>
      <c r="B104" s="7">
        <v>44292</v>
      </c>
      <c r="C104" s="8" t="s">
        <v>871</v>
      </c>
      <c r="D104" s="8" t="s">
        <v>86</v>
      </c>
      <c r="E104" s="9" t="s">
        <v>87</v>
      </c>
      <c r="F104" s="9" t="s">
        <v>88</v>
      </c>
      <c r="G104" s="17">
        <v>0.1763888888888889</v>
      </c>
      <c r="H104" s="17">
        <v>0.18541666666666667</v>
      </c>
      <c r="I104" s="9">
        <v>40560</v>
      </c>
      <c r="J104" s="9">
        <v>17210</v>
      </c>
      <c r="K104" s="10">
        <f t="shared" si="5"/>
        <v>23350</v>
      </c>
      <c r="L104" s="10">
        <v>803</v>
      </c>
      <c r="M104" s="11" t="s">
        <v>2422</v>
      </c>
      <c r="N104" s="12">
        <v>22999</v>
      </c>
      <c r="O104" s="13" t="s">
        <v>32</v>
      </c>
      <c r="P104" s="14"/>
    </row>
    <row r="105" spans="1:21" x14ac:dyDescent="0.25">
      <c r="A105" s="6"/>
      <c r="B105" s="15">
        <v>44292</v>
      </c>
      <c r="C105" s="16" t="s">
        <v>2123</v>
      </c>
      <c r="D105" s="8" t="s">
        <v>2025</v>
      </c>
      <c r="E105" s="9" t="s">
        <v>1675</v>
      </c>
      <c r="F105" s="9" t="s">
        <v>36</v>
      </c>
      <c r="G105" s="17">
        <v>0.32430555555555557</v>
      </c>
      <c r="H105" s="17">
        <v>0.36041666666666666</v>
      </c>
      <c r="I105" s="9">
        <v>7920</v>
      </c>
      <c r="J105" s="9">
        <v>2760</v>
      </c>
      <c r="K105" s="10">
        <f t="shared" si="5"/>
        <v>5160</v>
      </c>
      <c r="L105" s="10">
        <v>26773</v>
      </c>
      <c r="M105" s="11" t="s">
        <v>965</v>
      </c>
      <c r="N105" s="12">
        <v>5160</v>
      </c>
      <c r="O105" s="13" t="s">
        <v>32</v>
      </c>
      <c r="P105" s="14"/>
    </row>
    <row r="106" spans="1:21" x14ac:dyDescent="0.25">
      <c r="A106" s="6"/>
      <c r="B106" s="7">
        <v>44292</v>
      </c>
      <c r="C106" s="8" t="s">
        <v>2123</v>
      </c>
      <c r="D106" s="8" t="s">
        <v>2025</v>
      </c>
      <c r="E106" s="9" t="s">
        <v>2128</v>
      </c>
      <c r="F106" s="9" t="s">
        <v>36</v>
      </c>
      <c r="G106" s="17">
        <v>0.32569444444444445</v>
      </c>
      <c r="H106" s="17">
        <v>0.3659722222222222</v>
      </c>
      <c r="I106" s="9">
        <v>7710</v>
      </c>
      <c r="J106" s="9">
        <v>5480</v>
      </c>
      <c r="K106" s="10">
        <f t="shared" si="5"/>
        <v>2230</v>
      </c>
      <c r="L106" s="10">
        <v>26774</v>
      </c>
      <c r="M106" s="11" t="s">
        <v>965</v>
      </c>
      <c r="N106" s="12">
        <v>2230</v>
      </c>
      <c r="O106" s="13" t="s">
        <v>32</v>
      </c>
      <c r="P106" s="14"/>
    </row>
    <row r="107" spans="1:21" x14ac:dyDescent="0.25">
      <c r="A107" s="6"/>
      <c r="B107" s="7">
        <v>44292</v>
      </c>
      <c r="C107" s="8" t="s">
        <v>2403</v>
      </c>
      <c r="D107" s="8" t="s">
        <v>465</v>
      </c>
      <c r="E107" s="9" t="s">
        <v>748</v>
      </c>
      <c r="F107" s="9" t="s">
        <v>749</v>
      </c>
      <c r="G107" s="17">
        <v>0.35625000000000001</v>
      </c>
      <c r="H107" s="17">
        <v>0.3979166666666667</v>
      </c>
      <c r="I107" s="9">
        <v>16710</v>
      </c>
      <c r="J107" s="9">
        <v>41930</v>
      </c>
      <c r="K107" s="10">
        <f t="shared" si="5"/>
        <v>-25220</v>
      </c>
      <c r="L107" s="10">
        <v>17064</v>
      </c>
      <c r="M107" s="11" t="s">
        <v>166</v>
      </c>
      <c r="N107" s="12">
        <v>504</v>
      </c>
      <c r="O107" s="13" t="s">
        <v>54</v>
      </c>
      <c r="P107" s="14"/>
    </row>
    <row r="108" spans="1:21" x14ac:dyDescent="0.25">
      <c r="A108" s="6"/>
      <c r="B108" s="7">
        <v>44292</v>
      </c>
      <c r="C108" s="8" t="s">
        <v>2403</v>
      </c>
      <c r="D108" s="8" t="s">
        <v>899</v>
      </c>
      <c r="E108" s="9" t="s">
        <v>490</v>
      </c>
      <c r="F108" s="9" t="s">
        <v>491</v>
      </c>
      <c r="G108" s="17">
        <v>0.37222222222222223</v>
      </c>
      <c r="H108" s="17">
        <v>0.41250000000000003</v>
      </c>
      <c r="I108" s="9">
        <v>17240</v>
      </c>
      <c r="J108" s="9">
        <v>42510</v>
      </c>
      <c r="K108" s="10">
        <f t="shared" si="5"/>
        <v>-25270</v>
      </c>
      <c r="L108" s="10">
        <v>17065</v>
      </c>
      <c r="M108" s="11" t="s">
        <v>166</v>
      </c>
      <c r="N108" s="12">
        <v>504</v>
      </c>
      <c r="O108" s="13" t="s">
        <v>54</v>
      </c>
      <c r="P108" s="14"/>
    </row>
    <row r="109" spans="1:21" x14ac:dyDescent="0.25">
      <c r="A109" s="6"/>
      <c r="B109" s="7">
        <v>44292</v>
      </c>
      <c r="C109" s="8" t="s">
        <v>2423</v>
      </c>
      <c r="D109" s="8" t="s">
        <v>2424</v>
      </c>
      <c r="E109" s="9" t="s">
        <v>2425</v>
      </c>
      <c r="F109" s="9" t="s">
        <v>36</v>
      </c>
      <c r="G109" s="17">
        <v>0.38750000000000001</v>
      </c>
      <c r="H109" s="17">
        <v>0.54305555555555551</v>
      </c>
      <c r="I109" s="9">
        <v>8470</v>
      </c>
      <c r="J109" s="9">
        <v>15070</v>
      </c>
      <c r="K109" s="10">
        <f t="shared" si="5"/>
        <v>-6600</v>
      </c>
      <c r="L109" s="10">
        <v>15793</v>
      </c>
      <c r="M109" s="11" t="s">
        <v>2426</v>
      </c>
      <c r="N109" s="12">
        <v>6600</v>
      </c>
      <c r="O109" s="13" t="s">
        <v>32</v>
      </c>
      <c r="P109" s="14"/>
    </row>
    <row r="110" spans="1:21" x14ac:dyDescent="0.25">
      <c r="A110" s="6"/>
      <c r="B110" s="7">
        <v>44292</v>
      </c>
      <c r="C110" s="8" t="s">
        <v>2427</v>
      </c>
      <c r="D110" s="8" t="s">
        <v>2428</v>
      </c>
      <c r="E110" s="9" t="s">
        <v>2047</v>
      </c>
      <c r="F110" s="9" t="s">
        <v>36</v>
      </c>
      <c r="G110" s="17">
        <v>0.4069444444444445</v>
      </c>
      <c r="H110" s="17">
        <v>0.44027777777777777</v>
      </c>
      <c r="I110" s="9">
        <v>5480</v>
      </c>
      <c r="J110" s="9">
        <v>2580</v>
      </c>
      <c r="K110" s="10">
        <f t="shared" si="5"/>
        <v>2900</v>
      </c>
      <c r="L110" s="10">
        <v>26775</v>
      </c>
      <c r="M110" s="11" t="s">
        <v>965</v>
      </c>
      <c r="N110" s="12">
        <v>2900</v>
      </c>
      <c r="O110" s="13" t="s">
        <v>32</v>
      </c>
      <c r="P110" s="14"/>
    </row>
    <row r="111" spans="1:21" x14ac:dyDescent="0.25">
      <c r="A111" s="6"/>
      <c r="B111" s="7">
        <v>44292</v>
      </c>
      <c r="C111" s="8" t="s">
        <v>985</v>
      </c>
      <c r="D111" s="8" t="s">
        <v>928</v>
      </c>
      <c r="E111" s="9" t="s">
        <v>947</v>
      </c>
      <c r="F111" s="9" t="s">
        <v>948</v>
      </c>
      <c r="G111" s="17">
        <v>0.44375000000000003</v>
      </c>
      <c r="H111" s="17">
        <v>0.45833333333333331</v>
      </c>
      <c r="I111" s="9">
        <v>15640</v>
      </c>
      <c r="J111" s="9">
        <v>7430</v>
      </c>
      <c r="K111" s="10">
        <f t="shared" si="5"/>
        <v>8210</v>
      </c>
      <c r="L111" s="10">
        <v>23699</v>
      </c>
      <c r="M111" s="11" t="s">
        <v>2181</v>
      </c>
      <c r="N111" s="12">
        <v>7</v>
      </c>
      <c r="O111" s="13" t="s">
        <v>855</v>
      </c>
      <c r="P111" s="14"/>
    </row>
    <row r="112" spans="1:21" x14ac:dyDescent="0.25">
      <c r="A112" s="6"/>
      <c r="B112" s="7">
        <v>44292</v>
      </c>
      <c r="C112" s="8" t="s">
        <v>985</v>
      </c>
      <c r="D112" s="8" t="s">
        <v>299</v>
      </c>
      <c r="E112" s="9" t="s">
        <v>813</v>
      </c>
      <c r="F112" s="9" t="s">
        <v>814</v>
      </c>
      <c r="G112" s="17">
        <v>0.4548611111111111</v>
      </c>
      <c r="H112" s="17">
        <v>0.46319444444444446</v>
      </c>
      <c r="I112" s="9">
        <v>39350</v>
      </c>
      <c r="J112" s="9">
        <v>17340</v>
      </c>
      <c r="K112" s="10">
        <f t="shared" si="5"/>
        <v>22010</v>
      </c>
      <c r="L112" s="10">
        <v>23699</v>
      </c>
      <c r="M112" s="11" t="s">
        <v>1784</v>
      </c>
      <c r="N112" s="12">
        <v>18.8</v>
      </c>
      <c r="O112" s="13" t="s">
        <v>855</v>
      </c>
      <c r="P112" s="14"/>
    </row>
    <row r="113" spans="1:20" x14ac:dyDescent="0.25">
      <c r="A113" s="6"/>
      <c r="B113" s="7">
        <v>44292</v>
      </c>
      <c r="C113" s="8" t="s">
        <v>985</v>
      </c>
      <c r="D113" s="8" t="s">
        <v>243</v>
      </c>
      <c r="E113" s="9" t="s">
        <v>440</v>
      </c>
      <c r="F113" s="9" t="s">
        <v>1276</v>
      </c>
      <c r="G113" s="17">
        <v>0.48680555555555555</v>
      </c>
      <c r="H113" s="17">
        <v>1155</v>
      </c>
      <c r="I113" s="9">
        <v>27290</v>
      </c>
      <c r="J113" s="9">
        <v>16720</v>
      </c>
      <c r="K113" s="10">
        <f t="shared" si="5"/>
        <v>10570</v>
      </c>
      <c r="L113" s="10">
        <v>23699</v>
      </c>
      <c r="M113" s="11" t="s">
        <v>1784</v>
      </c>
      <c r="N113" s="12">
        <v>8.7149999999999999</v>
      </c>
      <c r="O113" s="13" t="s">
        <v>855</v>
      </c>
      <c r="P113" s="14"/>
    </row>
    <row r="114" spans="1:20" x14ac:dyDescent="0.25">
      <c r="A114" s="6"/>
      <c r="B114" s="7">
        <v>44292</v>
      </c>
      <c r="C114" s="8" t="s">
        <v>2429</v>
      </c>
      <c r="D114" s="8" t="s">
        <v>853</v>
      </c>
      <c r="E114" s="9" t="s">
        <v>51</v>
      </c>
      <c r="F114" s="9" t="s">
        <v>52</v>
      </c>
      <c r="G114" s="17">
        <v>0.54097222222222219</v>
      </c>
      <c r="H114" s="17">
        <v>0.5493055555555556</v>
      </c>
      <c r="I114" s="9">
        <v>38980</v>
      </c>
      <c r="J114" s="9">
        <v>15990</v>
      </c>
      <c r="K114" s="10">
        <f t="shared" si="5"/>
        <v>22990</v>
      </c>
      <c r="L114" s="10" t="s">
        <v>2430</v>
      </c>
      <c r="M114" s="11" t="s">
        <v>2431</v>
      </c>
      <c r="N114" s="12">
        <v>20.399999999999999</v>
      </c>
      <c r="O114" s="13" t="s">
        <v>855</v>
      </c>
      <c r="P114" s="14"/>
    </row>
    <row r="115" spans="1:20" x14ac:dyDescent="0.25">
      <c r="A115" s="6"/>
      <c r="B115" s="7">
        <v>44292</v>
      </c>
      <c r="C115" s="43" t="s">
        <v>1630</v>
      </c>
      <c r="D115" s="43" t="s">
        <v>602</v>
      </c>
      <c r="E115" s="44" t="s">
        <v>1632</v>
      </c>
      <c r="F115" s="44" t="s">
        <v>266</v>
      </c>
      <c r="G115" s="17">
        <v>0.55555555555555558</v>
      </c>
      <c r="H115" s="17">
        <v>0.55902777777777779</v>
      </c>
      <c r="I115" s="9">
        <v>5850</v>
      </c>
      <c r="J115" s="9">
        <v>5530</v>
      </c>
      <c r="K115" s="10">
        <f>+I115-J115</f>
        <v>320</v>
      </c>
      <c r="L115" s="10" t="s">
        <v>2420</v>
      </c>
      <c r="M115" s="47" t="s">
        <v>2432</v>
      </c>
      <c r="N115" s="12">
        <v>320</v>
      </c>
      <c r="O115" s="13" t="s">
        <v>32</v>
      </c>
      <c r="P115" s="14"/>
    </row>
    <row r="116" spans="1:20" x14ac:dyDescent="0.25">
      <c r="A116" s="6"/>
      <c r="B116" s="7">
        <v>44292</v>
      </c>
      <c r="C116" s="8" t="s">
        <v>1089</v>
      </c>
      <c r="D116" s="8" t="s">
        <v>2249</v>
      </c>
      <c r="E116" s="9" t="s">
        <v>2250</v>
      </c>
      <c r="F116" s="9" t="s">
        <v>2251</v>
      </c>
      <c r="G116" s="17">
        <v>0.55694444444444446</v>
      </c>
      <c r="H116" s="17">
        <v>0.5625</v>
      </c>
      <c r="I116" s="9">
        <v>35330</v>
      </c>
      <c r="J116" s="9">
        <v>13540</v>
      </c>
      <c r="K116" s="10">
        <f t="shared" si="5"/>
        <v>21790</v>
      </c>
      <c r="L116" s="10">
        <v>23702</v>
      </c>
      <c r="M116" s="11" t="s">
        <v>1832</v>
      </c>
      <c r="N116" s="12">
        <v>19.2</v>
      </c>
      <c r="O116" s="13" t="s">
        <v>855</v>
      </c>
      <c r="P116" s="14"/>
    </row>
    <row r="117" spans="1:20" x14ac:dyDescent="0.25">
      <c r="A117" s="6"/>
      <c r="B117" s="7">
        <v>44292</v>
      </c>
      <c r="C117" s="8" t="s">
        <v>2433</v>
      </c>
      <c r="D117" s="8" t="s">
        <v>299</v>
      </c>
      <c r="E117" s="9" t="s">
        <v>813</v>
      </c>
      <c r="F117" s="9" t="s">
        <v>814</v>
      </c>
      <c r="G117" s="17">
        <v>0.57500000000000007</v>
      </c>
      <c r="H117" s="17">
        <v>0.59583333333333333</v>
      </c>
      <c r="I117" s="9">
        <v>42950</v>
      </c>
      <c r="J117" s="9">
        <v>17290</v>
      </c>
      <c r="K117" s="10">
        <f t="shared" si="5"/>
        <v>25660</v>
      </c>
      <c r="L117" s="10" t="s">
        <v>2434</v>
      </c>
      <c r="M117" s="11" t="s">
        <v>2435</v>
      </c>
      <c r="N117" s="12">
        <v>22.2</v>
      </c>
      <c r="O117" s="13" t="s">
        <v>855</v>
      </c>
      <c r="P117" s="14"/>
    </row>
    <row r="118" spans="1:20" x14ac:dyDescent="0.25">
      <c r="A118" s="6"/>
      <c r="B118" s="7">
        <v>44292</v>
      </c>
      <c r="C118" s="8" t="s">
        <v>2436</v>
      </c>
      <c r="D118" s="8" t="s">
        <v>243</v>
      </c>
      <c r="E118" s="9" t="s">
        <v>440</v>
      </c>
      <c r="F118" s="9" t="s">
        <v>1276</v>
      </c>
      <c r="G118" s="17">
        <v>0.61597222222222225</v>
      </c>
      <c r="H118" s="17">
        <v>0.62638888888888888</v>
      </c>
      <c r="I118" s="9">
        <v>26540</v>
      </c>
      <c r="J118" s="9">
        <v>16690</v>
      </c>
      <c r="K118" s="10">
        <f t="shared" ref="K118" si="7">+I118-J118</f>
        <v>9850</v>
      </c>
      <c r="L118" s="10" t="s">
        <v>2437</v>
      </c>
      <c r="M118" s="11" t="s">
        <v>2438</v>
      </c>
      <c r="N118" s="12">
        <v>8.15</v>
      </c>
      <c r="O118" s="13" t="s">
        <v>855</v>
      </c>
      <c r="P118" s="14"/>
    </row>
    <row r="119" spans="1:20" x14ac:dyDescent="0.25">
      <c r="A119" s="6"/>
      <c r="B119" s="7">
        <v>44292</v>
      </c>
      <c r="C119" s="8" t="s">
        <v>2279</v>
      </c>
      <c r="D119" s="8" t="s">
        <v>928</v>
      </c>
      <c r="E119" s="9" t="s">
        <v>947</v>
      </c>
      <c r="F119" s="9" t="s">
        <v>948</v>
      </c>
      <c r="G119" s="17">
        <v>0.61805555555555558</v>
      </c>
      <c r="H119" s="17">
        <v>0.62361111111111112</v>
      </c>
      <c r="I119" s="9">
        <v>7810</v>
      </c>
      <c r="J119" s="9">
        <v>7520</v>
      </c>
      <c r="K119" s="10">
        <f t="shared" si="5"/>
        <v>290</v>
      </c>
      <c r="L119" s="10">
        <v>23705</v>
      </c>
      <c r="M119" s="11" t="s">
        <v>1784</v>
      </c>
      <c r="N119" s="12">
        <v>290</v>
      </c>
      <c r="O119" s="13" t="s">
        <v>32</v>
      </c>
      <c r="P119" s="14" t="s">
        <v>2375</v>
      </c>
    </row>
    <row r="120" spans="1:20" x14ac:dyDescent="0.25">
      <c r="A120" s="6"/>
      <c r="B120" s="7">
        <v>44292</v>
      </c>
      <c r="C120" s="8" t="s">
        <v>2352</v>
      </c>
      <c r="D120" s="8" t="s">
        <v>2360</v>
      </c>
      <c r="E120" s="9" t="s">
        <v>2361</v>
      </c>
      <c r="F120" s="9" t="s">
        <v>36</v>
      </c>
      <c r="G120" s="17">
        <v>0.65972222222222221</v>
      </c>
      <c r="H120" s="17">
        <v>0.7402777777777777</v>
      </c>
      <c r="I120" s="9">
        <v>56880</v>
      </c>
      <c r="J120" s="9">
        <v>21730</v>
      </c>
      <c r="K120" s="10">
        <f t="shared" si="5"/>
        <v>35150</v>
      </c>
      <c r="L120" s="10">
        <v>14253</v>
      </c>
      <c r="M120" s="11" t="s">
        <v>306</v>
      </c>
      <c r="N120" s="12">
        <v>10000</v>
      </c>
      <c r="O120" s="13" t="s">
        <v>84</v>
      </c>
      <c r="P120" s="14"/>
    </row>
    <row r="121" spans="1:20" x14ac:dyDescent="0.25">
      <c r="A121" s="6"/>
      <c r="B121" s="7">
        <v>44292</v>
      </c>
      <c r="C121" s="8" t="s">
        <v>2101</v>
      </c>
      <c r="D121" s="8" t="s">
        <v>2439</v>
      </c>
      <c r="E121" s="9" t="s">
        <v>1434</v>
      </c>
      <c r="F121" s="9" t="s">
        <v>36</v>
      </c>
      <c r="G121" s="17">
        <v>0.69652777777777775</v>
      </c>
      <c r="H121" s="17">
        <v>0.77638888888888891</v>
      </c>
      <c r="I121" s="9">
        <v>16130</v>
      </c>
      <c r="J121" s="9">
        <v>5680</v>
      </c>
      <c r="K121" s="10">
        <f t="shared" si="5"/>
        <v>10450</v>
      </c>
      <c r="L121" s="10">
        <v>26776</v>
      </c>
      <c r="M121" s="11" t="s">
        <v>1378</v>
      </c>
      <c r="N121" s="12">
        <v>10450</v>
      </c>
      <c r="O121" s="13" t="s">
        <v>32</v>
      </c>
      <c r="P121" s="14"/>
      <c r="T121" s="24"/>
    </row>
    <row r="122" spans="1:20" x14ac:dyDescent="0.25">
      <c r="A122" s="6"/>
      <c r="B122" s="7">
        <v>44292</v>
      </c>
      <c r="C122" s="8" t="s">
        <v>2440</v>
      </c>
      <c r="D122" s="8" t="s">
        <v>928</v>
      </c>
      <c r="E122" s="9" t="s">
        <v>947</v>
      </c>
      <c r="F122" s="9" t="s">
        <v>948</v>
      </c>
      <c r="G122" s="17">
        <v>0.69791666666666663</v>
      </c>
      <c r="H122" s="17">
        <v>0.70833333333333337</v>
      </c>
      <c r="I122" s="9">
        <v>8430</v>
      </c>
      <c r="J122" s="9">
        <v>7510</v>
      </c>
      <c r="K122" s="10">
        <f t="shared" si="5"/>
        <v>920</v>
      </c>
      <c r="L122" s="10">
        <v>23706</v>
      </c>
      <c r="M122" s="11" t="s">
        <v>1784</v>
      </c>
      <c r="N122" s="12">
        <v>920</v>
      </c>
      <c r="O122" s="13" t="s">
        <v>32</v>
      </c>
      <c r="P122" s="14" t="s">
        <v>883</v>
      </c>
    </row>
    <row r="123" spans="1:20" x14ac:dyDescent="0.25">
      <c r="A123" s="6"/>
      <c r="B123" s="7">
        <v>44292</v>
      </c>
      <c r="C123" s="8" t="s">
        <v>469</v>
      </c>
      <c r="D123" s="8" t="s">
        <v>1355</v>
      </c>
      <c r="E123" s="9" t="s">
        <v>1048</v>
      </c>
      <c r="F123" s="9" t="s">
        <v>526</v>
      </c>
      <c r="G123" s="17">
        <v>0.70624999999999993</v>
      </c>
      <c r="H123" s="17">
        <v>0.73819444444444438</v>
      </c>
      <c r="I123" s="9">
        <v>20380</v>
      </c>
      <c r="J123" s="9">
        <v>17870</v>
      </c>
      <c r="K123" s="10">
        <f t="shared" si="5"/>
        <v>2510</v>
      </c>
      <c r="L123" s="10">
        <v>1817</v>
      </c>
      <c r="M123" s="11" t="s">
        <v>2441</v>
      </c>
      <c r="N123" s="12">
        <v>40</v>
      </c>
      <c r="O123" s="13" t="s">
        <v>80</v>
      </c>
      <c r="P123" s="14"/>
    </row>
    <row r="124" spans="1:20" x14ac:dyDescent="0.25">
      <c r="A124" s="6"/>
      <c r="B124" s="7">
        <v>44292</v>
      </c>
      <c r="C124" s="8" t="s">
        <v>2123</v>
      </c>
      <c r="D124" s="8" t="s">
        <v>1853</v>
      </c>
      <c r="E124" s="9" t="s">
        <v>1206</v>
      </c>
      <c r="F124" s="9" t="s">
        <v>36</v>
      </c>
      <c r="G124" s="17">
        <v>0.73055555555555562</v>
      </c>
      <c r="H124" s="17">
        <v>0.75069444444444444</v>
      </c>
      <c r="I124" s="9">
        <v>15930</v>
      </c>
      <c r="J124" s="9">
        <v>6670</v>
      </c>
      <c r="K124" s="10">
        <f t="shared" si="5"/>
        <v>9260</v>
      </c>
      <c r="L124" s="10">
        <v>26777</v>
      </c>
      <c r="M124" s="11" t="s">
        <v>1515</v>
      </c>
      <c r="N124" s="12">
        <v>9260</v>
      </c>
      <c r="O124" s="13" t="s">
        <v>32</v>
      </c>
      <c r="P124" s="14"/>
    </row>
    <row r="125" spans="1:20" x14ac:dyDescent="0.25">
      <c r="A125" s="6"/>
      <c r="B125" s="7">
        <v>44292</v>
      </c>
      <c r="C125" s="8" t="s">
        <v>1369</v>
      </c>
      <c r="D125" s="8" t="s">
        <v>1794</v>
      </c>
      <c r="E125" s="9" t="s">
        <v>628</v>
      </c>
      <c r="F125" s="9" t="s">
        <v>629</v>
      </c>
      <c r="G125" s="17">
        <v>0.73472222222222217</v>
      </c>
      <c r="H125" s="17">
        <v>0.74236111111111114</v>
      </c>
      <c r="I125" s="9">
        <v>10350</v>
      </c>
      <c r="J125" s="9">
        <v>9660</v>
      </c>
      <c r="K125" s="10">
        <f t="shared" si="5"/>
        <v>690</v>
      </c>
      <c r="L125" s="10">
        <v>23707</v>
      </c>
      <c r="M125" s="11" t="s">
        <v>1700</v>
      </c>
      <c r="N125" s="12">
        <v>690</v>
      </c>
      <c r="O125" s="13" t="s">
        <v>32</v>
      </c>
      <c r="P125" s="14" t="s">
        <v>883</v>
      </c>
    </row>
    <row r="126" spans="1:20" x14ac:dyDescent="0.25">
      <c r="A126" s="6"/>
      <c r="B126" s="7">
        <v>44292</v>
      </c>
      <c r="C126" s="8" t="s">
        <v>208</v>
      </c>
      <c r="D126" s="8" t="s">
        <v>2249</v>
      </c>
      <c r="E126" s="9" t="s">
        <v>2250</v>
      </c>
      <c r="F126" s="9" t="s">
        <v>2251</v>
      </c>
      <c r="G126" s="17">
        <v>0.80208333333333337</v>
      </c>
      <c r="H126" s="17">
        <v>0.32430555555555557</v>
      </c>
      <c r="I126" s="9">
        <v>38550</v>
      </c>
      <c r="J126" s="9">
        <v>15750</v>
      </c>
      <c r="K126" s="10">
        <f t="shared" si="5"/>
        <v>22800</v>
      </c>
      <c r="L126" s="10">
        <v>41565</v>
      </c>
      <c r="M126" s="11" t="s">
        <v>1626</v>
      </c>
      <c r="N126" s="12">
        <v>22760</v>
      </c>
      <c r="O126" s="13" t="s">
        <v>32</v>
      </c>
      <c r="P126" s="14"/>
    </row>
    <row r="127" spans="1:20" x14ac:dyDescent="0.25">
      <c r="A127" s="6"/>
      <c r="B127" s="7">
        <v>44292</v>
      </c>
      <c r="C127" s="8" t="s">
        <v>2123</v>
      </c>
      <c r="D127" s="8" t="s">
        <v>1853</v>
      </c>
      <c r="E127" s="9" t="s">
        <v>1231</v>
      </c>
      <c r="F127" s="9" t="s">
        <v>36</v>
      </c>
      <c r="G127" s="17">
        <v>0.83750000000000002</v>
      </c>
      <c r="H127" s="17">
        <v>0.85972222222222217</v>
      </c>
      <c r="I127" s="9">
        <v>8370</v>
      </c>
      <c r="J127" s="9">
        <v>4000</v>
      </c>
      <c r="K127" s="10">
        <f t="shared" si="5"/>
        <v>4370</v>
      </c>
      <c r="L127" s="10">
        <v>26778</v>
      </c>
      <c r="M127" s="11" t="s">
        <v>1208</v>
      </c>
      <c r="N127" s="12">
        <v>4370</v>
      </c>
      <c r="O127" s="13" t="s">
        <v>32</v>
      </c>
      <c r="P127" s="14"/>
    </row>
    <row r="128" spans="1:20" x14ac:dyDescent="0.25">
      <c r="A128" s="6"/>
      <c r="B128" s="7">
        <v>44292</v>
      </c>
      <c r="C128" s="8" t="s">
        <v>37</v>
      </c>
      <c r="D128" s="8" t="s">
        <v>2418</v>
      </c>
      <c r="E128" s="9" t="s">
        <v>39</v>
      </c>
      <c r="F128" s="9" t="s">
        <v>36</v>
      </c>
      <c r="G128" s="17">
        <v>0.91111111111111109</v>
      </c>
      <c r="H128" s="17">
        <v>0.95416666666666661</v>
      </c>
      <c r="I128" s="9">
        <v>16665</v>
      </c>
      <c r="J128" s="9">
        <v>6350</v>
      </c>
      <c r="K128" s="10">
        <f t="shared" si="5"/>
        <v>10315</v>
      </c>
      <c r="L128" s="10">
        <v>26779</v>
      </c>
      <c r="M128" s="11" t="s">
        <v>1618</v>
      </c>
      <c r="N128" s="12">
        <v>10315</v>
      </c>
      <c r="O128" s="13" t="s">
        <v>32</v>
      </c>
      <c r="P128" s="14"/>
    </row>
    <row r="129" spans="1:17" x14ac:dyDescent="0.25">
      <c r="A129" s="6"/>
      <c r="B129" s="7">
        <v>44292</v>
      </c>
      <c r="C129" s="8" t="s">
        <v>2123</v>
      </c>
      <c r="D129" s="8" t="s">
        <v>183</v>
      </c>
      <c r="E129" s="9" t="s">
        <v>1678</v>
      </c>
      <c r="F129" s="9" t="s">
        <v>36</v>
      </c>
      <c r="G129" s="17">
        <v>0.95347222222222217</v>
      </c>
      <c r="H129" s="17">
        <v>0.97152777777777777</v>
      </c>
      <c r="I129" s="9">
        <v>4310</v>
      </c>
      <c r="J129" s="9">
        <v>2170</v>
      </c>
      <c r="K129" s="10">
        <f t="shared" si="5"/>
        <v>2140</v>
      </c>
      <c r="L129" s="10">
        <v>26780</v>
      </c>
      <c r="M129" s="11" t="s">
        <v>965</v>
      </c>
      <c r="N129" s="12">
        <v>2140</v>
      </c>
      <c r="O129" s="13" t="s">
        <v>32</v>
      </c>
      <c r="P129" s="14"/>
    </row>
    <row r="130" spans="1:17" x14ac:dyDescent="0.25">
      <c r="A130" s="6"/>
      <c r="B130" s="7">
        <v>44293</v>
      </c>
      <c r="C130" s="8" t="s">
        <v>2123</v>
      </c>
      <c r="D130" s="8" t="s">
        <v>2026</v>
      </c>
      <c r="E130" s="9" t="s">
        <v>1675</v>
      </c>
      <c r="F130" s="9" t="s">
        <v>36</v>
      </c>
      <c r="G130" s="17">
        <v>4.1666666666666664E-2</v>
      </c>
      <c r="H130" s="17">
        <v>6.5277777777777782E-2</v>
      </c>
      <c r="I130" s="9">
        <v>7900</v>
      </c>
      <c r="J130" s="9">
        <v>2760</v>
      </c>
      <c r="K130" s="10">
        <f t="shared" si="5"/>
        <v>5140</v>
      </c>
      <c r="L130" s="10">
        <v>26781</v>
      </c>
      <c r="M130" s="11" t="s">
        <v>965</v>
      </c>
      <c r="N130" s="12">
        <v>5140</v>
      </c>
      <c r="O130" s="13" t="s">
        <v>32</v>
      </c>
      <c r="P130" s="14">
        <f>+N130*2.2/90</f>
        <v>125.64444444444446</v>
      </c>
    </row>
    <row r="131" spans="1:17" x14ac:dyDescent="0.25">
      <c r="A131" s="6"/>
      <c r="B131" s="7">
        <v>44293</v>
      </c>
      <c r="C131" s="8" t="s">
        <v>2123</v>
      </c>
      <c r="D131" s="8" t="s">
        <v>999</v>
      </c>
      <c r="E131" s="9" t="s">
        <v>1000</v>
      </c>
      <c r="F131" s="9" t="s">
        <v>36</v>
      </c>
      <c r="G131" s="17">
        <v>6.1805555555555558E-2</v>
      </c>
      <c r="H131" s="17">
        <v>7.9166666666666663E-2</v>
      </c>
      <c r="I131" s="9">
        <v>4000</v>
      </c>
      <c r="J131" s="9">
        <v>1910</v>
      </c>
      <c r="K131" s="10">
        <f t="shared" si="5"/>
        <v>2090</v>
      </c>
      <c r="L131" s="10">
        <v>26781</v>
      </c>
      <c r="M131" s="11" t="s">
        <v>965</v>
      </c>
      <c r="N131" s="12">
        <v>2090</v>
      </c>
      <c r="O131" s="13" t="s">
        <v>32</v>
      </c>
      <c r="P131" s="14"/>
    </row>
    <row r="132" spans="1:17" x14ac:dyDescent="0.25">
      <c r="A132" s="6"/>
      <c r="B132" s="7">
        <v>44293</v>
      </c>
      <c r="C132" s="8" t="s">
        <v>2123</v>
      </c>
      <c r="D132" s="8" t="s">
        <v>2428</v>
      </c>
      <c r="E132" s="9" t="s">
        <v>2047</v>
      </c>
      <c r="F132" s="9" t="s">
        <v>36</v>
      </c>
      <c r="G132" s="17">
        <v>6.805555555555555E-2</v>
      </c>
      <c r="H132" s="17">
        <v>9.5138888888888884E-2</v>
      </c>
      <c r="I132" s="9">
        <v>6930</v>
      </c>
      <c r="J132" s="9">
        <v>2580</v>
      </c>
      <c r="K132" s="10">
        <f t="shared" si="5"/>
        <v>4350</v>
      </c>
      <c r="L132" s="10">
        <v>26784</v>
      </c>
      <c r="M132" s="11" t="s">
        <v>965</v>
      </c>
      <c r="N132" s="12">
        <v>4350</v>
      </c>
      <c r="O132" s="13" t="s">
        <v>32</v>
      </c>
      <c r="P132" s="14">
        <f>+N132*2.2/90</f>
        <v>106.33333333333333</v>
      </c>
    </row>
    <row r="133" spans="1:17" x14ac:dyDescent="0.25">
      <c r="A133" s="6"/>
      <c r="B133" s="7">
        <v>44293</v>
      </c>
      <c r="C133" s="8" t="s">
        <v>2123</v>
      </c>
      <c r="D133" s="8" t="s">
        <v>2442</v>
      </c>
      <c r="E133" s="9" t="s">
        <v>1095</v>
      </c>
      <c r="F133" s="9" t="s">
        <v>36</v>
      </c>
      <c r="G133" s="17">
        <v>7.4999999999999997E-2</v>
      </c>
      <c r="H133" s="17">
        <v>8.9583333333333334E-2</v>
      </c>
      <c r="I133" s="9">
        <v>2580</v>
      </c>
      <c r="J133" s="9">
        <v>1270</v>
      </c>
      <c r="K133" s="10">
        <f t="shared" si="5"/>
        <v>1310</v>
      </c>
      <c r="L133" s="10">
        <v>26783</v>
      </c>
      <c r="M133" s="11" t="s">
        <v>965</v>
      </c>
      <c r="N133" s="12">
        <v>1310</v>
      </c>
      <c r="O133" s="13" t="s">
        <v>32</v>
      </c>
      <c r="P133" s="14"/>
    </row>
    <row r="134" spans="1:17" x14ac:dyDescent="0.25">
      <c r="A134" s="6"/>
      <c r="B134" s="7">
        <v>44293</v>
      </c>
      <c r="C134" s="8" t="s">
        <v>2123</v>
      </c>
      <c r="D134" s="8" t="s">
        <v>2277</v>
      </c>
      <c r="E134" s="9" t="s">
        <v>2273</v>
      </c>
      <c r="F134" s="9" t="s">
        <v>36</v>
      </c>
      <c r="G134" s="17">
        <v>7.7777777777777779E-2</v>
      </c>
      <c r="H134" s="17">
        <v>0.10069444444444443</v>
      </c>
      <c r="I134" s="9">
        <v>2670</v>
      </c>
      <c r="J134" s="9">
        <v>1210</v>
      </c>
      <c r="K134" s="10">
        <f t="shared" si="5"/>
        <v>1460</v>
      </c>
      <c r="L134" s="10">
        <v>26785</v>
      </c>
      <c r="M134" s="11" t="s">
        <v>965</v>
      </c>
      <c r="N134" s="12">
        <v>1460</v>
      </c>
      <c r="O134" s="13" t="s">
        <v>32</v>
      </c>
      <c r="P134" s="14"/>
    </row>
    <row r="135" spans="1:17" x14ac:dyDescent="0.25">
      <c r="A135" s="6"/>
      <c r="B135" s="7">
        <v>44293</v>
      </c>
      <c r="C135" s="8" t="s">
        <v>2123</v>
      </c>
      <c r="D135" s="8" t="s">
        <v>2443</v>
      </c>
      <c r="E135" s="9" t="s">
        <v>2088</v>
      </c>
      <c r="F135" s="9" t="s">
        <v>36</v>
      </c>
      <c r="G135" s="17">
        <v>8.1944444444444445E-2</v>
      </c>
      <c r="H135" s="17">
        <v>0.11875000000000001</v>
      </c>
      <c r="I135" s="9">
        <v>4180</v>
      </c>
      <c r="J135" s="9">
        <v>2950</v>
      </c>
      <c r="K135" s="10">
        <f t="shared" si="5"/>
        <v>1230</v>
      </c>
      <c r="L135" s="10">
        <v>26786</v>
      </c>
      <c r="M135" s="11" t="s">
        <v>965</v>
      </c>
      <c r="N135" s="12">
        <v>1230</v>
      </c>
      <c r="O135" s="13" t="s">
        <v>32</v>
      </c>
      <c r="P135" s="14">
        <f>+N135*2.2/90</f>
        <v>30.066666666666666</v>
      </c>
    </row>
    <row r="136" spans="1:17" x14ac:dyDescent="0.25">
      <c r="A136" s="6"/>
      <c r="B136" s="7">
        <v>44293</v>
      </c>
      <c r="C136" s="8" t="s">
        <v>2123</v>
      </c>
      <c r="D136" s="8" t="s">
        <v>183</v>
      </c>
      <c r="E136" s="9" t="s">
        <v>1678</v>
      </c>
      <c r="F136" s="9" t="s">
        <v>36</v>
      </c>
      <c r="G136" s="17">
        <v>0.10277777777777779</v>
      </c>
      <c r="H136" s="17">
        <v>0.12986111111111112</v>
      </c>
      <c r="I136" s="9">
        <v>5160</v>
      </c>
      <c r="J136" s="9">
        <v>2180</v>
      </c>
      <c r="K136" s="10">
        <f t="shared" ref="K136:K199" si="8">+I136-J136</f>
        <v>2980</v>
      </c>
      <c r="L136" s="10">
        <v>26787</v>
      </c>
      <c r="M136" s="11" t="s">
        <v>965</v>
      </c>
      <c r="N136" s="12">
        <v>2980</v>
      </c>
      <c r="O136" s="13" t="s">
        <v>32</v>
      </c>
      <c r="P136" s="14"/>
    </row>
    <row r="137" spans="1:17" x14ac:dyDescent="0.25">
      <c r="A137" s="6"/>
      <c r="B137" s="7">
        <v>44293</v>
      </c>
      <c r="C137" s="8" t="s">
        <v>871</v>
      </c>
      <c r="D137" s="8" t="s">
        <v>86</v>
      </c>
      <c r="E137" s="9" t="s">
        <v>87</v>
      </c>
      <c r="F137" s="9" t="s">
        <v>88</v>
      </c>
      <c r="G137" s="17">
        <v>0.17222222222222225</v>
      </c>
      <c r="H137" s="17">
        <v>0.17986111111111111</v>
      </c>
      <c r="I137" s="9">
        <v>40380</v>
      </c>
      <c r="J137" s="9">
        <v>17200</v>
      </c>
      <c r="K137" s="10">
        <f t="shared" si="8"/>
        <v>23180</v>
      </c>
      <c r="L137" s="10">
        <v>804</v>
      </c>
      <c r="M137" s="11" t="s">
        <v>257</v>
      </c>
      <c r="N137" s="12">
        <v>22157</v>
      </c>
      <c r="O137" s="13" t="s">
        <v>32</v>
      </c>
      <c r="P137" s="14"/>
    </row>
    <row r="138" spans="1:17" x14ac:dyDescent="0.25">
      <c r="A138" s="6"/>
      <c r="B138" s="15">
        <v>44293</v>
      </c>
      <c r="C138" s="16" t="s">
        <v>1369</v>
      </c>
      <c r="D138" s="8" t="s">
        <v>928</v>
      </c>
      <c r="E138" s="9" t="s">
        <v>947</v>
      </c>
      <c r="F138" s="9" t="s">
        <v>948</v>
      </c>
      <c r="G138" s="17">
        <v>0.35347222222222219</v>
      </c>
      <c r="H138" s="17">
        <v>0.36388888888888887</v>
      </c>
      <c r="I138" s="9">
        <v>17920</v>
      </c>
      <c r="J138" s="9">
        <v>7510</v>
      </c>
      <c r="K138" s="10">
        <f t="shared" si="8"/>
        <v>10410</v>
      </c>
      <c r="L138" s="10">
        <v>23708</v>
      </c>
      <c r="M138" s="11" t="s">
        <v>1041</v>
      </c>
      <c r="N138" s="12">
        <v>9.516</v>
      </c>
      <c r="O138" s="13" t="s">
        <v>855</v>
      </c>
      <c r="P138" s="14"/>
      <c r="Q138" s="19"/>
    </row>
    <row r="139" spans="1:17" x14ac:dyDescent="0.25">
      <c r="A139" s="6"/>
      <c r="B139" s="7">
        <v>44293</v>
      </c>
      <c r="C139" s="8" t="s">
        <v>1369</v>
      </c>
      <c r="D139" s="8" t="s">
        <v>243</v>
      </c>
      <c r="E139" s="9" t="s">
        <v>440</v>
      </c>
      <c r="F139" s="9" t="s">
        <v>1276</v>
      </c>
      <c r="G139" s="17">
        <v>0.35486111111111113</v>
      </c>
      <c r="H139" s="17">
        <v>0.37013888888888885</v>
      </c>
      <c r="I139" s="9">
        <v>40300</v>
      </c>
      <c r="J139" s="9">
        <v>16700</v>
      </c>
      <c r="K139" s="10">
        <f t="shared" si="8"/>
        <v>23600</v>
      </c>
      <c r="L139" s="10">
        <v>23708</v>
      </c>
      <c r="M139" s="11" t="s">
        <v>1041</v>
      </c>
      <c r="N139" s="12">
        <v>21.6</v>
      </c>
      <c r="O139" s="11" t="s">
        <v>855</v>
      </c>
      <c r="P139" s="12">
        <v>9.6</v>
      </c>
      <c r="Q139" s="13" t="s">
        <v>855</v>
      </c>
    </row>
    <row r="140" spans="1:17" x14ac:dyDescent="0.25">
      <c r="A140" s="6"/>
      <c r="B140" s="7">
        <v>44293</v>
      </c>
      <c r="C140" s="8" t="s">
        <v>1369</v>
      </c>
      <c r="D140" s="8" t="s">
        <v>465</v>
      </c>
      <c r="E140" s="9" t="s">
        <v>748</v>
      </c>
      <c r="F140" s="9" t="s">
        <v>749</v>
      </c>
      <c r="G140" s="17">
        <v>0.38680555555555557</v>
      </c>
      <c r="H140" s="17">
        <v>0.40208333333333335</v>
      </c>
      <c r="I140" s="9">
        <v>38050</v>
      </c>
      <c r="J140" s="9">
        <v>16720</v>
      </c>
      <c r="K140" s="10">
        <f t="shared" si="8"/>
        <v>21330</v>
      </c>
      <c r="L140" s="10">
        <v>23708</v>
      </c>
      <c r="M140" s="11" t="s">
        <v>1041</v>
      </c>
      <c r="N140" s="12">
        <v>21.6</v>
      </c>
      <c r="O140" s="11" t="s">
        <v>855</v>
      </c>
      <c r="P140" s="14"/>
    </row>
    <row r="141" spans="1:17" x14ac:dyDescent="0.25">
      <c r="A141" s="6"/>
      <c r="B141" s="7">
        <v>44293</v>
      </c>
      <c r="C141" s="8" t="s">
        <v>1403</v>
      </c>
      <c r="D141" s="8" t="s">
        <v>2249</v>
      </c>
      <c r="E141" s="9" t="s">
        <v>2250</v>
      </c>
      <c r="F141" s="9" t="s">
        <v>2251</v>
      </c>
      <c r="G141" s="17">
        <v>0.39513888888888887</v>
      </c>
      <c r="H141" s="17">
        <v>0.39999999999999997</v>
      </c>
      <c r="I141" s="9">
        <v>31900</v>
      </c>
      <c r="J141" s="9">
        <v>13510</v>
      </c>
      <c r="K141" s="10">
        <f t="shared" si="8"/>
        <v>18390</v>
      </c>
      <c r="L141" s="10">
        <v>23709</v>
      </c>
      <c r="M141" s="11" t="s">
        <v>2398</v>
      </c>
      <c r="N141" s="12">
        <v>16.8</v>
      </c>
      <c r="O141" s="13" t="s">
        <v>855</v>
      </c>
      <c r="P141" s="14"/>
    </row>
    <row r="142" spans="1:17" x14ac:dyDescent="0.25">
      <c r="A142" s="6"/>
      <c r="B142" s="7">
        <v>44293</v>
      </c>
      <c r="C142" s="8" t="s">
        <v>1403</v>
      </c>
      <c r="D142" s="8" t="s">
        <v>299</v>
      </c>
      <c r="E142" s="9" t="s">
        <v>813</v>
      </c>
      <c r="F142" s="9" t="s">
        <v>814</v>
      </c>
      <c r="G142" s="17">
        <v>0.40625</v>
      </c>
      <c r="H142" s="17">
        <v>0.41805555555555557</v>
      </c>
      <c r="I142" s="9">
        <v>38270</v>
      </c>
      <c r="J142" s="9">
        <v>17300</v>
      </c>
      <c r="K142" s="10">
        <f t="shared" si="8"/>
        <v>20970</v>
      </c>
      <c r="L142" s="10">
        <v>23709</v>
      </c>
      <c r="M142" s="11" t="s">
        <v>2398</v>
      </c>
      <c r="N142" s="12">
        <v>19.2</v>
      </c>
      <c r="O142" s="13" t="s">
        <v>855</v>
      </c>
      <c r="P142" s="14"/>
    </row>
    <row r="143" spans="1:17" x14ac:dyDescent="0.25">
      <c r="A143" s="6"/>
      <c r="B143" s="7">
        <v>44293</v>
      </c>
      <c r="C143" s="8" t="s">
        <v>1403</v>
      </c>
      <c r="D143" s="8" t="s">
        <v>1794</v>
      </c>
      <c r="E143" s="9" t="s">
        <v>628</v>
      </c>
      <c r="F143" s="9" t="s">
        <v>629</v>
      </c>
      <c r="G143" s="17">
        <v>0.4069444444444445</v>
      </c>
      <c r="H143" s="17">
        <v>0.4236111111111111</v>
      </c>
      <c r="I143" s="9">
        <v>14340</v>
      </c>
      <c r="J143" s="9">
        <v>9640</v>
      </c>
      <c r="K143" s="10">
        <f t="shared" si="8"/>
        <v>4700</v>
      </c>
      <c r="L143" s="10">
        <v>23709</v>
      </c>
      <c r="M143" s="11" t="s">
        <v>2398</v>
      </c>
      <c r="N143" s="12">
        <v>4.032</v>
      </c>
      <c r="O143" s="13" t="s">
        <v>855</v>
      </c>
      <c r="P143" s="14"/>
    </row>
    <row r="144" spans="1:17" x14ac:dyDescent="0.25">
      <c r="A144" s="6"/>
      <c r="B144" s="7">
        <v>44293</v>
      </c>
      <c r="C144" s="8" t="s">
        <v>2444</v>
      </c>
      <c r="D144" s="8" t="s">
        <v>243</v>
      </c>
      <c r="E144" s="9" t="s">
        <v>440</v>
      </c>
      <c r="F144" s="9" t="s">
        <v>1276</v>
      </c>
      <c r="G144" s="17">
        <v>0.4597222222222222</v>
      </c>
      <c r="H144" s="17">
        <v>0.46875</v>
      </c>
      <c r="I144" s="9">
        <v>37430</v>
      </c>
      <c r="J144" s="9">
        <v>16690</v>
      </c>
      <c r="K144" s="10">
        <f t="shared" si="8"/>
        <v>20740</v>
      </c>
      <c r="L144" s="10">
        <v>23710</v>
      </c>
      <c r="M144" s="11" t="s">
        <v>1499</v>
      </c>
      <c r="N144" s="12">
        <v>16.16</v>
      </c>
      <c r="O144" s="13" t="s">
        <v>855</v>
      </c>
      <c r="P144" s="14"/>
    </row>
    <row r="145" spans="1:16" x14ac:dyDescent="0.25">
      <c r="A145" s="6"/>
      <c r="B145" s="7">
        <v>44293</v>
      </c>
      <c r="C145" s="8" t="s">
        <v>2370</v>
      </c>
      <c r="D145" s="8" t="s">
        <v>899</v>
      </c>
      <c r="E145" s="9" t="s">
        <v>490</v>
      </c>
      <c r="F145" s="9" t="s">
        <v>491</v>
      </c>
      <c r="G145" s="17">
        <v>0.46458333333333335</v>
      </c>
      <c r="H145" s="17">
        <v>0.47083333333333338</v>
      </c>
      <c r="I145" s="9">
        <v>38250</v>
      </c>
      <c r="J145" s="9">
        <v>15910</v>
      </c>
      <c r="K145" s="10">
        <f t="shared" si="8"/>
        <v>22340</v>
      </c>
      <c r="L145" s="10">
        <v>26788</v>
      </c>
      <c r="M145" s="11" t="s">
        <v>2407</v>
      </c>
      <c r="N145" s="12">
        <v>22340</v>
      </c>
      <c r="O145" s="13" t="s">
        <v>32</v>
      </c>
      <c r="P145" s="14"/>
    </row>
    <row r="146" spans="1:16" x14ac:dyDescent="0.25">
      <c r="A146" s="6"/>
      <c r="B146" s="7">
        <v>44293</v>
      </c>
      <c r="C146" s="8" t="s">
        <v>1096</v>
      </c>
      <c r="D146" s="8" t="s">
        <v>928</v>
      </c>
      <c r="E146" s="9" t="s">
        <v>947</v>
      </c>
      <c r="F146" s="9" t="s">
        <v>948</v>
      </c>
      <c r="G146" s="17">
        <v>0.4770833333333333</v>
      </c>
      <c r="H146" s="17">
        <v>0.48402777777777778</v>
      </c>
      <c r="I146" s="9">
        <v>15780</v>
      </c>
      <c r="J146" s="9">
        <v>7510</v>
      </c>
      <c r="K146" s="10">
        <f t="shared" si="8"/>
        <v>8270</v>
      </c>
      <c r="L146" s="10">
        <v>23711</v>
      </c>
      <c r="M146" s="11" t="s">
        <v>1784</v>
      </c>
      <c r="N146" s="12">
        <v>7.335</v>
      </c>
      <c r="O146" s="13" t="s">
        <v>855</v>
      </c>
      <c r="P146" s="14"/>
    </row>
    <row r="147" spans="1:16" x14ac:dyDescent="0.25">
      <c r="A147" s="6"/>
      <c r="B147" s="7">
        <v>44293</v>
      </c>
      <c r="C147" s="8" t="s">
        <v>1096</v>
      </c>
      <c r="D147" s="8" t="s">
        <v>1355</v>
      </c>
      <c r="E147" s="9" t="s">
        <v>1048</v>
      </c>
      <c r="F147" s="9" t="s">
        <v>526</v>
      </c>
      <c r="G147" s="17">
        <v>0.48541666666666666</v>
      </c>
      <c r="H147" s="17">
        <v>0.49444444444444446</v>
      </c>
      <c r="I147" s="9">
        <v>30760</v>
      </c>
      <c r="J147" s="9">
        <v>18180</v>
      </c>
      <c r="K147" s="10">
        <f t="shared" si="8"/>
        <v>12580</v>
      </c>
      <c r="L147" s="10">
        <v>23711</v>
      </c>
      <c r="M147" s="11" t="s">
        <v>1784</v>
      </c>
      <c r="N147" s="12">
        <v>10.635</v>
      </c>
      <c r="O147" s="13" t="s">
        <v>855</v>
      </c>
      <c r="P147" s="14"/>
    </row>
    <row r="148" spans="1:16" x14ac:dyDescent="0.25">
      <c r="A148" s="6"/>
      <c r="B148" s="7">
        <v>44293</v>
      </c>
      <c r="C148" s="8" t="s">
        <v>2445</v>
      </c>
      <c r="D148" s="8" t="s">
        <v>853</v>
      </c>
      <c r="E148" s="9" t="s">
        <v>51</v>
      </c>
      <c r="F148" s="9" t="s">
        <v>52</v>
      </c>
      <c r="G148" s="17">
        <v>0.49236111111111108</v>
      </c>
      <c r="H148" s="17">
        <v>0.51666666666666672</v>
      </c>
      <c r="I148" s="9">
        <v>54980</v>
      </c>
      <c r="J148" s="9">
        <v>14890</v>
      </c>
      <c r="K148" s="10">
        <f t="shared" si="8"/>
        <v>40090</v>
      </c>
      <c r="L148" s="10">
        <v>38276</v>
      </c>
      <c r="M148" s="11" t="s">
        <v>2446</v>
      </c>
      <c r="N148" s="12">
        <v>40</v>
      </c>
      <c r="O148" s="13" t="s">
        <v>855</v>
      </c>
      <c r="P148" s="14"/>
    </row>
    <row r="149" spans="1:16" x14ac:dyDescent="0.25">
      <c r="A149" s="6"/>
      <c r="B149" s="7">
        <v>44293</v>
      </c>
      <c r="C149" s="8" t="s">
        <v>2445</v>
      </c>
      <c r="D149" s="8" t="s">
        <v>1850</v>
      </c>
      <c r="E149" s="9" t="s">
        <v>144</v>
      </c>
      <c r="F149" s="9" t="s">
        <v>626</v>
      </c>
      <c r="G149" s="17">
        <v>0.5</v>
      </c>
      <c r="H149" s="17">
        <v>0.52152777777777781</v>
      </c>
      <c r="I149" s="9">
        <v>34990</v>
      </c>
      <c r="J149" s="9">
        <v>15660</v>
      </c>
      <c r="K149" s="10">
        <f t="shared" si="8"/>
        <v>19330</v>
      </c>
      <c r="L149" s="10">
        <v>38279</v>
      </c>
      <c r="M149" s="11" t="s">
        <v>2447</v>
      </c>
      <c r="N149" s="12">
        <v>20</v>
      </c>
      <c r="O149" s="13" t="s">
        <v>855</v>
      </c>
      <c r="P149" s="14"/>
    </row>
    <row r="150" spans="1:16" x14ac:dyDescent="0.25">
      <c r="A150" s="6"/>
      <c r="B150" s="7">
        <v>44293</v>
      </c>
      <c r="C150" s="8" t="s">
        <v>2370</v>
      </c>
      <c r="D150" s="8" t="s">
        <v>465</v>
      </c>
      <c r="E150" s="9" t="s">
        <v>748</v>
      </c>
      <c r="F150" s="9" t="s">
        <v>749</v>
      </c>
      <c r="G150" s="17">
        <v>0.50277777777777777</v>
      </c>
      <c r="H150" s="17">
        <v>0.51250000000000007</v>
      </c>
      <c r="I150" s="9">
        <v>34460</v>
      </c>
      <c r="J150" s="9">
        <v>16700</v>
      </c>
      <c r="K150" s="10">
        <f t="shared" si="8"/>
        <v>17760</v>
      </c>
      <c r="L150" s="10">
        <v>26789</v>
      </c>
      <c r="M150" s="11" t="s">
        <v>1784</v>
      </c>
      <c r="N150" s="12">
        <v>17760</v>
      </c>
      <c r="O150" s="13" t="s">
        <v>32</v>
      </c>
      <c r="P150" s="14"/>
    </row>
    <row r="151" spans="1:16" x14ac:dyDescent="0.25">
      <c r="A151" s="6"/>
      <c r="B151" s="7">
        <v>44293</v>
      </c>
      <c r="C151" s="8" t="s">
        <v>1096</v>
      </c>
      <c r="D151" s="8" t="s">
        <v>1794</v>
      </c>
      <c r="E151" s="9" t="s">
        <v>628</v>
      </c>
      <c r="F151" s="9" t="s">
        <v>629</v>
      </c>
      <c r="G151" s="17">
        <v>0.50347222222222221</v>
      </c>
      <c r="H151" s="17">
        <v>0.51944444444444449</v>
      </c>
      <c r="I151" s="9">
        <v>12750</v>
      </c>
      <c r="J151" s="9">
        <v>9630</v>
      </c>
      <c r="K151" s="10">
        <f t="shared" si="8"/>
        <v>3120</v>
      </c>
      <c r="L151" s="10">
        <v>23712</v>
      </c>
      <c r="M151" s="11" t="s">
        <v>1784</v>
      </c>
      <c r="N151" s="12">
        <v>3120</v>
      </c>
      <c r="O151" s="13" t="s">
        <v>32</v>
      </c>
      <c r="P151" s="14" t="s">
        <v>1724</v>
      </c>
    </row>
    <row r="152" spans="1:16" x14ac:dyDescent="0.25">
      <c r="A152" s="6"/>
      <c r="B152" s="7">
        <v>44293</v>
      </c>
      <c r="C152" s="8" t="s">
        <v>1785</v>
      </c>
      <c r="D152" s="8" t="s">
        <v>299</v>
      </c>
      <c r="E152" s="9" t="s">
        <v>813</v>
      </c>
      <c r="F152" s="9" t="s">
        <v>814</v>
      </c>
      <c r="G152" s="17">
        <v>0.51874999999999993</v>
      </c>
      <c r="H152" s="17">
        <v>0.53888888888888886</v>
      </c>
      <c r="I152" s="9">
        <v>42590</v>
      </c>
      <c r="J152" s="9">
        <v>17280</v>
      </c>
      <c r="K152" s="10">
        <f t="shared" si="8"/>
        <v>25310</v>
      </c>
      <c r="L152" s="10">
        <v>23713</v>
      </c>
      <c r="M152" s="11" t="s">
        <v>1041</v>
      </c>
      <c r="N152" s="12">
        <v>21.6</v>
      </c>
      <c r="O152" s="13" t="s">
        <v>855</v>
      </c>
      <c r="P152" s="14"/>
    </row>
    <row r="153" spans="1:16" x14ac:dyDescent="0.25">
      <c r="A153" s="6"/>
      <c r="B153" s="7">
        <v>44293</v>
      </c>
      <c r="C153" s="8" t="s">
        <v>1785</v>
      </c>
      <c r="D153" s="8" t="s">
        <v>2249</v>
      </c>
      <c r="E153" s="9" t="s">
        <v>2250</v>
      </c>
      <c r="F153" s="9" t="s">
        <v>2251</v>
      </c>
      <c r="G153" s="17">
        <v>0.53819444444444442</v>
      </c>
      <c r="H153" s="17">
        <v>0.54236111111111118</v>
      </c>
      <c r="I153" s="9">
        <v>32770</v>
      </c>
      <c r="J153" s="9">
        <v>13510</v>
      </c>
      <c r="K153" s="10">
        <f t="shared" si="8"/>
        <v>19260</v>
      </c>
      <c r="L153" s="10">
        <v>23713</v>
      </c>
      <c r="M153" s="11" t="s">
        <v>1041</v>
      </c>
      <c r="N153" s="12">
        <v>16.8</v>
      </c>
      <c r="O153" s="13" t="s">
        <v>855</v>
      </c>
      <c r="P153" s="14"/>
    </row>
    <row r="154" spans="1:16" x14ac:dyDescent="0.25">
      <c r="A154" s="6"/>
      <c r="B154" s="7">
        <v>44293</v>
      </c>
      <c r="C154" s="8" t="s">
        <v>1369</v>
      </c>
      <c r="D154" s="8" t="s">
        <v>928</v>
      </c>
      <c r="E154" s="9" t="s">
        <v>947</v>
      </c>
      <c r="F154" s="9" t="s">
        <v>948</v>
      </c>
      <c r="G154" s="17">
        <v>0.55138888888888882</v>
      </c>
      <c r="H154" s="17">
        <v>0.55555555555555558</v>
      </c>
      <c r="I154" s="9">
        <v>16975</v>
      </c>
      <c r="J154" s="9">
        <v>7510</v>
      </c>
      <c r="K154" s="10">
        <f t="shared" si="8"/>
        <v>9465</v>
      </c>
      <c r="L154" s="10">
        <v>23714</v>
      </c>
      <c r="M154" s="11" t="s">
        <v>1041</v>
      </c>
      <c r="N154" s="12">
        <v>9465</v>
      </c>
      <c r="O154" s="13" t="s">
        <v>32</v>
      </c>
      <c r="P154" s="14" t="s">
        <v>414</v>
      </c>
    </row>
    <row r="155" spans="1:16" x14ac:dyDescent="0.25">
      <c r="A155" s="6"/>
      <c r="B155" s="7">
        <v>44293</v>
      </c>
      <c r="C155" s="8" t="s">
        <v>1369</v>
      </c>
      <c r="D155" s="8" t="s">
        <v>1355</v>
      </c>
      <c r="E155" s="9" t="s">
        <v>1048</v>
      </c>
      <c r="F155" s="9" t="s">
        <v>526</v>
      </c>
      <c r="G155" s="17">
        <v>0.59375</v>
      </c>
      <c r="H155" s="17">
        <v>0.60347222222222219</v>
      </c>
      <c r="I155" s="9">
        <v>39415</v>
      </c>
      <c r="J155" s="9">
        <v>18090</v>
      </c>
      <c r="K155" s="10">
        <f t="shared" si="8"/>
        <v>21325</v>
      </c>
      <c r="L155" s="10">
        <v>23714</v>
      </c>
      <c r="M155" s="11" t="s">
        <v>1041</v>
      </c>
      <c r="N155" s="12">
        <v>21325</v>
      </c>
      <c r="O155" s="13" t="s">
        <v>32</v>
      </c>
      <c r="P155" s="14" t="s">
        <v>1129</v>
      </c>
    </row>
    <row r="156" spans="1:16" x14ac:dyDescent="0.25">
      <c r="A156" s="6"/>
      <c r="B156" s="7">
        <v>44293</v>
      </c>
      <c r="C156" s="8" t="s">
        <v>1369</v>
      </c>
      <c r="D156" s="8" t="s">
        <v>465</v>
      </c>
      <c r="E156" s="9" t="s">
        <v>748</v>
      </c>
      <c r="F156" s="9" t="s">
        <v>749</v>
      </c>
      <c r="G156" s="17">
        <v>0.59583333333333333</v>
      </c>
      <c r="H156" s="17">
        <v>0.6020833333333333</v>
      </c>
      <c r="I156" s="9">
        <v>29195</v>
      </c>
      <c r="J156" s="9">
        <v>16680</v>
      </c>
      <c r="K156" s="10">
        <f t="shared" si="8"/>
        <v>12515</v>
      </c>
      <c r="L156" s="10">
        <v>23714</v>
      </c>
      <c r="M156" s="11" t="s">
        <v>1041</v>
      </c>
      <c r="N156" s="12">
        <v>12515</v>
      </c>
      <c r="O156" s="13" t="s">
        <v>32</v>
      </c>
      <c r="P156" s="14" t="s">
        <v>2248</v>
      </c>
    </row>
    <row r="157" spans="1:16" x14ac:dyDescent="0.25">
      <c r="A157" s="6"/>
      <c r="B157" s="7">
        <v>44293</v>
      </c>
      <c r="C157" s="8" t="s">
        <v>2246</v>
      </c>
      <c r="D157" s="8" t="s">
        <v>1794</v>
      </c>
      <c r="E157" s="9" t="s">
        <v>628</v>
      </c>
      <c r="F157" s="9" t="s">
        <v>629</v>
      </c>
      <c r="G157" s="17">
        <v>0.59722222222222221</v>
      </c>
      <c r="H157" s="17">
        <v>0.60416666666666663</v>
      </c>
      <c r="I157" s="9">
        <v>9870</v>
      </c>
      <c r="J157" s="9">
        <v>9640</v>
      </c>
      <c r="K157" s="10">
        <f t="shared" si="8"/>
        <v>230</v>
      </c>
      <c r="L157" s="10">
        <v>23715</v>
      </c>
      <c r="M157" s="11" t="s">
        <v>1515</v>
      </c>
      <c r="N157" s="12">
        <v>230</v>
      </c>
      <c r="O157" s="13" t="s">
        <v>32</v>
      </c>
      <c r="P157" s="14"/>
    </row>
    <row r="158" spans="1:16" x14ac:dyDescent="0.25">
      <c r="A158" s="6"/>
      <c r="B158" s="7">
        <v>44293</v>
      </c>
      <c r="C158" s="8" t="s">
        <v>1888</v>
      </c>
      <c r="D158" s="8" t="s">
        <v>1355</v>
      </c>
      <c r="E158" s="9" t="s">
        <v>1048</v>
      </c>
      <c r="F158" s="9" t="s">
        <v>526</v>
      </c>
      <c r="G158" s="17">
        <v>0.62361111111111112</v>
      </c>
      <c r="H158" s="17">
        <v>0.70277777777777783</v>
      </c>
      <c r="I158" s="9">
        <v>19770</v>
      </c>
      <c r="J158" s="9">
        <v>54810</v>
      </c>
      <c r="K158" s="10">
        <f t="shared" si="8"/>
        <v>-35040</v>
      </c>
      <c r="L158" s="10">
        <v>5938</v>
      </c>
      <c r="M158" s="11" t="s">
        <v>53</v>
      </c>
      <c r="N158" s="12">
        <v>700</v>
      </c>
      <c r="O158" s="13" t="s">
        <v>54</v>
      </c>
      <c r="P158" s="14"/>
    </row>
    <row r="159" spans="1:16" x14ac:dyDescent="0.25">
      <c r="A159" s="6"/>
      <c r="B159" s="7">
        <v>44293</v>
      </c>
      <c r="C159" s="8" t="s">
        <v>1083</v>
      </c>
      <c r="D159" s="8" t="s">
        <v>1084</v>
      </c>
      <c r="E159" s="9" t="s">
        <v>502</v>
      </c>
      <c r="F159" s="9" t="s">
        <v>503</v>
      </c>
      <c r="G159" s="17">
        <v>0.64583333333333337</v>
      </c>
      <c r="H159" s="17">
        <v>0.65833333333333333</v>
      </c>
      <c r="I159" s="9">
        <v>7300</v>
      </c>
      <c r="J159" s="9">
        <v>5500</v>
      </c>
      <c r="K159" s="10">
        <f t="shared" si="8"/>
        <v>1800</v>
      </c>
      <c r="L159" s="10">
        <v>20199</v>
      </c>
      <c r="M159" s="11" t="s">
        <v>1873</v>
      </c>
      <c r="N159" s="12">
        <v>1800</v>
      </c>
      <c r="O159" s="13" t="s">
        <v>32</v>
      </c>
      <c r="P159" s="14" t="s">
        <v>992</v>
      </c>
    </row>
    <row r="160" spans="1:16" x14ac:dyDescent="0.25">
      <c r="A160" s="6"/>
      <c r="B160" s="7">
        <v>44293</v>
      </c>
      <c r="C160" s="8" t="s">
        <v>2123</v>
      </c>
      <c r="D160" s="8" t="s">
        <v>999</v>
      </c>
      <c r="E160" s="9" t="s">
        <v>1000</v>
      </c>
      <c r="F160" s="9" t="s">
        <v>36</v>
      </c>
      <c r="G160" s="17">
        <v>0.67847222222222225</v>
      </c>
      <c r="H160" s="17">
        <v>0.68611111111111101</v>
      </c>
      <c r="I160" s="9">
        <v>2260</v>
      </c>
      <c r="J160" s="9">
        <v>1920</v>
      </c>
      <c r="K160" s="10">
        <f t="shared" si="8"/>
        <v>340</v>
      </c>
      <c r="L160" s="10">
        <v>26790</v>
      </c>
      <c r="M160" s="11" t="s">
        <v>965</v>
      </c>
      <c r="N160" s="12">
        <v>340</v>
      </c>
      <c r="O160" s="13" t="s">
        <v>32</v>
      </c>
      <c r="P160" s="14"/>
    </row>
    <row r="161" spans="1:21" x14ac:dyDescent="0.25">
      <c r="A161" s="6"/>
      <c r="B161" s="7">
        <v>44293</v>
      </c>
      <c r="C161" s="8" t="s">
        <v>2370</v>
      </c>
      <c r="D161" s="8" t="s">
        <v>899</v>
      </c>
      <c r="E161" s="9" t="s">
        <v>490</v>
      </c>
      <c r="F161" s="9" t="s">
        <v>491</v>
      </c>
      <c r="G161" s="17">
        <v>0.68472222222222223</v>
      </c>
      <c r="H161" s="17">
        <v>0.69305555555555554</v>
      </c>
      <c r="I161" s="9">
        <v>39700</v>
      </c>
      <c r="J161" s="9">
        <v>15900</v>
      </c>
      <c r="K161" s="10">
        <f t="shared" ref="K161" si="9">+I161-J161</f>
        <v>23800</v>
      </c>
      <c r="L161" s="10">
        <v>26791</v>
      </c>
      <c r="M161" s="11" t="s">
        <v>1784</v>
      </c>
      <c r="N161" s="12">
        <v>23800</v>
      </c>
      <c r="O161" s="13" t="s">
        <v>32</v>
      </c>
      <c r="P161" s="14"/>
    </row>
    <row r="162" spans="1:21" x14ac:dyDescent="0.25">
      <c r="A162" s="6"/>
      <c r="B162" s="7">
        <v>44293</v>
      </c>
      <c r="C162" s="8" t="s">
        <v>2370</v>
      </c>
      <c r="D162" s="8" t="s">
        <v>299</v>
      </c>
      <c r="E162" s="9" t="s">
        <v>813</v>
      </c>
      <c r="F162" s="9" t="s">
        <v>814</v>
      </c>
      <c r="G162" s="17">
        <v>0.70138888888888884</v>
      </c>
      <c r="H162" s="17">
        <v>0.71458333333333324</v>
      </c>
      <c r="I162" s="9">
        <v>43180</v>
      </c>
      <c r="J162" s="93">
        <v>17280</v>
      </c>
      <c r="K162" s="10">
        <f t="shared" si="8"/>
        <v>25900</v>
      </c>
      <c r="L162" s="10">
        <v>26792</v>
      </c>
      <c r="M162" s="11" t="s">
        <v>1784</v>
      </c>
      <c r="N162" s="12">
        <v>25900</v>
      </c>
      <c r="O162" s="13" t="s">
        <v>32</v>
      </c>
      <c r="P162" s="14"/>
      <c r="Q162" s="1">
        <v>5</v>
      </c>
      <c r="R162" s="1">
        <f>+Q162-R163</f>
        <v>3</v>
      </c>
      <c r="S162" s="1">
        <f>+R162*2.4</f>
        <v>7.1999999999999993</v>
      </c>
      <c r="T162" s="1">
        <f>+S162+S163</f>
        <v>11.2</v>
      </c>
    </row>
    <row r="163" spans="1:21" x14ac:dyDescent="0.25">
      <c r="A163" s="6"/>
      <c r="B163" s="7">
        <v>44293</v>
      </c>
      <c r="C163" s="8" t="s">
        <v>2445</v>
      </c>
      <c r="D163" s="8" t="s">
        <v>1850</v>
      </c>
      <c r="E163" s="9" t="s">
        <v>144</v>
      </c>
      <c r="F163" s="9" t="s">
        <v>626</v>
      </c>
      <c r="G163" s="17">
        <v>0.7055555555555556</v>
      </c>
      <c r="H163" s="17">
        <v>0.71875</v>
      </c>
      <c r="I163" s="9">
        <v>38330</v>
      </c>
      <c r="J163" s="9">
        <v>15580</v>
      </c>
      <c r="K163" s="10">
        <f t="shared" si="8"/>
        <v>22750</v>
      </c>
      <c r="L163" s="10">
        <v>38309</v>
      </c>
      <c r="M163" s="11" t="s">
        <v>2448</v>
      </c>
      <c r="N163" s="12">
        <v>22.78</v>
      </c>
      <c r="O163" s="13" t="s">
        <v>855</v>
      </c>
      <c r="P163" s="14"/>
      <c r="R163" s="1">
        <v>2</v>
      </c>
      <c r="S163" s="1">
        <f>+R163*2</f>
        <v>4</v>
      </c>
    </row>
    <row r="164" spans="1:21" x14ac:dyDescent="0.25">
      <c r="A164" s="6"/>
      <c r="B164" s="7">
        <v>44293</v>
      </c>
      <c r="C164" s="8" t="s">
        <v>469</v>
      </c>
      <c r="D164" s="8" t="s">
        <v>899</v>
      </c>
      <c r="E164" s="9" t="s">
        <v>490</v>
      </c>
      <c r="F164" s="9" t="s">
        <v>491</v>
      </c>
      <c r="G164" s="17">
        <v>0.71319444444444446</v>
      </c>
      <c r="H164" s="17">
        <v>0.74375000000000002</v>
      </c>
      <c r="I164" s="9">
        <v>15010</v>
      </c>
      <c r="J164" s="9">
        <v>38200</v>
      </c>
      <c r="K164" s="10">
        <f t="shared" si="8"/>
        <v>-23190</v>
      </c>
      <c r="L164" s="10">
        <v>5939</v>
      </c>
      <c r="M164" s="11" t="s">
        <v>1872</v>
      </c>
      <c r="N164" s="12">
        <v>22030</v>
      </c>
      <c r="O164" s="13" t="s">
        <v>32</v>
      </c>
      <c r="P164" s="14" t="s">
        <v>468</v>
      </c>
      <c r="Q164" s="2"/>
    </row>
    <row r="165" spans="1:21" x14ac:dyDescent="0.25">
      <c r="A165" s="6"/>
      <c r="B165" s="7">
        <v>44293</v>
      </c>
      <c r="C165" s="8" t="s">
        <v>1042</v>
      </c>
      <c r="D165" s="8" t="s">
        <v>1794</v>
      </c>
      <c r="E165" s="9" t="s">
        <v>628</v>
      </c>
      <c r="F165" s="9" t="s">
        <v>629</v>
      </c>
      <c r="G165" s="17">
        <v>0.71666666666666667</v>
      </c>
      <c r="H165" s="17">
        <v>0.72222222222222221</v>
      </c>
      <c r="I165" s="9">
        <v>21170</v>
      </c>
      <c r="J165" s="9">
        <v>9640</v>
      </c>
      <c r="K165" s="10">
        <f t="shared" si="8"/>
        <v>11530</v>
      </c>
      <c r="L165" s="10">
        <v>23716</v>
      </c>
      <c r="M165" s="11" t="s">
        <v>2450</v>
      </c>
      <c r="N165" s="12">
        <v>11.2</v>
      </c>
      <c r="O165" s="13" t="s">
        <v>855</v>
      </c>
      <c r="P165" s="14"/>
      <c r="Q165" s="1">
        <v>9</v>
      </c>
      <c r="R165" s="1">
        <f>+Q165-R166</f>
        <v>6.6749999999999998</v>
      </c>
      <c r="S165" s="1">
        <f>+R165*2.4</f>
        <v>16.02</v>
      </c>
      <c r="T165" s="1">
        <f>+S165+S166</f>
        <v>20.67</v>
      </c>
    </row>
    <row r="166" spans="1:21" x14ac:dyDescent="0.25">
      <c r="A166" s="6"/>
      <c r="B166" s="7">
        <v>44293</v>
      </c>
      <c r="C166" s="8" t="s">
        <v>1042</v>
      </c>
      <c r="D166" s="8" t="s">
        <v>243</v>
      </c>
      <c r="E166" s="9" t="s">
        <v>440</v>
      </c>
      <c r="F166" s="9" t="s">
        <v>1276</v>
      </c>
      <c r="G166" s="17">
        <v>0.72083333333333333</v>
      </c>
      <c r="H166" s="17">
        <v>0.7284722222222223</v>
      </c>
      <c r="I166" s="9">
        <v>37150</v>
      </c>
      <c r="J166" s="9">
        <v>15540</v>
      </c>
      <c r="K166" s="10">
        <f t="shared" si="8"/>
        <v>21610</v>
      </c>
      <c r="L166" s="10">
        <v>23716</v>
      </c>
      <c r="M166" s="11" t="s">
        <v>2450</v>
      </c>
      <c r="N166" s="12">
        <v>20.67</v>
      </c>
      <c r="O166" s="13" t="s">
        <v>855</v>
      </c>
      <c r="P166" s="14"/>
      <c r="R166" s="1">
        <v>2.3250000000000002</v>
      </c>
      <c r="S166" s="1">
        <f>+R166*2</f>
        <v>4.6500000000000004</v>
      </c>
    </row>
    <row r="167" spans="1:21" x14ac:dyDescent="0.25">
      <c r="A167" s="6"/>
      <c r="B167" s="7">
        <v>44293</v>
      </c>
      <c r="C167" s="8" t="s">
        <v>2123</v>
      </c>
      <c r="D167" s="8" t="s">
        <v>1853</v>
      </c>
      <c r="E167" s="9" t="s">
        <v>1231</v>
      </c>
      <c r="F167" s="9" t="s">
        <v>36</v>
      </c>
      <c r="G167" s="17">
        <v>0.73749999999999993</v>
      </c>
      <c r="H167" s="17">
        <v>0.75208333333333333</v>
      </c>
      <c r="I167" s="9">
        <v>14910</v>
      </c>
      <c r="J167" s="9">
        <v>6660</v>
      </c>
      <c r="K167" s="10">
        <f t="shared" si="8"/>
        <v>8250</v>
      </c>
      <c r="L167" s="10">
        <v>26793</v>
      </c>
      <c r="M167" s="11" t="s">
        <v>966</v>
      </c>
      <c r="N167" s="12">
        <v>8250</v>
      </c>
      <c r="O167" s="13" t="s">
        <v>32</v>
      </c>
      <c r="P167" s="14"/>
      <c r="U167" s="23"/>
    </row>
    <row r="168" spans="1:21" x14ac:dyDescent="0.25">
      <c r="A168" s="6"/>
      <c r="B168" s="7">
        <v>44293</v>
      </c>
      <c r="C168" s="8" t="s">
        <v>1042</v>
      </c>
      <c r="D168" s="8" t="s">
        <v>928</v>
      </c>
      <c r="E168" s="9" t="s">
        <v>947</v>
      </c>
      <c r="F168" s="9" t="s">
        <v>948</v>
      </c>
      <c r="G168" s="17">
        <v>0.76041666666666663</v>
      </c>
      <c r="H168" s="17">
        <v>0.76874999999999993</v>
      </c>
      <c r="I168" s="9">
        <v>11440</v>
      </c>
      <c r="J168" s="9">
        <v>7500</v>
      </c>
      <c r="K168" s="10">
        <f t="shared" si="8"/>
        <v>3940</v>
      </c>
      <c r="L168" s="10">
        <v>23716</v>
      </c>
      <c r="M168" s="11" t="s">
        <v>2450</v>
      </c>
      <c r="N168" s="12">
        <v>2.9</v>
      </c>
      <c r="O168" s="13" t="s">
        <v>855</v>
      </c>
      <c r="P168" s="14"/>
      <c r="Q168" s="1">
        <v>1.25</v>
      </c>
      <c r="R168" s="1">
        <f>+Q168-R169</f>
        <v>1</v>
      </c>
      <c r="S168" s="1">
        <f>+R168*2.4</f>
        <v>2.4</v>
      </c>
      <c r="T168" s="1">
        <f>+S168+S169</f>
        <v>2.9</v>
      </c>
    </row>
    <row r="169" spans="1:21" x14ac:dyDescent="0.25">
      <c r="A169" s="6"/>
      <c r="B169" s="7">
        <v>44293</v>
      </c>
      <c r="C169" s="8" t="s">
        <v>2445</v>
      </c>
      <c r="D169" s="8" t="s">
        <v>853</v>
      </c>
      <c r="E169" s="9" t="s">
        <v>51</v>
      </c>
      <c r="F169" s="9" t="s">
        <v>52</v>
      </c>
      <c r="G169" s="17">
        <v>0.76180555555555562</v>
      </c>
      <c r="H169" s="17">
        <v>0.7729166666666667</v>
      </c>
      <c r="I169" s="9">
        <v>34220</v>
      </c>
      <c r="J169" s="9">
        <v>14830</v>
      </c>
      <c r="K169" s="10">
        <f t="shared" si="8"/>
        <v>19390</v>
      </c>
      <c r="L169" s="10">
        <v>38313</v>
      </c>
      <c r="M169" s="11" t="s">
        <v>2449</v>
      </c>
      <c r="N169" s="12">
        <v>17.22</v>
      </c>
      <c r="O169" s="13" t="s">
        <v>855</v>
      </c>
      <c r="P169" s="14"/>
      <c r="R169" s="1">
        <v>0.25</v>
      </c>
      <c r="S169" s="1">
        <f>+R169*2</f>
        <v>0.5</v>
      </c>
    </row>
    <row r="170" spans="1:21" x14ac:dyDescent="0.25">
      <c r="A170" s="6"/>
      <c r="B170" s="7">
        <v>44293</v>
      </c>
      <c r="C170" s="8" t="s">
        <v>2451</v>
      </c>
      <c r="D170" s="8" t="s">
        <v>174</v>
      </c>
      <c r="E170" s="9" t="s">
        <v>699</v>
      </c>
      <c r="F170" s="9" t="s">
        <v>459</v>
      </c>
      <c r="G170" s="17">
        <v>0.80069444444444438</v>
      </c>
      <c r="H170" s="17">
        <v>0.84097222222222223</v>
      </c>
      <c r="I170" s="9">
        <v>13090</v>
      </c>
      <c r="J170" s="9">
        <v>8260</v>
      </c>
      <c r="K170" s="10">
        <f t="shared" si="8"/>
        <v>4830</v>
      </c>
      <c r="L170" s="10" t="s">
        <v>2452</v>
      </c>
      <c r="M170" s="11" t="s">
        <v>48</v>
      </c>
      <c r="N170" s="12">
        <f>788+2027+4248+2937</f>
        <v>10000</v>
      </c>
      <c r="O170" s="13" t="s">
        <v>49</v>
      </c>
      <c r="P170" s="14"/>
      <c r="Q170" s="1">
        <f>+Q168+Q165+Q162</f>
        <v>15.25</v>
      </c>
      <c r="R170" s="1">
        <f>+Q170*0.3</f>
        <v>4.5750000000000002</v>
      </c>
      <c r="T170" s="1">
        <f>+T168+T165+T162</f>
        <v>34.769999999999996</v>
      </c>
    </row>
    <row r="171" spans="1:21" x14ac:dyDescent="0.25">
      <c r="A171" s="6"/>
      <c r="B171" s="7">
        <v>44293</v>
      </c>
      <c r="C171" s="8" t="s">
        <v>984</v>
      </c>
      <c r="D171" s="8" t="s">
        <v>465</v>
      </c>
      <c r="E171" s="9" t="s">
        <v>748</v>
      </c>
      <c r="F171" s="9" t="s">
        <v>749</v>
      </c>
      <c r="G171" s="17">
        <v>0.83750000000000002</v>
      </c>
      <c r="H171" s="17">
        <v>0.84930555555555554</v>
      </c>
      <c r="I171" s="9">
        <v>40000</v>
      </c>
      <c r="J171" s="9">
        <v>16670</v>
      </c>
      <c r="K171" s="10">
        <f t="shared" si="8"/>
        <v>23330</v>
      </c>
      <c r="L171" s="10">
        <v>23718</v>
      </c>
      <c r="M171" s="11" t="s">
        <v>2453</v>
      </c>
      <c r="N171" s="12">
        <v>21.6</v>
      </c>
      <c r="O171" s="13" t="s">
        <v>855</v>
      </c>
      <c r="P171" s="14"/>
    </row>
    <row r="172" spans="1:21" x14ac:dyDescent="0.25">
      <c r="A172" s="6"/>
      <c r="B172" s="7">
        <v>44293</v>
      </c>
      <c r="C172" s="8" t="s">
        <v>984</v>
      </c>
      <c r="D172" s="8" t="s">
        <v>299</v>
      </c>
      <c r="E172" s="9" t="s">
        <v>813</v>
      </c>
      <c r="F172" s="9" t="s">
        <v>814</v>
      </c>
      <c r="G172" s="17">
        <v>0.84236111111111101</v>
      </c>
      <c r="H172" s="17">
        <v>0.85138888888888886</v>
      </c>
      <c r="I172" s="9">
        <v>41000</v>
      </c>
      <c r="J172" s="9">
        <v>17270</v>
      </c>
      <c r="K172" s="10">
        <f t="shared" si="8"/>
        <v>23730</v>
      </c>
      <c r="L172" s="10">
        <v>23718</v>
      </c>
      <c r="M172" s="11" t="s">
        <v>1041</v>
      </c>
      <c r="N172" s="12">
        <v>21.6</v>
      </c>
      <c r="O172" s="13" t="s">
        <v>855</v>
      </c>
      <c r="P172" s="14"/>
    </row>
    <row r="173" spans="1:21" x14ac:dyDescent="0.25">
      <c r="A173" s="6"/>
      <c r="B173" s="7">
        <v>44293</v>
      </c>
      <c r="C173" s="8" t="s">
        <v>984</v>
      </c>
      <c r="D173" s="8" t="s">
        <v>1794</v>
      </c>
      <c r="E173" s="9" t="s">
        <v>628</v>
      </c>
      <c r="F173" s="9" t="s">
        <v>629</v>
      </c>
      <c r="G173" s="17">
        <v>0.86041666666666661</v>
      </c>
      <c r="H173" s="17">
        <v>0.86944444444444446</v>
      </c>
      <c r="I173" s="9">
        <v>22980</v>
      </c>
      <c r="J173" s="9">
        <v>9620</v>
      </c>
      <c r="K173" s="10">
        <f t="shared" si="8"/>
        <v>13360</v>
      </c>
      <c r="L173" s="10">
        <v>23718</v>
      </c>
      <c r="M173" s="11" t="s">
        <v>1041</v>
      </c>
      <c r="N173" s="12">
        <v>12</v>
      </c>
      <c r="O173" s="13" t="s">
        <v>855</v>
      </c>
      <c r="P173" s="14"/>
    </row>
    <row r="174" spans="1:21" x14ac:dyDescent="0.25">
      <c r="A174" s="6"/>
      <c r="B174" s="7">
        <v>44293</v>
      </c>
      <c r="C174" s="8" t="s">
        <v>984</v>
      </c>
      <c r="D174" s="8" t="s">
        <v>928</v>
      </c>
      <c r="E174" s="9" t="s">
        <v>947</v>
      </c>
      <c r="F174" s="9" t="s">
        <v>948</v>
      </c>
      <c r="G174" s="17">
        <v>0.87777777777777777</v>
      </c>
      <c r="H174" s="17">
        <v>0.88541666666666663</v>
      </c>
      <c r="I174" s="9">
        <v>8200</v>
      </c>
      <c r="J174" s="9">
        <v>7450</v>
      </c>
      <c r="K174" s="10">
        <f t="shared" si="8"/>
        <v>750</v>
      </c>
      <c r="L174" s="10">
        <v>23718</v>
      </c>
      <c r="M174" s="11" t="s">
        <v>1041</v>
      </c>
      <c r="N174" s="12">
        <v>0.6</v>
      </c>
      <c r="O174" s="13" t="s">
        <v>855</v>
      </c>
      <c r="P174" s="14"/>
    </row>
    <row r="175" spans="1:21" x14ac:dyDescent="0.25">
      <c r="A175" s="6"/>
      <c r="B175" s="7">
        <v>44293</v>
      </c>
      <c r="C175" s="8" t="s">
        <v>208</v>
      </c>
      <c r="D175" s="8" t="s">
        <v>465</v>
      </c>
      <c r="E175" s="9" t="s">
        <v>748</v>
      </c>
      <c r="F175" s="9" t="s">
        <v>749</v>
      </c>
      <c r="G175" s="17">
        <v>0.8965277777777777</v>
      </c>
      <c r="H175" s="17">
        <v>0.36180555555555555</v>
      </c>
      <c r="I175" s="9">
        <v>38040</v>
      </c>
      <c r="J175" s="9">
        <v>18280</v>
      </c>
      <c r="K175" s="10">
        <f t="shared" si="8"/>
        <v>19760</v>
      </c>
      <c r="L175" s="10">
        <v>41598</v>
      </c>
      <c r="M175" s="11" t="s">
        <v>1626</v>
      </c>
      <c r="N175" s="12">
        <v>19820</v>
      </c>
      <c r="O175" s="13" t="s">
        <v>32</v>
      </c>
      <c r="P175" s="14"/>
      <c r="Q175" s="2"/>
    </row>
    <row r="176" spans="1:21" x14ac:dyDescent="0.25">
      <c r="A176" s="6"/>
      <c r="B176" s="7">
        <v>44293</v>
      </c>
      <c r="C176" s="8" t="s">
        <v>2123</v>
      </c>
      <c r="D176" s="8" t="s">
        <v>1853</v>
      </c>
      <c r="E176" s="9" t="s">
        <v>1231</v>
      </c>
      <c r="F176" s="9" t="s">
        <v>36</v>
      </c>
      <c r="G176" s="17">
        <v>0.90208333333333324</v>
      </c>
      <c r="H176" s="17">
        <v>0.94027777777777777</v>
      </c>
      <c r="I176" s="9">
        <v>8880</v>
      </c>
      <c r="J176" s="9">
        <v>4060</v>
      </c>
      <c r="K176" s="10">
        <f t="shared" ref="K176" si="10">+I176-J176</f>
        <v>4820</v>
      </c>
      <c r="L176" s="10">
        <v>26794</v>
      </c>
      <c r="M176" s="11" t="s">
        <v>966</v>
      </c>
      <c r="N176" s="12">
        <v>4820</v>
      </c>
      <c r="O176" s="13" t="s">
        <v>32</v>
      </c>
      <c r="P176" s="14"/>
    </row>
    <row r="177" spans="1:16" x14ac:dyDescent="0.25">
      <c r="A177" s="6"/>
      <c r="B177" s="7">
        <v>44293</v>
      </c>
      <c r="C177" s="8" t="s">
        <v>37</v>
      </c>
      <c r="D177" s="8" t="s">
        <v>2418</v>
      </c>
      <c r="E177" s="9" t="s">
        <v>39</v>
      </c>
      <c r="F177" s="9" t="s">
        <v>36</v>
      </c>
      <c r="G177" s="17">
        <v>0.92291666666666661</v>
      </c>
      <c r="H177" s="17">
        <v>0.96319444444444446</v>
      </c>
      <c r="I177" s="9">
        <v>21355</v>
      </c>
      <c r="J177" s="9">
        <v>6270</v>
      </c>
      <c r="K177" s="10">
        <f t="shared" si="8"/>
        <v>15085</v>
      </c>
      <c r="L177" s="10">
        <v>26795</v>
      </c>
      <c r="M177" s="11" t="s">
        <v>1618</v>
      </c>
      <c r="N177" s="12">
        <v>15085</v>
      </c>
      <c r="O177" s="13" t="s">
        <v>32</v>
      </c>
      <c r="P177" s="14"/>
    </row>
    <row r="178" spans="1:16" x14ac:dyDescent="0.25">
      <c r="A178" s="6"/>
      <c r="B178" s="7">
        <v>44293</v>
      </c>
      <c r="C178" s="8" t="s">
        <v>2123</v>
      </c>
      <c r="D178" s="8" t="s">
        <v>999</v>
      </c>
      <c r="E178" s="9" t="s">
        <v>1000</v>
      </c>
      <c r="F178" s="9" t="s">
        <v>36</v>
      </c>
      <c r="G178" s="17">
        <v>0.99097222222222225</v>
      </c>
      <c r="H178" s="17">
        <v>1.3888888888888889E-3</v>
      </c>
      <c r="I178" s="9">
        <v>2380</v>
      </c>
      <c r="J178" s="9">
        <v>1920</v>
      </c>
      <c r="K178" s="10">
        <f t="shared" si="8"/>
        <v>460</v>
      </c>
      <c r="L178" s="10">
        <v>26796</v>
      </c>
      <c r="M178" s="11" t="s">
        <v>1680</v>
      </c>
      <c r="N178" s="12">
        <v>460</v>
      </c>
      <c r="O178" s="13" t="s">
        <v>32</v>
      </c>
      <c r="P178" s="14"/>
    </row>
    <row r="179" spans="1:16" x14ac:dyDescent="0.25">
      <c r="A179" s="6"/>
      <c r="B179" s="7">
        <v>44294</v>
      </c>
      <c r="C179" s="8" t="s">
        <v>133</v>
      </c>
      <c r="D179" s="8" t="s">
        <v>2419</v>
      </c>
      <c r="E179" s="95" t="s">
        <v>220</v>
      </c>
      <c r="F179" s="9" t="s">
        <v>924</v>
      </c>
      <c r="G179" s="17">
        <v>9.6527777777777768E-2</v>
      </c>
      <c r="H179" s="17">
        <v>0.27638888888888885</v>
      </c>
      <c r="I179" s="9">
        <v>21300</v>
      </c>
      <c r="J179" s="9">
        <v>9280</v>
      </c>
      <c r="K179" s="10">
        <f t="shared" si="8"/>
        <v>12020</v>
      </c>
      <c r="L179" s="10" t="s">
        <v>2454</v>
      </c>
      <c r="M179" s="11" t="s">
        <v>2421</v>
      </c>
      <c r="N179" s="12">
        <v>12129</v>
      </c>
      <c r="O179" s="13" t="s">
        <v>32</v>
      </c>
      <c r="P179" s="14"/>
    </row>
    <row r="180" spans="1:16" x14ac:dyDescent="0.25">
      <c r="A180" s="6"/>
      <c r="B180" s="7">
        <v>44294</v>
      </c>
      <c r="C180" s="8" t="s">
        <v>871</v>
      </c>
      <c r="D180" s="8" t="s">
        <v>86</v>
      </c>
      <c r="E180" s="9" t="s">
        <v>87</v>
      </c>
      <c r="F180" s="9" t="s">
        <v>88</v>
      </c>
      <c r="G180" s="17">
        <v>0.11388888888888889</v>
      </c>
      <c r="H180" s="17">
        <v>0.12083333333333333</v>
      </c>
      <c r="I180" s="9">
        <v>34600</v>
      </c>
      <c r="J180" s="9">
        <v>17220</v>
      </c>
      <c r="K180" s="10">
        <f>+I180-J180</f>
        <v>17380</v>
      </c>
      <c r="L180" s="10">
        <v>805</v>
      </c>
      <c r="M180" s="11" t="s">
        <v>257</v>
      </c>
      <c r="N180" s="12">
        <v>17322</v>
      </c>
      <c r="O180" s="13" t="s">
        <v>32</v>
      </c>
      <c r="P180" s="14"/>
    </row>
    <row r="181" spans="1:16" x14ac:dyDescent="0.25">
      <c r="A181" s="6"/>
      <c r="B181" s="15">
        <v>44294</v>
      </c>
      <c r="C181" s="16" t="s">
        <v>2455</v>
      </c>
      <c r="D181" s="8" t="s">
        <v>917</v>
      </c>
      <c r="E181" s="9" t="s">
        <v>918</v>
      </c>
      <c r="F181" s="9" t="s">
        <v>36</v>
      </c>
      <c r="G181" s="17">
        <v>0.37361111111111112</v>
      </c>
      <c r="H181" s="17">
        <v>0.41041666666666665</v>
      </c>
      <c r="I181" s="9">
        <v>17500</v>
      </c>
      <c r="J181" s="9">
        <v>47650</v>
      </c>
      <c r="K181" s="10">
        <f t="shared" si="8"/>
        <v>-30150</v>
      </c>
      <c r="L181" s="10">
        <v>5940</v>
      </c>
      <c r="M181" s="11" t="s">
        <v>53</v>
      </c>
      <c r="N181" s="12">
        <v>600</v>
      </c>
      <c r="O181" s="13" t="s">
        <v>54</v>
      </c>
      <c r="P181" s="14"/>
    </row>
    <row r="182" spans="1:16" x14ac:dyDescent="0.25">
      <c r="A182" s="6"/>
      <c r="B182" s="7">
        <v>44294</v>
      </c>
      <c r="C182" s="8" t="s">
        <v>2456</v>
      </c>
      <c r="D182" s="8" t="s">
        <v>2457</v>
      </c>
      <c r="E182" s="9" t="s">
        <v>2458</v>
      </c>
      <c r="F182" s="9" t="s">
        <v>36</v>
      </c>
      <c r="G182" s="17">
        <v>0.45624999999999999</v>
      </c>
      <c r="H182" s="17">
        <v>0.47013888888888888</v>
      </c>
      <c r="I182" s="9">
        <v>5540</v>
      </c>
      <c r="J182" s="9">
        <v>5980</v>
      </c>
      <c r="K182" s="10">
        <f t="shared" si="8"/>
        <v>-440</v>
      </c>
      <c r="L182" s="10">
        <v>15699</v>
      </c>
      <c r="M182" s="11" t="s">
        <v>2459</v>
      </c>
      <c r="N182" s="12">
        <v>440</v>
      </c>
      <c r="O182" s="13" t="s">
        <v>32</v>
      </c>
      <c r="P182" s="14"/>
    </row>
    <row r="183" spans="1:16" x14ac:dyDescent="0.25">
      <c r="A183" s="6"/>
      <c r="B183" s="7">
        <v>44294</v>
      </c>
      <c r="C183" s="43" t="s">
        <v>1630</v>
      </c>
      <c r="D183" s="43" t="s">
        <v>602</v>
      </c>
      <c r="E183" s="44" t="s">
        <v>1632</v>
      </c>
      <c r="F183" s="44" t="s">
        <v>266</v>
      </c>
      <c r="G183" s="17">
        <v>0.46458333333333335</v>
      </c>
      <c r="H183" s="17">
        <v>0.47986111111111113</v>
      </c>
      <c r="I183" s="9">
        <v>5880</v>
      </c>
      <c r="J183" s="9">
        <v>5530</v>
      </c>
      <c r="K183" s="10">
        <f>+I183-J183</f>
        <v>350</v>
      </c>
      <c r="L183" s="10" t="s">
        <v>2461</v>
      </c>
      <c r="M183" s="47" t="s">
        <v>2460</v>
      </c>
      <c r="N183" s="12">
        <v>350</v>
      </c>
      <c r="O183" s="13" t="s">
        <v>32</v>
      </c>
      <c r="P183" s="14"/>
    </row>
    <row r="184" spans="1:16" x14ac:dyDescent="0.25">
      <c r="A184" s="6"/>
      <c r="B184" s="7">
        <v>44294</v>
      </c>
      <c r="C184" s="8" t="s">
        <v>2462</v>
      </c>
      <c r="D184" s="8" t="s">
        <v>928</v>
      </c>
      <c r="E184" s="9" t="s">
        <v>947</v>
      </c>
      <c r="F184" s="9" t="s">
        <v>948</v>
      </c>
      <c r="G184" s="17">
        <v>0.47847222222222219</v>
      </c>
      <c r="H184" s="17">
        <v>0.48819444444444443</v>
      </c>
      <c r="I184" s="9">
        <v>16550</v>
      </c>
      <c r="J184" s="9">
        <v>7450</v>
      </c>
      <c r="K184" s="10">
        <f t="shared" si="8"/>
        <v>9100</v>
      </c>
      <c r="L184" s="10">
        <v>23719</v>
      </c>
      <c r="M184" s="11" t="s">
        <v>1041</v>
      </c>
      <c r="N184" s="12">
        <v>8.4</v>
      </c>
      <c r="O184" s="13" t="s">
        <v>855</v>
      </c>
      <c r="P184" s="14"/>
    </row>
    <row r="185" spans="1:16" x14ac:dyDescent="0.25">
      <c r="A185" s="6"/>
      <c r="B185" s="7">
        <v>44294</v>
      </c>
      <c r="C185" s="8" t="s">
        <v>1096</v>
      </c>
      <c r="D185" s="8" t="s">
        <v>1794</v>
      </c>
      <c r="E185" s="9" t="s">
        <v>628</v>
      </c>
      <c r="F185" s="9" t="s">
        <v>629</v>
      </c>
      <c r="G185" s="17">
        <v>0.49513888888888885</v>
      </c>
      <c r="H185" s="17">
        <v>0.50347222222222221</v>
      </c>
      <c r="I185" s="9">
        <v>22340</v>
      </c>
      <c r="J185" s="9">
        <v>9590</v>
      </c>
      <c r="K185" s="10">
        <f t="shared" si="8"/>
        <v>12750</v>
      </c>
      <c r="L185" s="10">
        <v>23720</v>
      </c>
      <c r="M185" s="11" t="s">
        <v>1784</v>
      </c>
      <c r="N185" s="12">
        <v>12</v>
      </c>
      <c r="O185" s="13" t="s">
        <v>855</v>
      </c>
      <c r="P185" s="14"/>
    </row>
    <row r="186" spans="1:16" x14ac:dyDescent="0.25">
      <c r="A186" s="6"/>
      <c r="B186" s="7">
        <v>44294</v>
      </c>
      <c r="C186" s="8" t="s">
        <v>2463</v>
      </c>
      <c r="D186" s="8" t="s">
        <v>1850</v>
      </c>
      <c r="E186" s="9" t="s">
        <v>144</v>
      </c>
      <c r="F186" s="9" t="s">
        <v>626</v>
      </c>
      <c r="G186" s="17">
        <v>0.5180555555555556</v>
      </c>
      <c r="H186" s="17">
        <v>0.52708333333333335</v>
      </c>
      <c r="I186" s="9">
        <v>39480</v>
      </c>
      <c r="J186" s="9">
        <v>15560</v>
      </c>
      <c r="K186" s="10">
        <f t="shared" si="8"/>
        <v>23920</v>
      </c>
      <c r="L186" s="10" t="s">
        <v>2464</v>
      </c>
      <c r="M186" s="11" t="s">
        <v>1041</v>
      </c>
      <c r="N186" s="12">
        <v>21.6</v>
      </c>
      <c r="O186" s="13" t="s">
        <v>855</v>
      </c>
      <c r="P186" s="14"/>
    </row>
    <row r="187" spans="1:16" x14ac:dyDescent="0.25">
      <c r="A187" s="6"/>
      <c r="B187" s="7">
        <v>44294</v>
      </c>
      <c r="C187" s="8" t="s">
        <v>1065</v>
      </c>
      <c r="D187" s="8" t="s">
        <v>243</v>
      </c>
      <c r="E187" s="9" t="s">
        <v>440</v>
      </c>
      <c r="F187" s="9" t="s">
        <v>1276</v>
      </c>
      <c r="G187" s="17">
        <v>0.51874999999999993</v>
      </c>
      <c r="H187" s="17">
        <v>0.52916666666666667</v>
      </c>
      <c r="I187" s="9">
        <v>40600</v>
      </c>
      <c r="J187" s="9">
        <v>15430</v>
      </c>
      <c r="K187" s="10">
        <f t="shared" si="8"/>
        <v>25170</v>
      </c>
      <c r="L187" s="10">
        <v>23721</v>
      </c>
      <c r="M187" s="11" t="s">
        <v>1041</v>
      </c>
      <c r="N187" s="12">
        <v>21.6</v>
      </c>
      <c r="O187" s="13" t="s">
        <v>855</v>
      </c>
      <c r="P187" s="14"/>
    </row>
    <row r="188" spans="1:16" x14ac:dyDescent="0.25">
      <c r="A188" s="6"/>
      <c r="B188" s="7">
        <v>44294</v>
      </c>
      <c r="C188" s="8" t="s">
        <v>1711</v>
      </c>
      <c r="D188" s="8" t="s">
        <v>928</v>
      </c>
      <c r="E188" s="9" t="s">
        <v>947</v>
      </c>
      <c r="F188" s="9" t="s">
        <v>948</v>
      </c>
      <c r="G188" s="17">
        <v>0.56527777777777777</v>
      </c>
      <c r="H188" s="17">
        <v>0.57222222222222219</v>
      </c>
      <c r="I188" s="9">
        <v>9780</v>
      </c>
      <c r="J188" s="9">
        <v>7430</v>
      </c>
      <c r="K188" s="10">
        <f t="shared" si="8"/>
        <v>2350</v>
      </c>
      <c r="L188" s="10">
        <v>23724</v>
      </c>
      <c r="M188" s="11" t="s">
        <v>1515</v>
      </c>
      <c r="N188" s="12">
        <v>2.2000000000000002</v>
      </c>
      <c r="O188" s="13" t="s">
        <v>855</v>
      </c>
      <c r="P188" s="14"/>
    </row>
    <row r="189" spans="1:16" x14ac:dyDescent="0.25">
      <c r="A189" s="6"/>
      <c r="B189" s="7">
        <v>44294</v>
      </c>
      <c r="C189" s="8" t="s">
        <v>2465</v>
      </c>
      <c r="D189" s="8" t="s">
        <v>853</v>
      </c>
      <c r="E189" s="9" t="s">
        <v>51</v>
      </c>
      <c r="F189" s="9" t="s">
        <v>52</v>
      </c>
      <c r="G189" s="17">
        <v>0.58611111111111114</v>
      </c>
      <c r="H189" s="17">
        <v>0.59305555555555556</v>
      </c>
      <c r="I189" s="9">
        <v>27810</v>
      </c>
      <c r="J189" s="9">
        <v>14830</v>
      </c>
      <c r="K189" s="10">
        <f t="shared" si="8"/>
        <v>12980</v>
      </c>
      <c r="L189" s="10" t="s">
        <v>2466</v>
      </c>
      <c r="M189" s="11" t="s">
        <v>1784</v>
      </c>
      <c r="N189" s="12">
        <v>11.28</v>
      </c>
      <c r="O189" s="13" t="s">
        <v>855</v>
      </c>
      <c r="P189" s="14"/>
    </row>
    <row r="190" spans="1:16" x14ac:dyDescent="0.25">
      <c r="A190" s="6"/>
      <c r="B190" s="7">
        <v>44294</v>
      </c>
      <c r="C190" s="8" t="s">
        <v>2467</v>
      </c>
      <c r="D190" s="8" t="s">
        <v>299</v>
      </c>
      <c r="E190" s="9" t="s">
        <v>813</v>
      </c>
      <c r="F190" s="9" t="s">
        <v>814</v>
      </c>
      <c r="G190" s="17">
        <v>0.61805555555555558</v>
      </c>
      <c r="H190" s="17">
        <v>0.63194444444444442</v>
      </c>
      <c r="I190" s="9">
        <v>42670</v>
      </c>
      <c r="J190" s="9">
        <v>17260</v>
      </c>
      <c r="K190" s="10">
        <f t="shared" si="8"/>
        <v>25410</v>
      </c>
      <c r="L190" s="10">
        <v>23726</v>
      </c>
      <c r="M190" s="11" t="s">
        <v>1784</v>
      </c>
      <c r="N190" s="12">
        <v>23.891999999999999</v>
      </c>
      <c r="O190" s="13" t="s">
        <v>855</v>
      </c>
      <c r="P190" s="14"/>
    </row>
    <row r="191" spans="1:16" x14ac:dyDescent="0.25">
      <c r="A191" s="6"/>
      <c r="B191" s="7">
        <v>44294</v>
      </c>
      <c r="C191" s="8" t="s">
        <v>2468</v>
      </c>
      <c r="D191" s="8" t="s">
        <v>465</v>
      </c>
      <c r="E191" s="9" t="s">
        <v>748</v>
      </c>
      <c r="F191" s="9" t="s">
        <v>749</v>
      </c>
      <c r="G191" s="17">
        <v>0.63680555555555551</v>
      </c>
      <c r="H191" s="17">
        <v>0.64374999999999993</v>
      </c>
      <c r="I191" s="9">
        <v>40790</v>
      </c>
      <c r="J191" s="9">
        <v>16650</v>
      </c>
      <c r="K191" s="10">
        <f t="shared" si="8"/>
        <v>24140</v>
      </c>
      <c r="L191" s="10" t="s">
        <v>2469</v>
      </c>
      <c r="M191" s="11" t="s">
        <v>1784</v>
      </c>
      <c r="N191" s="12">
        <v>20.292000000000002</v>
      </c>
      <c r="O191" s="13" t="s">
        <v>855</v>
      </c>
      <c r="P191" s="14"/>
    </row>
    <row r="192" spans="1:16" x14ac:dyDescent="0.25">
      <c r="A192" s="6"/>
      <c r="B192" s="7">
        <v>44294</v>
      </c>
      <c r="C192" s="8" t="s">
        <v>985</v>
      </c>
      <c r="D192" s="8" t="s">
        <v>243</v>
      </c>
      <c r="E192" s="9" t="s">
        <v>440</v>
      </c>
      <c r="F192" s="9" t="s">
        <v>1276</v>
      </c>
      <c r="G192" s="17">
        <v>0.64236111111111105</v>
      </c>
      <c r="H192" s="17">
        <v>0.6479166666666667</v>
      </c>
      <c r="I192" s="9">
        <v>41640</v>
      </c>
      <c r="J192" s="9">
        <v>15430</v>
      </c>
      <c r="K192" s="10">
        <f t="shared" si="8"/>
        <v>26210</v>
      </c>
      <c r="L192" s="10">
        <v>23727</v>
      </c>
      <c r="M192" s="11" t="s">
        <v>1041</v>
      </c>
      <c r="N192" s="12">
        <v>24</v>
      </c>
      <c r="O192" s="13" t="s">
        <v>855</v>
      </c>
      <c r="P192" s="14"/>
    </row>
    <row r="193" spans="1:17" x14ac:dyDescent="0.25">
      <c r="A193" s="6"/>
      <c r="B193" s="7">
        <v>44294</v>
      </c>
      <c r="C193" s="8" t="s">
        <v>627</v>
      </c>
      <c r="D193" s="8" t="s">
        <v>1794</v>
      </c>
      <c r="E193" s="9" t="s">
        <v>628</v>
      </c>
      <c r="F193" s="9" t="s">
        <v>629</v>
      </c>
      <c r="G193" s="17">
        <v>0.65</v>
      </c>
      <c r="H193" s="17">
        <v>0.66319444444444442</v>
      </c>
      <c r="I193" s="9">
        <v>18170</v>
      </c>
      <c r="J193" s="9">
        <v>9580</v>
      </c>
      <c r="K193" s="10">
        <f t="shared" si="8"/>
        <v>8590</v>
      </c>
      <c r="L193" s="10">
        <v>83323</v>
      </c>
      <c r="M193" s="11" t="s">
        <v>630</v>
      </c>
      <c r="N193" s="12">
        <v>8590</v>
      </c>
      <c r="O193" s="13" t="s">
        <v>32</v>
      </c>
      <c r="P193" s="14"/>
    </row>
    <row r="194" spans="1:17" x14ac:dyDescent="0.25">
      <c r="A194" s="6"/>
      <c r="B194" s="7">
        <v>44294</v>
      </c>
      <c r="C194" s="8" t="s">
        <v>2455</v>
      </c>
      <c r="D194" s="8" t="s">
        <v>1184</v>
      </c>
      <c r="E194" s="9" t="s">
        <v>1185</v>
      </c>
      <c r="F194" s="9" t="s">
        <v>36</v>
      </c>
      <c r="G194" s="17">
        <v>0.65138888888888891</v>
      </c>
      <c r="H194" s="17">
        <v>0.68819444444444444</v>
      </c>
      <c r="I194" s="9">
        <v>18600</v>
      </c>
      <c r="J194" s="9">
        <v>48740</v>
      </c>
      <c r="K194" s="10">
        <f t="shared" si="8"/>
        <v>-30140</v>
      </c>
      <c r="L194" s="10">
        <v>5941</v>
      </c>
      <c r="M194" s="11" t="s">
        <v>53</v>
      </c>
      <c r="N194" s="12">
        <v>600</v>
      </c>
      <c r="O194" s="13" t="s">
        <v>54</v>
      </c>
      <c r="P194" s="14"/>
    </row>
    <row r="195" spans="1:17" x14ac:dyDescent="0.25">
      <c r="A195" s="6"/>
      <c r="B195" s="7">
        <v>44294</v>
      </c>
      <c r="C195" s="8" t="s">
        <v>985</v>
      </c>
      <c r="D195" s="8" t="s">
        <v>1850</v>
      </c>
      <c r="E195" s="9" t="s">
        <v>144</v>
      </c>
      <c r="F195" s="9" t="s">
        <v>626</v>
      </c>
      <c r="G195" s="17">
        <v>0.65694444444444444</v>
      </c>
      <c r="H195" s="17">
        <v>0.66249999999999998</v>
      </c>
      <c r="I195" s="9">
        <v>37300</v>
      </c>
      <c r="J195" s="9">
        <v>15570</v>
      </c>
      <c r="K195" s="10">
        <f t="shared" si="8"/>
        <v>21730</v>
      </c>
      <c r="L195" s="10">
        <v>23727</v>
      </c>
      <c r="M195" s="11" t="s">
        <v>1784</v>
      </c>
      <c r="N195" s="12">
        <v>18.739999999999998</v>
      </c>
      <c r="O195" s="13" t="s">
        <v>855</v>
      </c>
      <c r="P195" s="14"/>
    </row>
    <row r="196" spans="1:17" x14ac:dyDescent="0.25">
      <c r="A196" s="6"/>
      <c r="B196" s="7">
        <v>44294</v>
      </c>
      <c r="C196" s="8" t="s">
        <v>2019</v>
      </c>
      <c r="D196" s="8" t="s">
        <v>928</v>
      </c>
      <c r="E196" s="9" t="s">
        <v>947</v>
      </c>
      <c r="F196" s="9" t="s">
        <v>948</v>
      </c>
      <c r="G196" s="17">
        <v>0.66111111111111109</v>
      </c>
      <c r="H196" s="17">
        <v>0.66597222222222219</v>
      </c>
      <c r="I196" s="9">
        <v>10170</v>
      </c>
      <c r="J196" s="9">
        <v>7430</v>
      </c>
      <c r="K196" s="10">
        <f t="shared" si="8"/>
        <v>2740</v>
      </c>
      <c r="L196" s="10">
        <v>23728</v>
      </c>
      <c r="M196" s="11" t="s">
        <v>2470</v>
      </c>
      <c r="N196" s="12">
        <v>2.2000000000000002</v>
      </c>
      <c r="O196" s="13" t="s">
        <v>855</v>
      </c>
      <c r="P196" s="14"/>
    </row>
    <row r="197" spans="1:17" x14ac:dyDescent="0.25">
      <c r="A197" s="6"/>
      <c r="B197" s="7">
        <v>44294</v>
      </c>
      <c r="C197" s="8" t="s">
        <v>1083</v>
      </c>
      <c r="D197" s="8" t="s">
        <v>1084</v>
      </c>
      <c r="E197" s="9" t="s">
        <v>1745</v>
      </c>
      <c r="F197" s="9" t="s">
        <v>1992</v>
      </c>
      <c r="G197" s="17">
        <v>0.68055555555555547</v>
      </c>
      <c r="H197" s="17">
        <v>0.70277777777777783</v>
      </c>
      <c r="I197" s="9">
        <v>10690</v>
      </c>
      <c r="J197" s="9">
        <v>6630</v>
      </c>
      <c r="K197" s="10">
        <f t="shared" si="8"/>
        <v>4060</v>
      </c>
      <c r="L197" s="10">
        <v>20201</v>
      </c>
      <c r="M197" s="11" t="s">
        <v>1087</v>
      </c>
      <c r="N197" s="12">
        <v>4060</v>
      </c>
      <c r="O197" s="13" t="s">
        <v>32</v>
      </c>
      <c r="P197" s="14"/>
    </row>
    <row r="198" spans="1:17" x14ac:dyDescent="0.25">
      <c r="A198" s="6"/>
      <c r="B198" s="7">
        <v>44294</v>
      </c>
      <c r="C198" s="8" t="s">
        <v>2471</v>
      </c>
      <c r="D198" s="8" t="s">
        <v>2472</v>
      </c>
      <c r="E198" s="9" t="s">
        <v>2473</v>
      </c>
      <c r="F198" s="9" t="s">
        <v>36</v>
      </c>
      <c r="G198" s="17">
        <v>0.68263888888888891</v>
      </c>
      <c r="H198" s="17">
        <v>0.73749999999999993</v>
      </c>
      <c r="I198" s="9">
        <v>5720</v>
      </c>
      <c r="J198" s="9">
        <v>2920</v>
      </c>
      <c r="K198" s="10">
        <f t="shared" si="8"/>
        <v>2800</v>
      </c>
      <c r="L198" s="10">
        <v>26797</v>
      </c>
      <c r="M198" s="11" t="s">
        <v>1857</v>
      </c>
      <c r="N198" s="12">
        <v>2800</v>
      </c>
      <c r="O198" s="13" t="s">
        <v>32</v>
      </c>
      <c r="P198" s="14"/>
    </row>
    <row r="199" spans="1:17" x14ac:dyDescent="0.25">
      <c r="A199" s="6"/>
      <c r="B199" s="7">
        <v>44294</v>
      </c>
      <c r="C199" s="8" t="s">
        <v>2474</v>
      </c>
      <c r="D199" s="8" t="s">
        <v>853</v>
      </c>
      <c r="E199" s="9" t="s">
        <v>51</v>
      </c>
      <c r="F199" s="9" t="s">
        <v>52</v>
      </c>
      <c r="G199" s="17">
        <v>0.68541666666666667</v>
      </c>
      <c r="H199" s="17">
        <v>0.69930555555555562</v>
      </c>
      <c r="I199" s="9">
        <v>37900</v>
      </c>
      <c r="J199" s="9">
        <v>14810</v>
      </c>
      <c r="K199" s="10">
        <f t="shared" si="8"/>
        <v>23090</v>
      </c>
      <c r="L199" s="10">
        <v>23729</v>
      </c>
      <c r="M199" s="11" t="s">
        <v>1041</v>
      </c>
      <c r="N199" s="12">
        <v>21.6</v>
      </c>
      <c r="O199" s="13" t="s">
        <v>855</v>
      </c>
      <c r="P199" s="14"/>
      <c r="Q199" s="1">
        <f>15085*0.15</f>
        <v>2262.75</v>
      </c>
    </row>
    <row r="200" spans="1:17" x14ac:dyDescent="0.25">
      <c r="A200" s="6"/>
      <c r="B200" s="7">
        <v>44294</v>
      </c>
      <c r="C200" s="8" t="s">
        <v>1083</v>
      </c>
      <c r="D200" s="8" t="s">
        <v>1084</v>
      </c>
      <c r="E200" s="9" t="s">
        <v>502</v>
      </c>
      <c r="F200" s="9" t="s">
        <v>503</v>
      </c>
      <c r="G200" s="17">
        <v>0.75694444444444453</v>
      </c>
      <c r="H200" s="17">
        <v>0.77569444444444446</v>
      </c>
      <c r="I200" s="9">
        <v>8100</v>
      </c>
      <c r="J200" s="9">
        <v>5650</v>
      </c>
      <c r="K200" s="10">
        <f t="shared" ref="K200:K266" si="11">+I200-J200</f>
        <v>2450</v>
      </c>
      <c r="L200" s="10">
        <v>20202</v>
      </c>
      <c r="M200" s="11" t="s">
        <v>1873</v>
      </c>
      <c r="N200" s="12">
        <v>2450</v>
      </c>
      <c r="O200" s="13" t="s">
        <v>32</v>
      </c>
      <c r="P200" s="14" t="s">
        <v>2475</v>
      </c>
    </row>
    <row r="201" spans="1:17" x14ac:dyDescent="0.25">
      <c r="A201" s="6"/>
      <c r="B201" s="7">
        <v>44294</v>
      </c>
      <c r="C201" s="8" t="s">
        <v>946</v>
      </c>
      <c r="D201" s="8" t="s">
        <v>928</v>
      </c>
      <c r="E201" s="9" t="s">
        <v>947</v>
      </c>
      <c r="F201" s="9" t="s">
        <v>948</v>
      </c>
      <c r="G201" s="17">
        <v>0.75902777777777775</v>
      </c>
      <c r="H201" s="17">
        <v>0.76388888888888884</v>
      </c>
      <c r="I201" s="9">
        <v>9280</v>
      </c>
      <c r="J201" s="9">
        <v>7530</v>
      </c>
      <c r="K201" s="10">
        <f t="shared" si="11"/>
        <v>1750</v>
      </c>
      <c r="L201" s="10">
        <v>23733</v>
      </c>
      <c r="M201" s="11" t="s">
        <v>1490</v>
      </c>
      <c r="N201" s="12">
        <v>1750</v>
      </c>
      <c r="O201" s="13" t="s">
        <v>32</v>
      </c>
      <c r="P201" s="14" t="s">
        <v>992</v>
      </c>
    </row>
    <row r="202" spans="1:17" x14ac:dyDescent="0.25">
      <c r="A202" s="6"/>
      <c r="B202" s="7">
        <v>44294</v>
      </c>
      <c r="C202" s="8" t="s">
        <v>2476</v>
      </c>
      <c r="D202" s="8" t="s">
        <v>299</v>
      </c>
      <c r="E202" s="9" t="s">
        <v>813</v>
      </c>
      <c r="F202" s="9" t="s">
        <v>814</v>
      </c>
      <c r="G202" s="17">
        <v>0.7597222222222223</v>
      </c>
      <c r="H202" s="17">
        <v>0.76736111111111116</v>
      </c>
      <c r="I202" s="9">
        <v>33710</v>
      </c>
      <c r="J202" s="9">
        <v>17250</v>
      </c>
      <c r="K202" s="10">
        <f t="shared" si="11"/>
        <v>16460</v>
      </c>
      <c r="L202" s="10" t="s">
        <v>2477</v>
      </c>
      <c r="M202" s="11" t="s">
        <v>1784</v>
      </c>
      <c r="N202" s="12">
        <f>4.6+1.15+4.52+3</f>
        <v>13.27</v>
      </c>
      <c r="O202" s="13" t="s">
        <v>855</v>
      </c>
      <c r="P202" s="14"/>
      <c r="Q202" s="2"/>
    </row>
    <row r="203" spans="1:17" x14ac:dyDescent="0.25">
      <c r="A203" s="6"/>
      <c r="B203" s="7">
        <v>44294</v>
      </c>
      <c r="C203" s="8" t="s">
        <v>208</v>
      </c>
      <c r="D203" s="8" t="s">
        <v>1850</v>
      </c>
      <c r="E203" s="9" t="s">
        <v>144</v>
      </c>
      <c r="F203" s="9" t="s">
        <v>626</v>
      </c>
      <c r="G203" s="17">
        <v>0.80763888888888891</v>
      </c>
      <c r="H203" s="17">
        <v>0.35347222222222219</v>
      </c>
      <c r="I203" s="9">
        <v>42580</v>
      </c>
      <c r="J203" s="9">
        <v>17090</v>
      </c>
      <c r="K203" s="10">
        <f t="shared" si="11"/>
        <v>25490</v>
      </c>
      <c r="L203" s="10">
        <v>41635</v>
      </c>
      <c r="M203" s="11" t="s">
        <v>1626</v>
      </c>
      <c r="N203" s="12">
        <v>25550</v>
      </c>
      <c r="O203" s="13" t="s">
        <v>32</v>
      </c>
      <c r="P203" s="14"/>
    </row>
    <row r="204" spans="1:17" x14ac:dyDescent="0.25">
      <c r="A204" s="6"/>
      <c r="B204" s="7">
        <v>44294</v>
      </c>
      <c r="C204" s="8" t="s">
        <v>2478</v>
      </c>
      <c r="D204" s="8" t="s">
        <v>928</v>
      </c>
      <c r="E204" s="9" t="s">
        <v>947</v>
      </c>
      <c r="F204" s="9" t="s">
        <v>948</v>
      </c>
      <c r="G204" s="17">
        <v>0.80972222222222223</v>
      </c>
      <c r="H204" s="17">
        <v>0.8125</v>
      </c>
      <c r="I204" s="9">
        <v>10200</v>
      </c>
      <c r="J204" s="9">
        <v>7520</v>
      </c>
      <c r="K204" s="10">
        <f t="shared" si="11"/>
        <v>2680</v>
      </c>
      <c r="L204" s="10">
        <v>23734</v>
      </c>
      <c r="M204" s="11" t="s">
        <v>2480</v>
      </c>
      <c r="N204" s="12">
        <v>2680</v>
      </c>
      <c r="O204" s="13" t="s">
        <v>32</v>
      </c>
      <c r="P204" s="14" t="s">
        <v>2479</v>
      </c>
    </row>
    <row r="205" spans="1:17" x14ac:dyDescent="0.25">
      <c r="A205" s="6"/>
      <c r="B205" s="7">
        <v>44294</v>
      </c>
      <c r="C205" s="8" t="s">
        <v>977</v>
      </c>
      <c r="D205" s="8" t="s">
        <v>928</v>
      </c>
      <c r="E205" s="9" t="s">
        <v>947</v>
      </c>
      <c r="F205" s="9" t="s">
        <v>948</v>
      </c>
      <c r="G205" s="17">
        <v>0.85763888888888884</v>
      </c>
      <c r="H205" s="17">
        <v>0.86388888888888893</v>
      </c>
      <c r="I205" s="9">
        <v>8610</v>
      </c>
      <c r="J205" s="9">
        <v>7510</v>
      </c>
      <c r="K205" s="10">
        <f t="shared" si="11"/>
        <v>1100</v>
      </c>
      <c r="L205" s="10">
        <v>23735</v>
      </c>
      <c r="M205" s="11" t="s">
        <v>1490</v>
      </c>
      <c r="N205" s="12">
        <v>1100</v>
      </c>
      <c r="O205" s="13" t="s">
        <v>32</v>
      </c>
      <c r="P205" s="14" t="s">
        <v>2481</v>
      </c>
    </row>
    <row r="206" spans="1:17" x14ac:dyDescent="0.25">
      <c r="A206" s="6"/>
      <c r="B206" s="7">
        <v>44294</v>
      </c>
      <c r="C206" s="8" t="s">
        <v>2123</v>
      </c>
      <c r="D206" s="8" t="s">
        <v>1853</v>
      </c>
      <c r="E206" s="9" t="s">
        <v>1206</v>
      </c>
      <c r="F206" s="9" t="s">
        <v>36</v>
      </c>
      <c r="G206" s="17">
        <v>0.8618055555555556</v>
      </c>
      <c r="H206" s="17">
        <v>0.87638888888888899</v>
      </c>
      <c r="I206" s="9">
        <v>9960</v>
      </c>
      <c r="J206" s="9">
        <v>6650</v>
      </c>
      <c r="K206" s="10">
        <f t="shared" si="11"/>
        <v>3310</v>
      </c>
      <c r="L206" s="10">
        <v>26798</v>
      </c>
      <c r="M206" s="11" t="s">
        <v>1208</v>
      </c>
      <c r="N206" s="12">
        <v>3310</v>
      </c>
      <c r="O206" s="13" t="s">
        <v>32</v>
      </c>
      <c r="P206" s="14"/>
    </row>
    <row r="207" spans="1:17" x14ac:dyDescent="0.25">
      <c r="A207" s="6"/>
      <c r="B207" s="7">
        <v>44294</v>
      </c>
      <c r="C207" s="8" t="s">
        <v>2471</v>
      </c>
      <c r="D207" s="8" t="s">
        <v>2471</v>
      </c>
      <c r="E207" s="9" t="s">
        <v>2482</v>
      </c>
      <c r="F207" s="9" t="s">
        <v>36</v>
      </c>
      <c r="G207" s="17">
        <v>0.86805555555555547</v>
      </c>
      <c r="H207" s="17">
        <v>0.9145833333333333</v>
      </c>
      <c r="I207" s="9">
        <v>11060</v>
      </c>
      <c r="J207" s="9">
        <v>4490</v>
      </c>
      <c r="K207" s="10">
        <f t="shared" si="11"/>
        <v>6570</v>
      </c>
      <c r="L207" s="10">
        <v>26801</v>
      </c>
      <c r="M207" s="11" t="s">
        <v>1857</v>
      </c>
      <c r="N207" s="12">
        <v>6570</v>
      </c>
      <c r="O207" s="13" t="s">
        <v>32</v>
      </c>
      <c r="P207" s="14"/>
    </row>
    <row r="208" spans="1:17" x14ac:dyDescent="0.25">
      <c r="A208" s="6"/>
      <c r="B208" s="7">
        <v>44294</v>
      </c>
      <c r="C208" s="8" t="s">
        <v>2101</v>
      </c>
      <c r="D208" s="8" t="s">
        <v>1794</v>
      </c>
      <c r="E208" s="9" t="s">
        <v>628</v>
      </c>
      <c r="F208" s="9" t="s">
        <v>629</v>
      </c>
      <c r="G208" s="17">
        <v>0.8881944444444444</v>
      </c>
      <c r="H208" s="17">
        <v>0.8930555555555556</v>
      </c>
      <c r="I208" s="9">
        <v>17800</v>
      </c>
      <c r="J208" s="9">
        <v>9570</v>
      </c>
      <c r="K208" s="10">
        <f t="shared" si="11"/>
        <v>8230</v>
      </c>
      <c r="L208" s="10">
        <v>26799</v>
      </c>
      <c r="M208" s="11" t="s">
        <v>1474</v>
      </c>
      <c r="N208" s="12">
        <v>8230</v>
      </c>
      <c r="O208" s="13" t="s">
        <v>32</v>
      </c>
      <c r="P208" s="14"/>
    </row>
    <row r="209" spans="1:17" x14ac:dyDescent="0.25">
      <c r="A209" s="6"/>
      <c r="B209" s="7">
        <v>44294</v>
      </c>
      <c r="C209" s="8" t="s">
        <v>2483</v>
      </c>
      <c r="D209" s="8" t="s">
        <v>2483</v>
      </c>
      <c r="E209" s="9" t="s">
        <v>2484</v>
      </c>
      <c r="F209" s="9" t="s">
        <v>36</v>
      </c>
      <c r="G209" s="17">
        <v>0.89722222222222225</v>
      </c>
      <c r="H209" s="17">
        <v>0.90763888888888899</v>
      </c>
      <c r="I209" s="9">
        <v>1830</v>
      </c>
      <c r="J209" s="9">
        <v>1590</v>
      </c>
      <c r="K209" s="10">
        <f t="shared" si="11"/>
        <v>240</v>
      </c>
      <c r="L209" s="10">
        <v>26800</v>
      </c>
      <c r="M209" s="11" t="s">
        <v>1208</v>
      </c>
      <c r="N209" s="12">
        <v>240</v>
      </c>
      <c r="O209" s="13" t="s">
        <v>32</v>
      </c>
      <c r="P209" s="14"/>
    </row>
    <row r="210" spans="1:17" x14ac:dyDescent="0.25">
      <c r="A210" s="6"/>
      <c r="B210" s="7">
        <v>44294</v>
      </c>
      <c r="C210" s="8" t="s">
        <v>37</v>
      </c>
      <c r="D210" s="8" t="s">
        <v>2418</v>
      </c>
      <c r="E210" s="9" t="s">
        <v>39</v>
      </c>
      <c r="F210" s="9" t="s">
        <v>36</v>
      </c>
      <c r="G210" s="17">
        <v>0.89930555555555547</v>
      </c>
      <c r="H210" s="17">
        <v>0.9604166666666667</v>
      </c>
      <c r="I210" s="9">
        <v>21535</v>
      </c>
      <c r="J210" s="9">
        <v>6300</v>
      </c>
      <c r="K210" s="10">
        <f t="shared" si="11"/>
        <v>15235</v>
      </c>
      <c r="L210" s="10">
        <v>26803</v>
      </c>
      <c r="M210" s="11" t="s">
        <v>1618</v>
      </c>
      <c r="N210" s="12">
        <v>15235</v>
      </c>
      <c r="O210" s="13" t="s">
        <v>32</v>
      </c>
      <c r="P210" s="14"/>
    </row>
    <row r="211" spans="1:17" x14ac:dyDescent="0.25">
      <c r="A211" s="6"/>
      <c r="B211" s="7">
        <v>44294</v>
      </c>
      <c r="C211" s="8" t="s">
        <v>2007</v>
      </c>
      <c r="D211" s="8" t="s">
        <v>928</v>
      </c>
      <c r="E211" s="9" t="s">
        <v>947</v>
      </c>
      <c r="F211" s="9" t="s">
        <v>948</v>
      </c>
      <c r="G211" s="17">
        <v>0.92291666666666661</v>
      </c>
      <c r="H211" s="17">
        <v>0.9277777777777777</v>
      </c>
      <c r="I211" s="9">
        <v>8100</v>
      </c>
      <c r="J211" s="9">
        <v>7510</v>
      </c>
      <c r="K211" s="10">
        <f t="shared" si="11"/>
        <v>590</v>
      </c>
      <c r="L211" s="10">
        <v>23736</v>
      </c>
      <c r="M211" s="11" t="s">
        <v>1515</v>
      </c>
      <c r="N211" s="12">
        <v>590</v>
      </c>
      <c r="O211" s="13" t="s">
        <v>32</v>
      </c>
      <c r="P211" s="14" t="s">
        <v>2485</v>
      </c>
    </row>
    <row r="212" spans="1:17" x14ac:dyDescent="0.25">
      <c r="A212" s="6"/>
      <c r="B212" s="7">
        <v>44294</v>
      </c>
      <c r="C212" s="8" t="s">
        <v>2467</v>
      </c>
      <c r="D212" s="8" t="s">
        <v>1794</v>
      </c>
      <c r="E212" s="9" t="s">
        <v>628</v>
      </c>
      <c r="F212" s="9" t="s">
        <v>629</v>
      </c>
      <c r="G212" s="17">
        <v>0.92986111111111114</v>
      </c>
      <c r="H212" s="17">
        <v>0.93472222222222223</v>
      </c>
      <c r="I212" s="9">
        <v>10350</v>
      </c>
      <c r="J212" s="9">
        <v>9570</v>
      </c>
      <c r="K212" s="10">
        <f t="shared" si="11"/>
        <v>780</v>
      </c>
      <c r="L212" s="10">
        <v>23739</v>
      </c>
      <c r="M212" s="11" t="s">
        <v>1515</v>
      </c>
      <c r="N212" s="12">
        <v>780</v>
      </c>
      <c r="O212" s="13" t="s">
        <v>32</v>
      </c>
      <c r="P212" s="14" t="s">
        <v>883</v>
      </c>
    </row>
    <row r="213" spans="1:17" x14ac:dyDescent="0.25">
      <c r="A213" s="6"/>
      <c r="B213" s="7">
        <v>44294</v>
      </c>
      <c r="C213" s="8" t="s">
        <v>1673</v>
      </c>
      <c r="D213" s="8" t="s">
        <v>994</v>
      </c>
      <c r="E213" s="9" t="s">
        <v>995</v>
      </c>
      <c r="F213" s="9" t="s">
        <v>36</v>
      </c>
      <c r="G213" s="17">
        <v>0.93333333333333324</v>
      </c>
      <c r="H213" s="17">
        <v>0.95833333333333337</v>
      </c>
      <c r="I213" s="9">
        <v>3600</v>
      </c>
      <c r="J213" s="9">
        <v>3120</v>
      </c>
      <c r="K213" s="10">
        <f t="shared" si="11"/>
        <v>480</v>
      </c>
      <c r="L213" s="10">
        <v>26802</v>
      </c>
      <c r="M213" s="11" t="s">
        <v>965</v>
      </c>
      <c r="N213" s="12">
        <v>480</v>
      </c>
      <c r="O213" s="13" t="s">
        <v>32</v>
      </c>
      <c r="P213" s="14">
        <f>+N213*2.2/90</f>
        <v>11.733333333333333</v>
      </c>
    </row>
    <row r="214" spans="1:17" x14ac:dyDescent="0.25">
      <c r="A214" s="6"/>
      <c r="B214" s="7">
        <v>44294</v>
      </c>
      <c r="C214" s="8" t="s">
        <v>1476</v>
      </c>
      <c r="D214" s="8" t="s">
        <v>1794</v>
      </c>
      <c r="E214" s="9" t="s">
        <v>628</v>
      </c>
      <c r="F214" s="9" t="s">
        <v>629</v>
      </c>
      <c r="G214" s="17">
        <v>0.96805555555555556</v>
      </c>
      <c r="H214" s="17">
        <v>0.97083333333333333</v>
      </c>
      <c r="I214" s="9">
        <v>9910</v>
      </c>
      <c r="J214" s="9">
        <v>9560</v>
      </c>
      <c r="K214" s="10">
        <f t="shared" si="11"/>
        <v>350</v>
      </c>
      <c r="L214" s="10">
        <v>23737</v>
      </c>
      <c r="M214" s="11" t="s">
        <v>2488</v>
      </c>
      <c r="N214" s="12">
        <v>350</v>
      </c>
      <c r="O214" s="13" t="s">
        <v>32</v>
      </c>
      <c r="P214" s="14" t="s">
        <v>2486</v>
      </c>
    </row>
    <row r="215" spans="1:17" x14ac:dyDescent="0.25">
      <c r="A215" s="6"/>
      <c r="B215" s="7">
        <v>44294</v>
      </c>
      <c r="C215" s="8" t="s">
        <v>2487</v>
      </c>
      <c r="D215" s="8" t="s">
        <v>928</v>
      </c>
      <c r="E215" s="9" t="s">
        <v>947</v>
      </c>
      <c r="F215" s="9" t="s">
        <v>948</v>
      </c>
      <c r="G215" s="17">
        <v>0.96944444444444444</v>
      </c>
      <c r="H215" s="17">
        <v>0.97361111111111109</v>
      </c>
      <c r="I215" s="9">
        <v>9980</v>
      </c>
      <c r="J215" s="9">
        <v>7500</v>
      </c>
      <c r="K215" s="10">
        <f t="shared" si="11"/>
        <v>2480</v>
      </c>
      <c r="L215" s="10">
        <v>23740</v>
      </c>
      <c r="M215" s="11" t="s">
        <v>1515</v>
      </c>
      <c r="N215" s="12">
        <v>2480</v>
      </c>
      <c r="O215" s="13" t="s">
        <v>32</v>
      </c>
      <c r="P215" s="14" t="s">
        <v>1488</v>
      </c>
    </row>
    <row r="216" spans="1:17" x14ac:dyDescent="0.25">
      <c r="A216" s="6"/>
      <c r="B216" s="7">
        <v>44295</v>
      </c>
      <c r="C216" s="8" t="s">
        <v>1948</v>
      </c>
      <c r="D216" s="8" t="s">
        <v>1794</v>
      </c>
      <c r="E216" s="9" t="s">
        <v>628</v>
      </c>
      <c r="F216" s="9" t="s">
        <v>629</v>
      </c>
      <c r="G216" s="17">
        <v>1.0416666666666666E-2</v>
      </c>
      <c r="H216" s="17">
        <v>1.7361111111111112E-2</v>
      </c>
      <c r="I216" s="9">
        <v>10200</v>
      </c>
      <c r="J216" s="9">
        <v>9600</v>
      </c>
      <c r="K216" s="10">
        <f t="shared" si="11"/>
        <v>600</v>
      </c>
      <c r="L216" s="10">
        <v>23738</v>
      </c>
      <c r="M216" s="11" t="s">
        <v>1515</v>
      </c>
      <c r="N216" s="12">
        <v>600</v>
      </c>
      <c r="O216" s="13" t="s">
        <v>32</v>
      </c>
      <c r="P216" s="14" t="s">
        <v>2489</v>
      </c>
    </row>
    <row r="217" spans="1:17" x14ac:dyDescent="0.25">
      <c r="A217" s="6"/>
      <c r="B217" s="7">
        <v>44295</v>
      </c>
      <c r="C217" s="8" t="s">
        <v>2490</v>
      </c>
      <c r="D217" s="8" t="s">
        <v>2491</v>
      </c>
      <c r="E217" s="9" t="s">
        <v>2492</v>
      </c>
      <c r="F217" s="9" t="s">
        <v>36</v>
      </c>
      <c r="G217" s="17">
        <v>2.1527777777777781E-2</v>
      </c>
      <c r="H217" s="17" t="s">
        <v>2493</v>
      </c>
      <c r="I217" s="9">
        <v>10570</v>
      </c>
      <c r="J217" s="9">
        <v>4520</v>
      </c>
      <c r="K217" s="10">
        <f t="shared" si="11"/>
        <v>6050</v>
      </c>
      <c r="L217" s="10">
        <v>26804</v>
      </c>
      <c r="M217" s="11" t="s">
        <v>1857</v>
      </c>
      <c r="N217" s="12">
        <v>6050</v>
      </c>
      <c r="O217" s="13" t="s">
        <v>683</v>
      </c>
      <c r="P217" s="14"/>
    </row>
    <row r="218" spans="1:17" x14ac:dyDescent="0.25">
      <c r="A218" s="6"/>
      <c r="B218" s="7">
        <v>44295</v>
      </c>
      <c r="C218" s="8" t="s">
        <v>871</v>
      </c>
      <c r="D218" s="8" t="s">
        <v>86</v>
      </c>
      <c r="E218" s="9" t="s">
        <v>87</v>
      </c>
      <c r="F218" s="9" t="s">
        <v>88</v>
      </c>
      <c r="G218" s="17">
        <v>9.5138888888888884E-2</v>
      </c>
      <c r="H218" s="17">
        <v>0.10416666666666667</v>
      </c>
      <c r="I218" s="9">
        <v>34600</v>
      </c>
      <c r="J218" s="9">
        <v>17230</v>
      </c>
      <c r="K218" s="10">
        <f t="shared" si="11"/>
        <v>17370</v>
      </c>
      <c r="L218" s="10">
        <v>806</v>
      </c>
      <c r="M218" s="11" t="s">
        <v>442</v>
      </c>
      <c r="N218" s="12">
        <v>17370</v>
      </c>
      <c r="O218" s="13" t="s">
        <v>683</v>
      </c>
      <c r="P218" s="14"/>
    </row>
    <row r="219" spans="1:17" x14ac:dyDescent="0.25">
      <c r="A219" s="6"/>
      <c r="B219" s="7">
        <v>44295</v>
      </c>
      <c r="C219" s="8" t="s">
        <v>2494</v>
      </c>
      <c r="D219" s="8" t="s">
        <v>2495</v>
      </c>
      <c r="E219" s="9" t="s">
        <v>1449</v>
      </c>
      <c r="F219" s="9" t="s">
        <v>154</v>
      </c>
      <c r="G219" s="17">
        <v>0.15069444444444444</v>
      </c>
      <c r="H219" s="17">
        <v>0.21527777777777779</v>
      </c>
      <c r="I219" s="9">
        <v>6760</v>
      </c>
      <c r="J219" s="9">
        <v>3730</v>
      </c>
      <c r="K219" s="10">
        <f t="shared" si="11"/>
        <v>3030</v>
      </c>
      <c r="L219" s="10">
        <v>26805</v>
      </c>
      <c r="M219" s="11" t="s">
        <v>2496</v>
      </c>
      <c r="N219" s="12">
        <v>3030</v>
      </c>
      <c r="O219" s="13" t="s">
        <v>32</v>
      </c>
      <c r="P219" s="14"/>
    </row>
    <row r="220" spans="1:17" x14ac:dyDescent="0.25">
      <c r="A220" s="6"/>
      <c r="B220" s="7">
        <v>44295</v>
      </c>
      <c r="C220" s="8" t="s">
        <v>1616</v>
      </c>
      <c r="D220" s="8" t="s">
        <v>1282</v>
      </c>
      <c r="E220" s="9" t="s">
        <v>719</v>
      </c>
      <c r="F220" s="9" t="s">
        <v>154</v>
      </c>
      <c r="G220" s="17">
        <v>0.2076388888888889</v>
      </c>
      <c r="H220" s="17">
        <v>0.23402777777777781</v>
      </c>
      <c r="I220" s="9">
        <v>17965</v>
      </c>
      <c r="J220" s="9">
        <v>6230</v>
      </c>
      <c r="K220" s="10">
        <f t="shared" si="11"/>
        <v>11735</v>
      </c>
      <c r="L220" s="10">
        <v>26806</v>
      </c>
      <c r="M220" s="11" t="s">
        <v>2497</v>
      </c>
      <c r="N220" s="12">
        <v>11735</v>
      </c>
      <c r="O220" s="13" t="s">
        <v>32</v>
      </c>
      <c r="P220" s="14"/>
    </row>
    <row r="221" spans="1:17" x14ac:dyDescent="0.25">
      <c r="A221" s="6"/>
      <c r="B221" s="15">
        <v>44295</v>
      </c>
      <c r="C221" s="16" t="s">
        <v>1042</v>
      </c>
      <c r="D221" s="8" t="s">
        <v>928</v>
      </c>
      <c r="E221" s="9" t="s">
        <v>947</v>
      </c>
      <c r="F221" s="9" t="s">
        <v>948</v>
      </c>
      <c r="G221" s="17">
        <v>0.36527777777777781</v>
      </c>
      <c r="H221" s="17">
        <v>0.37708333333333338</v>
      </c>
      <c r="I221" s="9">
        <v>17460</v>
      </c>
      <c r="J221" s="9">
        <v>7500</v>
      </c>
      <c r="K221" s="10">
        <f t="shared" si="11"/>
        <v>9960</v>
      </c>
      <c r="L221" s="10">
        <v>23742</v>
      </c>
      <c r="M221" s="11" t="s">
        <v>1784</v>
      </c>
      <c r="N221" s="12">
        <v>9</v>
      </c>
      <c r="O221" s="13" t="s">
        <v>855</v>
      </c>
      <c r="P221" s="14"/>
      <c r="Q221" s="2"/>
    </row>
    <row r="222" spans="1:17" x14ac:dyDescent="0.25">
      <c r="A222" s="6"/>
      <c r="B222" s="7">
        <v>44295</v>
      </c>
      <c r="C222" s="8" t="s">
        <v>1042</v>
      </c>
      <c r="D222" s="8" t="s">
        <v>1794</v>
      </c>
      <c r="E222" s="9" t="s">
        <v>628</v>
      </c>
      <c r="F222" s="9" t="s">
        <v>629</v>
      </c>
      <c r="G222" s="17">
        <v>0.3666666666666667</v>
      </c>
      <c r="H222" s="17">
        <v>0.37222222222222223</v>
      </c>
      <c r="I222" s="9">
        <v>22710</v>
      </c>
      <c r="J222" s="9">
        <v>9680</v>
      </c>
      <c r="K222" s="10">
        <f t="shared" si="11"/>
        <v>13030</v>
      </c>
      <c r="L222" s="10">
        <v>23742</v>
      </c>
      <c r="M222" s="11" t="s">
        <v>1784</v>
      </c>
      <c r="N222" s="12">
        <v>11.6</v>
      </c>
      <c r="O222" s="13" t="s">
        <v>855</v>
      </c>
      <c r="P222" s="14"/>
    </row>
    <row r="223" spans="1:17" x14ac:dyDescent="0.25">
      <c r="A223" s="6"/>
      <c r="B223" s="7">
        <v>44295</v>
      </c>
      <c r="C223" s="8" t="s">
        <v>1403</v>
      </c>
      <c r="D223" s="8" t="s">
        <v>2249</v>
      </c>
      <c r="E223" s="9" t="s">
        <v>440</v>
      </c>
      <c r="F223" s="9" t="s">
        <v>1276</v>
      </c>
      <c r="G223" s="17">
        <v>0.39166666666666666</v>
      </c>
      <c r="H223" s="17">
        <v>0.40069444444444446</v>
      </c>
      <c r="I223" s="9">
        <v>38630</v>
      </c>
      <c r="J223" s="9">
        <v>15370</v>
      </c>
      <c r="K223" s="10">
        <f t="shared" si="11"/>
        <v>23260</v>
      </c>
      <c r="L223" s="10">
        <v>23741</v>
      </c>
      <c r="M223" s="11" t="s">
        <v>1041</v>
      </c>
      <c r="N223" s="12">
        <v>21.6</v>
      </c>
      <c r="O223" s="13" t="s">
        <v>855</v>
      </c>
      <c r="P223" s="14"/>
    </row>
    <row r="224" spans="1:17" x14ac:dyDescent="0.25">
      <c r="A224" s="6"/>
      <c r="B224" s="7">
        <v>44295</v>
      </c>
      <c r="C224" s="8" t="s">
        <v>1042</v>
      </c>
      <c r="D224" s="8" t="s">
        <v>465</v>
      </c>
      <c r="E224" s="9" t="s">
        <v>748</v>
      </c>
      <c r="F224" s="9" t="s">
        <v>749</v>
      </c>
      <c r="G224" s="17">
        <v>0.39652777777777781</v>
      </c>
      <c r="H224" s="17">
        <v>0.40208333333333335</v>
      </c>
      <c r="I224" s="9">
        <v>39600</v>
      </c>
      <c r="J224" s="9">
        <v>16650</v>
      </c>
      <c r="K224" s="10">
        <f t="shared" si="11"/>
        <v>22950</v>
      </c>
      <c r="L224" s="10">
        <v>23742</v>
      </c>
      <c r="M224" s="11" t="s">
        <v>2498</v>
      </c>
      <c r="N224" s="12">
        <v>21.6</v>
      </c>
      <c r="O224" s="13" t="s">
        <v>855</v>
      </c>
      <c r="P224" s="14"/>
    </row>
    <row r="225" spans="1:16" x14ac:dyDescent="0.25">
      <c r="A225" s="6"/>
      <c r="B225" s="7">
        <v>44295</v>
      </c>
      <c r="C225" s="8" t="s">
        <v>1042</v>
      </c>
      <c r="D225" s="8" t="s">
        <v>853</v>
      </c>
      <c r="E225" s="9" t="s">
        <v>51</v>
      </c>
      <c r="F225" s="9" t="s">
        <v>52</v>
      </c>
      <c r="G225" s="17">
        <v>0.40347222222222223</v>
      </c>
      <c r="H225" s="17">
        <v>0.4069444444444445</v>
      </c>
      <c r="I225" s="9">
        <v>37220</v>
      </c>
      <c r="J225" s="9">
        <v>14790</v>
      </c>
      <c r="K225" s="10">
        <f t="shared" si="11"/>
        <v>22430</v>
      </c>
      <c r="L225" s="10">
        <v>23742</v>
      </c>
      <c r="M225" s="11" t="s">
        <v>2498</v>
      </c>
      <c r="N225" s="12">
        <v>21.6</v>
      </c>
      <c r="O225" s="13" t="s">
        <v>855</v>
      </c>
      <c r="P225" s="14"/>
    </row>
    <row r="226" spans="1:16" x14ac:dyDescent="0.25">
      <c r="A226" s="6"/>
      <c r="B226" s="7">
        <v>44295</v>
      </c>
      <c r="C226" s="8" t="s">
        <v>1042</v>
      </c>
      <c r="D226" s="8" t="s">
        <v>299</v>
      </c>
      <c r="E226" s="9" t="s">
        <v>813</v>
      </c>
      <c r="F226" s="9" t="s">
        <v>814</v>
      </c>
      <c r="G226" s="17">
        <v>0.40416666666666662</v>
      </c>
      <c r="H226" s="17">
        <v>0.41041666666666665</v>
      </c>
      <c r="I226" s="9">
        <v>43190</v>
      </c>
      <c r="J226" s="9">
        <v>17250</v>
      </c>
      <c r="K226" s="10">
        <f t="shared" si="11"/>
        <v>25940</v>
      </c>
      <c r="L226" s="10">
        <v>23742</v>
      </c>
      <c r="M226" s="11" t="s">
        <v>1784</v>
      </c>
      <c r="N226" s="12">
        <v>23.376000000000001</v>
      </c>
      <c r="O226" s="13" t="s">
        <v>855</v>
      </c>
      <c r="P226" s="14"/>
    </row>
    <row r="227" spans="1:16" x14ac:dyDescent="0.25">
      <c r="A227" s="6"/>
      <c r="B227" s="7">
        <v>44295</v>
      </c>
      <c r="C227" s="8" t="s">
        <v>1042</v>
      </c>
      <c r="D227" s="8" t="s">
        <v>1355</v>
      </c>
      <c r="E227" s="9" t="s">
        <v>1048</v>
      </c>
      <c r="F227" s="9" t="s">
        <v>526</v>
      </c>
      <c r="G227" s="17">
        <v>0.40902777777777777</v>
      </c>
      <c r="H227" s="17">
        <v>0.42083333333333334</v>
      </c>
      <c r="I227" s="9">
        <v>44250</v>
      </c>
      <c r="J227" s="9">
        <v>18680</v>
      </c>
      <c r="K227" s="10">
        <f t="shared" si="11"/>
        <v>25570</v>
      </c>
      <c r="L227" s="10">
        <v>23742</v>
      </c>
      <c r="M227" s="11" t="s">
        <v>1784</v>
      </c>
      <c r="N227" s="12">
        <v>23.8</v>
      </c>
      <c r="O227" s="13" t="s">
        <v>855</v>
      </c>
      <c r="P227" s="14"/>
    </row>
    <row r="228" spans="1:16" x14ac:dyDescent="0.25">
      <c r="A228" s="6"/>
      <c r="B228" s="7">
        <v>44295</v>
      </c>
      <c r="C228" s="8" t="s">
        <v>1042</v>
      </c>
      <c r="D228" s="8" t="s">
        <v>284</v>
      </c>
      <c r="E228" s="9" t="s">
        <v>177</v>
      </c>
      <c r="F228" s="9" t="s">
        <v>178</v>
      </c>
      <c r="G228" s="17">
        <v>0.41944444444444445</v>
      </c>
      <c r="H228" s="17">
        <v>0.4291666666666667</v>
      </c>
      <c r="I228" s="9">
        <v>42930</v>
      </c>
      <c r="J228" s="9">
        <v>17030</v>
      </c>
      <c r="K228" s="10">
        <f t="shared" si="11"/>
        <v>25900</v>
      </c>
      <c r="L228" s="10">
        <v>23742</v>
      </c>
      <c r="M228" s="11" t="s">
        <v>1784</v>
      </c>
      <c r="N228" s="12">
        <v>21.6</v>
      </c>
      <c r="O228" s="13" t="s">
        <v>855</v>
      </c>
      <c r="P228" s="14"/>
    </row>
    <row r="229" spans="1:16" x14ac:dyDescent="0.25">
      <c r="A229" s="6"/>
      <c r="B229" s="7">
        <v>44295</v>
      </c>
      <c r="C229" s="8" t="s">
        <v>2503</v>
      </c>
      <c r="D229" s="8" t="s">
        <v>2499</v>
      </c>
      <c r="E229" s="9" t="s">
        <v>2500</v>
      </c>
      <c r="F229" s="9" t="s">
        <v>390</v>
      </c>
      <c r="G229" s="17">
        <v>0.42638888888888887</v>
      </c>
      <c r="H229" s="17">
        <v>0.47986111111111113</v>
      </c>
      <c r="I229" s="9">
        <v>6670</v>
      </c>
      <c r="J229" s="9">
        <v>7060</v>
      </c>
      <c r="K229" s="10">
        <f t="shared" si="11"/>
        <v>-390</v>
      </c>
      <c r="L229" s="10">
        <v>5942</v>
      </c>
      <c r="M229" s="11" t="s">
        <v>664</v>
      </c>
      <c r="N229" s="12">
        <v>112</v>
      </c>
      <c r="O229" s="13" t="s">
        <v>84</v>
      </c>
      <c r="P229" s="14"/>
    </row>
    <row r="230" spans="1:16" x14ac:dyDescent="0.25">
      <c r="A230" s="6"/>
      <c r="B230" s="7">
        <v>44295</v>
      </c>
      <c r="C230" s="8" t="s">
        <v>2501</v>
      </c>
      <c r="D230" s="8" t="s">
        <v>1850</v>
      </c>
      <c r="E230" s="9" t="s">
        <v>144</v>
      </c>
      <c r="F230" s="9" t="s">
        <v>626</v>
      </c>
      <c r="G230" s="17">
        <v>0.44513888888888892</v>
      </c>
      <c r="H230" s="17">
        <v>0.45277777777777778</v>
      </c>
      <c r="I230" s="9">
        <v>37340</v>
      </c>
      <c r="J230" s="9">
        <v>15560</v>
      </c>
      <c r="K230" s="10">
        <f t="shared" si="11"/>
        <v>21780</v>
      </c>
      <c r="L230" s="97" t="s">
        <v>2502</v>
      </c>
      <c r="M230" s="11" t="s">
        <v>1784</v>
      </c>
      <c r="N230" s="12">
        <v>21</v>
      </c>
      <c r="O230" s="13" t="s">
        <v>855</v>
      </c>
      <c r="P230" s="14"/>
    </row>
    <row r="231" spans="1:16" x14ac:dyDescent="0.25">
      <c r="A231" s="6"/>
      <c r="B231" s="7">
        <v>44295</v>
      </c>
      <c r="C231" s="8" t="s">
        <v>1558</v>
      </c>
      <c r="D231" s="8" t="s">
        <v>1794</v>
      </c>
      <c r="E231" s="9" t="s">
        <v>628</v>
      </c>
      <c r="F231" s="9" t="s">
        <v>629</v>
      </c>
      <c r="G231" s="17">
        <v>0.44861111111111113</v>
      </c>
      <c r="H231" s="17">
        <v>0.45555555555555555</v>
      </c>
      <c r="I231" s="9">
        <v>22270</v>
      </c>
      <c r="J231" s="9">
        <v>9670</v>
      </c>
      <c r="K231" s="10">
        <f t="shared" si="11"/>
        <v>12600</v>
      </c>
      <c r="L231" s="10">
        <v>23743</v>
      </c>
      <c r="M231" s="11" t="s">
        <v>1784</v>
      </c>
      <c r="N231" s="12">
        <v>11.548999999999999</v>
      </c>
      <c r="O231" s="13" t="s">
        <v>855</v>
      </c>
      <c r="P231" s="14"/>
    </row>
    <row r="232" spans="1:16" x14ac:dyDescent="0.25">
      <c r="A232" s="6"/>
      <c r="B232" s="7">
        <v>44295</v>
      </c>
      <c r="C232" s="8" t="s">
        <v>2504</v>
      </c>
      <c r="D232" s="8" t="s">
        <v>400</v>
      </c>
      <c r="E232" s="9" t="s">
        <v>2505</v>
      </c>
      <c r="F232" s="9" t="s">
        <v>390</v>
      </c>
      <c r="G232" s="17">
        <v>0.4597222222222222</v>
      </c>
      <c r="H232" s="17">
        <v>0.50277777777777777</v>
      </c>
      <c r="I232" s="9">
        <v>3420</v>
      </c>
      <c r="J232" s="9">
        <v>6200</v>
      </c>
      <c r="K232" s="10">
        <f t="shared" ref="K232" si="12">+I232-J232</f>
        <v>-2780</v>
      </c>
      <c r="L232" s="10">
        <v>15700</v>
      </c>
      <c r="M232" s="11" t="s">
        <v>2506</v>
      </c>
      <c r="N232" s="12">
        <v>2780</v>
      </c>
      <c r="O232" s="13" t="s">
        <v>32</v>
      </c>
      <c r="P232" s="14"/>
    </row>
    <row r="233" spans="1:16" x14ac:dyDescent="0.25">
      <c r="A233" s="6"/>
      <c r="B233" s="7">
        <v>44295</v>
      </c>
      <c r="C233" s="8" t="s">
        <v>1558</v>
      </c>
      <c r="D233" s="8" t="s">
        <v>899</v>
      </c>
      <c r="E233" s="9" t="s">
        <v>490</v>
      </c>
      <c r="F233" s="9" t="s">
        <v>491</v>
      </c>
      <c r="G233" s="17">
        <v>0.46319444444444446</v>
      </c>
      <c r="H233" s="17">
        <v>0.4680555555555555</v>
      </c>
      <c r="I233" s="9">
        <v>35480</v>
      </c>
      <c r="J233" s="9">
        <v>16040</v>
      </c>
      <c r="K233" s="10">
        <f t="shared" si="11"/>
        <v>19440</v>
      </c>
      <c r="L233" s="10">
        <v>23743</v>
      </c>
      <c r="M233" s="11" t="s">
        <v>1784</v>
      </c>
      <c r="N233" s="12">
        <v>18</v>
      </c>
      <c r="O233" s="13" t="s">
        <v>855</v>
      </c>
      <c r="P233" s="14"/>
    </row>
    <row r="234" spans="1:16" x14ac:dyDescent="0.25">
      <c r="A234" s="6"/>
      <c r="B234" s="7">
        <v>44295</v>
      </c>
      <c r="C234" s="8" t="s">
        <v>1062</v>
      </c>
      <c r="D234" s="8" t="s">
        <v>198</v>
      </c>
      <c r="E234" s="9" t="s">
        <v>87</v>
      </c>
      <c r="F234" s="9" t="s">
        <v>88</v>
      </c>
      <c r="G234" s="17">
        <v>0.4826388888888889</v>
      </c>
      <c r="H234" s="17">
        <v>0.49513888888888885</v>
      </c>
      <c r="I234" s="9">
        <v>39590</v>
      </c>
      <c r="J234" s="9">
        <v>17210</v>
      </c>
      <c r="K234" s="10">
        <f t="shared" si="11"/>
        <v>22380</v>
      </c>
      <c r="L234" s="10">
        <v>23744</v>
      </c>
      <c r="M234" s="11" t="s">
        <v>1784</v>
      </c>
      <c r="N234" s="12"/>
      <c r="O234" s="13" t="s">
        <v>855</v>
      </c>
      <c r="P234" s="14"/>
    </row>
    <row r="235" spans="1:16" x14ac:dyDescent="0.25">
      <c r="A235" s="6"/>
      <c r="B235" s="7">
        <v>44295</v>
      </c>
      <c r="C235" s="8" t="s">
        <v>1062</v>
      </c>
      <c r="D235" s="8" t="s">
        <v>2249</v>
      </c>
      <c r="E235" s="9" t="s">
        <v>440</v>
      </c>
      <c r="F235" s="9" t="s">
        <v>1276</v>
      </c>
      <c r="G235" s="17">
        <v>0.48819444444444443</v>
      </c>
      <c r="H235" s="17">
        <v>0.49374999999999997</v>
      </c>
      <c r="I235" s="9">
        <v>39050</v>
      </c>
      <c r="J235" s="9">
        <v>15360</v>
      </c>
      <c r="K235" s="10">
        <f t="shared" si="11"/>
        <v>23690</v>
      </c>
      <c r="L235" s="10">
        <v>23744</v>
      </c>
      <c r="M235" s="11" t="s">
        <v>1784</v>
      </c>
      <c r="N235" s="12"/>
      <c r="O235" s="13" t="s">
        <v>855</v>
      </c>
      <c r="P235" s="14"/>
    </row>
    <row r="236" spans="1:16" x14ac:dyDescent="0.25">
      <c r="A236" s="6"/>
      <c r="B236" s="7">
        <v>44295</v>
      </c>
      <c r="C236" s="8" t="s">
        <v>1062</v>
      </c>
      <c r="D236" s="8" t="s">
        <v>928</v>
      </c>
      <c r="E236" s="9" t="s">
        <v>947</v>
      </c>
      <c r="F236" s="9" t="s">
        <v>948</v>
      </c>
      <c r="G236" s="17">
        <v>0.48888888888888887</v>
      </c>
      <c r="H236" s="17">
        <v>0.49652777777777773</v>
      </c>
      <c r="I236" s="9">
        <v>17560</v>
      </c>
      <c r="J236" s="9">
        <v>7450</v>
      </c>
      <c r="K236" s="10">
        <f t="shared" si="11"/>
        <v>10110</v>
      </c>
      <c r="L236" s="10">
        <v>23744</v>
      </c>
      <c r="M236" s="11" t="s">
        <v>1784</v>
      </c>
      <c r="N236" s="12"/>
      <c r="O236" s="13" t="s">
        <v>855</v>
      </c>
      <c r="P236" s="14"/>
    </row>
    <row r="237" spans="1:16" x14ac:dyDescent="0.25">
      <c r="A237" s="6"/>
      <c r="B237" s="7">
        <v>44295</v>
      </c>
      <c r="C237" s="8" t="s">
        <v>1062</v>
      </c>
      <c r="D237" s="8" t="s">
        <v>465</v>
      </c>
      <c r="E237" s="9" t="s">
        <v>748</v>
      </c>
      <c r="F237" s="9" t="s">
        <v>749</v>
      </c>
      <c r="G237" s="17">
        <v>0.4916666666666667</v>
      </c>
      <c r="H237" s="17">
        <v>0.49791666666666662</v>
      </c>
      <c r="I237" s="9">
        <v>38080</v>
      </c>
      <c r="J237" s="9">
        <v>16630</v>
      </c>
      <c r="K237" s="10">
        <f t="shared" si="11"/>
        <v>21450</v>
      </c>
      <c r="L237" s="10">
        <v>23744</v>
      </c>
      <c r="M237" s="11" t="s">
        <v>1784</v>
      </c>
      <c r="N237" s="12"/>
      <c r="O237" s="13" t="s">
        <v>855</v>
      </c>
      <c r="P237" s="14"/>
    </row>
    <row r="238" spans="1:16" x14ac:dyDescent="0.25">
      <c r="A238" s="6"/>
      <c r="B238" s="7">
        <v>44295</v>
      </c>
      <c r="C238" s="8" t="s">
        <v>1062</v>
      </c>
      <c r="D238" s="8" t="s">
        <v>299</v>
      </c>
      <c r="E238" s="9" t="s">
        <v>813</v>
      </c>
      <c r="F238" s="9" t="s">
        <v>814</v>
      </c>
      <c r="G238" s="17">
        <v>0.4993055555555555</v>
      </c>
      <c r="H238" s="17">
        <v>0.50763888888888886</v>
      </c>
      <c r="I238" s="9">
        <v>43130</v>
      </c>
      <c r="J238" s="9">
        <v>17240</v>
      </c>
      <c r="K238" s="10">
        <f t="shared" si="11"/>
        <v>25890</v>
      </c>
      <c r="L238" s="10">
        <v>23744</v>
      </c>
      <c r="M238" s="11" t="s">
        <v>1784</v>
      </c>
      <c r="N238" s="12"/>
      <c r="O238" s="13" t="s">
        <v>855</v>
      </c>
      <c r="P238" s="14"/>
    </row>
    <row r="239" spans="1:16" x14ac:dyDescent="0.25">
      <c r="A239" s="6"/>
      <c r="B239" s="7">
        <v>44295</v>
      </c>
      <c r="C239" s="8" t="s">
        <v>1062</v>
      </c>
      <c r="D239" s="8" t="s">
        <v>853</v>
      </c>
      <c r="E239" s="9" t="s">
        <v>51</v>
      </c>
      <c r="F239" s="9" t="s">
        <v>52</v>
      </c>
      <c r="G239" s="17">
        <v>0.50416666666666665</v>
      </c>
      <c r="H239" s="17">
        <v>0.50972222222222219</v>
      </c>
      <c r="I239" s="9">
        <v>36430</v>
      </c>
      <c r="J239" s="9">
        <v>14800</v>
      </c>
      <c r="K239" s="10">
        <f t="shared" si="11"/>
        <v>21630</v>
      </c>
      <c r="L239" s="10">
        <v>23744</v>
      </c>
      <c r="M239" s="11" t="s">
        <v>1784</v>
      </c>
      <c r="N239" s="12"/>
      <c r="O239" s="13" t="s">
        <v>855</v>
      </c>
      <c r="P239" s="14"/>
    </row>
    <row r="240" spans="1:16" x14ac:dyDescent="0.25">
      <c r="A240" s="6"/>
      <c r="B240" s="7">
        <v>44295</v>
      </c>
      <c r="C240" s="8" t="s">
        <v>1062</v>
      </c>
      <c r="D240" s="8" t="s">
        <v>1355</v>
      </c>
      <c r="E240" s="9" t="s">
        <v>1048</v>
      </c>
      <c r="F240" s="9" t="s">
        <v>526</v>
      </c>
      <c r="G240" s="17">
        <v>0.50624999999999998</v>
      </c>
      <c r="H240" s="17">
        <v>0.51388888888888895</v>
      </c>
      <c r="I240" s="9">
        <v>40860</v>
      </c>
      <c r="J240" s="9">
        <v>18640</v>
      </c>
      <c r="K240" s="10">
        <f t="shared" si="11"/>
        <v>22220</v>
      </c>
      <c r="L240" s="10">
        <v>23744</v>
      </c>
      <c r="M240" s="11" t="s">
        <v>1784</v>
      </c>
      <c r="N240" s="12"/>
      <c r="O240" s="13" t="s">
        <v>855</v>
      </c>
      <c r="P240" s="14"/>
    </row>
    <row r="241" spans="1:17" x14ac:dyDescent="0.25">
      <c r="A241" s="6"/>
      <c r="B241" s="7">
        <v>44295</v>
      </c>
      <c r="C241" s="8" t="s">
        <v>1062</v>
      </c>
      <c r="D241" s="8" t="s">
        <v>284</v>
      </c>
      <c r="E241" s="9" t="s">
        <v>177</v>
      </c>
      <c r="F241" s="9" t="s">
        <v>178</v>
      </c>
      <c r="G241" s="17">
        <v>0.51874999999999993</v>
      </c>
      <c r="H241" s="17">
        <v>0.53749999999999998</v>
      </c>
      <c r="I241" s="9">
        <v>39300</v>
      </c>
      <c r="J241" s="9">
        <v>17030</v>
      </c>
      <c r="K241" s="10">
        <f t="shared" si="11"/>
        <v>22270</v>
      </c>
      <c r="L241" s="10">
        <v>23744</v>
      </c>
      <c r="M241" s="11" t="s">
        <v>1784</v>
      </c>
      <c r="N241" s="12"/>
      <c r="O241" s="13" t="s">
        <v>855</v>
      </c>
      <c r="P241" s="14"/>
    </row>
    <row r="242" spans="1:17" x14ac:dyDescent="0.25">
      <c r="A242" s="6"/>
      <c r="B242" s="7">
        <v>44295</v>
      </c>
      <c r="C242" s="8" t="s">
        <v>2507</v>
      </c>
      <c r="D242" s="8" t="s">
        <v>1850</v>
      </c>
      <c r="E242" s="9" t="s">
        <v>144</v>
      </c>
      <c r="F242" s="9" t="s">
        <v>626</v>
      </c>
      <c r="G242" s="17">
        <v>0.54722222222222217</v>
      </c>
      <c r="H242" s="17">
        <v>0.55347222222222225</v>
      </c>
      <c r="I242" s="9">
        <v>27600</v>
      </c>
      <c r="J242" s="9">
        <v>15520</v>
      </c>
      <c r="K242" s="10">
        <f t="shared" si="11"/>
        <v>12080</v>
      </c>
      <c r="L242" s="10" t="s">
        <v>2508</v>
      </c>
      <c r="M242" s="11" t="s">
        <v>1041</v>
      </c>
      <c r="N242" s="12"/>
      <c r="O242" s="13" t="s">
        <v>855</v>
      </c>
      <c r="P242" s="14"/>
    </row>
    <row r="243" spans="1:17" x14ac:dyDescent="0.25">
      <c r="A243" s="6"/>
      <c r="B243" s="7">
        <v>44295</v>
      </c>
      <c r="C243" s="8" t="s">
        <v>2511</v>
      </c>
      <c r="D243" s="8" t="s">
        <v>2512</v>
      </c>
      <c r="E243" s="9" t="s">
        <v>2513</v>
      </c>
      <c r="F243" s="9" t="s">
        <v>390</v>
      </c>
      <c r="G243" s="17">
        <v>0.5493055555555556</v>
      </c>
      <c r="H243" s="17">
        <v>0.61944444444444446</v>
      </c>
      <c r="I243" s="9">
        <v>54320</v>
      </c>
      <c r="J243" s="9">
        <v>18950</v>
      </c>
      <c r="K243" s="10">
        <f t="shared" ref="K243" si="13">+I243-J243</f>
        <v>35370</v>
      </c>
      <c r="L243" s="10">
        <v>14339</v>
      </c>
      <c r="M243" s="11" t="s">
        <v>306</v>
      </c>
      <c r="N243" s="12">
        <v>10000</v>
      </c>
      <c r="O243" s="13" t="s">
        <v>84</v>
      </c>
      <c r="P243" s="14"/>
    </row>
    <row r="244" spans="1:17" x14ac:dyDescent="0.25">
      <c r="A244" s="6"/>
      <c r="B244" s="7">
        <v>44295</v>
      </c>
      <c r="C244" s="8" t="s">
        <v>1029</v>
      </c>
      <c r="D244" s="8" t="s">
        <v>1794</v>
      </c>
      <c r="E244" s="9" t="s">
        <v>628</v>
      </c>
      <c r="F244" s="9" t="s">
        <v>629</v>
      </c>
      <c r="G244" s="17">
        <v>0.55486111111111114</v>
      </c>
      <c r="H244" s="17">
        <v>0.57013888888888886</v>
      </c>
      <c r="I244" s="9">
        <v>19820</v>
      </c>
      <c r="J244" s="9">
        <v>9660</v>
      </c>
      <c r="K244" s="10">
        <f t="shared" si="11"/>
        <v>10160</v>
      </c>
      <c r="L244" s="10">
        <v>23746</v>
      </c>
      <c r="M244" s="11" t="s">
        <v>1041</v>
      </c>
      <c r="N244" s="12">
        <v>9</v>
      </c>
      <c r="O244" s="13" t="s">
        <v>855</v>
      </c>
      <c r="P244" s="14"/>
    </row>
    <row r="245" spans="1:17" x14ac:dyDescent="0.25">
      <c r="A245" s="6"/>
      <c r="B245" s="7">
        <v>44295</v>
      </c>
      <c r="C245" s="8" t="s">
        <v>2444</v>
      </c>
      <c r="D245" s="8" t="s">
        <v>899</v>
      </c>
      <c r="E245" s="9" t="s">
        <v>490</v>
      </c>
      <c r="F245" s="9" t="s">
        <v>491</v>
      </c>
      <c r="G245" s="17">
        <v>0.58402777777777781</v>
      </c>
      <c r="H245" s="17">
        <v>0.62152777777777779</v>
      </c>
      <c r="I245" s="9">
        <v>38970</v>
      </c>
      <c r="J245" s="9">
        <v>15790</v>
      </c>
      <c r="K245" s="10">
        <f t="shared" si="11"/>
        <v>23180</v>
      </c>
      <c r="L245" s="10">
        <v>23747</v>
      </c>
      <c r="M245" s="11" t="s">
        <v>1784</v>
      </c>
      <c r="N245" s="12"/>
      <c r="O245" s="13" t="s">
        <v>855</v>
      </c>
      <c r="P245" s="14"/>
    </row>
    <row r="246" spans="1:17" x14ac:dyDescent="0.25">
      <c r="A246" s="6"/>
      <c r="B246" s="7">
        <v>44295</v>
      </c>
      <c r="C246" s="8" t="s">
        <v>2444</v>
      </c>
      <c r="D246" s="8" t="s">
        <v>2249</v>
      </c>
      <c r="E246" s="9" t="s">
        <v>440</v>
      </c>
      <c r="F246" s="9" t="s">
        <v>1276</v>
      </c>
      <c r="G246" s="17">
        <v>0.58472222222222225</v>
      </c>
      <c r="H246" s="17">
        <v>0.59236111111111112</v>
      </c>
      <c r="I246" s="9">
        <v>34830</v>
      </c>
      <c r="J246" s="9">
        <v>15340</v>
      </c>
      <c r="K246" s="10">
        <f t="shared" si="11"/>
        <v>19490</v>
      </c>
      <c r="L246" s="10">
        <v>23747</v>
      </c>
      <c r="M246" s="11" t="s">
        <v>1784</v>
      </c>
      <c r="N246" s="12"/>
      <c r="O246" s="13" t="s">
        <v>855</v>
      </c>
      <c r="P246" s="14"/>
    </row>
    <row r="247" spans="1:17" x14ac:dyDescent="0.25">
      <c r="A247" s="6"/>
      <c r="B247" s="7">
        <v>44295</v>
      </c>
      <c r="C247" s="8" t="s">
        <v>2444</v>
      </c>
      <c r="D247" s="8" t="s">
        <v>928</v>
      </c>
      <c r="E247" s="9" t="s">
        <v>947</v>
      </c>
      <c r="F247" s="9" t="s">
        <v>948</v>
      </c>
      <c r="G247" s="17">
        <v>0.58888888888888891</v>
      </c>
      <c r="H247" s="17">
        <v>0.62222222222222223</v>
      </c>
      <c r="I247" s="9">
        <v>15750</v>
      </c>
      <c r="J247" s="9">
        <v>7440</v>
      </c>
      <c r="K247" s="10">
        <f t="shared" si="11"/>
        <v>8310</v>
      </c>
      <c r="L247" s="10">
        <v>23747</v>
      </c>
      <c r="M247" s="11" t="s">
        <v>1784</v>
      </c>
      <c r="N247" s="12"/>
      <c r="O247" s="13" t="s">
        <v>855</v>
      </c>
      <c r="P247" s="14"/>
    </row>
    <row r="248" spans="1:17" x14ac:dyDescent="0.25">
      <c r="A248" s="6"/>
      <c r="B248" s="7">
        <v>44295</v>
      </c>
      <c r="C248" s="8" t="s">
        <v>2444</v>
      </c>
      <c r="D248" s="8" t="s">
        <v>465</v>
      </c>
      <c r="E248" s="9" t="s">
        <v>748</v>
      </c>
      <c r="F248" s="9" t="s">
        <v>749</v>
      </c>
      <c r="G248" s="17">
        <v>0.59861111111111109</v>
      </c>
      <c r="H248" s="17">
        <v>0.61249999999999993</v>
      </c>
      <c r="I248" s="9">
        <v>38610</v>
      </c>
      <c r="J248" s="9">
        <v>16610</v>
      </c>
      <c r="K248" s="10">
        <f t="shared" si="11"/>
        <v>22000</v>
      </c>
      <c r="L248" s="10">
        <v>23747</v>
      </c>
      <c r="M248" s="11" t="s">
        <v>1784</v>
      </c>
      <c r="N248" s="12"/>
      <c r="O248" s="13" t="s">
        <v>855</v>
      </c>
      <c r="P248" s="14"/>
    </row>
    <row r="249" spans="1:17" x14ac:dyDescent="0.25">
      <c r="A249" s="6"/>
      <c r="B249" s="7">
        <v>44295</v>
      </c>
      <c r="C249" s="8" t="s">
        <v>2444</v>
      </c>
      <c r="D249" s="8" t="s">
        <v>299</v>
      </c>
      <c r="E249" s="9" t="s">
        <v>813</v>
      </c>
      <c r="F249" s="9" t="s">
        <v>814</v>
      </c>
      <c r="G249" s="17">
        <v>0.60138888888888886</v>
      </c>
      <c r="H249" s="17">
        <v>0.68819444444444444</v>
      </c>
      <c r="I249" s="9">
        <v>41580</v>
      </c>
      <c r="J249" s="9">
        <v>17230</v>
      </c>
      <c r="K249" s="10">
        <f t="shared" si="11"/>
        <v>24350</v>
      </c>
      <c r="L249" s="10">
        <v>23747</v>
      </c>
      <c r="M249" s="11" t="s">
        <v>1784</v>
      </c>
      <c r="N249" s="12"/>
      <c r="O249" s="13" t="s">
        <v>855</v>
      </c>
      <c r="P249" s="14"/>
    </row>
    <row r="250" spans="1:17" x14ac:dyDescent="0.25">
      <c r="A250" s="6"/>
      <c r="B250" s="7">
        <v>44295</v>
      </c>
      <c r="C250" s="8" t="s">
        <v>2509</v>
      </c>
      <c r="D250" s="8" t="s">
        <v>1920</v>
      </c>
      <c r="E250" s="9" t="s">
        <v>511</v>
      </c>
      <c r="F250" s="9" t="s">
        <v>390</v>
      </c>
      <c r="G250" s="17">
        <v>0.60347222222222219</v>
      </c>
      <c r="H250" s="17">
        <v>0.64722222222222225</v>
      </c>
      <c r="I250" s="9">
        <v>14380</v>
      </c>
      <c r="J250" s="9">
        <v>8490</v>
      </c>
      <c r="K250" s="10">
        <f t="shared" si="11"/>
        <v>5890</v>
      </c>
      <c r="L250" s="10">
        <v>20</v>
      </c>
      <c r="M250" s="11" t="s">
        <v>2510</v>
      </c>
      <c r="N250" s="12">
        <v>6</v>
      </c>
      <c r="O250" s="13" t="s">
        <v>80</v>
      </c>
      <c r="P250" s="22" t="s">
        <v>2521</v>
      </c>
    </row>
    <row r="251" spans="1:17" x14ac:dyDescent="0.25">
      <c r="A251" s="6"/>
      <c r="B251" s="7">
        <v>44295</v>
      </c>
      <c r="C251" s="8" t="s">
        <v>2514</v>
      </c>
      <c r="D251" s="8" t="s">
        <v>1794</v>
      </c>
      <c r="E251" s="9" t="s">
        <v>628</v>
      </c>
      <c r="F251" s="9" t="s">
        <v>629</v>
      </c>
      <c r="G251" s="17">
        <v>0.62430555555555556</v>
      </c>
      <c r="H251" s="17">
        <v>0.63680555555555551</v>
      </c>
      <c r="I251" s="9">
        <v>14970</v>
      </c>
      <c r="J251" s="9">
        <v>9640</v>
      </c>
      <c r="K251" s="10">
        <f t="shared" si="11"/>
        <v>5330</v>
      </c>
      <c r="L251" s="10">
        <v>31780</v>
      </c>
      <c r="M251" s="11" t="s">
        <v>1515</v>
      </c>
      <c r="N251" s="12">
        <v>5260</v>
      </c>
      <c r="O251" s="13" t="s">
        <v>32</v>
      </c>
      <c r="P251" s="14"/>
    </row>
    <row r="252" spans="1:17" x14ac:dyDescent="0.25">
      <c r="A252" s="6"/>
      <c r="B252" s="7">
        <v>44295</v>
      </c>
      <c r="C252" s="8" t="s">
        <v>2515</v>
      </c>
      <c r="D252" s="8" t="s">
        <v>2516</v>
      </c>
      <c r="E252" s="9" t="s">
        <v>2517</v>
      </c>
      <c r="F252" s="9" t="s">
        <v>390</v>
      </c>
      <c r="G252" s="17">
        <v>0.63194444444444442</v>
      </c>
      <c r="H252" s="17">
        <v>0.7006944444444444</v>
      </c>
      <c r="I252" s="9">
        <v>27040</v>
      </c>
      <c r="J252" s="9">
        <v>21940</v>
      </c>
      <c r="K252" s="10">
        <f t="shared" si="11"/>
        <v>5100</v>
      </c>
      <c r="L252" s="10">
        <v>26807</v>
      </c>
      <c r="M252" s="11" t="s">
        <v>1784</v>
      </c>
      <c r="N252" s="12">
        <v>5100</v>
      </c>
      <c r="O252" s="13" t="s">
        <v>32</v>
      </c>
      <c r="P252" s="14"/>
    </row>
    <row r="253" spans="1:17" x14ac:dyDescent="0.25">
      <c r="A253" s="6"/>
      <c r="B253" s="7">
        <v>44295</v>
      </c>
      <c r="C253" s="8" t="s">
        <v>2518</v>
      </c>
      <c r="D253" s="8" t="s">
        <v>1355</v>
      </c>
      <c r="E253" s="9" t="s">
        <v>1048</v>
      </c>
      <c r="F253" s="9" t="s">
        <v>526</v>
      </c>
      <c r="G253" s="17">
        <v>0.64374999999999993</v>
      </c>
      <c r="H253" s="17">
        <v>0.6777777777777777</v>
      </c>
      <c r="I253" s="9">
        <v>42670</v>
      </c>
      <c r="J253" s="9">
        <v>18630</v>
      </c>
      <c r="K253" s="10">
        <f t="shared" si="11"/>
        <v>24040</v>
      </c>
      <c r="L253" s="10" t="s">
        <v>2519</v>
      </c>
      <c r="M253" s="11" t="s">
        <v>2520</v>
      </c>
      <c r="N253" s="12">
        <v>20.58</v>
      </c>
      <c r="O253" s="13" t="s">
        <v>855</v>
      </c>
      <c r="P253" s="14"/>
    </row>
    <row r="254" spans="1:17" x14ac:dyDescent="0.25">
      <c r="A254" s="6"/>
      <c r="B254" s="7">
        <v>44295</v>
      </c>
      <c r="C254" s="8" t="s">
        <v>2522</v>
      </c>
      <c r="D254" s="8" t="s">
        <v>853</v>
      </c>
      <c r="E254" s="9" t="s">
        <v>51</v>
      </c>
      <c r="F254" s="9" t="s">
        <v>52</v>
      </c>
      <c r="G254" s="17">
        <v>0.65069444444444446</v>
      </c>
      <c r="H254" s="17">
        <v>0.8208333333333333</v>
      </c>
      <c r="I254" s="9">
        <v>38860</v>
      </c>
      <c r="J254" s="9">
        <v>14770</v>
      </c>
      <c r="K254" s="10">
        <f t="shared" si="11"/>
        <v>24090</v>
      </c>
      <c r="L254" s="10" t="s">
        <v>2523</v>
      </c>
      <c r="M254" s="11" t="s">
        <v>2524</v>
      </c>
      <c r="N254" s="12">
        <v>21.18</v>
      </c>
      <c r="O254" s="13" t="s">
        <v>855</v>
      </c>
      <c r="P254" s="14"/>
    </row>
    <row r="255" spans="1:17" x14ac:dyDescent="0.25">
      <c r="A255" s="6"/>
      <c r="B255" s="7">
        <v>44295</v>
      </c>
      <c r="C255" s="8" t="s">
        <v>1290</v>
      </c>
      <c r="D255" s="8" t="s">
        <v>284</v>
      </c>
      <c r="E255" s="9" t="s">
        <v>177</v>
      </c>
      <c r="F255" s="9" t="s">
        <v>178</v>
      </c>
      <c r="G255" s="17">
        <v>0.65277777777777779</v>
      </c>
      <c r="H255" s="17">
        <v>0.77222222222222225</v>
      </c>
      <c r="I255" s="9">
        <v>43000</v>
      </c>
      <c r="J255" s="9">
        <v>17030</v>
      </c>
      <c r="K255" s="10">
        <f t="shared" si="11"/>
        <v>25970</v>
      </c>
      <c r="L255" s="10">
        <v>23750</v>
      </c>
      <c r="M255" s="11" t="s">
        <v>2524</v>
      </c>
      <c r="N255" s="12">
        <v>9.18</v>
      </c>
      <c r="O255" s="13" t="s">
        <v>855</v>
      </c>
      <c r="P255" s="14"/>
      <c r="Q255" s="2"/>
    </row>
    <row r="256" spans="1:17" x14ac:dyDescent="0.25">
      <c r="A256" s="6"/>
      <c r="B256" s="7">
        <v>44295</v>
      </c>
      <c r="C256" s="8" t="s">
        <v>164</v>
      </c>
      <c r="D256" s="8" t="s">
        <v>465</v>
      </c>
      <c r="E256" s="9" t="s">
        <v>748</v>
      </c>
      <c r="F256" s="9" t="s">
        <v>749</v>
      </c>
      <c r="G256" s="17">
        <v>0.65833333333333333</v>
      </c>
      <c r="H256" s="17">
        <v>0.68541666666666667</v>
      </c>
      <c r="I256" s="9">
        <v>17490</v>
      </c>
      <c r="J256" s="9">
        <v>42740</v>
      </c>
      <c r="K256" s="10">
        <f t="shared" ref="K256" si="14">+I256-J256</f>
        <v>-25250</v>
      </c>
      <c r="L256" s="10">
        <v>17070</v>
      </c>
      <c r="M256" s="11" t="s">
        <v>166</v>
      </c>
      <c r="N256" s="12">
        <v>504</v>
      </c>
      <c r="O256" s="13" t="s">
        <v>54</v>
      </c>
      <c r="P256" s="14"/>
      <c r="Q256" s="2"/>
    </row>
    <row r="257" spans="1:23" x14ac:dyDescent="0.25">
      <c r="A257" s="6"/>
      <c r="B257" s="7">
        <v>44295</v>
      </c>
      <c r="C257" s="8" t="s">
        <v>1290</v>
      </c>
      <c r="D257" s="8" t="s">
        <v>1850</v>
      </c>
      <c r="E257" s="9" t="s">
        <v>144</v>
      </c>
      <c r="F257" s="9" t="s">
        <v>626</v>
      </c>
      <c r="G257" s="17">
        <v>0.65486111111111112</v>
      </c>
      <c r="H257" s="17">
        <v>0.66597222222222219</v>
      </c>
      <c r="I257" s="9">
        <v>25960</v>
      </c>
      <c r="J257" s="9">
        <v>15680</v>
      </c>
      <c r="K257" s="10">
        <f t="shared" si="11"/>
        <v>10280</v>
      </c>
      <c r="L257" s="10">
        <v>23750</v>
      </c>
      <c r="M257" s="11" t="s">
        <v>2524</v>
      </c>
      <c r="N257" s="12"/>
      <c r="O257" s="13" t="s">
        <v>855</v>
      </c>
      <c r="P257" s="14"/>
      <c r="Q257" s="2"/>
    </row>
    <row r="258" spans="1:23" x14ac:dyDescent="0.25">
      <c r="A258" s="6"/>
      <c r="B258" s="7">
        <v>44295</v>
      </c>
      <c r="C258" s="8" t="s">
        <v>2525</v>
      </c>
      <c r="D258" s="8" t="s">
        <v>928</v>
      </c>
      <c r="E258" s="9" t="s">
        <v>947</v>
      </c>
      <c r="F258" s="9" t="s">
        <v>948</v>
      </c>
      <c r="G258" s="17">
        <v>0.67083333333333339</v>
      </c>
      <c r="H258" s="17">
        <v>0.67986111111111114</v>
      </c>
      <c r="I258" s="9">
        <v>8510</v>
      </c>
      <c r="J258" s="9">
        <v>7440</v>
      </c>
      <c r="K258" s="10">
        <f t="shared" si="11"/>
        <v>1070</v>
      </c>
      <c r="L258" s="10">
        <v>23752</v>
      </c>
      <c r="M258" s="11" t="s">
        <v>1515</v>
      </c>
      <c r="N258" s="12">
        <v>1070</v>
      </c>
      <c r="O258" s="13" t="s">
        <v>32</v>
      </c>
      <c r="P258" s="14" t="s">
        <v>992</v>
      </c>
      <c r="Q258" s="2"/>
    </row>
    <row r="259" spans="1:23" x14ac:dyDescent="0.25">
      <c r="A259" s="6"/>
      <c r="B259" s="7">
        <v>44295</v>
      </c>
      <c r="C259" s="8" t="s">
        <v>1083</v>
      </c>
      <c r="D259" s="8" t="s">
        <v>1084</v>
      </c>
      <c r="E259" s="9" t="s">
        <v>1085</v>
      </c>
      <c r="F259" s="9" t="s">
        <v>1086</v>
      </c>
      <c r="G259" s="17">
        <v>0.68333333333333324</v>
      </c>
      <c r="H259" s="17">
        <v>0.70486111111111116</v>
      </c>
      <c r="I259" s="9">
        <v>11770</v>
      </c>
      <c r="J259" s="9">
        <v>6660</v>
      </c>
      <c r="K259" s="10">
        <f t="shared" si="11"/>
        <v>5110</v>
      </c>
      <c r="L259" s="10">
        <v>20203</v>
      </c>
      <c r="M259" s="11" t="s">
        <v>1087</v>
      </c>
      <c r="N259" s="12">
        <v>5110</v>
      </c>
      <c r="O259" s="13" t="s">
        <v>32</v>
      </c>
      <c r="P259" s="14" t="s">
        <v>1088</v>
      </c>
      <c r="Q259" s="2"/>
      <c r="R259" s="1">
        <v>2</v>
      </c>
    </row>
    <row r="260" spans="1:23" x14ac:dyDescent="0.25">
      <c r="A260" s="6"/>
      <c r="B260" s="7">
        <v>44295</v>
      </c>
      <c r="C260" s="8" t="s">
        <v>1029</v>
      </c>
      <c r="D260" s="8" t="s">
        <v>1794</v>
      </c>
      <c r="E260" s="9" t="s">
        <v>628</v>
      </c>
      <c r="F260" s="9" t="s">
        <v>629</v>
      </c>
      <c r="G260" s="17">
        <v>0.70277777777777783</v>
      </c>
      <c r="H260" s="17">
        <v>0.70833333333333337</v>
      </c>
      <c r="I260" s="9">
        <v>10600</v>
      </c>
      <c r="J260" s="9">
        <v>9640</v>
      </c>
      <c r="K260" s="10">
        <f t="shared" si="11"/>
        <v>960</v>
      </c>
      <c r="L260" s="10">
        <v>23753</v>
      </c>
      <c r="M260" s="11" t="s">
        <v>1515</v>
      </c>
      <c r="N260" s="12">
        <v>960</v>
      </c>
      <c r="O260" s="13" t="s">
        <v>32</v>
      </c>
      <c r="P260" s="14" t="s">
        <v>883</v>
      </c>
      <c r="Q260" s="2"/>
    </row>
    <row r="261" spans="1:23" x14ac:dyDescent="0.25">
      <c r="A261" s="6"/>
      <c r="B261" s="7">
        <v>44295</v>
      </c>
      <c r="C261" s="8" t="s">
        <v>2526</v>
      </c>
      <c r="D261" s="8" t="s">
        <v>2249</v>
      </c>
      <c r="E261" s="9" t="s">
        <v>440</v>
      </c>
      <c r="F261" s="9" t="s">
        <v>1276</v>
      </c>
      <c r="G261" s="17">
        <v>0.72430555555555554</v>
      </c>
      <c r="H261" s="17">
        <v>0.75069444444444444</v>
      </c>
      <c r="I261" s="9">
        <v>22080</v>
      </c>
      <c r="J261" s="9">
        <v>15330</v>
      </c>
      <c r="K261" s="10">
        <f t="shared" si="11"/>
        <v>6750</v>
      </c>
      <c r="L261" s="10" t="s">
        <v>2527</v>
      </c>
      <c r="M261" s="11" t="s">
        <v>2524</v>
      </c>
      <c r="N261" s="12">
        <f>1.8+3.952</f>
        <v>5.7519999999999998</v>
      </c>
      <c r="O261" s="13" t="s">
        <v>855</v>
      </c>
      <c r="P261" s="14"/>
      <c r="Q261" s="2"/>
      <c r="U261" s="27"/>
    </row>
    <row r="262" spans="1:23" x14ac:dyDescent="0.25">
      <c r="A262" s="6"/>
      <c r="B262" s="7">
        <v>44295</v>
      </c>
      <c r="C262" s="8" t="s">
        <v>2471</v>
      </c>
      <c r="D262" s="8" t="s">
        <v>2472</v>
      </c>
      <c r="E262" s="9" t="s">
        <v>2473</v>
      </c>
      <c r="F262" s="9" t="s">
        <v>390</v>
      </c>
      <c r="G262" s="17">
        <v>0.75</v>
      </c>
      <c r="H262" s="17">
        <v>0.79583333333333339</v>
      </c>
      <c r="I262" s="9">
        <v>6020</v>
      </c>
      <c r="J262" s="9">
        <v>2920</v>
      </c>
      <c r="K262" s="10">
        <f t="shared" si="11"/>
        <v>3100</v>
      </c>
      <c r="L262" s="10">
        <v>26808</v>
      </c>
      <c r="M262" s="11" t="s">
        <v>1857</v>
      </c>
      <c r="N262" s="12">
        <v>3100</v>
      </c>
      <c r="O262" s="13" t="s">
        <v>32</v>
      </c>
      <c r="P262" s="14"/>
      <c r="Q262" s="2"/>
      <c r="U262" s="27"/>
    </row>
    <row r="263" spans="1:23" x14ac:dyDescent="0.25">
      <c r="A263" s="6"/>
      <c r="B263" s="7">
        <v>44295</v>
      </c>
      <c r="C263" s="8" t="s">
        <v>1083</v>
      </c>
      <c r="D263" s="8" t="s">
        <v>1084</v>
      </c>
      <c r="E263" s="9" t="s">
        <v>502</v>
      </c>
      <c r="F263" s="9" t="s">
        <v>503</v>
      </c>
      <c r="G263" s="17">
        <v>0.75763888888888886</v>
      </c>
      <c r="H263" s="17">
        <v>0.77777777777777779</v>
      </c>
      <c r="I263" s="9">
        <v>10650</v>
      </c>
      <c r="J263" s="9">
        <v>6020</v>
      </c>
      <c r="K263" s="10">
        <f t="shared" si="11"/>
        <v>4630</v>
      </c>
      <c r="L263" s="10">
        <v>20204</v>
      </c>
      <c r="M263" s="11" t="s">
        <v>1873</v>
      </c>
      <c r="N263" s="12">
        <v>4630</v>
      </c>
      <c r="O263" s="13" t="s">
        <v>32</v>
      </c>
      <c r="P263" s="14" t="s">
        <v>1291</v>
      </c>
      <c r="Q263" s="2"/>
      <c r="U263" s="27"/>
    </row>
    <row r="264" spans="1:23" x14ac:dyDescent="0.25">
      <c r="A264" s="6"/>
      <c r="B264" s="7">
        <v>44295</v>
      </c>
      <c r="C264" s="8" t="s">
        <v>208</v>
      </c>
      <c r="D264" s="8" t="s">
        <v>1850</v>
      </c>
      <c r="E264" s="9" t="s">
        <v>144</v>
      </c>
      <c r="F264" s="9" t="s">
        <v>626</v>
      </c>
      <c r="G264" s="17">
        <v>0.79305555555555562</v>
      </c>
      <c r="H264" s="17">
        <v>0.82986111111111116</v>
      </c>
      <c r="I264" s="9">
        <v>34650</v>
      </c>
      <c r="J264" s="9">
        <v>17190</v>
      </c>
      <c r="K264" s="10">
        <f t="shared" si="11"/>
        <v>17460</v>
      </c>
      <c r="L264" s="10">
        <v>41662</v>
      </c>
      <c r="M264" s="11" t="s">
        <v>1626</v>
      </c>
      <c r="N264" s="12">
        <v>17480</v>
      </c>
      <c r="O264" s="13" t="s">
        <v>32</v>
      </c>
      <c r="P264" s="14"/>
      <c r="Q264" s="2"/>
      <c r="U264" s="27"/>
    </row>
    <row r="265" spans="1:23" x14ac:dyDescent="0.25">
      <c r="A265" s="6"/>
      <c r="B265" s="7">
        <v>44295</v>
      </c>
      <c r="C265" s="8" t="s">
        <v>2471</v>
      </c>
      <c r="D265" s="8" t="s">
        <v>2471</v>
      </c>
      <c r="E265" s="9" t="s">
        <v>2482</v>
      </c>
      <c r="F265" s="9" t="s">
        <v>36</v>
      </c>
      <c r="G265" s="17">
        <v>0.8256944444444444</v>
      </c>
      <c r="H265" s="17">
        <v>0.84930555555555554</v>
      </c>
      <c r="I265" s="9">
        <v>6410</v>
      </c>
      <c r="J265" s="9">
        <v>4480</v>
      </c>
      <c r="K265" s="10">
        <f t="shared" si="11"/>
        <v>1930</v>
      </c>
      <c r="L265" s="10">
        <v>26809</v>
      </c>
      <c r="M265" s="11" t="s">
        <v>2528</v>
      </c>
      <c r="N265" s="12">
        <v>1930</v>
      </c>
      <c r="O265" s="13" t="s">
        <v>32</v>
      </c>
      <c r="P265" s="14"/>
      <c r="Q265" s="2"/>
      <c r="U265" s="27"/>
    </row>
    <row r="266" spans="1:23" x14ac:dyDescent="0.25">
      <c r="A266" s="6"/>
      <c r="B266" s="7">
        <v>44295</v>
      </c>
      <c r="C266" s="8" t="s">
        <v>2123</v>
      </c>
      <c r="D266" s="8" t="s">
        <v>1853</v>
      </c>
      <c r="E266" s="9" t="s">
        <v>1206</v>
      </c>
      <c r="F266" s="9" t="s">
        <v>36</v>
      </c>
      <c r="G266" s="17">
        <v>0.83680555555555547</v>
      </c>
      <c r="H266" s="17">
        <v>0.85555555555555562</v>
      </c>
      <c r="I266" s="9">
        <v>14930</v>
      </c>
      <c r="J266" s="9">
        <v>6660</v>
      </c>
      <c r="K266" s="10">
        <f t="shared" si="11"/>
        <v>8270</v>
      </c>
      <c r="L266" s="10">
        <v>26810</v>
      </c>
      <c r="M266" s="11" t="s">
        <v>1208</v>
      </c>
      <c r="N266" s="12">
        <v>8270</v>
      </c>
      <c r="O266" s="13" t="s">
        <v>32</v>
      </c>
      <c r="P266" s="14"/>
      <c r="Q266" s="2"/>
      <c r="W266" s="1" t="s">
        <v>19</v>
      </c>
    </row>
    <row r="267" spans="1:23" x14ac:dyDescent="0.25">
      <c r="A267" s="6"/>
      <c r="B267" s="7">
        <v>44295</v>
      </c>
      <c r="C267" s="8" t="s">
        <v>2123</v>
      </c>
      <c r="D267" s="8" t="s">
        <v>1853</v>
      </c>
      <c r="E267" s="9" t="s">
        <v>1231</v>
      </c>
      <c r="F267" s="9" t="s">
        <v>36</v>
      </c>
      <c r="G267" s="17">
        <v>0.9</v>
      </c>
      <c r="H267" s="17">
        <v>3.0555555555555555E-2</v>
      </c>
      <c r="I267" s="9">
        <v>8880</v>
      </c>
      <c r="J267" s="9">
        <v>4040</v>
      </c>
      <c r="K267" s="10">
        <f t="shared" ref="K267:K331" si="15">+I267-J267</f>
        <v>4840</v>
      </c>
      <c r="L267" s="10">
        <v>26811</v>
      </c>
      <c r="M267" s="11" t="s">
        <v>1515</v>
      </c>
      <c r="N267" s="12">
        <v>4840</v>
      </c>
      <c r="O267" s="13" t="s">
        <v>32</v>
      </c>
      <c r="P267" s="14"/>
      <c r="Q267" s="2"/>
      <c r="W267" s="1" t="s">
        <v>20</v>
      </c>
    </row>
    <row r="268" spans="1:23" x14ac:dyDescent="0.25">
      <c r="A268" s="6"/>
      <c r="B268" s="7">
        <v>44296</v>
      </c>
      <c r="C268" s="8" t="s">
        <v>37</v>
      </c>
      <c r="D268" s="8" t="s">
        <v>1282</v>
      </c>
      <c r="E268" s="9" t="s">
        <v>719</v>
      </c>
      <c r="F268" s="9" t="s">
        <v>36</v>
      </c>
      <c r="G268" s="17">
        <v>4.8611111111111112E-3</v>
      </c>
      <c r="H268" s="17">
        <v>4.7916666666666663E-2</v>
      </c>
      <c r="I268" s="9">
        <v>19020</v>
      </c>
      <c r="J268" s="9">
        <v>6290</v>
      </c>
      <c r="K268" s="10">
        <f t="shared" si="15"/>
        <v>12730</v>
      </c>
      <c r="L268" s="10">
        <v>26812</v>
      </c>
      <c r="M268" s="11" t="s">
        <v>2529</v>
      </c>
      <c r="N268" s="12">
        <v>12730</v>
      </c>
      <c r="O268" s="13" t="s">
        <v>32</v>
      </c>
      <c r="P268" s="14"/>
      <c r="Q268" s="2"/>
      <c r="W268" s="1" t="s">
        <v>21</v>
      </c>
    </row>
    <row r="269" spans="1:23" x14ac:dyDescent="0.25">
      <c r="A269" s="6"/>
      <c r="B269" s="7">
        <v>44296</v>
      </c>
      <c r="C269" s="8" t="s">
        <v>37</v>
      </c>
      <c r="D269" s="8" t="s">
        <v>2418</v>
      </c>
      <c r="E269" s="9" t="s">
        <v>39</v>
      </c>
      <c r="F269" s="9" t="s">
        <v>36</v>
      </c>
      <c r="G269" s="17">
        <v>7.6388888888888886E-3</v>
      </c>
      <c r="H269" s="17">
        <v>5.9027777777777783E-2</v>
      </c>
      <c r="I269" s="9">
        <v>16760</v>
      </c>
      <c r="J269" s="9">
        <v>6260</v>
      </c>
      <c r="K269" s="10">
        <f t="shared" si="15"/>
        <v>10500</v>
      </c>
      <c r="L269" s="10">
        <v>26813</v>
      </c>
      <c r="M269" s="11" t="s">
        <v>2529</v>
      </c>
      <c r="N269" s="12">
        <v>10500</v>
      </c>
      <c r="O269" s="13" t="s">
        <v>32</v>
      </c>
      <c r="P269" s="14"/>
      <c r="Q269" s="2"/>
    </row>
    <row r="270" spans="1:23" x14ac:dyDescent="0.25">
      <c r="A270" s="6"/>
      <c r="B270" s="7">
        <v>44296</v>
      </c>
      <c r="C270" s="8" t="s">
        <v>133</v>
      </c>
      <c r="D270" s="8" t="s">
        <v>2419</v>
      </c>
      <c r="E270" s="95" t="s">
        <v>220</v>
      </c>
      <c r="F270" s="9" t="s">
        <v>924</v>
      </c>
      <c r="G270" s="17">
        <v>6.458333333333334E-2</v>
      </c>
      <c r="H270" s="17">
        <v>0.29583333333333334</v>
      </c>
      <c r="I270" s="9">
        <v>23020</v>
      </c>
      <c r="J270" s="9">
        <v>9840</v>
      </c>
      <c r="K270" s="10">
        <f t="shared" si="15"/>
        <v>13180</v>
      </c>
      <c r="L270" s="10" t="s">
        <v>2530</v>
      </c>
      <c r="M270" s="11" t="s">
        <v>2421</v>
      </c>
      <c r="N270" s="12">
        <f>2524+10770</f>
        <v>13294</v>
      </c>
      <c r="O270" s="13" t="s">
        <v>32</v>
      </c>
      <c r="P270" s="14"/>
      <c r="Q270" s="2"/>
    </row>
    <row r="271" spans="1:23" x14ac:dyDescent="0.25">
      <c r="A271" s="6"/>
      <c r="B271" s="7">
        <v>44296</v>
      </c>
      <c r="C271" s="8" t="s">
        <v>871</v>
      </c>
      <c r="D271" s="8" t="s">
        <v>86</v>
      </c>
      <c r="E271" s="9" t="s">
        <v>87</v>
      </c>
      <c r="F271" s="9" t="s">
        <v>88</v>
      </c>
      <c r="G271" s="17">
        <v>6.6666666666666666E-2</v>
      </c>
      <c r="H271" s="17">
        <v>8.819444444444445E-2</v>
      </c>
      <c r="I271" s="9">
        <v>35060</v>
      </c>
      <c r="J271" s="9">
        <v>17250</v>
      </c>
      <c r="K271" s="10">
        <f t="shared" si="15"/>
        <v>17810</v>
      </c>
      <c r="L271" s="10">
        <v>808</v>
      </c>
      <c r="M271" s="11" t="s">
        <v>804</v>
      </c>
      <c r="N271" s="12">
        <v>17901</v>
      </c>
      <c r="O271" s="13" t="s">
        <v>32</v>
      </c>
      <c r="P271" s="14"/>
      <c r="Q271" s="2"/>
    </row>
    <row r="272" spans="1:23" x14ac:dyDescent="0.25">
      <c r="A272" s="6"/>
      <c r="B272" s="7">
        <v>44296</v>
      </c>
      <c r="C272" s="8" t="s">
        <v>289</v>
      </c>
      <c r="D272" s="8" t="s">
        <v>174</v>
      </c>
      <c r="E272" s="9" t="s">
        <v>699</v>
      </c>
      <c r="F272" s="9" t="s">
        <v>459</v>
      </c>
      <c r="G272" s="17">
        <v>0.13541666666666666</v>
      </c>
      <c r="H272" s="17">
        <v>0.20138888888888887</v>
      </c>
      <c r="I272" s="9">
        <v>13670</v>
      </c>
      <c r="J272" s="9">
        <v>8230</v>
      </c>
      <c r="K272" s="10">
        <f t="shared" si="15"/>
        <v>5440</v>
      </c>
      <c r="L272" s="10">
        <v>26814</v>
      </c>
      <c r="M272" s="11" t="s">
        <v>2496</v>
      </c>
      <c r="N272" s="12">
        <v>5440</v>
      </c>
      <c r="O272" s="13" t="s">
        <v>32</v>
      </c>
      <c r="P272" s="14"/>
      <c r="Q272" s="2"/>
    </row>
    <row r="273" spans="1:17" x14ac:dyDescent="0.25">
      <c r="A273" s="6"/>
      <c r="B273" s="15">
        <v>44296</v>
      </c>
      <c r="C273" s="16" t="s">
        <v>164</v>
      </c>
      <c r="D273" s="8" t="s">
        <v>899</v>
      </c>
      <c r="E273" s="9" t="s">
        <v>490</v>
      </c>
      <c r="F273" s="9" t="s">
        <v>491</v>
      </c>
      <c r="G273" s="17">
        <v>0.35694444444444445</v>
      </c>
      <c r="H273" s="17">
        <v>0.37847222222222227</v>
      </c>
      <c r="I273" s="9">
        <v>17800</v>
      </c>
      <c r="J273" s="9">
        <v>43100</v>
      </c>
      <c r="K273" s="10">
        <f t="shared" si="15"/>
        <v>-25300</v>
      </c>
      <c r="L273" s="10">
        <v>17073</v>
      </c>
      <c r="M273" s="11" t="s">
        <v>166</v>
      </c>
      <c r="N273" s="12">
        <v>504</v>
      </c>
      <c r="O273" s="13" t="s">
        <v>54</v>
      </c>
      <c r="P273" s="14"/>
      <c r="Q273" s="2"/>
    </row>
    <row r="274" spans="1:17" x14ac:dyDescent="0.25">
      <c r="A274" s="6"/>
      <c r="B274" s="7">
        <v>44296</v>
      </c>
      <c r="C274" s="8" t="s">
        <v>164</v>
      </c>
      <c r="D274" s="8" t="s">
        <v>299</v>
      </c>
      <c r="E274" s="9" t="s">
        <v>813</v>
      </c>
      <c r="F274" s="9" t="s">
        <v>814</v>
      </c>
      <c r="G274" s="17">
        <v>0.35833333333333334</v>
      </c>
      <c r="H274" s="17">
        <v>0.38958333333333334</v>
      </c>
      <c r="I274" s="9">
        <v>16240</v>
      </c>
      <c r="J274" s="9">
        <v>41640</v>
      </c>
      <c r="K274" s="10">
        <f t="shared" si="15"/>
        <v>-25400</v>
      </c>
      <c r="L274" s="10">
        <v>17074</v>
      </c>
      <c r="M274" s="11" t="s">
        <v>166</v>
      </c>
      <c r="N274" s="12">
        <v>504</v>
      </c>
      <c r="O274" s="13" t="s">
        <v>54</v>
      </c>
      <c r="P274" s="14"/>
      <c r="Q274" s="2"/>
    </row>
    <row r="275" spans="1:17" x14ac:dyDescent="0.25">
      <c r="A275" s="6"/>
      <c r="B275" s="7">
        <v>44296</v>
      </c>
      <c r="C275" s="8" t="s">
        <v>164</v>
      </c>
      <c r="D275" s="8" t="s">
        <v>1355</v>
      </c>
      <c r="E275" s="9" t="s">
        <v>1048</v>
      </c>
      <c r="F275" s="9" t="s">
        <v>526</v>
      </c>
      <c r="G275" s="17">
        <v>0.37291666666666662</v>
      </c>
      <c r="H275" s="17">
        <v>0.4145833333333333</v>
      </c>
      <c r="I275" s="9">
        <v>18650</v>
      </c>
      <c r="J275" s="9">
        <v>44080</v>
      </c>
      <c r="K275" s="10">
        <f t="shared" si="15"/>
        <v>-25430</v>
      </c>
      <c r="L275" s="10">
        <v>17075</v>
      </c>
      <c r="M275" s="11" t="s">
        <v>166</v>
      </c>
      <c r="N275" s="12">
        <v>504</v>
      </c>
      <c r="O275" s="13" t="s">
        <v>54</v>
      </c>
      <c r="P275" s="14"/>
      <c r="Q275" s="2"/>
    </row>
    <row r="276" spans="1:17" x14ac:dyDescent="0.25">
      <c r="A276" s="6"/>
      <c r="B276" s="7">
        <v>44296</v>
      </c>
      <c r="C276" s="8" t="s">
        <v>973</v>
      </c>
      <c r="D276" s="8" t="s">
        <v>1794</v>
      </c>
      <c r="E276" s="9" t="s">
        <v>628</v>
      </c>
      <c r="F276" s="9" t="s">
        <v>629</v>
      </c>
      <c r="G276" s="17">
        <v>0.4152777777777778</v>
      </c>
      <c r="H276" s="17">
        <v>0.42222222222222222</v>
      </c>
      <c r="I276" s="9">
        <v>17340</v>
      </c>
      <c r="J276" s="9">
        <v>9640</v>
      </c>
      <c r="K276" s="10">
        <f t="shared" si="15"/>
        <v>7700</v>
      </c>
      <c r="L276" s="10">
        <v>23755</v>
      </c>
      <c r="M276" s="11" t="s">
        <v>1784</v>
      </c>
      <c r="N276" s="12">
        <v>7.05</v>
      </c>
      <c r="O276" s="13" t="s">
        <v>855</v>
      </c>
      <c r="P276" s="14"/>
      <c r="Q276" s="2"/>
    </row>
    <row r="277" spans="1:17" x14ac:dyDescent="0.25">
      <c r="A277" s="6"/>
      <c r="B277" s="7">
        <v>44296</v>
      </c>
      <c r="C277" s="8" t="s">
        <v>164</v>
      </c>
      <c r="D277" s="8" t="s">
        <v>899</v>
      </c>
      <c r="E277" s="9" t="s">
        <v>490</v>
      </c>
      <c r="F277" s="9" t="s">
        <v>491</v>
      </c>
      <c r="G277" s="17">
        <v>0.43333333333333335</v>
      </c>
      <c r="H277" s="17">
        <v>0.45277777777777778</v>
      </c>
      <c r="I277" s="9">
        <v>17820</v>
      </c>
      <c r="J277" s="9">
        <v>43050</v>
      </c>
      <c r="K277" s="10">
        <f t="shared" si="15"/>
        <v>-25230</v>
      </c>
      <c r="L277" s="10">
        <v>17076</v>
      </c>
      <c r="M277" s="11" t="s">
        <v>166</v>
      </c>
      <c r="N277" s="12">
        <v>504</v>
      </c>
      <c r="O277" s="13" t="s">
        <v>54</v>
      </c>
      <c r="P277" s="14"/>
      <c r="Q277" s="2"/>
    </row>
    <row r="278" spans="1:17" x14ac:dyDescent="0.25">
      <c r="A278" s="6"/>
      <c r="B278" s="7">
        <v>44296</v>
      </c>
      <c r="C278" s="43" t="s">
        <v>1630</v>
      </c>
      <c r="D278" s="43" t="s">
        <v>602</v>
      </c>
      <c r="E278" s="44" t="s">
        <v>1632</v>
      </c>
      <c r="F278" s="44" t="s">
        <v>266</v>
      </c>
      <c r="G278" s="17">
        <v>0.43611111111111112</v>
      </c>
      <c r="H278" s="17">
        <v>0.43958333333333338</v>
      </c>
      <c r="I278" s="9">
        <v>5920</v>
      </c>
      <c r="J278" s="9">
        <v>5480</v>
      </c>
      <c r="K278" s="10">
        <f>+I278-J278</f>
        <v>440</v>
      </c>
      <c r="L278" s="10" t="s">
        <v>2532</v>
      </c>
      <c r="M278" s="47" t="s">
        <v>2531</v>
      </c>
      <c r="N278" s="12">
        <v>440</v>
      </c>
      <c r="O278" s="13" t="s">
        <v>32</v>
      </c>
      <c r="P278" s="14"/>
    </row>
    <row r="279" spans="1:17" x14ac:dyDescent="0.25">
      <c r="A279" s="6"/>
      <c r="B279" s="7">
        <v>44296</v>
      </c>
      <c r="C279" s="8" t="s">
        <v>164</v>
      </c>
      <c r="D279" s="8" t="s">
        <v>299</v>
      </c>
      <c r="E279" s="9" t="s">
        <v>813</v>
      </c>
      <c r="F279" s="9" t="s">
        <v>814</v>
      </c>
      <c r="G279" s="17">
        <v>0.44375000000000003</v>
      </c>
      <c r="H279" s="17">
        <v>0.46319444444444446</v>
      </c>
      <c r="I279" s="9">
        <v>16450</v>
      </c>
      <c r="J279" s="9">
        <v>41630</v>
      </c>
      <c r="K279" s="10">
        <f t="shared" si="15"/>
        <v>-25180</v>
      </c>
      <c r="L279" s="10">
        <v>17077</v>
      </c>
      <c r="M279" s="11" t="s">
        <v>166</v>
      </c>
      <c r="N279" s="12">
        <v>504</v>
      </c>
      <c r="O279" s="13" t="s">
        <v>54</v>
      </c>
      <c r="P279" s="14"/>
    </row>
    <row r="280" spans="1:17" x14ac:dyDescent="0.25">
      <c r="A280" s="6"/>
      <c r="B280" s="7">
        <v>44296</v>
      </c>
      <c r="C280" s="8" t="s">
        <v>164</v>
      </c>
      <c r="D280" s="8" t="s">
        <v>1355</v>
      </c>
      <c r="E280" s="9" t="s">
        <v>1048</v>
      </c>
      <c r="F280" s="9" t="s">
        <v>526</v>
      </c>
      <c r="G280" s="17">
        <v>0.45694444444444443</v>
      </c>
      <c r="H280" s="17">
        <v>0.47500000000000003</v>
      </c>
      <c r="I280" s="9">
        <v>18840</v>
      </c>
      <c r="J280" s="9">
        <v>43290</v>
      </c>
      <c r="K280" s="10">
        <f t="shared" si="15"/>
        <v>-24450</v>
      </c>
      <c r="L280" s="10">
        <v>17078</v>
      </c>
      <c r="M280" s="11" t="s">
        <v>166</v>
      </c>
      <c r="N280" s="12">
        <v>504</v>
      </c>
      <c r="O280" s="13" t="s">
        <v>54</v>
      </c>
      <c r="P280" s="14"/>
    </row>
    <row r="281" spans="1:17" x14ac:dyDescent="0.25">
      <c r="A281" s="6"/>
      <c r="B281" s="7">
        <v>44296</v>
      </c>
      <c r="C281" s="8" t="s">
        <v>2533</v>
      </c>
      <c r="D281" s="8" t="s">
        <v>1393</v>
      </c>
      <c r="E281" s="9" t="s">
        <v>2534</v>
      </c>
      <c r="F281" s="9" t="s">
        <v>36</v>
      </c>
      <c r="G281" s="17">
        <v>0.47152777777777777</v>
      </c>
      <c r="H281" s="17">
        <v>0.5</v>
      </c>
      <c r="I281" s="9">
        <v>15860</v>
      </c>
      <c r="J281" s="9">
        <v>8920</v>
      </c>
      <c r="K281" s="10">
        <f t="shared" si="15"/>
        <v>6940</v>
      </c>
      <c r="L281" s="10">
        <v>26815</v>
      </c>
      <c r="M281" s="11" t="s">
        <v>2488</v>
      </c>
      <c r="N281" s="12">
        <v>6940</v>
      </c>
      <c r="O281" s="13" t="s">
        <v>32</v>
      </c>
      <c r="P281" s="14"/>
    </row>
    <row r="282" spans="1:17" x14ac:dyDescent="0.25">
      <c r="A282" s="6"/>
      <c r="B282" s="7">
        <v>44296</v>
      </c>
      <c r="C282" s="8" t="s">
        <v>2535</v>
      </c>
      <c r="D282" s="8" t="s">
        <v>1850</v>
      </c>
      <c r="E282" s="9" t="s">
        <v>144</v>
      </c>
      <c r="F282" s="9" t="s">
        <v>626</v>
      </c>
      <c r="G282" s="17">
        <v>0.47361111111111115</v>
      </c>
      <c r="H282" s="17">
        <v>0.4861111111111111</v>
      </c>
      <c r="I282" s="9">
        <v>36110</v>
      </c>
      <c r="J282" s="9">
        <v>15630</v>
      </c>
      <c r="K282" s="10">
        <f t="shared" si="15"/>
        <v>20480</v>
      </c>
      <c r="L282" s="10" t="s">
        <v>2536</v>
      </c>
      <c r="M282" s="11" t="s">
        <v>2537</v>
      </c>
      <c r="N282" s="12">
        <v>17.899999999999999</v>
      </c>
      <c r="O282" s="13" t="s">
        <v>855</v>
      </c>
      <c r="P282" s="14"/>
    </row>
    <row r="283" spans="1:17" x14ac:dyDescent="0.25">
      <c r="A283" s="6"/>
      <c r="B283" s="7">
        <v>44296</v>
      </c>
      <c r="C283" s="8" t="s">
        <v>164</v>
      </c>
      <c r="D283" s="8" t="s">
        <v>899</v>
      </c>
      <c r="E283" s="9" t="s">
        <v>490</v>
      </c>
      <c r="F283" s="9" t="s">
        <v>491</v>
      </c>
      <c r="G283" s="17">
        <v>0.49791666666666662</v>
      </c>
      <c r="H283" s="17">
        <v>0.5229166666666667</v>
      </c>
      <c r="I283" s="9">
        <v>17820</v>
      </c>
      <c r="J283" s="9">
        <v>43050</v>
      </c>
      <c r="K283" s="10">
        <f t="shared" si="15"/>
        <v>-25230</v>
      </c>
      <c r="L283" s="10">
        <v>17079</v>
      </c>
      <c r="M283" s="11" t="s">
        <v>166</v>
      </c>
      <c r="N283" s="12">
        <v>504</v>
      </c>
      <c r="O283" s="13" t="s">
        <v>54</v>
      </c>
      <c r="P283" s="14"/>
    </row>
    <row r="284" spans="1:17" x14ac:dyDescent="0.25">
      <c r="A284" s="6"/>
      <c r="B284" s="7">
        <v>44296</v>
      </c>
      <c r="C284" s="8" t="s">
        <v>1065</v>
      </c>
      <c r="D284" s="8" t="s">
        <v>853</v>
      </c>
      <c r="E284" s="9" t="s">
        <v>51</v>
      </c>
      <c r="F284" s="9" t="s">
        <v>52</v>
      </c>
      <c r="G284" s="17">
        <v>0.50763888888888886</v>
      </c>
      <c r="H284" s="17">
        <v>0.5131944444444444</v>
      </c>
      <c r="I284" s="9">
        <v>35190</v>
      </c>
      <c r="J284" s="9">
        <v>15020</v>
      </c>
      <c r="K284" s="10">
        <f t="shared" si="15"/>
        <v>20170</v>
      </c>
      <c r="L284" s="10">
        <v>23759</v>
      </c>
      <c r="M284" s="11" t="s">
        <v>1499</v>
      </c>
      <c r="N284" s="12">
        <v>20.100000000000001</v>
      </c>
      <c r="O284" s="13" t="s">
        <v>855</v>
      </c>
      <c r="P284" s="14"/>
    </row>
    <row r="285" spans="1:17" x14ac:dyDescent="0.25">
      <c r="A285" s="6"/>
      <c r="B285" s="7">
        <v>44296</v>
      </c>
      <c r="C285" s="8" t="s">
        <v>164</v>
      </c>
      <c r="D285" s="8" t="s">
        <v>299</v>
      </c>
      <c r="E285" s="9" t="s">
        <v>813</v>
      </c>
      <c r="F285" s="9" t="s">
        <v>814</v>
      </c>
      <c r="G285" s="17">
        <v>0.52986111111111112</v>
      </c>
      <c r="H285" s="17">
        <v>0.55694444444444446</v>
      </c>
      <c r="I285" s="9">
        <v>16410</v>
      </c>
      <c r="J285" s="9">
        <v>41670</v>
      </c>
      <c r="K285" s="10">
        <f t="shared" si="15"/>
        <v>-25260</v>
      </c>
      <c r="L285" s="10">
        <v>17080</v>
      </c>
      <c r="M285" s="11" t="s">
        <v>166</v>
      </c>
      <c r="N285" s="12">
        <v>504</v>
      </c>
      <c r="O285" s="13" t="s">
        <v>54</v>
      </c>
      <c r="P285" s="14"/>
    </row>
    <row r="286" spans="1:17" x14ac:dyDescent="0.25">
      <c r="A286" s="6"/>
      <c r="B286" s="7">
        <v>44296</v>
      </c>
      <c r="C286" s="8" t="s">
        <v>2538</v>
      </c>
      <c r="D286" s="8" t="s">
        <v>1794</v>
      </c>
      <c r="E286" s="9" t="s">
        <v>628</v>
      </c>
      <c r="F286" s="9" t="s">
        <v>629</v>
      </c>
      <c r="G286" s="17">
        <v>0.53819444444444442</v>
      </c>
      <c r="H286" s="17">
        <v>0.54513888888888895</v>
      </c>
      <c r="I286" s="9">
        <v>14760</v>
      </c>
      <c r="J286" s="9">
        <v>9630</v>
      </c>
      <c r="K286" s="10">
        <f t="shared" si="15"/>
        <v>5130</v>
      </c>
      <c r="L286" s="10">
        <v>23760</v>
      </c>
      <c r="M286" s="11" t="s">
        <v>2539</v>
      </c>
      <c r="N286" s="12">
        <v>4.5999999999999996</v>
      </c>
      <c r="O286" s="13" t="s">
        <v>855</v>
      </c>
      <c r="P286" s="14"/>
    </row>
    <row r="287" spans="1:17" x14ac:dyDescent="0.25">
      <c r="A287" s="6"/>
      <c r="B287" s="7">
        <v>44296</v>
      </c>
      <c r="C287" s="8" t="s">
        <v>164</v>
      </c>
      <c r="D287" s="8" t="s">
        <v>1355</v>
      </c>
      <c r="E287" s="9" t="s">
        <v>1048</v>
      </c>
      <c r="F287" s="9" t="s">
        <v>526</v>
      </c>
      <c r="G287" s="17">
        <v>0.5395833333333333</v>
      </c>
      <c r="H287" s="17">
        <v>0.56805555555555554</v>
      </c>
      <c r="I287" s="9">
        <v>18850</v>
      </c>
      <c r="J287" s="9">
        <v>44270</v>
      </c>
      <c r="K287" s="10">
        <f t="shared" si="15"/>
        <v>-25420</v>
      </c>
      <c r="L287" s="10">
        <v>17081</v>
      </c>
      <c r="M287" s="11" t="s">
        <v>166</v>
      </c>
      <c r="N287" s="12">
        <v>505</v>
      </c>
      <c r="O287" s="13" t="s">
        <v>54</v>
      </c>
      <c r="P287" s="14"/>
    </row>
    <row r="288" spans="1:17" x14ac:dyDescent="0.25">
      <c r="A288" s="6"/>
      <c r="B288" s="7">
        <v>44296</v>
      </c>
      <c r="C288" s="8" t="s">
        <v>2540</v>
      </c>
      <c r="D288" s="8" t="s">
        <v>1850</v>
      </c>
      <c r="E288" s="9" t="s">
        <v>144</v>
      </c>
      <c r="F288" s="9" t="s">
        <v>626</v>
      </c>
      <c r="G288" s="17">
        <v>0.58333333333333337</v>
      </c>
      <c r="H288" s="17">
        <v>0.59375</v>
      </c>
      <c r="I288" s="9">
        <v>34700</v>
      </c>
      <c r="J288" s="9">
        <v>15610</v>
      </c>
      <c r="K288" s="10">
        <f t="shared" si="15"/>
        <v>19090</v>
      </c>
      <c r="L288" s="10">
        <v>23761</v>
      </c>
      <c r="M288" s="11" t="s">
        <v>2539</v>
      </c>
      <c r="N288" s="12">
        <v>16.7</v>
      </c>
      <c r="O288" s="13" t="s">
        <v>855</v>
      </c>
      <c r="P288" s="14"/>
    </row>
    <row r="289" spans="1:16" x14ac:dyDescent="0.25">
      <c r="A289" s="6"/>
      <c r="B289" s="7">
        <v>44296</v>
      </c>
      <c r="C289" s="8" t="s">
        <v>1369</v>
      </c>
      <c r="D289" s="8" t="s">
        <v>853</v>
      </c>
      <c r="E289" s="9" t="s">
        <v>51</v>
      </c>
      <c r="F289" s="9" t="s">
        <v>52</v>
      </c>
      <c r="G289" s="17">
        <v>0.59513888888888888</v>
      </c>
      <c r="H289" s="17">
        <v>0.60138888888888886</v>
      </c>
      <c r="I289" s="9">
        <v>24510</v>
      </c>
      <c r="J289" s="9">
        <v>15000</v>
      </c>
      <c r="K289" s="10">
        <f t="shared" si="15"/>
        <v>9510</v>
      </c>
      <c r="L289" s="10">
        <v>23762</v>
      </c>
      <c r="M289" s="11" t="s">
        <v>2539</v>
      </c>
      <c r="N289" s="12">
        <v>8.35</v>
      </c>
      <c r="O289" s="13" t="s">
        <v>855</v>
      </c>
      <c r="P289" s="14"/>
    </row>
    <row r="290" spans="1:16" x14ac:dyDescent="0.25">
      <c r="A290" s="6"/>
      <c r="B290" s="7">
        <v>44296</v>
      </c>
      <c r="C290" s="8" t="s">
        <v>164</v>
      </c>
      <c r="D290" s="8" t="s">
        <v>899</v>
      </c>
      <c r="E290" s="9" t="s">
        <v>490</v>
      </c>
      <c r="F290" s="9" t="s">
        <v>491</v>
      </c>
      <c r="G290" s="17">
        <v>0.61041666666666672</v>
      </c>
      <c r="H290" s="17">
        <v>0.62777777777777777</v>
      </c>
      <c r="I290" s="9">
        <v>43090</v>
      </c>
      <c r="J290" s="9">
        <v>17560</v>
      </c>
      <c r="K290" s="10">
        <f t="shared" si="15"/>
        <v>25530</v>
      </c>
      <c r="L290" s="10">
        <v>16021</v>
      </c>
      <c r="M290" s="11" t="s">
        <v>398</v>
      </c>
      <c r="N290" s="12">
        <v>504</v>
      </c>
      <c r="O290" s="13" t="s">
        <v>54</v>
      </c>
      <c r="P290" s="14"/>
    </row>
    <row r="291" spans="1:16" x14ac:dyDescent="0.25">
      <c r="A291" s="6"/>
      <c r="B291" s="7">
        <v>44296</v>
      </c>
      <c r="C291" s="8" t="s">
        <v>1029</v>
      </c>
      <c r="D291" s="8" t="s">
        <v>1850</v>
      </c>
      <c r="E291" s="9" t="s">
        <v>144</v>
      </c>
      <c r="F291" s="9" t="s">
        <v>626</v>
      </c>
      <c r="G291" s="17">
        <v>0.6645833333333333</v>
      </c>
      <c r="H291" s="17">
        <v>0.67152777777777783</v>
      </c>
      <c r="I291" s="9">
        <v>23220</v>
      </c>
      <c r="J291" s="9">
        <v>15610</v>
      </c>
      <c r="K291" s="10">
        <f t="shared" si="15"/>
        <v>7610</v>
      </c>
      <c r="L291" s="10">
        <v>23763</v>
      </c>
      <c r="M291" s="11" t="s">
        <v>1784</v>
      </c>
      <c r="N291" s="12">
        <v>7.2</v>
      </c>
      <c r="O291" s="13" t="s">
        <v>855</v>
      </c>
      <c r="P291" s="14"/>
    </row>
    <row r="292" spans="1:16" x14ac:dyDescent="0.25">
      <c r="A292" s="6"/>
      <c r="B292" s="7">
        <v>44296</v>
      </c>
      <c r="C292" s="8" t="s">
        <v>1062</v>
      </c>
      <c r="D292" s="8" t="s">
        <v>243</v>
      </c>
      <c r="E292" s="9" t="s">
        <v>440</v>
      </c>
      <c r="F292" s="9" t="s">
        <v>1276</v>
      </c>
      <c r="G292" s="17">
        <v>0.70694444444444438</v>
      </c>
      <c r="H292" s="17">
        <v>0.71180555555555547</v>
      </c>
      <c r="I292" s="9">
        <v>36110</v>
      </c>
      <c r="J292" s="9">
        <v>14040</v>
      </c>
      <c r="K292" s="10">
        <f t="shared" si="15"/>
        <v>22070</v>
      </c>
      <c r="L292" s="10">
        <v>23764</v>
      </c>
      <c r="M292" s="11" t="s">
        <v>1515</v>
      </c>
      <c r="N292" s="12">
        <v>20</v>
      </c>
      <c r="O292" s="13" t="s">
        <v>855</v>
      </c>
      <c r="P292" s="14"/>
    </row>
    <row r="293" spans="1:16" x14ac:dyDescent="0.25">
      <c r="A293" s="6"/>
      <c r="B293" s="7">
        <v>44296</v>
      </c>
      <c r="C293" s="8" t="s">
        <v>1062</v>
      </c>
      <c r="D293" s="8" t="s">
        <v>299</v>
      </c>
      <c r="E293" s="9" t="s">
        <v>813</v>
      </c>
      <c r="F293" s="9" t="s">
        <v>814</v>
      </c>
      <c r="G293" s="17">
        <v>0.71458333333333324</v>
      </c>
      <c r="H293" s="17">
        <v>0.71875</v>
      </c>
      <c r="I293" s="9">
        <v>39760</v>
      </c>
      <c r="J293" s="9">
        <v>17370</v>
      </c>
      <c r="K293" s="10">
        <f t="shared" si="15"/>
        <v>22390</v>
      </c>
      <c r="L293" s="10">
        <v>23764</v>
      </c>
      <c r="M293" s="11" t="s">
        <v>1515</v>
      </c>
      <c r="N293" s="12">
        <v>20</v>
      </c>
      <c r="O293" s="13" t="s">
        <v>855</v>
      </c>
      <c r="P293" s="14"/>
    </row>
    <row r="294" spans="1:16" x14ac:dyDescent="0.25">
      <c r="A294" s="6"/>
      <c r="B294" s="7">
        <v>44296</v>
      </c>
      <c r="C294" s="8" t="s">
        <v>1062</v>
      </c>
      <c r="D294" s="8" t="s">
        <v>853</v>
      </c>
      <c r="E294" s="9" t="s">
        <v>51</v>
      </c>
      <c r="F294" s="9" t="s">
        <v>52</v>
      </c>
      <c r="G294" s="17">
        <v>0.72638888888888886</v>
      </c>
      <c r="H294" s="17">
        <v>0.72986111111111107</v>
      </c>
      <c r="I294" s="9">
        <v>37560</v>
      </c>
      <c r="J294" s="9">
        <v>15000</v>
      </c>
      <c r="K294" s="10">
        <f t="shared" si="15"/>
        <v>22560</v>
      </c>
      <c r="L294" s="10">
        <v>23764</v>
      </c>
      <c r="M294" s="11" t="s">
        <v>1515</v>
      </c>
      <c r="N294" s="12">
        <v>20</v>
      </c>
      <c r="O294" s="13" t="s">
        <v>855</v>
      </c>
      <c r="P294" s="14"/>
    </row>
    <row r="295" spans="1:16" x14ac:dyDescent="0.25">
      <c r="A295" s="6"/>
      <c r="B295" s="7">
        <v>44296</v>
      </c>
      <c r="C295" s="8" t="s">
        <v>1062</v>
      </c>
      <c r="D295" s="8" t="s">
        <v>1850</v>
      </c>
      <c r="E295" s="9" t="s">
        <v>144</v>
      </c>
      <c r="F295" s="9" t="s">
        <v>626</v>
      </c>
      <c r="G295" s="17">
        <v>0.74305555555555547</v>
      </c>
      <c r="H295" s="17">
        <v>0.74930555555555556</v>
      </c>
      <c r="I295" s="9">
        <v>35640</v>
      </c>
      <c r="J295" s="9">
        <v>15640</v>
      </c>
      <c r="K295" s="10">
        <f t="shared" si="15"/>
        <v>20000</v>
      </c>
      <c r="L295" s="10">
        <v>23764</v>
      </c>
      <c r="M295" s="11" t="s">
        <v>1515</v>
      </c>
      <c r="N295" s="12">
        <v>18</v>
      </c>
      <c r="O295" s="13" t="s">
        <v>855</v>
      </c>
      <c r="P295" s="14"/>
    </row>
    <row r="296" spans="1:16" x14ac:dyDescent="0.25">
      <c r="A296" s="6"/>
      <c r="B296" s="7">
        <v>44296</v>
      </c>
      <c r="C296" s="8" t="s">
        <v>1062</v>
      </c>
      <c r="D296" s="8" t="s">
        <v>1794</v>
      </c>
      <c r="E296" s="9" t="s">
        <v>628</v>
      </c>
      <c r="F296" s="9" t="s">
        <v>629</v>
      </c>
      <c r="G296" s="17">
        <v>0.74791666666666667</v>
      </c>
      <c r="H296" s="17">
        <v>0.75347222222222221</v>
      </c>
      <c r="I296" s="9">
        <v>21310</v>
      </c>
      <c r="J296" s="9">
        <v>9650</v>
      </c>
      <c r="K296" s="10">
        <f t="shared" si="15"/>
        <v>11660</v>
      </c>
      <c r="L296" s="10">
        <v>23764</v>
      </c>
      <c r="M296" s="11" t="s">
        <v>1515</v>
      </c>
      <c r="N296" s="12">
        <v>10</v>
      </c>
      <c r="O296" s="13" t="s">
        <v>855</v>
      </c>
      <c r="P296" s="14"/>
    </row>
    <row r="297" spans="1:16" x14ac:dyDescent="0.25">
      <c r="A297" s="6"/>
      <c r="B297" s="7">
        <v>44296</v>
      </c>
      <c r="C297" s="8" t="s">
        <v>1062</v>
      </c>
      <c r="D297" s="8" t="s">
        <v>243</v>
      </c>
      <c r="E297" s="9" t="s">
        <v>440</v>
      </c>
      <c r="F297" s="9" t="s">
        <v>1276</v>
      </c>
      <c r="G297" s="17">
        <v>0.76250000000000007</v>
      </c>
      <c r="H297" s="17">
        <v>0.76944444444444438</v>
      </c>
      <c r="I297" s="9">
        <v>28360</v>
      </c>
      <c r="J297" s="9">
        <v>14040</v>
      </c>
      <c r="K297" s="10">
        <f t="shared" si="15"/>
        <v>14320</v>
      </c>
      <c r="L297" s="10">
        <v>23764</v>
      </c>
      <c r="M297" s="11" t="s">
        <v>1515</v>
      </c>
      <c r="N297" s="12">
        <v>12.5</v>
      </c>
      <c r="O297" s="13" t="s">
        <v>855</v>
      </c>
      <c r="P297" s="14"/>
    </row>
    <row r="298" spans="1:16" x14ac:dyDescent="0.25">
      <c r="A298" s="6"/>
      <c r="B298" s="7">
        <v>44296</v>
      </c>
      <c r="C298" s="8" t="s">
        <v>2123</v>
      </c>
      <c r="D298" s="8" t="s">
        <v>1853</v>
      </c>
      <c r="E298" s="9" t="s">
        <v>1206</v>
      </c>
      <c r="F298" s="9" t="s">
        <v>154</v>
      </c>
      <c r="G298" s="17">
        <v>0.82500000000000007</v>
      </c>
      <c r="H298" s="17">
        <v>0.83680555555555547</v>
      </c>
      <c r="I298" s="9">
        <v>7970</v>
      </c>
      <c r="J298" s="9">
        <v>6640</v>
      </c>
      <c r="K298" s="10">
        <f t="shared" si="15"/>
        <v>1330</v>
      </c>
      <c r="L298" s="10">
        <v>26816</v>
      </c>
      <c r="M298" s="11" t="s">
        <v>966</v>
      </c>
      <c r="N298" s="12">
        <v>1330</v>
      </c>
      <c r="O298" s="13" t="s">
        <v>32</v>
      </c>
      <c r="P298" s="14">
        <v>4</v>
      </c>
    </row>
    <row r="299" spans="1:16" x14ac:dyDescent="0.25">
      <c r="A299" s="6"/>
      <c r="B299" s="7">
        <v>44296</v>
      </c>
      <c r="C299" s="8" t="s">
        <v>1616</v>
      </c>
      <c r="D299" s="8" t="s">
        <v>1001</v>
      </c>
      <c r="E299" s="9" t="s">
        <v>1002</v>
      </c>
      <c r="F299" s="9" t="s">
        <v>36</v>
      </c>
      <c r="G299" s="17">
        <v>0.90833333333333333</v>
      </c>
      <c r="H299" s="17">
        <v>0.91875000000000007</v>
      </c>
      <c r="I299" s="9">
        <v>13035</v>
      </c>
      <c r="J299" s="9">
        <v>3970</v>
      </c>
      <c r="K299" s="10">
        <f t="shared" si="15"/>
        <v>9065</v>
      </c>
      <c r="L299" s="10">
        <v>26817</v>
      </c>
      <c r="M299" s="11" t="s">
        <v>2541</v>
      </c>
      <c r="N299" s="12">
        <v>9065</v>
      </c>
      <c r="O299" s="13" t="s">
        <v>683</v>
      </c>
      <c r="P299" s="14"/>
    </row>
    <row r="300" spans="1:16" x14ac:dyDescent="0.25">
      <c r="A300" s="6"/>
      <c r="B300" s="7">
        <v>44296</v>
      </c>
      <c r="C300" s="8" t="s">
        <v>2542</v>
      </c>
      <c r="D300" s="8" t="s">
        <v>2543</v>
      </c>
      <c r="E300" s="9" t="s">
        <v>2544</v>
      </c>
      <c r="F300" s="9" t="s">
        <v>36</v>
      </c>
      <c r="G300" s="17">
        <v>0.99236111111111114</v>
      </c>
      <c r="H300" s="17">
        <v>5.8333333333333327E-2</v>
      </c>
      <c r="I300" s="9">
        <v>10410</v>
      </c>
      <c r="J300" s="9">
        <v>5690</v>
      </c>
      <c r="K300" s="10">
        <f t="shared" si="15"/>
        <v>4720</v>
      </c>
      <c r="L300" s="10">
        <v>26818</v>
      </c>
      <c r="M300" s="11" t="s">
        <v>2545</v>
      </c>
      <c r="N300" s="12">
        <v>4720</v>
      </c>
      <c r="O300" s="13" t="s">
        <v>32</v>
      </c>
      <c r="P300" s="14"/>
    </row>
    <row r="301" spans="1:16" x14ac:dyDescent="0.25">
      <c r="A301" s="6"/>
      <c r="B301" s="7">
        <v>44296</v>
      </c>
      <c r="C301" s="8" t="s">
        <v>2546</v>
      </c>
      <c r="D301" s="8" t="s">
        <v>174</v>
      </c>
      <c r="E301" s="9" t="s">
        <v>699</v>
      </c>
      <c r="F301" s="9" t="s">
        <v>459</v>
      </c>
      <c r="G301" s="17">
        <v>0.99375000000000002</v>
      </c>
      <c r="H301" s="17">
        <v>3.5416666666666666E-2</v>
      </c>
      <c r="I301" s="9">
        <v>11510</v>
      </c>
      <c r="J301" s="9">
        <v>8350</v>
      </c>
      <c r="K301" s="10">
        <f t="shared" si="15"/>
        <v>3160</v>
      </c>
      <c r="L301" s="10" t="s">
        <v>2547</v>
      </c>
      <c r="M301" s="11" t="s">
        <v>718</v>
      </c>
      <c r="N301" s="12">
        <v>6007</v>
      </c>
      <c r="O301" s="13" t="s">
        <v>49</v>
      </c>
      <c r="P301" s="14"/>
    </row>
    <row r="302" spans="1:16" x14ac:dyDescent="0.25">
      <c r="A302" s="6"/>
      <c r="B302" s="7">
        <v>44297</v>
      </c>
      <c r="C302" s="8" t="s">
        <v>1616</v>
      </c>
      <c r="D302" s="8" t="s">
        <v>2548</v>
      </c>
      <c r="E302" s="9" t="s">
        <v>719</v>
      </c>
      <c r="F302" s="9" t="s">
        <v>36</v>
      </c>
      <c r="G302" s="17">
        <v>4.0972222222222222E-2</v>
      </c>
      <c r="H302" s="17">
        <v>7.4999999999999997E-2</v>
      </c>
      <c r="I302" s="9">
        <v>17975</v>
      </c>
      <c r="J302" s="9">
        <v>6180</v>
      </c>
      <c r="K302" s="10">
        <f t="shared" si="15"/>
        <v>11795</v>
      </c>
      <c r="L302" s="10">
        <v>26819</v>
      </c>
      <c r="M302" s="11" t="s">
        <v>2549</v>
      </c>
      <c r="N302" s="12">
        <v>11795</v>
      </c>
      <c r="O302" s="13" t="s">
        <v>683</v>
      </c>
      <c r="P302" s="14"/>
    </row>
    <row r="303" spans="1:16" x14ac:dyDescent="0.25">
      <c r="A303" s="6"/>
      <c r="B303" s="7">
        <v>44297</v>
      </c>
      <c r="C303" s="8" t="s">
        <v>1616</v>
      </c>
      <c r="D303" s="8" t="s">
        <v>2418</v>
      </c>
      <c r="E303" s="9" t="s">
        <v>39</v>
      </c>
      <c r="F303" s="9" t="s">
        <v>36</v>
      </c>
      <c r="G303" s="17">
        <v>4.2361111111111106E-2</v>
      </c>
      <c r="H303" s="17">
        <v>7.8472222222222221E-2</v>
      </c>
      <c r="I303" s="9">
        <v>17945</v>
      </c>
      <c r="J303" s="9">
        <v>6290</v>
      </c>
      <c r="K303" s="10">
        <f t="shared" si="15"/>
        <v>11655</v>
      </c>
      <c r="L303" s="10">
        <v>26820</v>
      </c>
      <c r="M303" s="11" t="s">
        <v>838</v>
      </c>
      <c r="N303" s="12">
        <v>11655</v>
      </c>
      <c r="O303" s="13" t="s">
        <v>683</v>
      </c>
      <c r="P303" s="14"/>
    </row>
    <row r="304" spans="1:16" x14ac:dyDescent="0.25">
      <c r="A304" s="6"/>
      <c r="B304" s="15">
        <v>44297</v>
      </c>
      <c r="C304" s="16" t="s">
        <v>1089</v>
      </c>
      <c r="D304" s="8" t="s">
        <v>928</v>
      </c>
      <c r="E304" s="9" t="s">
        <v>947</v>
      </c>
      <c r="F304" s="9" t="s">
        <v>948</v>
      </c>
      <c r="G304" s="17">
        <v>0.3</v>
      </c>
      <c r="H304" s="17">
        <v>0.30624999999999997</v>
      </c>
      <c r="I304" s="9">
        <v>12540</v>
      </c>
      <c r="J304" s="9">
        <v>7530</v>
      </c>
      <c r="K304" s="10">
        <f t="shared" si="15"/>
        <v>5010</v>
      </c>
      <c r="L304" s="10">
        <v>23770</v>
      </c>
      <c r="M304" s="11" t="s">
        <v>2552</v>
      </c>
      <c r="N304" s="12"/>
      <c r="O304" s="13" t="s">
        <v>855</v>
      </c>
      <c r="P304" s="14"/>
    </row>
    <row r="305" spans="1:16" x14ac:dyDescent="0.25">
      <c r="A305" s="6"/>
      <c r="B305" s="7">
        <v>44297</v>
      </c>
      <c r="C305" s="8" t="s">
        <v>1042</v>
      </c>
      <c r="D305" s="8" t="s">
        <v>243</v>
      </c>
      <c r="E305" s="9" t="s">
        <v>440</v>
      </c>
      <c r="F305" s="9" t="s">
        <v>1276</v>
      </c>
      <c r="G305" s="17">
        <v>0.30416666666666664</v>
      </c>
      <c r="H305" s="17">
        <v>0.30833333333333335</v>
      </c>
      <c r="I305" s="9">
        <v>34790</v>
      </c>
      <c r="J305" s="9">
        <v>14050</v>
      </c>
      <c r="K305" s="10">
        <f t="shared" si="15"/>
        <v>20740</v>
      </c>
      <c r="L305" s="10">
        <v>23766</v>
      </c>
      <c r="M305" s="11" t="s">
        <v>1515</v>
      </c>
      <c r="N305" s="12">
        <v>18</v>
      </c>
      <c r="O305" s="13" t="s">
        <v>855</v>
      </c>
      <c r="P305" s="14"/>
    </row>
    <row r="306" spans="1:16" x14ac:dyDescent="0.25">
      <c r="A306" s="6"/>
      <c r="B306" s="7">
        <v>44297</v>
      </c>
      <c r="C306" s="8" t="s">
        <v>1042</v>
      </c>
      <c r="D306" s="8" t="s">
        <v>465</v>
      </c>
      <c r="E306" s="9" t="s">
        <v>748</v>
      </c>
      <c r="F306" s="9" t="s">
        <v>749</v>
      </c>
      <c r="G306" s="17">
        <v>0.35347222222222219</v>
      </c>
      <c r="H306" s="17">
        <v>0.36388888888888887</v>
      </c>
      <c r="I306" s="9">
        <v>39440</v>
      </c>
      <c r="J306" s="9">
        <v>16780</v>
      </c>
      <c r="K306" s="10">
        <f t="shared" si="15"/>
        <v>22660</v>
      </c>
      <c r="L306" s="10">
        <v>23766</v>
      </c>
      <c r="M306" s="11" t="s">
        <v>1515</v>
      </c>
      <c r="N306" s="12">
        <v>20</v>
      </c>
      <c r="O306" s="13" t="s">
        <v>855</v>
      </c>
      <c r="P306" s="14"/>
    </row>
    <row r="307" spans="1:16" x14ac:dyDescent="0.25">
      <c r="A307" s="6"/>
      <c r="B307" s="7">
        <v>44297</v>
      </c>
      <c r="C307" s="8" t="s">
        <v>1042</v>
      </c>
      <c r="D307" s="8" t="s">
        <v>284</v>
      </c>
      <c r="E307" s="9" t="s">
        <v>177</v>
      </c>
      <c r="F307" s="9" t="s">
        <v>178</v>
      </c>
      <c r="G307" s="17">
        <v>0.37222222222222223</v>
      </c>
      <c r="H307" s="17">
        <v>0.39027777777777778</v>
      </c>
      <c r="I307" s="9">
        <v>35510</v>
      </c>
      <c r="J307" s="9">
        <v>16970</v>
      </c>
      <c r="K307" s="10">
        <f t="shared" si="15"/>
        <v>18540</v>
      </c>
      <c r="L307" s="10">
        <v>23766</v>
      </c>
      <c r="M307" s="11" t="s">
        <v>1515</v>
      </c>
      <c r="N307" s="12">
        <v>17.2</v>
      </c>
      <c r="O307" s="13" t="s">
        <v>855</v>
      </c>
      <c r="P307" s="14"/>
    </row>
    <row r="308" spans="1:16" x14ac:dyDescent="0.25">
      <c r="A308" s="6"/>
      <c r="B308" s="7">
        <v>44297</v>
      </c>
      <c r="C308" s="8" t="s">
        <v>2550</v>
      </c>
      <c r="D308" s="8" t="s">
        <v>899</v>
      </c>
      <c r="E308" s="9" t="s">
        <v>490</v>
      </c>
      <c r="F308" s="9" t="s">
        <v>491</v>
      </c>
      <c r="G308" s="17">
        <v>0.40069444444444446</v>
      </c>
      <c r="H308" s="17">
        <v>0.41111111111111115</v>
      </c>
      <c r="I308" s="9">
        <v>34820</v>
      </c>
      <c r="J308" s="9">
        <v>15860</v>
      </c>
      <c r="K308" s="10">
        <f t="shared" si="15"/>
        <v>18960</v>
      </c>
      <c r="L308" s="10" t="s">
        <v>2551</v>
      </c>
      <c r="M308" s="11" t="s">
        <v>1784</v>
      </c>
      <c r="N308" s="12">
        <f>9.2+8.8</f>
        <v>18</v>
      </c>
      <c r="O308" s="13" t="s">
        <v>855</v>
      </c>
      <c r="P308" s="14"/>
    </row>
    <row r="309" spans="1:16" x14ac:dyDescent="0.25">
      <c r="A309" s="6"/>
      <c r="B309" s="7">
        <v>44297</v>
      </c>
      <c r="C309" s="8" t="s">
        <v>2188</v>
      </c>
      <c r="D309" s="8" t="s">
        <v>243</v>
      </c>
      <c r="E309" s="9" t="s">
        <v>440</v>
      </c>
      <c r="F309" s="9" t="s">
        <v>1276</v>
      </c>
      <c r="G309" s="17">
        <v>0.4055555555555555</v>
      </c>
      <c r="H309" s="17">
        <v>0.4236111111111111</v>
      </c>
      <c r="I309" s="9">
        <v>27770</v>
      </c>
      <c r="J309" s="9">
        <v>14030</v>
      </c>
      <c r="K309" s="10">
        <f t="shared" si="15"/>
        <v>13740</v>
      </c>
      <c r="L309" s="10">
        <v>23768</v>
      </c>
      <c r="M309" s="11" t="s">
        <v>1784</v>
      </c>
      <c r="N309" s="12">
        <v>12.4</v>
      </c>
      <c r="O309" s="13" t="s">
        <v>855</v>
      </c>
      <c r="P309" s="14"/>
    </row>
    <row r="310" spans="1:16" x14ac:dyDescent="0.25">
      <c r="A310" s="6"/>
      <c r="B310" s="7">
        <v>44297</v>
      </c>
      <c r="C310" s="8" t="s">
        <v>1365</v>
      </c>
      <c r="D310" s="8" t="s">
        <v>928</v>
      </c>
      <c r="E310" s="9" t="s">
        <v>947</v>
      </c>
      <c r="F310" s="9" t="s">
        <v>948</v>
      </c>
      <c r="G310" s="17">
        <v>0.43124999999999997</v>
      </c>
      <c r="H310" s="17">
        <v>0.43888888888888888</v>
      </c>
      <c r="I310" s="9">
        <v>16830</v>
      </c>
      <c r="J310" s="9">
        <v>7520</v>
      </c>
      <c r="K310" s="10">
        <f t="shared" si="15"/>
        <v>9310</v>
      </c>
      <c r="L310" s="10">
        <v>23769</v>
      </c>
      <c r="M310" s="11" t="s">
        <v>1515</v>
      </c>
      <c r="N310" s="12">
        <v>8</v>
      </c>
      <c r="O310" s="13" t="s">
        <v>855</v>
      </c>
      <c r="P310" s="14"/>
    </row>
    <row r="311" spans="1:16" x14ac:dyDescent="0.25">
      <c r="A311" s="6"/>
      <c r="B311" s="7">
        <v>44297</v>
      </c>
      <c r="C311" s="8" t="s">
        <v>1365</v>
      </c>
      <c r="D311" s="8" t="s">
        <v>198</v>
      </c>
      <c r="E311" s="9" t="s">
        <v>51</v>
      </c>
      <c r="F311" s="9" t="s">
        <v>52</v>
      </c>
      <c r="G311" s="17">
        <v>0.4368055555555555</v>
      </c>
      <c r="H311" s="17">
        <v>0.4458333333333333</v>
      </c>
      <c r="I311" s="9">
        <v>35670</v>
      </c>
      <c r="J311" s="9">
        <v>14970</v>
      </c>
      <c r="K311" s="10">
        <f t="shared" si="15"/>
        <v>20700</v>
      </c>
      <c r="L311" s="10">
        <v>23769</v>
      </c>
      <c r="M311" s="11" t="s">
        <v>2553</v>
      </c>
      <c r="N311" s="12">
        <v>19.2</v>
      </c>
      <c r="O311" s="13" t="s">
        <v>855</v>
      </c>
      <c r="P311" s="14"/>
    </row>
    <row r="312" spans="1:16" x14ac:dyDescent="0.25">
      <c r="A312" s="6"/>
      <c r="B312" s="7">
        <v>44297</v>
      </c>
      <c r="C312" s="8" t="s">
        <v>1365</v>
      </c>
      <c r="D312" s="8" t="s">
        <v>1850</v>
      </c>
      <c r="E312" s="9" t="s">
        <v>144</v>
      </c>
      <c r="F312" s="9" t="s">
        <v>626</v>
      </c>
      <c r="G312" s="17">
        <v>0.44791666666666669</v>
      </c>
      <c r="H312" s="17">
        <v>0.45555555555555555</v>
      </c>
      <c r="I312" s="9">
        <v>35740</v>
      </c>
      <c r="J312" s="9">
        <v>15570</v>
      </c>
      <c r="K312" s="10">
        <f t="shared" si="15"/>
        <v>20170</v>
      </c>
      <c r="L312" s="10">
        <v>23769</v>
      </c>
      <c r="M312" s="11" t="s">
        <v>2554</v>
      </c>
      <c r="N312" s="12">
        <v>20.8</v>
      </c>
      <c r="O312" s="13" t="s">
        <v>855</v>
      </c>
      <c r="P312" s="14"/>
    </row>
    <row r="313" spans="1:16" x14ac:dyDescent="0.25">
      <c r="A313" s="6"/>
      <c r="B313" s="7">
        <v>44297</v>
      </c>
      <c r="C313" s="8" t="s">
        <v>1365</v>
      </c>
      <c r="D313" s="8" t="s">
        <v>465</v>
      </c>
      <c r="E313" s="9" t="s">
        <v>748</v>
      </c>
      <c r="F313" s="9" t="s">
        <v>749</v>
      </c>
      <c r="G313" s="17">
        <v>0.46736111111111112</v>
      </c>
      <c r="H313" s="17">
        <v>0.47638888888888892</v>
      </c>
      <c r="I313" s="9">
        <v>29050</v>
      </c>
      <c r="J313" s="9">
        <v>16770</v>
      </c>
      <c r="K313" s="10">
        <f t="shared" si="15"/>
        <v>12280</v>
      </c>
      <c r="L313" s="10">
        <v>23769</v>
      </c>
      <c r="M313" s="11" t="s">
        <v>1490</v>
      </c>
      <c r="N313" s="12">
        <v>11</v>
      </c>
      <c r="O313" s="13" t="s">
        <v>855</v>
      </c>
      <c r="P313" s="14"/>
    </row>
    <row r="314" spans="1:16" x14ac:dyDescent="0.25">
      <c r="A314" s="6"/>
      <c r="B314" s="7">
        <v>44297</v>
      </c>
      <c r="C314" s="8" t="s">
        <v>2555</v>
      </c>
      <c r="D314" s="8" t="s">
        <v>284</v>
      </c>
      <c r="E314" s="9" t="s">
        <v>177</v>
      </c>
      <c r="F314" s="9" t="s">
        <v>178</v>
      </c>
      <c r="G314" s="17">
        <v>0.53402777777777777</v>
      </c>
      <c r="H314" s="17">
        <v>0.5444444444444444</v>
      </c>
      <c r="I314" s="9">
        <v>33650</v>
      </c>
      <c r="J314" s="9">
        <v>17060</v>
      </c>
      <c r="K314" s="10">
        <f t="shared" si="15"/>
        <v>16590</v>
      </c>
      <c r="L314" s="10" t="s">
        <v>2556</v>
      </c>
      <c r="M314" s="11" t="s">
        <v>1784</v>
      </c>
      <c r="N314" s="12">
        <f>2.78+12.55</f>
        <v>15.33</v>
      </c>
      <c r="O314" s="13" t="s">
        <v>855</v>
      </c>
      <c r="P314" s="14"/>
    </row>
    <row r="315" spans="1:16" x14ac:dyDescent="0.25">
      <c r="A315" s="6"/>
      <c r="B315" s="7">
        <v>44297</v>
      </c>
      <c r="C315" s="8" t="s">
        <v>1558</v>
      </c>
      <c r="D315" s="8" t="s">
        <v>243</v>
      </c>
      <c r="E315" s="9" t="s">
        <v>440</v>
      </c>
      <c r="F315" s="9" t="s">
        <v>1276</v>
      </c>
      <c r="G315" s="17">
        <v>0.5708333333333333</v>
      </c>
      <c r="H315" s="17">
        <v>0.5805555555555556</v>
      </c>
      <c r="I315" s="9">
        <v>28560</v>
      </c>
      <c r="J315" s="9">
        <v>14020</v>
      </c>
      <c r="K315" s="10">
        <f t="shared" si="15"/>
        <v>14540</v>
      </c>
      <c r="L315" s="10">
        <v>23773</v>
      </c>
      <c r="M315" s="11" t="s">
        <v>2557</v>
      </c>
      <c r="N315" s="12">
        <v>12.5</v>
      </c>
      <c r="O315" s="13" t="s">
        <v>855</v>
      </c>
      <c r="P315" s="14"/>
    </row>
    <row r="316" spans="1:16" x14ac:dyDescent="0.25">
      <c r="A316" s="6"/>
      <c r="B316" s="7">
        <v>44297</v>
      </c>
      <c r="C316" s="8" t="s">
        <v>2525</v>
      </c>
      <c r="D316" s="8" t="s">
        <v>928</v>
      </c>
      <c r="E316" s="9" t="s">
        <v>947</v>
      </c>
      <c r="F316" s="9" t="s">
        <v>948</v>
      </c>
      <c r="G316" s="17">
        <v>0.59791666666666665</v>
      </c>
      <c r="H316" s="17">
        <v>0.60486111111111118</v>
      </c>
      <c r="I316" s="9">
        <v>8270</v>
      </c>
      <c r="J316" s="9">
        <v>7510</v>
      </c>
      <c r="K316" s="10">
        <f t="shared" si="15"/>
        <v>760</v>
      </c>
      <c r="L316" s="10">
        <v>23774</v>
      </c>
      <c r="M316" s="11" t="s">
        <v>2558</v>
      </c>
      <c r="N316" s="12">
        <v>760</v>
      </c>
      <c r="O316" s="13" t="s">
        <v>32</v>
      </c>
      <c r="P316" s="14" t="s">
        <v>883</v>
      </c>
    </row>
    <row r="317" spans="1:16" x14ac:dyDescent="0.25">
      <c r="A317" s="6"/>
      <c r="B317" s="7">
        <v>44297</v>
      </c>
      <c r="C317" s="8" t="s">
        <v>1711</v>
      </c>
      <c r="D317" s="8" t="s">
        <v>928</v>
      </c>
      <c r="E317" s="9" t="s">
        <v>947</v>
      </c>
      <c r="F317" s="9" t="s">
        <v>948</v>
      </c>
      <c r="G317" s="17">
        <v>0.65277777777777779</v>
      </c>
      <c r="H317" s="17">
        <v>0.66875000000000007</v>
      </c>
      <c r="I317" s="9">
        <v>10010</v>
      </c>
      <c r="J317" s="9">
        <v>7520</v>
      </c>
      <c r="K317" s="10">
        <f t="shared" si="15"/>
        <v>2490</v>
      </c>
      <c r="L317" s="10">
        <v>23775</v>
      </c>
      <c r="M317" s="11" t="s">
        <v>1490</v>
      </c>
      <c r="N317" s="12">
        <v>2490</v>
      </c>
      <c r="O317" s="13" t="s">
        <v>32</v>
      </c>
      <c r="P317" s="14" t="s">
        <v>2475</v>
      </c>
    </row>
    <row r="318" spans="1:16" x14ac:dyDescent="0.25">
      <c r="A318" s="6"/>
      <c r="B318" s="7">
        <v>44297</v>
      </c>
      <c r="C318" s="8" t="s">
        <v>1616</v>
      </c>
      <c r="D318" s="8" t="s">
        <v>1001</v>
      </c>
      <c r="E318" s="9" t="s">
        <v>39</v>
      </c>
      <c r="F318" s="9" t="s">
        <v>154</v>
      </c>
      <c r="G318" s="17">
        <v>0.83819444444444446</v>
      </c>
      <c r="H318" s="17">
        <v>0.90833333333333333</v>
      </c>
      <c r="I318" s="9">
        <v>13670</v>
      </c>
      <c r="J318" s="9">
        <v>6210</v>
      </c>
      <c r="K318" s="10">
        <f t="shared" si="15"/>
        <v>7460</v>
      </c>
      <c r="L318" s="10">
        <v>26821</v>
      </c>
      <c r="M318" s="11" t="s">
        <v>2529</v>
      </c>
      <c r="N318" s="12">
        <v>7460</v>
      </c>
      <c r="O318" s="13" t="s">
        <v>683</v>
      </c>
      <c r="P318" s="14"/>
    </row>
    <row r="319" spans="1:16" x14ac:dyDescent="0.25">
      <c r="A319" s="6"/>
      <c r="B319" s="15">
        <v>44298</v>
      </c>
      <c r="C319" s="8" t="s">
        <v>2559</v>
      </c>
      <c r="D319" s="8" t="s">
        <v>546</v>
      </c>
      <c r="E319" s="9" t="s">
        <v>547</v>
      </c>
      <c r="F319" s="9" t="s">
        <v>154</v>
      </c>
      <c r="G319" s="17">
        <v>0.34930555555555554</v>
      </c>
      <c r="H319" s="17">
        <v>0.5083333333333333</v>
      </c>
      <c r="I319" s="9">
        <v>13510</v>
      </c>
      <c r="J319" s="9">
        <v>40010</v>
      </c>
      <c r="K319" s="10">
        <f t="shared" si="15"/>
        <v>-26500</v>
      </c>
      <c r="L319" s="10">
        <v>5945</v>
      </c>
      <c r="M319" s="11" t="s">
        <v>53</v>
      </c>
      <c r="N319" s="12">
        <v>530</v>
      </c>
      <c r="O319" s="13" t="s">
        <v>54</v>
      </c>
      <c r="P319" s="14"/>
    </row>
    <row r="320" spans="1:16" x14ac:dyDescent="0.25">
      <c r="A320" s="6"/>
      <c r="B320" s="7">
        <v>44298</v>
      </c>
      <c r="C320" s="8" t="s">
        <v>2559</v>
      </c>
      <c r="D320" s="8" t="s">
        <v>544</v>
      </c>
      <c r="E320" s="9" t="s">
        <v>545</v>
      </c>
      <c r="F320" s="9" t="s">
        <v>154</v>
      </c>
      <c r="G320" s="17">
        <v>0.35694444444444445</v>
      </c>
      <c r="H320" s="17">
        <v>0.51041666666666663</v>
      </c>
      <c r="I320" s="9">
        <v>13960</v>
      </c>
      <c r="J320" s="9">
        <v>40460</v>
      </c>
      <c r="K320" s="10">
        <f t="shared" si="15"/>
        <v>-26500</v>
      </c>
      <c r="L320" s="10">
        <v>5944</v>
      </c>
      <c r="M320" s="11" t="s">
        <v>53</v>
      </c>
      <c r="N320" s="12">
        <v>530</v>
      </c>
      <c r="O320" s="13" t="s">
        <v>54</v>
      </c>
      <c r="P320" s="14"/>
    </row>
    <row r="321" spans="1:16" x14ac:dyDescent="0.25">
      <c r="A321" s="6"/>
      <c r="B321" s="7">
        <v>44298</v>
      </c>
      <c r="C321" s="8" t="s">
        <v>2559</v>
      </c>
      <c r="D321" s="8" t="s">
        <v>2560</v>
      </c>
      <c r="E321" s="9" t="s">
        <v>2561</v>
      </c>
      <c r="F321" s="9" t="s">
        <v>154</v>
      </c>
      <c r="G321" s="17">
        <v>0.35833333333333334</v>
      </c>
      <c r="H321" s="17">
        <v>0.59027777777777779</v>
      </c>
      <c r="I321" s="9">
        <v>13860</v>
      </c>
      <c r="J321" s="9">
        <v>40360</v>
      </c>
      <c r="K321" s="10">
        <f t="shared" si="15"/>
        <v>-26500</v>
      </c>
      <c r="L321" s="10">
        <v>5948</v>
      </c>
      <c r="M321" s="11" t="s">
        <v>53</v>
      </c>
      <c r="N321" s="12">
        <v>530</v>
      </c>
      <c r="O321" s="13" t="s">
        <v>54</v>
      </c>
      <c r="P321" s="14"/>
    </row>
    <row r="322" spans="1:16" x14ac:dyDescent="0.25">
      <c r="A322" s="6"/>
      <c r="B322" s="7">
        <v>44298</v>
      </c>
      <c r="C322" s="8" t="s">
        <v>2559</v>
      </c>
      <c r="D322" s="8" t="s">
        <v>540</v>
      </c>
      <c r="E322" s="9" t="s">
        <v>541</v>
      </c>
      <c r="F322" s="9" t="s">
        <v>154</v>
      </c>
      <c r="G322" s="17">
        <v>0.37152777777777773</v>
      </c>
      <c r="H322" s="17">
        <v>0.58750000000000002</v>
      </c>
      <c r="I322" s="9">
        <v>13770</v>
      </c>
      <c r="J322" s="9">
        <v>40270</v>
      </c>
      <c r="K322" s="10">
        <f t="shared" si="15"/>
        <v>-26500</v>
      </c>
      <c r="L322" s="10">
        <v>5946</v>
      </c>
      <c r="M322" s="11" t="s">
        <v>53</v>
      </c>
      <c r="N322" s="12">
        <v>530</v>
      </c>
      <c r="O322" s="13" t="s">
        <v>54</v>
      </c>
      <c r="P322" s="14"/>
    </row>
    <row r="323" spans="1:16" x14ac:dyDescent="0.25">
      <c r="A323" s="6"/>
      <c r="B323" s="7">
        <v>44298</v>
      </c>
      <c r="C323" s="8" t="s">
        <v>2562</v>
      </c>
      <c r="D323" s="8" t="s">
        <v>311</v>
      </c>
      <c r="E323" s="9" t="s">
        <v>2288</v>
      </c>
      <c r="F323" s="9" t="s">
        <v>154</v>
      </c>
      <c r="G323" s="17">
        <v>0.48749999999999999</v>
      </c>
      <c r="H323" s="17">
        <v>0.49722222222222223</v>
      </c>
      <c r="I323" s="9">
        <v>5200</v>
      </c>
      <c r="J323" s="9">
        <v>3300</v>
      </c>
      <c r="K323" s="10">
        <f t="shared" si="15"/>
        <v>1900</v>
      </c>
      <c r="L323" s="10">
        <v>11108</v>
      </c>
      <c r="M323" s="11" t="s">
        <v>2563</v>
      </c>
      <c r="N323" s="12">
        <f>60*30</f>
        <v>1800</v>
      </c>
      <c r="O323" s="13" t="s">
        <v>32</v>
      </c>
      <c r="P323" s="14"/>
    </row>
    <row r="324" spans="1:16" x14ac:dyDescent="0.25">
      <c r="A324" s="6"/>
      <c r="B324" s="7">
        <v>44298</v>
      </c>
      <c r="C324" s="8" t="s">
        <v>1078</v>
      </c>
      <c r="D324" s="8" t="s">
        <v>1794</v>
      </c>
      <c r="E324" s="9" t="s">
        <v>628</v>
      </c>
      <c r="F324" s="9" t="s">
        <v>629</v>
      </c>
      <c r="G324" s="17">
        <v>0.5131944444444444</v>
      </c>
      <c r="H324" s="17">
        <v>0.6381944444444444</v>
      </c>
      <c r="I324" s="9">
        <v>10870</v>
      </c>
      <c r="J324" s="9">
        <v>9660</v>
      </c>
      <c r="K324" s="10">
        <f t="shared" si="15"/>
        <v>1210</v>
      </c>
      <c r="L324" s="10">
        <v>23776</v>
      </c>
      <c r="M324" s="11" t="s">
        <v>2564</v>
      </c>
      <c r="N324" s="12">
        <v>0.8</v>
      </c>
      <c r="O324" s="13" t="s">
        <v>855</v>
      </c>
      <c r="P324" s="14"/>
    </row>
    <row r="325" spans="1:16" x14ac:dyDescent="0.25">
      <c r="A325" s="6"/>
      <c r="B325" s="7">
        <v>44298</v>
      </c>
      <c r="C325" s="8" t="s">
        <v>2511</v>
      </c>
      <c r="D325" s="8" t="s">
        <v>2353</v>
      </c>
      <c r="E325" s="9" t="s">
        <v>2513</v>
      </c>
      <c r="F325" s="9" t="s">
        <v>154</v>
      </c>
      <c r="G325" s="17">
        <v>0.5708333333333333</v>
      </c>
      <c r="H325" s="17">
        <v>0.64027777777777783</v>
      </c>
      <c r="I325" s="9">
        <v>54200</v>
      </c>
      <c r="J325" s="9">
        <v>18800</v>
      </c>
      <c r="K325" s="10">
        <f t="shared" si="15"/>
        <v>35400</v>
      </c>
      <c r="L325" s="10" t="s">
        <v>2565</v>
      </c>
      <c r="M325" s="11" t="s">
        <v>306</v>
      </c>
      <c r="N325" s="12">
        <v>10000</v>
      </c>
      <c r="O325" s="13" t="s">
        <v>84</v>
      </c>
      <c r="P325" s="14"/>
    </row>
    <row r="326" spans="1:16" x14ac:dyDescent="0.25">
      <c r="A326" s="6"/>
      <c r="B326" s="7">
        <v>44298</v>
      </c>
      <c r="C326" s="8" t="s">
        <v>164</v>
      </c>
      <c r="D326" s="8" t="s">
        <v>853</v>
      </c>
      <c r="E326" s="9" t="s">
        <v>51</v>
      </c>
      <c r="F326" s="9" t="s">
        <v>52</v>
      </c>
      <c r="G326" s="17">
        <v>0.57638888888888895</v>
      </c>
      <c r="H326" s="17">
        <v>0.6430555555555556</v>
      </c>
      <c r="I326" s="9">
        <v>37870</v>
      </c>
      <c r="J326" s="9">
        <v>16770</v>
      </c>
      <c r="K326" s="10">
        <f t="shared" si="15"/>
        <v>21100</v>
      </c>
      <c r="L326" s="10">
        <v>16027</v>
      </c>
      <c r="M326" s="11" t="s">
        <v>398</v>
      </c>
      <c r="N326" s="12">
        <v>420</v>
      </c>
      <c r="O326" s="13" t="s">
        <v>54</v>
      </c>
      <c r="P326" s="14"/>
    </row>
    <row r="327" spans="1:16" x14ac:dyDescent="0.25">
      <c r="A327" s="6"/>
      <c r="B327" s="7">
        <v>44298</v>
      </c>
      <c r="C327" s="8" t="s">
        <v>1083</v>
      </c>
      <c r="D327" s="8" t="s">
        <v>928</v>
      </c>
      <c r="E327" s="9" t="s">
        <v>947</v>
      </c>
      <c r="F327" s="9" t="s">
        <v>948</v>
      </c>
      <c r="G327" s="17">
        <v>0.6118055555555556</v>
      </c>
      <c r="H327" s="17">
        <v>0.64583333333333337</v>
      </c>
      <c r="I327" s="9">
        <v>8980</v>
      </c>
      <c r="J327" s="9">
        <v>7520</v>
      </c>
      <c r="K327" s="10">
        <f t="shared" si="15"/>
        <v>1460</v>
      </c>
      <c r="L327" s="10">
        <v>22448</v>
      </c>
      <c r="M327" s="11" t="s">
        <v>2566</v>
      </c>
      <c r="N327" s="12">
        <v>40</v>
      </c>
      <c r="O327" s="13" t="s">
        <v>54</v>
      </c>
      <c r="P327" s="14"/>
    </row>
    <row r="328" spans="1:16" x14ac:dyDescent="0.25">
      <c r="A328" s="6"/>
      <c r="B328" s="7">
        <v>44298</v>
      </c>
      <c r="C328" s="8" t="s">
        <v>977</v>
      </c>
      <c r="D328" s="8" t="s">
        <v>243</v>
      </c>
      <c r="E328" s="9" t="s">
        <v>440</v>
      </c>
      <c r="F328" s="9" t="s">
        <v>1276</v>
      </c>
      <c r="G328" s="17">
        <v>0.62708333333333333</v>
      </c>
      <c r="H328" s="17">
        <v>0.64722222222222225</v>
      </c>
      <c r="I328" s="9">
        <v>31285</v>
      </c>
      <c r="J328" s="9">
        <v>15420</v>
      </c>
      <c r="K328" s="10">
        <f t="shared" si="15"/>
        <v>15865</v>
      </c>
      <c r="L328" s="10">
        <v>23777</v>
      </c>
      <c r="M328" s="11" t="s">
        <v>1359</v>
      </c>
      <c r="N328" s="12">
        <v>15865</v>
      </c>
      <c r="O328" s="13" t="s">
        <v>32</v>
      </c>
      <c r="P328" s="14" t="s">
        <v>2567</v>
      </c>
    </row>
    <row r="329" spans="1:16" x14ac:dyDescent="0.25">
      <c r="A329" s="6"/>
      <c r="B329" s="7">
        <v>44298</v>
      </c>
      <c r="C329" s="8" t="s">
        <v>1948</v>
      </c>
      <c r="D329" s="8" t="s">
        <v>1794</v>
      </c>
      <c r="E329" s="9" t="s">
        <v>628</v>
      </c>
      <c r="F329" s="9" t="s">
        <v>629</v>
      </c>
      <c r="G329" s="17">
        <v>0.68333333333333324</v>
      </c>
      <c r="H329" s="17">
        <v>0.69513888888888886</v>
      </c>
      <c r="I329" s="9">
        <v>13830</v>
      </c>
      <c r="J329" s="9">
        <v>9680</v>
      </c>
      <c r="K329" s="10">
        <f t="shared" si="15"/>
        <v>4150</v>
      </c>
      <c r="L329" s="10">
        <v>23778</v>
      </c>
      <c r="M329" s="11" t="s">
        <v>1359</v>
      </c>
      <c r="N329" s="12">
        <v>4150</v>
      </c>
      <c r="O329" s="13" t="s">
        <v>32</v>
      </c>
      <c r="P329" s="14" t="s">
        <v>979</v>
      </c>
    </row>
    <row r="330" spans="1:16" x14ac:dyDescent="0.25">
      <c r="A330" s="6"/>
      <c r="B330" s="7">
        <v>44298</v>
      </c>
      <c r="C330" s="8" t="s">
        <v>208</v>
      </c>
      <c r="D330" s="8" t="s">
        <v>1850</v>
      </c>
      <c r="E330" s="9" t="s">
        <v>144</v>
      </c>
      <c r="F330" s="9" t="s">
        <v>626</v>
      </c>
      <c r="G330" s="17">
        <v>0.8041666666666667</v>
      </c>
      <c r="H330" s="17">
        <v>0.375</v>
      </c>
      <c r="I330" s="9">
        <v>41610</v>
      </c>
      <c r="J330" s="9">
        <v>17120</v>
      </c>
      <c r="K330" s="10">
        <f t="shared" si="15"/>
        <v>24490</v>
      </c>
      <c r="L330" s="10">
        <v>41685</v>
      </c>
      <c r="M330" s="11" t="s">
        <v>1626</v>
      </c>
      <c r="N330" s="12">
        <v>24500</v>
      </c>
      <c r="O330" s="13" t="s">
        <v>32</v>
      </c>
      <c r="P330" s="14"/>
    </row>
    <row r="331" spans="1:16" x14ac:dyDescent="0.25">
      <c r="A331" s="6"/>
      <c r="B331" s="7">
        <v>44298</v>
      </c>
      <c r="C331" s="8" t="s">
        <v>2568</v>
      </c>
      <c r="D331" s="8" t="s">
        <v>2569</v>
      </c>
      <c r="E331" s="9" t="s">
        <v>1823</v>
      </c>
      <c r="F331" s="9" t="s">
        <v>154</v>
      </c>
      <c r="G331" s="17">
        <v>0.8618055555555556</v>
      </c>
      <c r="H331" s="17">
        <v>0.98263888888888884</v>
      </c>
      <c r="I331" s="9">
        <v>8380</v>
      </c>
      <c r="J331" s="9">
        <v>4580</v>
      </c>
      <c r="K331" s="10">
        <f t="shared" si="15"/>
        <v>3800</v>
      </c>
      <c r="L331" s="10">
        <v>26822</v>
      </c>
      <c r="M331" s="11" t="s">
        <v>2570</v>
      </c>
      <c r="N331" s="12">
        <v>3800</v>
      </c>
      <c r="O331" s="13" t="s">
        <v>32</v>
      </c>
      <c r="P331" s="14"/>
    </row>
    <row r="332" spans="1:16" x14ac:dyDescent="0.25">
      <c r="A332" s="6"/>
      <c r="B332" s="7">
        <v>44298</v>
      </c>
      <c r="C332" s="8" t="s">
        <v>2123</v>
      </c>
      <c r="D332" s="8" t="s">
        <v>1853</v>
      </c>
      <c r="E332" s="9" t="s">
        <v>1206</v>
      </c>
      <c r="F332" s="9" t="s">
        <v>154</v>
      </c>
      <c r="G332" s="17">
        <v>0.87430555555555556</v>
      </c>
      <c r="H332" s="17">
        <v>0.89374999999999993</v>
      </c>
      <c r="I332" s="9">
        <v>14930</v>
      </c>
      <c r="J332" s="9">
        <v>6640</v>
      </c>
      <c r="K332" s="10">
        <f t="shared" ref="K332:K395" si="16">+I332-J332</f>
        <v>8290</v>
      </c>
      <c r="L332" s="10">
        <v>26823</v>
      </c>
      <c r="M332" s="11" t="s">
        <v>966</v>
      </c>
      <c r="N332" s="12">
        <v>8290</v>
      </c>
      <c r="O332" s="13" t="s">
        <v>32</v>
      </c>
      <c r="P332" s="14"/>
    </row>
    <row r="333" spans="1:16" x14ac:dyDescent="0.25">
      <c r="A333" s="6"/>
      <c r="B333" s="7">
        <v>44298</v>
      </c>
      <c r="C333" s="8" t="s">
        <v>289</v>
      </c>
      <c r="D333" s="8" t="s">
        <v>174</v>
      </c>
      <c r="E333" s="9" t="s">
        <v>699</v>
      </c>
      <c r="F333" s="9" t="s">
        <v>459</v>
      </c>
      <c r="G333" s="17">
        <v>0.96805555555555556</v>
      </c>
      <c r="H333" s="17">
        <v>2.361111111111111E-2</v>
      </c>
      <c r="I333" s="9">
        <v>13080</v>
      </c>
      <c r="J333" s="9">
        <v>8290</v>
      </c>
      <c r="K333" s="10">
        <f t="shared" si="16"/>
        <v>4790</v>
      </c>
      <c r="L333" s="10">
        <v>8921</v>
      </c>
      <c r="M333" s="11" t="s">
        <v>2496</v>
      </c>
      <c r="N333" s="12">
        <v>4790</v>
      </c>
      <c r="O333" s="13" t="s">
        <v>32</v>
      </c>
      <c r="P333" s="14"/>
    </row>
    <row r="334" spans="1:16" x14ac:dyDescent="0.25">
      <c r="A334" s="6"/>
      <c r="B334" s="7">
        <v>44298</v>
      </c>
      <c r="C334" s="8" t="s">
        <v>204</v>
      </c>
      <c r="D334" s="8" t="s">
        <v>122</v>
      </c>
      <c r="E334" s="9" t="s">
        <v>2573</v>
      </c>
      <c r="F334" s="9" t="s">
        <v>154</v>
      </c>
      <c r="G334" s="17">
        <v>0.98472222222222217</v>
      </c>
      <c r="H334" s="17">
        <v>3.888888888888889E-2</v>
      </c>
      <c r="I334" s="9">
        <v>14715</v>
      </c>
      <c r="J334" s="9">
        <v>6270</v>
      </c>
      <c r="K334" s="10">
        <f t="shared" si="16"/>
        <v>8445</v>
      </c>
      <c r="L334" s="10">
        <v>26824</v>
      </c>
      <c r="M334" s="11" t="s">
        <v>838</v>
      </c>
      <c r="N334" s="12">
        <v>8445</v>
      </c>
      <c r="O334" s="13"/>
      <c r="P334" s="14"/>
    </row>
    <row r="335" spans="1:16" x14ac:dyDescent="0.25">
      <c r="A335" s="6"/>
      <c r="B335" s="7">
        <v>44299</v>
      </c>
      <c r="C335" s="8" t="s">
        <v>2571</v>
      </c>
      <c r="D335" s="8" t="s">
        <v>2571</v>
      </c>
      <c r="E335" s="9" t="s">
        <v>2572</v>
      </c>
      <c r="F335" s="9" t="s">
        <v>154</v>
      </c>
      <c r="G335" s="17">
        <v>1.2499999999999999E-2</v>
      </c>
      <c r="H335" s="17">
        <v>2.9166666666666664E-2</v>
      </c>
      <c r="I335" s="9">
        <v>2000</v>
      </c>
      <c r="J335" s="9">
        <v>1580</v>
      </c>
      <c r="K335" s="10">
        <f t="shared" si="16"/>
        <v>420</v>
      </c>
      <c r="L335" s="10">
        <v>26825</v>
      </c>
      <c r="M335" s="11" t="s">
        <v>1548</v>
      </c>
      <c r="N335" s="12">
        <v>420</v>
      </c>
      <c r="O335" s="13" t="s">
        <v>32</v>
      </c>
      <c r="P335" s="14"/>
    </row>
    <row r="336" spans="1:16" x14ac:dyDescent="0.25">
      <c r="A336" s="6"/>
      <c r="B336" s="7">
        <v>44299</v>
      </c>
      <c r="C336" s="8" t="s">
        <v>133</v>
      </c>
      <c r="D336" s="8" t="s">
        <v>2419</v>
      </c>
      <c r="E336" s="95" t="s">
        <v>220</v>
      </c>
      <c r="F336" s="9" t="s">
        <v>924</v>
      </c>
      <c r="G336" s="17">
        <v>8.5416666666666655E-2</v>
      </c>
      <c r="H336" s="17">
        <v>0.20694444444444446</v>
      </c>
      <c r="I336" s="9">
        <v>21670</v>
      </c>
      <c r="J336" s="9">
        <v>9210</v>
      </c>
      <c r="K336" s="10">
        <f t="shared" si="16"/>
        <v>12460</v>
      </c>
      <c r="L336" s="10" t="s">
        <v>2574</v>
      </c>
      <c r="M336" s="11" t="s">
        <v>2421</v>
      </c>
      <c r="N336" s="12">
        <v>12427</v>
      </c>
      <c r="O336" s="13" t="s">
        <v>32</v>
      </c>
      <c r="P336" s="14"/>
    </row>
    <row r="337" spans="1:21" x14ac:dyDescent="0.25">
      <c r="A337" s="6"/>
      <c r="B337" s="7">
        <v>44299</v>
      </c>
      <c r="C337" s="8" t="s">
        <v>871</v>
      </c>
      <c r="D337" s="8" t="s">
        <v>86</v>
      </c>
      <c r="E337" s="9" t="s">
        <v>87</v>
      </c>
      <c r="F337" s="9" t="s">
        <v>88</v>
      </c>
      <c r="G337" s="17">
        <v>0.15833333333333333</v>
      </c>
      <c r="H337" s="17">
        <v>0.16597222222222222</v>
      </c>
      <c r="I337" s="9">
        <v>36460</v>
      </c>
      <c r="J337" s="9">
        <v>17290</v>
      </c>
      <c r="K337" s="10">
        <f t="shared" si="16"/>
        <v>19170</v>
      </c>
      <c r="L337" s="10">
        <v>809</v>
      </c>
      <c r="M337" s="11" t="s">
        <v>804</v>
      </c>
      <c r="N337" s="12">
        <v>18518</v>
      </c>
      <c r="O337" s="13" t="s">
        <v>32</v>
      </c>
      <c r="P337" s="14"/>
    </row>
    <row r="338" spans="1:21" x14ac:dyDescent="0.25">
      <c r="A338" s="6"/>
      <c r="B338" s="15">
        <v>44299</v>
      </c>
      <c r="C338" s="8" t="s">
        <v>2123</v>
      </c>
      <c r="D338" s="8" t="s">
        <v>183</v>
      </c>
      <c r="E338" s="9" t="s">
        <v>1678</v>
      </c>
      <c r="F338" s="9" t="s">
        <v>154</v>
      </c>
      <c r="G338" s="17">
        <v>0.39027777777777778</v>
      </c>
      <c r="H338" s="17">
        <v>0.41041666666666665</v>
      </c>
      <c r="I338" s="9">
        <v>2880</v>
      </c>
      <c r="J338" s="9">
        <v>2160</v>
      </c>
      <c r="K338" s="10">
        <f t="shared" si="16"/>
        <v>720</v>
      </c>
      <c r="L338" s="10">
        <v>26826</v>
      </c>
      <c r="M338" s="11" t="s">
        <v>1680</v>
      </c>
      <c r="N338" s="12">
        <v>720</v>
      </c>
      <c r="O338" s="13" t="s">
        <v>32</v>
      </c>
      <c r="P338" s="14"/>
    </row>
    <row r="339" spans="1:21" x14ac:dyDescent="0.25">
      <c r="A339" s="6"/>
      <c r="B339" s="7">
        <v>44299</v>
      </c>
      <c r="C339" s="8" t="s">
        <v>2525</v>
      </c>
      <c r="D339" s="8" t="s">
        <v>928</v>
      </c>
      <c r="E339" s="9" t="s">
        <v>947</v>
      </c>
      <c r="F339" s="9" t="s">
        <v>948</v>
      </c>
      <c r="G339" s="17">
        <v>0.3923611111111111</v>
      </c>
      <c r="H339" s="17">
        <v>0.42569444444444443</v>
      </c>
      <c r="I339" s="9">
        <v>16350</v>
      </c>
      <c r="J339" s="9">
        <v>7460</v>
      </c>
      <c r="K339" s="10">
        <f t="shared" si="16"/>
        <v>8890</v>
      </c>
      <c r="L339" s="10">
        <v>23779</v>
      </c>
      <c r="M339" s="11" t="s">
        <v>2575</v>
      </c>
      <c r="N339" s="12">
        <v>9.6</v>
      </c>
      <c r="O339" s="13" t="s">
        <v>855</v>
      </c>
      <c r="P339" s="14"/>
    </row>
    <row r="340" spans="1:21" x14ac:dyDescent="0.25">
      <c r="A340" s="6"/>
      <c r="B340" s="7">
        <v>44299</v>
      </c>
      <c r="C340" s="8" t="s">
        <v>1290</v>
      </c>
      <c r="D340" s="8" t="s">
        <v>1794</v>
      </c>
      <c r="E340" s="9" t="s">
        <v>628</v>
      </c>
      <c r="F340" s="9" t="s">
        <v>629</v>
      </c>
      <c r="G340" s="17">
        <v>0.41180555555555554</v>
      </c>
      <c r="H340" s="17">
        <v>0.42777777777777781</v>
      </c>
      <c r="I340" s="9">
        <v>20790</v>
      </c>
      <c r="J340" s="9">
        <v>9590</v>
      </c>
      <c r="K340" s="10">
        <f t="shared" si="16"/>
        <v>11200</v>
      </c>
      <c r="L340" s="10">
        <v>23780</v>
      </c>
      <c r="M340" s="11" t="s">
        <v>2576</v>
      </c>
      <c r="N340" s="12">
        <v>10.396000000000001</v>
      </c>
      <c r="O340" s="13" t="s">
        <v>855</v>
      </c>
      <c r="P340" s="14"/>
    </row>
    <row r="341" spans="1:21" x14ac:dyDescent="0.25">
      <c r="A341" s="6"/>
      <c r="B341" s="7">
        <v>44299</v>
      </c>
      <c r="C341" s="43" t="s">
        <v>1630</v>
      </c>
      <c r="D341" s="43" t="s">
        <v>464</v>
      </c>
      <c r="E341" s="44" t="s">
        <v>1632</v>
      </c>
      <c r="F341" s="44" t="s">
        <v>266</v>
      </c>
      <c r="G341" s="17">
        <v>0.4152777777777778</v>
      </c>
      <c r="H341" s="17">
        <v>0.42499999999999999</v>
      </c>
      <c r="I341" s="9">
        <v>6210</v>
      </c>
      <c r="J341" s="9">
        <v>5490</v>
      </c>
      <c r="K341" s="10">
        <f>+I341-J341</f>
        <v>720</v>
      </c>
      <c r="L341" s="10" t="s">
        <v>2574</v>
      </c>
      <c r="M341" s="47" t="s">
        <v>2577</v>
      </c>
      <c r="N341" s="12">
        <v>720</v>
      </c>
      <c r="O341" s="13" t="s">
        <v>32</v>
      </c>
      <c r="P341" s="14"/>
    </row>
    <row r="342" spans="1:21" x14ac:dyDescent="0.25">
      <c r="A342" s="6"/>
      <c r="B342" s="7">
        <v>44299</v>
      </c>
      <c r="C342" s="8" t="s">
        <v>208</v>
      </c>
      <c r="D342" s="8" t="s">
        <v>1850</v>
      </c>
      <c r="E342" s="9" t="s">
        <v>144</v>
      </c>
      <c r="F342" s="9" t="s">
        <v>626</v>
      </c>
      <c r="G342" s="17">
        <v>0.48125000000000001</v>
      </c>
      <c r="H342" s="17">
        <v>0.41250000000000003</v>
      </c>
      <c r="I342" s="9">
        <v>41860</v>
      </c>
      <c r="J342" s="9">
        <v>17120</v>
      </c>
      <c r="K342" s="10">
        <f t="shared" si="16"/>
        <v>24740</v>
      </c>
      <c r="L342" s="10">
        <v>41688</v>
      </c>
      <c r="M342" s="11" t="s">
        <v>1626</v>
      </c>
      <c r="N342" s="12">
        <v>24720</v>
      </c>
      <c r="O342" s="13" t="s">
        <v>32</v>
      </c>
      <c r="P342" s="14"/>
    </row>
    <row r="343" spans="1:21" x14ac:dyDescent="0.25">
      <c r="A343" s="6"/>
      <c r="B343" s="7">
        <v>44299</v>
      </c>
      <c r="C343" s="8" t="s">
        <v>2578</v>
      </c>
      <c r="D343" s="8" t="s">
        <v>243</v>
      </c>
      <c r="E343" s="9" t="s">
        <v>440</v>
      </c>
      <c r="F343" s="9" t="s">
        <v>1276</v>
      </c>
      <c r="G343" s="17">
        <v>0.57222222222222219</v>
      </c>
      <c r="H343" s="17">
        <v>0.5805555555555556</v>
      </c>
      <c r="I343" s="9">
        <v>23790</v>
      </c>
      <c r="J343" s="9">
        <v>15420</v>
      </c>
      <c r="K343" s="10">
        <f t="shared" si="16"/>
        <v>8370</v>
      </c>
      <c r="L343" s="10">
        <v>23781</v>
      </c>
      <c r="M343" s="11" t="s">
        <v>2579</v>
      </c>
      <c r="N343" s="12">
        <v>8.1</v>
      </c>
      <c r="O343" s="13" t="s">
        <v>855</v>
      </c>
      <c r="P343" s="14"/>
    </row>
    <row r="344" spans="1:21" x14ac:dyDescent="0.25">
      <c r="A344" s="6"/>
      <c r="B344" s="7">
        <v>44299</v>
      </c>
      <c r="C344" s="8" t="s">
        <v>185</v>
      </c>
      <c r="D344" s="8" t="s">
        <v>2580</v>
      </c>
      <c r="E344" s="9" t="s">
        <v>2581</v>
      </c>
      <c r="F344" s="9" t="s">
        <v>154</v>
      </c>
      <c r="G344" s="17">
        <v>0.57361111111111118</v>
      </c>
      <c r="H344" s="17">
        <v>0.6</v>
      </c>
      <c r="I344" s="9">
        <v>6780</v>
      </c>
      <c r="J344" s="9">
        <v>4090</v>
      </c>
      <c r="K344" s="10">
        <f t="shared" si="16"/>
        <v>2690</v>
      </c>
      <c r="L344" s="10">
        <v>141758</v>
      </c>
      <c r="M344" s="11" t="s">
        <v>2582</v>
      </c>
      <c r="N344" s="12">
        <v>21830</v>
      </c>
      <c r="O344" s="13" t="s">
        <v>54</v>
      </c>
      <c r="P344" s="14"/>
    </row>
    <row r="345" spans="1:21" x14ac:dyDescent="0.25">
      <c r="A345" s="6"/>
      <c r="B345" s="7">
        <v>44299</v>
      </c>
      <c r="C345" s="8" t="s">
        <v>1186</v>
      </c>
      <c r="D345" s="8" t="s">
        <v>1355</v>
      </c>
      <c r="E345" s="9" t="s">
        <v>1048</v>
      </c>
      <c r="F345" s="9" t="s">
        <v>526</v>
      </c>
      <c r="G345" s="17">
        <v>0.59166666666666667</v>
      </c>
      <c r="H345" s="17">
        <v>0.60833333333333328</v>
      </c>
      <c r="I345" s="9">
        <v>39520</v>
      </c>
      <c r="J345" s="9">
        <v>19630</v>
      </c>
      <c r="K345" s="10">
        <f t="shared" si="16"/>
        <v>19890</v>
      </c>
      <c r="L345" s="10">
        <v>23782</v>
      </c>
      <c r="M345" s="11" t="s">
        <v>1041</v>
      </c>
      <c r="N345" s="12">
        <v>19.2</v>
      </c>
      <c r="O345" s="13" t="s">
        <v>855</v>
      </c>
      <c r="P345" s="14"/>
    </row>
    <row r="346" spans="1:21" x14ac:dyDescent="0.25">
      <c r="A346" s="6"/>
      <c r="B346" s="7">
        <v>44299</v>
      </c>
      <c r="C346" s="8" t="s">
        <v>1186</v>
      </c>
      <c r="D346" s="8" t="s">
        <v>299</v>
      </c>
      <c r="E346" s="9" t="s">
        <v>813</v>
      </c>
      <c r="F346" s="9" t="s">
        <v>814</v>
      </c>
      <c r="G346" s="17">
        <v>0.59513888888888888</v>
      </c>
      <c r="H346" s="17">
        <v>0.62708333333333333</v>
      </c>
      <c r="I346" s="9">
        <v>20120</v>
      </c>
      <c r="J346" s="9">
        <v>17340</v>
      </c>
      <c r="K346" s="10">
        <f t="shared" si="16"/>
        <v>2780</v>
      </c>
      <c r="L346" s="10">
        <v>23782</v>
      </c>
      <c r="M346" s="11" t="s">
        <v>1041</v>
      </c>
      <c r="N346" s="12">
        <v>2.4</v>
      </c>
      <c r="O346" s="13" t="s">
        <v>855</v>
      </c>
      <c r="P346" s="14"/>
    </row>
    <row r="347" spans="1:21" x14ac:dyDescent="0.25">
      <c r="A347" s="6"/>
      <c r="B347" s="7">
        <v>44299</v>
      </c>
      <c r="C347" s="8" t="s">
        <v>1996</v>
      </c>
      <c r="D347" s="8" t="s">
        <v>928</v>
      </c>
      <c r="E347" s="9" t="s">
        <v>947</v>
      </c>
      <c r="F347" s="9" t="s">
        <v>948</v>
      </c>
      <c r="G347" s="17">
        <v>0.63958333333333328</v>
      </c>
      <c r="H347" s="17">
        <v>0.67222222222222217</v>
      </c>
      <c r="I347" s="9">
        <v>8790</v>
      </c>
      <c r="J347" s="9">
        <v>7450</v>
      </c>
      <c r="K347" s="10">
        <f t="shared" si="16"/>
        <v>1340</v>
      </c>
      <c r="L347" s="10">
        <v>23783</v>
      </c>
      <c r="M347" s="11" t="s">
        <v>942</v>
      </c>
      <c r="N347" s="12">
        <v>1.2</v>
      </c>
      <c r="O347" s="13" t="s">
        <v>855</v>
      </c>
      <c r="P347" s="14"/>
    </row>
    <row r="348" spans="1:21" x14ac:dyDescent="0.25">
      <c r="A348" s="6"/>
      <c r="B348" s="7">
        <v>44299</v>
      </c>
      <c r="C348" s="8" t="s">
        <v>55</v>
      </c>
      <c r="D348" s="8" t="s">
        <v>853</v>
      </c>
      <c r="E348" s="9" t="s">
        <v>51</v>
      </c>
      <c r="F348" s="9" t="s">
        <v>52</v>
      </c>
      <c r="G348" s="17">
        <v>0.64166666666666672</v>
      </c>
      <c r="H348" s="17">
        <v>0.7284722222222223</v>
      </c>
      <c r="I348" s="9">
        <v>15710</v>
      </c>
      <c r="J348" s="9">
        <v>38810</v>
      </c>
      <c r="K348" s="10">
        <f t="shared" si="16"/>
        <v>-23100</v>
      </c>
      <c r="L348" s="10">
        <v>5949</v>
      </c>
      <c r="M348" s="11" t="s">
        <v>1872</v>
      </c>
      <c r="N348" s="12">
        <v>21950</v>
      </c>
      <c r="O348" s="13" t="s">
        <v>32</v>
      </c>
      <c r="P348" s="14" t="s">
        <v>648</v>
      </c>
    </row>
    <row r="349" spans="1:21" x14ac:dyDescent="0.25">
      <c r="A349" s="6"/>
      <c r="B349" s="7">
        <v>44299</v>
      </c>
      <c r="C349" s="8" t="s">
        <v>1083</v>
      </c>
      <c r="D349" s="8" t="s">
        <v>1084</v>
      </c>
      <c r="E349" s="9" t="s">
        <v>502</v>
      </c>
      <c r="F349" s="9" t="s">
        <v>503</v>
      </c>
      <c r="G349" s="17">
        <v>0.66319444444444442</v>
      </c>
      <c r="H349" s="17">
        <v>0.67847222222222225</v>
      </c>
      <c r="I349" s="9">
        <v>5730</v>
      </c>
      <c r="J349" s="9">
        <v>5350</v>
      </c>
      <c r="K349" s="10">
        <f t="shared" si="16"/>
        <v>380</v>
      </c>
      <c r="L349" s="10">
        <v>20205</v>
      </c>
      <c r="M349" s="11" t="s">
        <v>1873</v>
      </c>
      <c r="N349" s="12">
        <v>380</v>
      </c>
      <c r="O349" s="13" t="s">
        <v>32</v>
      </c>
      <c r="P349" s="14" t="s">
        <v>883</v>
      </c>
    </row>
    <row r="350" spans="1:21" x14ac:dyDescent="0.25">
      <c r="A350" s="6"/>
      <c r="B350" s="7">
        <v>44299</v>
      </c>
      <c r="C350" s="8" t="s">
        <v>1089</v>
      </c>
      <c r="D350" s="8" t="s">
        <v>1794</v>
      </c>
      <c r="E350" s="9" t="s">
        <v>628</v>
      </c>
      <c r="F350" s="9" t="s">
        <v>629</v>
      </c>
      <c r="G350" s="17">
        <v>0.67986111111111114</v>
      </c>
      <c r="H350" s="17">
        <v>0.92152777777777783</v>
      </c>
      <c r="I350" s="9">
        <v>11940</v>
      </c>
      <c r="J350" s="9">
        <v>9660</v>
      </c>
      <c r="K350" s="10">
        <f t="shared" si="16"/>
        <v>2280</v>
      </c>
      <c r="L350" s="10">
        <v>23784</v>
      </c>
      <c r="M350" s="11" t="s">
        <v>2583</v>
      </c>
      <c r="N350" s="12">
        <v>2.4</v>
      </c>
      <c r="O350" s="13" t="s">
        <v>855</v>
      </c>
      <c r="P350" s="14"/>
      <c r="R350" s="1" t="s">
        <v>91</v>
      </c>
      <c r="S350" s="1">
        <v>57</v>
      </c>
      <c r="T350" s="18">
        <v>10</v>
      </c>
      <c r="U350" s="1">
        <f>+T350*S350</f>
        <v>570</v>
      </c>
    </row>
    <row r="351" spans="1:21" x14ac:dyDescent="0.25">
      <c r="A351" s="6"/>
      <c r="B351" s="7">
        <v>44299</v>
      </c>
      <c r="C351" s="8" t="s">
        <v>2455</v>
      </c>
      <c r="D351" s="8" t="s">
        <v>917</v>
      </c>
      <c r="E351" s="9" t="s">
        <v>918</v>
      </c>
      <c r="F351" s="9" t="s">
        <v>154</v>
      </c>
      <c r="G351" s="17">
        <v>0.70694444444444438</v>
      </c>
      <c r="H351" s="17">
        <v>0.73263888888888884</v>
      </c>
      <c r="I351" s="9">
        <v>16670</v>
      </c>
      <c r="J351" s="9">
        <v>47600</v>
      </c>
      <c r="K351" s="10">
        <f t="shared" si="16"/>
        <v>-30930</v>
      </c>
      <c r="L351" s="10">
        <v>5950</v>
      </c>
      <c r="M351" s="11" t="s">
        <v>53</v>
      </c>
      <c r="N351" s="12">
        <v>600</v>
      </c>
      <c r="O351" s="13" t="s">
        <v>54</v>
      </c>
      <c r="P351" s="14" t="s">
        <v>2584</v>
      </c>
      <c r="R351" s="1" t="s">
        <v>646</v>
      </c>
      <c r="S351" s="1">
        <v>58</v>
      </c>
      <c r="T351" s="18">
        <v>10</v>
      </c>
      <c r="U351" s="1">
        <f>+T351*S351</f>
        <v>580</v>
      </c>
    </row>
    <row r="352" spans="1:21" x14ac:dyDescent="0.25">
      <c r="A352" s="6"/>
      <c r="B352" s="7">
        <v>44299</v>
      </c>
      <c r="C352" s="8" t="s">
        <v>2455</v>
      </c>
      <c r="D352" s="8" t="s">
        <v>1184</v>
      </c>
      <c r="E352" s="9" t="s">
        <v>1185</v>
      </c>
      <c r="F352" s="9" t="s">
        <v>154</v>
      </c>
      <c r="G352" s="17">
        <v>0.72013888888888899</v>
      </c>
      <c r="H352" s="17">
        <v>0.74930555555555556</v>
      </c>
      <c r="I352" s="9">
        <v>17730</v>
      </c>
      <c r="J352" s="9">
        <v>48660</v>
      </c>
      <c r="K352" s="10">
        <f t="shared" si="16"/>
        <v>-30930</v>
      </c>
      <c r="L352" s="10">
        <v>5951</v>
      </c>
      <c r="M352" s="11" t="s">
        <v>53</v>
      </c>
      <c r="N352" s="12">
        <v>600</v>
      </c>
      <c r="O352" s="13" t="s">
        <v>54</v>
      </c>
      <c r="P352" s="14" t="s">
        <v>2585</v>
      </c>
      <c r="R352" s="1" t="s">
        <v>669</v>
      </c>
      <c r="S352" s="1">
        <v>63</v>
      </c>
      <c r="T352" s="18"/>
      <c r="U352" s="1">
        <f>+T352*S352</f>
        <v>0</v>
      </c>
    </row>
    <row r="353" spans="1:23" x14ac:dyDescent="0.25">
      <c r="A353" s="6"/>
      <c r="B353" s="7">
        <v>44299</v>
      </c>
      <c r="C353" s="8" t="s">
        <v>1673</v>
      </c>
      <c r="D353" s="8" t="s">
        <v>1853</v>
      </c>
      <c r="E353" s="9" t="s">
        <v>1206</v>
      </c>
      <c r="F353" s="9" t="s">
        <v>36</v>
      </c>
      <c r="G353" s="17">
        <v>0.88750000000000007</v>
      </c>
      <c r="H353" s="17">
        <v>0.90833333333333333</v>
      </c>
      <c r="I353" s="9">
        <v>13370</v>
      </c>
      <c r="J353" s="9">
        <v>6680</v>
      </c>
      <c r="K353" s="10">
        <f t="shared" si="16"/>
        <v>6690</v>
      </c>
      <c r="L353" s="10">
        <v>26827</v>
      </c>
      <c r="M353" s="11" t="s">
        <v>966</v>
      </c>
      <c r="N353" s="12">
        <v>6690</v>
      </c>
      <c r="O353" s="13" t="s">
        <v>32</v>
      </c>
      <c r="P353" s="14"/>
      <c r="T353" s="18">
        <f>SUM(T350:T352)</f>
        <v>20</v>
      </c>
      <c r="U353" s="18">
        <f>SUM(U350:U352)</f>
        <v>1150</v>
      </c>
      <c r="V353" s="18">
        <v>23100</v>
      </c>
      <c r="W353" s="18">
        <f>+V353-U353</f>
        <v>21950</v>
      </c>
    </row>
    <row r="354" spans="1:23" x14ac:dyDescent="0.25">
      <c r="A354" s="6"/>
      <c r="B354" s="7">
        <v>44299</v>
      </c>
      <c r="C354" s="8" t="s">
        <v>204</v>
      </c>
      <c r="D354" s="8" t="s">
        <v>122</v>
      </c>
      <c r="E354" s="9" t="s">
        <v>2573</v>
      </c>
      <c r="F354" s="9" t="s">
        <v>154</v>
      </c>
      <c r="G354" s="17">
        <v>0.97083333333333333</v>
      </c>
      <c r="H354" s="17">
        <v>2.6388888888888889E-2</v>
      </c>
      <c r="I354" s="9">
        <v>16275</v>
      </c>
      <c r="J354" s="9">
        <v>6310</v>
      </c>
      <c r="K354" s="10">
        <f t="shared" si="16"/>
        <v>9965</v>
      </c>
      <c r="L354" s="10">
        <v>26829</v>
      </c>
      <c r="M354" s="11" t="s">
        <v>838</v>
      </c>
      <c r="N354" s="12">
        <v>9965</v>
      </c>
      <c r="O354" s="13" t="s">
        <v>32</v>
      </c>
      <c r="P354" s="14"/>
    </row>
    <row r="355" spans="1:23" x14ac:dyDescent="0.25">
      <c r="A355" s="6"/>
      <c r="B355" s="7">
        <v>44300</v>
      </c>
      <c r="C355" s="8" t="s">
        <v>2571</v>
      </c>
      <c r="D355" s="8" t="s">
        <v>2571</v>
      </c>
      <c r="E355" s="9" t="s">
        <v>2572</v>
      </c>
      <c r="F355" s="9" t="s">
        <v>154</v>
      </c>
      <c r="G355" s="17">
        <v>9.7222222222222224E-3</v>
      </c>
      <c r="H355" s="17">
        <v>1.9444444444444445E-2</v>
      </c>
      <c r="I355" s="9">
        <v>1900</v>
      </c>
      <c r="J355" s="9">
        <v>1580</v>
      </c>
      <c r="K355" s="10">
        <v>320</v>
      </c>
      <c r="L355" s="10">
        <v>26828</v>
      </c>
      <c r="M355" s="11" t="s">
        <v>1548</v>
      </c>
      <c r="N355" s="12">
        <v>320</v>
      </c>
      <c r="O355" s="13" t="s">
        <v>32</v>
      </c>
      <c r="P355" s="14"/>
    </row>
    <row r="356" spans="1:23" x14ac:dyDescent="0.25">
      <c r="A356" s="6"/>
      <c r="B356" s="7">
        <v>44300</v>
      </c>
      <c r="C356" s="8" t="s">
        <v>2590</v>
      </c>
      <c r="D356" s="8" t="s">
        <v>174</v>
      </c>
      <c r="E356" s="9" t="s">
        <v>699</v>
      </c>
      <c r="F356" s="9" t="s">
        <v>459</v>
      </c>
      <c r="G356" s="17">
        <v>7.9166666666666663E-2</v>
      </c>
      <c r="H356" s="17">
        <v>0.14583333333333334</v>
      </c>
      <c r="I356" s="9">
        <v>14600</v>
      </c>
      <c r="J356" s="9">
        <v>8300</v>
      </c>
      <c r="K356" s="10">
        <f t="shared" si="16"/>
        <v>6300</v>
      </c>
      <c r="L356" s="10" t="s">
        <v>2591</v>
      </c>
      <c r="M356" s="11" t="s">
        <v>2586</v>
      </c>
      <c r="N356" s="12">
        <v>6300</v>
      </c>
      <c r="O356" s="13" t="s">
        <v>32</v>
      </c>
      <c r="P356" s="14"/>
      <c r="R356" s="1">
        <v>30080</v>
      </c>
      <c r="S356" s="1">
        <v>30930</v>
      </c>
      <c r="T356" s="1">
        <f>+S356-R356</f>
        <v>850</v>
      </c>
    </row>
    <row r="357" spans="1:23" x14ac:dyDescent="0.25">
      <c r="A357" s="6"/>
      <c r="B357" s="7">
        <v>44300</v>
      </c>
      <c r="C357" s="8" t="s">
        <v>871</v>
      </c>
      <c r="D357" s="8" t="s">
        <v>86</v>
      </c>
      <c r="E357" s="9" t="s">
        <v>87</v>
      </c>
      <c r="F357" s="9" t="s">
        <v>88</v>
      </c>
      <c r="G357" s="17">
        <v>9.7916666666666666E-2</v>
      </c>
      <c r="H357" s="17">
        <v>0.10555555555555556</v>
      </c>
      <c r="I357" s="9">
        <v>40220</v>
      </c>
      <c r="J357" s="9">
        <v>17410</v>
      </c>
      <c r="K357" s="10">
        <f t="shared" si="16"/>
        <v>22810</v>
      </c>
      <c r="L357" s="10">
        <v>811</v>
      </c>
      <c r="M357" s="11" t="s">
        <v>684</v>
      </c>
      <c r="N357" s="12">
        <v>21920</v>
      </c>
      <c r="O357" s="13" t="s">
        <v>32</v>
      </c>
      <c r="P357" s="14"/>
    </row>
    <row r="358" spans="1:23" x14ac:dyDescent="0.25">
      <c r="A358" s="6"/>
      <c r="B358" s="7">
        <v>44300</v>
      </c>
      <c r="C358" s="8" t="s">
        <v>2542</v>
      </c>
      <c r="D358" s="8" t="s">
        <v>2587</v>
      </c>
      <c r="E358" s="9" t="s">
        <v>2588</v>
      </c>
      <c r="F358" s="17" t="s">
        <v>36</v>
      </c>
      <c r="G358" s="17">
        <v>0.14166666666666666</v>
      </c>
      <c r="H358" s="17">
        <v>0.16250000000000001</v>
      </c>
      <c r="I358" s="9">
        <v>7170</v>
      </c>
      <c r="J358" s="9">
        <v>4290</v>
      </c>
      <c r="K358" s="10">
        <f t="shared" si="16"/>
        <v>2880</v>
      </c>
      <c r="L358" s="10">
        <v>26830</v>
      </c>
      <c r="M358" s="11" t="s">
        <v>2589</v>
      </c>
      <c r="N358" s="12">
        <v>2880</v>
      </c>
      <c r="O358" s="13" t="s">
        <v>32</v>
      </c>
      <c r="P358" s="14"/>
    </row>
    <row r="359" spans="1:23" x14ac:dyDescent="0.25">
      <c r="A359" s="6"/>
      <c r="B359" s="15">
        <v>44300</v>
      </c>
      <c r="C359" s="16" t="s">
        <v>2592</v>
      </c>
      <c r="D359" s="8" t="s">
        <v>465</v>
      </c>
      <c r="E359" s="9" t="s">
        <v>748</v>
      </c>
      <c r="F359" s="9" t="s">
        <v>749</v>
      </c>
      <c r="G359" s="17">
        <v>0.37847222222222227</v>
      </c>
      <c r="H359" s="17">
        <v>0.44166666666666665</v>
      </c>
      <c r="I359" s="9">
        <v>18160</v>
      </c>
      <c r="J359" s="9">
        <v>42870</v>
      </c>
      <c r="K359" s="10">
        <f t="shared" si="16"/>
        <v>-24710</v>
      </c>
      <c r="L359" s="10">
        <v>17084</v>
      </c>
      <c r="M359" s="11" t="s">
        <v>166</v>
      </c>
      <c r="N359" s="12">
        <v>493</v>
      </c>
      <c r="O359" s="13" t="s">
        <v>54</v>
      </c>
      <c r="P359" s="14"/>
    </row>
    <row r="360" spans="1:23" x14ac:dyDescent="0.25">
      <c r="A360" s="6"/>
      <c r="B360" s="7">
        <v>44300</v>
      </c>
      <c r="C360" s="8" t="s">
        <v>2592</v>
      </c>
      <c r="D360" s="8" t="s">
        <v>899</v>
      </c>
      <c r="E360" s="9" t="s">
        <v>490</v>
      </c>
      <c r="F360" s="9" t="s">
        <v>491</v>
      </c>
      <c r="G360" s="17">
        <v>0.38055555555555554</v>
      </c>
      <c r="H360" s="17">
        <v>0.4201388888888889</v>
      </c>
      <c r="I360" s="9">
        <v>17810</v>
      </c>
      <c r="J360" s="9">
        <v>43100</v>
      </c>
      <c r="K360" s="10">
        <f t="shared" si="16"/>
        <v>-25290</v>
      </c>
      <c r="L360" s="10">
        <v>17083</v>
      </c>
      <c r="M360" s="11" t="s">
        <v>166</v>
      </c>
      <c r="N360" s="12">
        <v>504</v>
      </c>
      <c r="O360" s="13" t="s">
        <v>54</v>
      </c>
      <c r="P360" s="14"/>
    </row>
    <row r="361" spans="1:23" x14ac:dyDescent="0.25">
      <c r="A361" s="6"/>
      <c r="B361" s="7">
        <v>44300</v>
      </c>
      <c r="C361" s="8" t="s">
        <v>2593</v>
      </c>
      <c r="D361" s="8" t="s">
        <v>2594</v>
      </c>
      <c r="E361" s="9" t="s">
        <v>2595</v>
      </c>
      <c r="F361" s="17" t="s">
        <v>36</v>
      </c>
      <c r="G361" s="17">
        <v>0.43055555555555558</v>
      </c>
      <c r="H361" s="17">
        <v>0.46180555555555558</v>
      </c>
      <c r="I361" s="9">
        <v>5400</v>
      </c>
      <c r="J361" s="9">
        <v>3300</v>
      </c>
      <c r="K361" s="10">
        <f t="shared" si="16"/>
        <v>2100</v>
      </c>
      <c r="L361" s="10">
        <v>11113</v>
      </c>
      <c r="M361" s="11" t="s">
        <v>2596</v>
      </c>
      <c r="N361" s="12">
        <v>2100</v>
      </c>
      <c r="O361" s="13" t="s">
        <v>32</v>
      </c>
      <c r="P361" s="14"/>
    </row>
    <row r="362" spans="1:23" x14ac:dyDescent="0.25">
      <c r="A362" s="6"/>
      <c r="B362" s="7">
        <v>44300</v>
      </c>
      <c r="C362" s="8" t="s">
        <v>2597</v>
      </c>
      <c r="D362" s="8" t="s">
        <v>928</v>
      </c>
      <c r="E362" s="9" t="s">
        <v>947</v>
      </c>
      <c r="F362" s="9" t="s">
        <v>948</v>
      </c>
      <c r="G362" s="17">
        <v>0.4680555555555555</v>
      </c>
      <c r="H362" s="17">
        <v>0.62013888888888891</v>
      </c>
      <c r="I362" s="9">
        <v>11260</v>
      </c>
      <c r="J362" s="9">
        <v>7450</v>
      </c>
      <c r="K362" s="10">
        <f t="shared" si="16"/>
        <v>3810</v>
      </c>
      <c r="L362" s="10">
        <v>24945</v>
      </c>
      <c r="M362" s="11" t="s">
        <v>2488</v>
      </c>
      <c r="N362" s="12">
        <v>3810</v>
      </c>
      <c r="O362" s="13" t="s">
        <v>32</v>
      </c>
      <c r="P362" s="22" t="s">
        <v>2600</v>
      </c>
    </row>
    <row r="363" spans="1:23" x14ac:dyDescent="0.25">
      <c r="A363" s="6"/>
      <c r="B363" s="7">
        <v>44300</v>
      </c>
      <c r="C363" s="8" t="s">
        <v>2592</v>
      </c>
      <c r="D363" s="8" t="s">
        <v>899</v>
      </c>
      <c r="E363" s="9" t="s">
        <v>490</v>
      </c>
      <c r="F363" s="9" t="s">
        <v>491</v>
      </c>
      <c r="G363" s="17">
        <v>0.49305555555555558</v>
      </c>
      <c r="H363" s="17">
        <v>0.57777777777777783</v>
      </c>
      <c r="I363" s="9">
        <v>17890</v>
      </c>
      <c r="J363" s="9">
        <v>43080</v>
      </c>
      <c r="K363" s="10">
        <f t="shared" si="16"/>
        <v>-25190</v>
      </c>
      <c r="L363" s="10">
        <v>17085</v>
      </c>
      <c r="M363" s="11" t="s">
        <v>166</v>
      </c>
      <c r="N363" s="12">
        <v>504</v>
      </c>
      <c r="O363" s="13" t="s">
        <v>54</v>
      </c>
      <c r="P363" s="14"/>
    </row>
    <row r="364" spans="1:23" x14ac:dyDescent="0.25">
      <c r="A364" s="6"/>
      <c r="B364" s="7">
        <v>44300</v>
      </c>
      <c r="C364" s="8" t="s">
        <v>1078</v>
      </c>
      <c r="D364" s="8" t="s">
        <v>1794</v>
      </c>
      <c r="E364" s="9" t="s">
        <v>628</v>
      </c>
      <c r="F364" s="9" t="s">
        <v>629</v>
      </c>
      <c r="G364" s="17">
        <v>0.5</v>
      </c>
      <c r="H364" s="17">
        <v>0.59097222222222223</v>
      </c>
      <c r="I364" s="9">
        <v>17480</v>
      </c>
      <c r="J364" s="9">
        <v>9660</v>
      </c>
      <c r="K364" s="10">
        <f t="shared" si="16"/>
        <v>7820</v>
      </c>
      <c r="L364" s="10">
        <v>23785</v>
      </c>
      <c r="M364" s="11" t="s">
        <v>2598</v>
      </c>
      <c r="N364" s="12">
        <v>6.6</v>
      </c>
      <c r="O364" s="13" t="s">
        <v>855</v>
      </c>
      <c r="P364" s="14"/>
    </row>
    <row r="365" spans="1:23" x14ac:dyDescent="0.25">
      <c r="A365" s="6"/>
      <c r="B365" s="7">
        <v>44300</v>
      </c>
      <c r="C365" s="8" t="s">
        <v>2019</v>
      </c>
      <c r="D365" s="8" t="s">
        <v>284</v>
      </c>
      <c r="E365" s="9" t="s">
        <v>177</v>
      </c>
      <c r="F365" s="9" t="s">
        <v>178</v>
      </c>
      <c r="G365" s="17">
        <v>0.52847222222222223</v>
      </c>
      <c r="H365" s="17">
        <v>0.59513888888888888</v>
      </c>
      <c r="I365" s="9">
        <v>17620</v>
      </c>
      <c r="J365" s="9">
        <v>16370</v>
      </c>
      <c r="K365" s="10">
        <f t="shared" si="16"/>
        <v>1250</v>
      </c>
      <c r="L365" s="10">
        <v>23786</v>
      </c>
      <c r="M365" s="11" t="s">
        <v>2599</v>
      </c>
      <c r="N365" s="12">
        <v>1250</v>
      </c>
      <c r="O365" s="13" t="s">
        <v>32</v>
      </c>
      <c r="P365" s="14" t="s">
        <v>992</v>
      </c>
    </row>
    <row r="366" spans="1:23" x14ac:dyDescent="0.25">
      <c r="A366" s="6"/>
      <c r="B366" s="7">
        <v>44300</v>
      </c>
      <c r="C366" s="8" t="s">
        <v>2592</v>
      </c>
      <c r="D366" s="8" t="s">
        <v>465</v>
      </c>
      <c r="E366" s="9" t="s">
        <v>748</v>
      </c>
      <c r="F366" s="9" t="s">
        <v>749</v>
      </c>
      <c r="G366" s="17">
        <v>0.53333333333333333</v>
      </c>
      <c r="H366" s="17">
        <v>0.57152777777777775</v>
      </c>
      <c r="I366" s="9">
        <v>43600</v>
      </c>
      <c r="J366" s="9">
        <v>18080</v>
      </c>
      <c r="K366" s="10">
        <f t="shared" si="16"/>
        <v>25520</v>
      </c>
      <c r="L366" s="10">
        <v>16028</v>
      </c>
      <c r="M366" s="11" t="s">
        <v>398</v>
      </c>
      <c r="N366" s="12">
        <v>504</v>
      </c>
      <c r="O366" s="13" t="s">
        <v>54</v>
      </c>
      <c r="P366" s="14"/>
    </row>
    <row r="367" spans="1:23" x14ac:dyDescent="0.25">
      <c r="A367" s="6"/>
      <c r="B367" s="7">
        <v>44300</v>
      </c>
      <c r="C367" s="8" t="s">
        <v>2601</v>
      </c>
      <c r="D367" s="8" t="s">
        <v>299</v>
      </c>
      <c r="E367" s="9" t="s">
        <v>813</v>
      </c>
      <c r="F367" s="9" t="s">
        <v>814</v>
      </c>
      <c r="G367" s="17">
        <v>0.59236111111111112</v>
      </c>
      <c r="H367" s="17">
        <v>0.71597222222222223</v>
      </c>
      <c r="I367" s="9">
        <v>15090</v>
      </c>
      <c r="J367" s="9">
        <v>45210</v>
      </c>
      <c r="K367" s="10">
        <f t="shared" si="16"/>
        <v>-30120</v>
      </c>
      <c r="L367" s="10">
        <v>5955</v>
      </c>
      <c r="M367" s="11" t="s">
        <v>53</v>
      </c>
      <c r="N367" s="12">
        <v>600</v>
      </c>
      <c r="O367" s="13" t="s">
        <v>54</v>
      </c>
      <c r="P367" s="14"/>
    </row>
    <row r="368" spans="1:23" x14ac:dyDescent="0.25">
      <c r="A368" s="6"/>
      <c r="B368" s="7">
        <v>44300</v>
      </c>
      <c r="C368" s="8" t="s">
        <v>2601</v>
      </c>
      <c r="D368" s="8" t="s">
        <v>1355</v>
      </c>
      <c r="E368" s="9" t="s">
        <v>1048</v>
      </c>
      <c r="F368" s="9" t="s">
        <v>526</v>
      </c>
      <c r="G368" s="17">
        <v>0.59375</v>
      </c>
      <c r="H368" s="17">
        <v>0.66180555555555554</v>
      </c>
      <c r="I368" s="9">
        <v>17280</v>
      </c>
      <c r="J368" s="9">
        <v>52480</v>
      </c>
      <c r="K368" s="10">
        <f t="shared" si="16"/>
        <v>-35200</v>
      </c>
      <c r="L368" s="10">
        <v>5953</v>
      </c>
      <c r="M368" s="11" t="s">
        <v>53</v>
      </c>
      <c r="N368" s="12">
        <v>700</v>
      </c>
      <c r="O368" s="13" t="s">
        <v>54</v>
      </c>
      <c r="P368" s="14"/>
    </row>
    <row r="369" spans="1:16" x14ac:dyDescent="0.25">
      <c r="A369" s="6"/>
      <c r="B369" s="7">
        <v>44300</v>
      </c>
      <c r="C369" s="8" t="s">
        <v>2601</v>
      </c>
      <c r="D369" s="8" t="s">
        <v>284</v>
      </c>
      <c r="E369" s="9" t="s">
        <v>177</v>
      </c>
      <c r="F369" s="9" t="s">
        <v>178</v>
      </c>
      <c r="G369" s="17">
        <v>0.62152777777777779</v>
      </c>
      <c r="H369" s="17">
        <v>0.71736111111111101</v>
      </c>
      <c r="I369" s="9">
        <v>15770</v>
      </c>
      <c r="J369" s="9">
        <v>50880</v>
      </c>
      <c r="K369" s="10">
        <f t="shared" si="16"/>
        <v>-35110</v>
      </c>
      <c r="L369" s="10">
        <v>5956</v>
      </c>
      <c r="M369" s="11" t="s">
        <v>53</v>
      </c>
      <c r="N369" s="12">
        <v>700</v>
      </c>
      <c r="O369" s="13" t="s">
        <v>54</v>
      </c>
      <c r="P369" s="14"/>
    </row>
    <row r="370" spans="1:16" x14ac:dyDescent="0.25">
      <c r="A370" s="6"/>
      <c r="B370" s="7">
        <v>44300</v>
      </c>
      <c r="C370" s="8" t="s">
        <v>1083</v>
      </c>
      <c r="D370" s="8" t="s">
        <v>1084</v>
      </c>
      <c r="E370" s="9" t="s">
        <v>502</v>
      </c>
      <c r="F370" s="9" t="s">
        <v>503</v>
      </c>
      <c r="G370" s="17">
        <v>0.65833333333333333</v>
      </c>
      <c r="H370" s="17">
        <v>0.68333333333333324</v>
      </c>
      <c r="I370" s="9">
        <v>5690</v>
      </c>
      <c r="J370" s="9">
        <v>5330</v>
      </c>
      <c r="K370" s="10">
        <f t="shared" si="16"/>
        <v>360</v>
      </c>
      <c r="L370" s="10">
        <v>20206</v>
      </c>
      <c r="M370" s="11" t="s">
        <v>1873</v>
      </c>
      <c r="N370" s="12">
        <v>360</v>
      </c>
      <c r="O370" s="13" t="s">
        <v>32</v>
      </c>
      <c r="P370" s="14" t="s">
        <v>883</v>
      </c>
    </row>
    <row r="371" spans="1:16" x14ac:dyDescent="0.25">
      <c r="A371" s="6"/>
      <c r="B371" s="7">
        <v>44300</v>
      </c>
      <c r="C371" s="8" t="s">
        <v>2602</v>
      </c>
      <c r="D371" s="8" t="s">
        <v>2603</v>
      </c>
      <c r="E371" s="9" t="s">
        <v>1247</v>
      </c>
      <c r="F371" s="9" t="s">
        <v>338</v>
      </c>
      <c r="G371" s="17">
        <v>0.66041666666666665</v>
      </c>
      <c r="H371" s="17">
        <v>0.79305555555555562</v>
      </c>
      <c r="I371" s="9">
        <v>18620</v>
      </c>
      <c r="J371" s="9">
        <v>48670</v>
      </c>
      <c r="K371" s="10">
        <f t="shared" si="16"/>
        <v>-30050</v>
      </c>
      <c r="L371" s="10">
        <v>5957</v>
      </c>
      <c r="M371" s="11" t="s">
        <v>2604</v>
      </c>
      <c r="N371" s="12">
        <v>600</v>
      </c>
      <c r="O371" s="13" t="s">
        <v>54</v>
      </c>
      <c r="P371" s="14"/>
    </row>
    <row r="372" spans="1:16" x14ac:dyDescent="0.25">
      <c r="A372" s="6"/>
      <c r="B372" s="7">
        <v>44300</v>
      </c>
      <c r="C372" s="8" t="s">
        <v>1065</v>
      </c>
      <c r="D372" s="8" t="s">
        <v>1794</v>
      </c>
      <c r="E372" s="9" t="s">
        <v>628</v>
      </c>
      <c r="F372" s="9" t="s">
        <v>629</v>
      </c>
      <c r="G372" s="17">
        <v>0.68541666666666667</v>
      </c>
      <c r="H372" s="17">
        <v>0.69166666666666676</v>
      </c>
      <c r="I372" s="9">
        <v>10610</v>
      </c>
      <c r="J372" s="9">
        <v>9650</v>
      </c>
      <c r="K372" s="10">
        <f t="shared" si="16"/>
        <v>960</v>
      </c>
      <c r="L372" s="10">
        <v>23787</v>
      </c>
      <c r="M372" s="11" t="s">
        <v>1515</v>
      </c>
      <c r="N372" s="12">
        <v>960</v>
      </c>
      <c r="O372" s="13" t="s">
        <v>32</v>
      </c>
      <c r="P372" s="14" t="s">
        <v>883</v>
      </c>
    </row>
    <row r="373" spans="1:16" x14ac:dyDescent="0.25">
      <c r="A373" s="6"/>
      <c r="B373" s="7">
        <v>44300</v>
      </c>
      <c r="C373" s="8" t="s">
        <v>1290</v>
      </c>
      <c r="D373" s="8" t="s">
        <v>928</v>
      </c>
      <c r="E373" s="9" t="s">
        <v>947</v>
      </c>
      <c r="F373" s="9" t="s">
        <v>948</v>
      </c>
      <c r="G373" s="17">
        <v>0.6875</v>
      </c>
      <c r="H373" s="17">
        <v>0.69305555555555554</v>
      </c>
      <c r="I373" s="9">
        <v>8030</v>
      </c>
      <c r="J373" s="9">
        <v>7420</v>
      </c>
      <c r="K373" s="10">
        <f t="shared" si="16"/>
        <v>610</v>
      </c>
      <c r="L373" s="10">
        <v>23788</v>
      </c>
      <c r="M373" s="11" t="s">
        <v>1515</v>
      </c>
      <c r="N373" s="12">
        <v>610</v>
      </c>
      <c r="O373" s="13" t="s">
        <v>32</v>
      </c>
      <c r="P373" s="14" t="s">
        <v>883</v>
      </c>
    </row>
    <row r="374" spans="1:16" x14ac:dyDescent="0.25">
      <c r="A374" s="6"/>
      <c r="B374" s="7">
        <v>44300</v>
      </c>
      <c r="C374" s="8" t="s">
        <v>2592</v>
      </c>
      <c r="D374" s="8" t="s">
        <v>899</v>
      </c>
      <c r="E374" s="9" t="s">
        <v>490</v>
      </c>
      <c r="F374" s="9" t="s">
        <v>491</v>
      </c>
      <c r="G374" s="17">
        <v>0.68888888888888899</v>
      </c>
      <c r="H374" s="17">
        <v>0.7270833333333333</v>
      </c>
      <c r="I374" s="9">
        <v>42980</v>
      </c>
      <c r="J374" s="9">
        <v>17710</v>
      </c>
      <c r="K374" s="10">
        <f t="shared" si="16"/>
        <v>25270</v>
      </c>
      <c r="L374" s="10">
        <v>16029</v>
      </c>
      <c r="M374" s="11" t="s">
        <v>398</v>
      </c>
      <c r="N374" s="12">
        <v>504</v>
      </c>
      <c r="O374" s="13" t="s">
        <v>54</v>
      </c>
      <c r="P374" s="14"/>
    </row>
    <row r="375" spans="1:16" x14ac:dyDescent="0.25">
      <c r="A375" s="6"/>
      <c r="B375" s="7">
        <v>44300</v>
      </c>
      <c r="C375" s="8" t="s">
        <v>2605</v>
      </c>
      <c r="D375" s="8" t="s">
        <v>1794</v>
      </c>
      <c r="E375" s="9" t="s">
        <v>628</v>
      </c>
      <c r="F375" s="9" t="s">
        <v>629</v>
      </c>
      <c r="G375" s="17">
        <v>0.75138888888888899</v>
      </c>
      <c r="H375" s="17">
        <v>0.7597222222222223</v>
      </c>
      <c r="I375" s="9">
        <v>10510</v>
      </c>
      <c r="J375" s="9">
        <v>9650</v>
      </c>
      <c r="K375" s="10">
        <f t="shared" si="16"/>
        <v>860</v>
      </c>
      <c r="L375" s="10">
        <v>23789</v>
      </c>
      <c r="M375" s="11" t="s">
        <v>1515</v>
      </c>
      <c r="N375" s="12">
        <v>860</v>
      </c>
      <c r="O375" s="13" t="s">
        <v>32</v>
      </c>
      <c r="P375" s="14" t="s">
        <v>883</v>
      </c>
    </row>
    <row r="376" spans="1:16" x14ac:dyDescent="0.25">
      <c r="A376" s="6"/>
      <c r="B376" s="7">
        <v>44300</v>
      </c>
      <c r="C376" s="8" t="s">
        <v>208</v>
      </c>
      <c r="D376" s="8" t="s">
        <v>1850</v>
      </c>
      <c r="E376" s="9" t="s">
        <v>144</v>
      </c>
      <c r="F376" s="9" t="s">
        <v>626</v>
      </c>
      <c r="G376" s="17">
        <v>0.78333333333333333</v>
      </c>
      <c r="H376" s="17">
        <v>0.39930555555555558</v>
      </c>
      <c r="I376" s="9">
        <v>42720</v>
      </c>
      <c r="J376" s="9">
        <v>17110</v>
      </c>
      <c r="K376" s="10">
        <f t="shared" si="16"/>
        <v>25610</v>
      </c>
      <c r="L376" s="10">
        <v>41724</v>
      </c>
      <c r="M376" s="11" t="s">
        <v>1626</v>
      </c>
      <c r="N376" s="12">
        <v>25640</v>
      </c>
      <c r="O376" s="13" t="s">
        <v>32</v>
      </c>
      <c r="P376" s="14"/>
    </row>
    <row r="377" spans="1:16" x14ac:dyDescent="0.25">
      <c r="A377" s="6"/>
      <c r="B377" s="7">
        <v>44300</v>
      </c>
      <c r="C377" s="8" t="s">
        <v>1996</v>
      </c>
      <c r="D377" s="8" t="s">
        <v>1794</v>
      </c>
      <c r="E377" s="9" t="s">
        <v>628</v>
      </c>
      <c r="F377" s="9" t="s">
        <v>628</v>
      </c>
      <c r="G377" s="17">
        <v>0.79513888888888884</v>
      </c>
      <c r="H377" s="17">
        <v>0.8027777777777777</v>
      </c>
      <c r="I377" s="9">
        <v>11430</v>
      </c>
      <c r="J377" s="9">
        <v>9650</v>
      </c>
      <c r="K377" s="10">
        <f t="shared" si="16"/>
        <v>1780</v>
      </c>
      <c r="L377" s="10">
        <v>23790</v>
      </c>
      <c r="M377" s="11" t="s">
        <v>2606</v>
      </c>
      <c r="N377" s="12">
        <v>1.8</v>
      </c>
      <c r="O377" s="13" t="s">
        <v>855</v>
      </c>
      <c r="P377" s="14"/>
    </row>
    <row r="378" spans="1:16" x14ac:dyDescent="0.25">
      <c r="A378" s="6"/>
      <c r="B378" s="7">
        <v>44300</v>
      </c>
      <c r="C378" s="8" t="s">
        <v>1726</v>
      </c>
      <c r="D378" s="8" t="s">
        <v>1853</v>
      </c>
      <c r="E378" s="9" t="s">
        <v>1206</v>
      </c>
      <c r="F378" s="9" t="s">
        <v>338</v>
      </c>
      <c r="G378" s="17">
        <v>0.87708333333333333</v>
      </c>
      <c r="H378" s="17">
        <v>0.89722222222222225</v>
      </c>
      <c r="I378" s="9">
        <v>14610</v>
      </c>
      <c r="J378" s="9">
        <v>6670</v>
      </c>
      <c r="K378" s="10">
        <f t="shared" si="16"/>
        <v>7940</v>
      </c>
      <c r="L378" s="10">
        <v>26831</v>
      </c>
      <c r="M378" s="11" t="s">
        <v>1461</v>
      </c>
      <c r="N378" s="12">
        <v>7940</v>
      </c>
      <c r="O378" s="13" t="s">
        <v>32</v>
      </c>
      <c r="P378" s="14"/>
    </row>
    <row r="379" spans="1:16" x14ac:dyDescent="0.25">
      <c r="A379" s="6"/>
      <c r="B379" s="7">
        <v>44301</v>
      </c>
      <c r="C379" s="8" t="s">
        <v>133</v>
      </c>
      <c r="D379" s="8" t="s">
        <v>2419</v>
      </c>
      <c r="E379" s="95" t="s">
        <v>220</v>
      </c>
      <c r="F379" s="9" t="s">
        <v>924</v>
      </c>
      <c r="G379" s="17">
        <v>2.7083333333333334E-2</v>
      </c>
      <c r="H379" s="17">
        <v>0.18819444444444444</v>
      </c>
      <c r="I379" s="9">
        <v>22090</v>
      </c>
      <c r="J379" s="9">
        <v>9260</v>
      </c>
      <c r="K379" s="10">
        <f t="shared" si="16"/>
        <v>12830</v>
      </c>
      <c r="L379" s="10" t="s">
        <v>2607</v>
      </c>
      <c r="M379" s="11" t="s">
        <v>2421</v>
      </c>
      <c r="N379" s="12">
        <v>12875</v>
      </c>
      <c r="O379" s="13" t="s">
        <v>32</v>
      </c>
      <c r="P379" s="14"/>
    </row>
    <row r="380" spans="1:16" x14ac:dyDescent="0.25">
      <c r="A380" s="6"/>
      <c r="B380" s="7">
        <v>44301</v>
      </c>
      <c r="C380" s="8" t="s">
        <v>204</v>
      </c>
      <c r="D380" s="8" t="s">
        <v>122</v>
      </c>
      <c r="E380" s="9" t="s">
        <v>2573</v>
      </c>
      <c r="F380" s="9" t="s">
        <v>154</v>
      </c>
      <c r="G380" s="17">
        <v>2.9166666666666664E-2</v>
      </c>
      <c r="H380" s="17">
        <v>8.3333333333333329E-2</v>
      </c>
      <c r="I380" s="9">
        <v>19570</v>
      </c>
      <c r="J380" s="9">
        <v>6260</v>
      </c>
      <c r="K380" s="10">
        <f t="shared" si="16"/>
        <v>13310</v>
      </c>
      <c r="L380" s="10">
        <v>26832</v>
      </c>
      <c r="M380" s="11" t="s">
        <v>838</v>
      </c>
      <c r="N380" s="12">
        <v>13310</v>
      </c>
      <c r="O380" s="13" t="s">
        <v>32</v>
      </c>
      <c r="P380" s="14"/>
    </row>
    <row r="381" spans="1:16" x14ac:dyDescent="0.25">
      <c r="A381" s="6"/>
      <c r="B381" s="7">
        <v>44301</v>
      </c>
      <c r="C381" s="8" t="s">
        <v>871</v>
      </c>
      <c r="D381" s="8" t="s">
        <v>86</v>
      </c>
      <c r="E381" s="9" t="s">
        <v>87</v>
      </c>
      <c r="F381" s="9" t="s">
        <v>88</v>
      </c>
      <c r="G381" s="17">
        <v>0.10625</v>
      </c>
      <c r="H381" s="17">
        <v>0.11597222222222221</v>
      </c>
      <c r="I381" s="9">
        <v>35120</v>
      </c>
      <c r="J381" s="9">
        <v>17220</v>
      </c>
      <c r="K381" s="10">
        <f t="shared" si="16"/>
        <v>17900</v>
      </c>
      <c r="L381" s="10" t="s">
        <v>2608</v>
      </c>
      <c r="M381" s="11" t="s">
        <v>684</v>
      </c>
      <c r="N381" s="12">
        <v>18557</v>
      </c>
      <c r="O381" s="13" t="s">
        <v>32</v>
      </c>
      <c r="P381" s="14"/>
    </row>
    <row r="382" spans="1:16" x14ac:dyDescent="0.25">
      <c r="A382" s="6"/>
      <c r="B382" s="7">
        <v>44301</v>
      </c>
      <c r="C382" s="8" t="s">
        <v>2609</v>
      </c>
      <c r="D382" s="8" t="s">
        <v>2569</v>
      </c>
      <c r="E382" s="9" t="s">
        <v>1823</v>
      </c>
      <c r="F382" s="9" t="s">
        <v>154</v>
      </c>
      <c r="G382" s="17">
        <v>0.20069444444444443</v>
      </c>
      <c r="H382" s="17">
        <v>0.23680555555555557</v>
      </c>
      <c r="I382" s="9">
        <v>8190</v>
      </c>
      <c r="J382" s="9">
        <v>4540</v>
      </c>
      <c r="K382" s="10">
        <f t="shared" si="16"/>
        <v>3650</v>
      </c>
      <c r="L382" s="10">
        <v>26833</v>
      </c>
      <c r="M382" s="11" t="s">
        <v>1339</v>
      </c>
      <c r="N382" s="12">
        <v>3650</v>
      </c>
      <c r="O382" s="13" t="s">
        <v>32</v>
      </c>
      <c r="P382" s="14"/>
    </row>
    <row r="383" spans="1:16" x14ac:dyDescent="0.25">
      <c r="A383" s="6"/>
      <c r="B383" s="7">
        <v>44301</v>
      </c>
      <c r="C383" s="43" t="s">
        <v>1630</v>
      </c>
      <c r="D383" s="43" t="s">
        <v>602</v>
      </c>
      <c r="E383" s="44" t="s">
        <v>1632</v>
      </c>
      <c r="F383" s="44" t="s">
        <v>266</v>
      </c>
      <c r="G383" s="17">
        <v>0.27777777777777779</v>
      </c>
      <c r="H383" s="17">
        <v>0.28055555555555556</v>
      </c>
      <c r="I383" s="9">
        <v>6040</v>
      </c>
      <c r="J383" s="9">
        <v>5490</v>
      </c>
      <c r="K383" s="10">
        <f t="shared" si="16"/>
        <v>550</v>
      </c>
      <c r="L383" s="10" t="s">
        <v>2607</v>
      </c>
      <c r="M383" s="47" t="s">
        <v>2610</v>
      </c>
      <c r="N383" s="12">
        <v>550</v>
      </c>
      <c r="O383" s="13" t="s">
        <v>32</v>
      </c>
      <c r="P383" s="14"/>
    </row>
    <row r="384" spans="1:16" x14ac:dyDescent="0.25">
      <c r="A384" s="6"/>
      <c r="B384" s="7">
        <v>44301</v>
      </c>
      <c r="C384" s="43" t="s">
        <v>1630</v>
      </c>
      <c r="D384" s="43" t="s">
        <v>602</v>
      </c>
      <c r="E384" s="44" t="s">
        <v>1632</v>
      </c>
      <c r="F384" s="44" t="s">
        <v>266</v>
      </c>
      <c r="G384" s="17">
        <v>0.33958333333333335</v>
      </c>
      <c r="H384" s="17">
        <v>0.34375</v>
      </c>
      <c r="I384" s="9">
        <v>5700</v>
      </c>
      <c r="J384" s="9">
        <v>5480</v>
      </c>
      <c r="K384" s="10">
        <f t="shared" si="16"/>
        <v>220</v>
      </c>
      <c r="L384" s="10" t="s">
        <v>2607</v>
      </c>
      <c r="M384" s="47" t="s">
        <v>2610</v>
      </c>
      <c r="N384" s="12">
        <v>220</v>
      </c>
      <c r="O384" s="13" t="s">
        <v>32</v>
      </c>
      <c r="P384" s="14"/>
    </row>
    <row r="385" spans="1:17" x14ac:dyDescent="0.25">
      <c r="A385" s="6"/>
      <c r="B385" s="15">
        <v>44301</v>
      </c>
      <c r="C385" s="8" t="s">
        <v>55</v>
      </c>
      <c r="D385" s="8" t="s">
        <v>853</v>
      </c>
      <c r="E385" s="9" t="s">
        <v>51</v>
      </c>
      <c r="F385" s="9" t="s">
        <v>52</v>
      </c>
      <c r="G385" s="17">
        <v>0.37152777777777773</v>
      </c>
      <c r="H385" s="17">
        <v>0.41666666666666669</v>
      </c>
      <c r="I385" s="9">
        <v>18040</v>
      </c>
      <c r="J385" s="9">
        <v>15540</v>
      </c>
      <c r="K385" s="10">
        <f t="shared" si="16"/>
        <v>2500</v>
      </c>
      <c r="L385" s="10">
        <v>2162</v>
      </c>
      <c r="M385" s="11" t="s">
        <v>2611</v>
      </c>
      <c r="N385" s="12">
        <v>40</v>
      </c>
      <c r="O385" s="13" t="s">
        <v>80</v>
      </c>
      <c r="P385" s="14"/>
    </row>
    <row r="386" spans="1:17" x14ac:dyDescent="0.25">
      <c r="A386" s="6"/>
      <c r="B386" s="7">
        <v>44301</v>
      </c>
      <c r="C386" s="8" t="s">
        <v>973</v>
      </c>
      <c r="D386" s="8" t="s">
        <v>928</v>
      </c>
      <c r="E386" s="9" t="s">
        <v>947</v>
      </c>
      <c r="F386" s="9" t="s">
        <v>948</v>
      </c>
      <c r="G386" s="17">
        <v>0.3833333333333333</v>
      </c>
      <c r="H386" s="17">
        <v>0.4069444444444445</v>
      </c>
      <c r="I386" s="9">
        <v>10300</v>
      </c>
      <c r="J386" s="9">
        <v>7430</v>
      </c>
      <c r="K386" s="10">
        <f t="shared" si="16"/>
        <v>2870</v>
      </c>
      <c r="L386" s="10">
        <v>23791</v>
      </c>
      <c r="M386" s="11" t="s">
        <v>2612</v>
      </c>
      <c r="N386" s="12">
        <v>2.88</v>
      </c>
      <c r="O386" s="13" t="s">
        <v>855</v>
      </c>
      <c r="P386" s="14"/>
    </row>
    <row r="387" spans="1:17" x14ac:dyDescent="0.25">
      <c r="A387" s="6"/>
      <c r="B387" s="7">
        <v>44301</v>
      </c>
      <c r="C387" s="8" t="s">
        <v>2246</v>
      </c>
      <c r="D387" s="8" t="s">
        <v>1794</v>
      </c>
      <c r="E387" s="9" t="s">
        <v>628</v>
      </c>
      <c r="F387" s="9" t="s">
        <v>628</v>
      </c>
      <c r="G387" s="17">
        <v>0.42569444444444443</v>
      </c>
      <c r="H387" s="17">
        <v>0.45277777777777778</v>
      </c>
      <c r="I387" s="9">
        <v>12230</v>
      </c>
      <c r="J387" s="9">
        <v>9640</v>
      </c>
      <c r="K387" s="10">
        <f t="shared" si="16"/>
        <v>2590</v>
      </c>
      <c r="L387" s="10">
        <v>23792</v>
      </c>
      <c r="M387" s="11" t="s">
        <v>1490</v>
      </c>
      <c r="N387" s="12">
        <v>2.2000000000000002</v>
      </c>
      <c r="O387" s="13" t="s">
        <v>855</v>
      </c>
      <c r="P387" s="14"/>
    </row>
    <row r="388" spans="1:17" x14ac:dyDescent="0.25">
      <c r="A388" s="6"/>
      <c r="B388" s="7">
        <v>44301</v>
      </c>
      <c r="C388" s="8" t="s">
        <v>522</v>
      </c>
      <c r="D388" s="8" t="s">
        <v>1599</v>
      </c>
      <c r="E388" s="9" t="s">
        <v>2137</v>
      </c>
      <c r="F388" s="9" t="s">
        <v>154</v>
      </c>
      <c r="G388" s="17">
        <v>0.4694444444444445</v>
      </c>
      <c r="H388" s="17">
        <v>0.51944444444444449</v>
      </c>
      <c r="I388" s="9">
        <v>16450</v>
      </c>
      <c r="J388" s="9">
        <v>20310</v>
      </c>
      <c r="K388" s="10">
        <f t="shared" si="16"/>
        <v>-3860</v>
      </c>
      <c r="L388" s="10">
        <v>17087</v>
      </c>
      <c r="M388" s="11" t="s">
        <v>2613</v>
      </c>
      <c r="N388" s="12">
        <v>60</v>
      </c>
      <c r="O388" s="13" t="s">
        <v>96</v>
      </c>
      <c r="P388" s="14"/>
    </row>
    <row r="389" spans="1:17" x14ac:dyDescent="0.25">
      <c r="A389" s="6"/>
      <c r="B389" s="7">
        <v>44301</v>
      </c>
      <c r="C389" s="8" t="s">
        <v>1711</v>
      </c>
      <c r="D389" s="8" t="s">
        <v>198</v>
      </c>
      <c r="E389" s="9" t="s">
        <v>87</v>
      </c>
      <c r="F389" s="9" t="s">
        <v>88</v>
      </c>
      <c r="G389" s="17">
        <v>0.54027777777777775</v>
      </c>
      <c r="H389" s="17">
        <v>0.55347222222222225</v>
      </c>
      <c r="I389" s="9">
        <v>29390</v>
      </c>
      <c r="J389" s="9">
        <v>17190</v>
      </c>
      <c r="K389" s="10">
        <f t="shared" si="16"/>
        <v>12200</v>
      </c>
      <c r="L389" s="10">
        <v>23793</v>
      </c>
      <c r="M389" s="11" t="s">
        <v>2614</v>
      </c>
      <c r="N389" s="12">
        <v>10.44</v>
      </c>
      <c r="O389" s="28" t="s">
        <v>855</v>
      </c>
      <c r="P389" s="14"/>
    </row>
    <row r="390" spans="1:17" x14ac:dyDescent="0.25">
      <c r="A390" s="6"/>
      <c r="B390" s="7">
        <v>44301</v>
      </c>
      <c r="C390" s="8" t="s">
        <v>1403</v>
      </c>
      <c r="D390" s="8" t="s">
        <v>1794</v>
      </c>
      <c r="E390" s="9" t="s">
        <v>628</v>
      </c>
      <c r="F390" s="9" t="s">
        <v>628</v>
      </c>
      <c r="G390" s="17">
        <v>0.56597222222222221</v>
      </c>
      <c r="H390" s="17">
        <v>0.59930555555555554</v>
      </c>
      <c r="I390" s="9">
        <v>18630</v>
      </c>
      <c r="J390" s="9">
        <v>9620</v>
      </c>
      <c r="K390" s="10">
        <f t="shared" si="16"/>
        <v>9010</v>
      </c>
      <c r="L390" s="10">
        <v>23795</v>
      </c>
      <c r="M390" s="11" t="s">
        <v>1041</v>
      </c>
      <c r="N390" s="12">
        <v>8.4</v>
      </c>
      <c r="O390" s="13" t="s">
        <v>855</v>
      </c>
      <c r="P390" s="14"/>
    </row>
    <row r="391" spans="1:17" x14ac:dyDescent="0.25">
      <c r="A391" s="6"/>
      <c r="B391" s="7">
        <v>44301</v>
      </c>
      <c r="C391" s="8" t="s">
        <v>2616</v>
      </c>
      <c r="D391" s="8" t="s">
        <v>928</v>
      </c>
      <c r="E391" s="9" t="s">
        <v>947</v>
      </c>
      <c r="F391" s="9" t="s">
        <v>948</v>
      </c>
      <c r="G391" s="17">
        <v>0.57291666666666663</v>
      </c>
      <c r="H391" s="17">
        <v>0.59097222222222223</v>
      </c>
      <c r="I391" s="9">
        <v>10800</v>
      </c>
      <c r="J391" s="9">
        <v>7530</v>
      </c>
      <c r="K391" s="10">
        <f t="shared" si="16"/>
        <v>3270</v>
      </c>
      <c r="L391" s="10">
        <v>23796</v>
      </c>
      <c r="M391" s="11" t="s">
        <v>2617</v>
      </c>
      <c r="N391" s="12">
        <v>3270</v>
      </c>
      <c r="O391" s="13" t="s">
        <v>32</v>
      </c>
      <c r="P391" s="14" t="s">
        <v>1477</v>
      </c>
    </row>
    <row r="392" spans="1:17" x14ac:dyDescent="0.25">
      <c r="A392" s="6"/>
      <c r="B392" s="7">
        <v>44301</v>
      </c>
      <c r="C392" s="8" t="s">
        <v>984</v>
      </c>
      <c r="D392" s="8" t="s">
        <v>1850</v>
      </c>
      <c r="E392" s="9" t="s">
        <v>144</v>
      </c>
      <c r="F392" s="9" t="s">
        <v>626</v>
      </c>
      <c r="G392" s="17">
        <v>0.59791666666666665</v>
      </c>
      <c r="H392" s="17">
        <v>0.60833333333333328</v>
      </c>
      <c r="I392" s="9">
        <v>37030</v>
      </c>
      <c r="J392" s="9">
        <v>15520</v>
      </c>
      <c r="K392" s="10">
        <f t="shared" si="16"/>
        <v>21510</v>
      </c>
      <c r="L392" s="10">
        <v>23797</v>
      </c>
      <c r="M392" s="11" t="s">
        <v>2618</v>
      </c>
      <c r="N392" s="12">
        <f>10*2</f>
        <v>20</v>
      </c>
      <c r="O392" s="13" t="s">
        <v>855</v>
      </c>
      <c r="P392" s="14"/>
    </row>
    <row r="393" spans="1:17" x14ac:dyDescent="0.25">
      <c r="A393" s="6"/>
      <c r="B393" s="7">
        <v>44301</v>
      </c>
      <c r="C393" s="8" t="s">
        <v>984</v>
      </c>
      <c r="D393" s="8" t="s">
        <v>465</v>
      </c>
      <c r="E393" s="9" t="s">
        <v>748</v>
      </c>
      <c r="F393" s="9" t="s">
        <v>749</v>
      </c>
      <c r="G393" s="17">
        <v>0.6069444444444444</v>
      </c>
      <c r="H393" s="17">
        <v>0.61527777777777781</v>
      </c>
      <c r="I393" s="9">
        <v>37620</v>
      </c>
      <c r="J393" s="9">
        <v>16740</v>
      </c>
      <c r="K393" s="10">
        <f t="shared" si="16"/>
        <v>20880</v>
      </c>
      <c r="L393" s="10">
        <v>23797</v>
      </c>
      <c r="M393" s="11" t="s">
        <v>2618</v>
      </c>
      <c r="N393" s="12">
        <v>18</v>
      </c>
      <c r="O393" s="13" t="s">
        <v>855</v>
      </c>
      <c r="P393" s="14"/>
    </row>
    <row r="394" spans="1:17" x14ac:dyDescent="0.25">
      <c r="A394" s="6"/>
      <c r="B394" s="7">
        <v>44301</v>
      </c>
      <c r="C394" s="8" t="s">
        <v>984</v>
      </c>
      <c r="D394" s="8" t="s">
        <v>243</v>
      </c>
      <c r="E394" s="9" t="s">
        <v>440</v>
      </c>
      <c r="F394" s="9" t="s">
        <v>1276</v>
      </c>
      <c r="G394" s="17">
        <v>0.61041666666666672</v>
      </c>
      <c r="H394" s="17">
        <v>0.61736111111111114</v>
      </c>
      <c r="I394" s="9">
        <v>39540</v>
      </c>
      <c r="J394" s="9">
        <v>15360</v>
      </c>
      <c r="K394" s="10">
        <f t="shared" si="16"/>
        <v>24180</v>
      </c>
      <c r="L394" s="10">
        <v>23797</v>
      </c>
      <c r="M394" s="11" t="s">
        <v>2618</v>
      </c>
      <c r="N394" s="12">
        <v>20</v>
      </c>
      <c r="O394" s="13" t="s">
        <v>855</v>
      </c>
      <c r="P394" s="14"/>
    </row>
    <row r="395" spans="1:17" x14ac:dyDescent="0.25">
      <c r="A395" s="6"/>
      <c r="B395" s="7">
        <v>44301</v>
      </c>
      <c r="C395" s="8" t="s">
        <v>984</v>
      </c>
      <c r="D395" s="8" t="s">
        <v>853</v>
      </c>
      <c r="E395" s="9" t="s">
        <v>51</v>
      </c>
      <c r="F395" s="9" t="s">
        <v>52</v>
      </c>
      <c r="G395" s="17">
        <v>0.61319444444444449</v>
      </c>
      <c r="H395" s="17">
        <v>0.62152777777777779</v>
      </c>
      <c r="I395" s="9">
        <v>40330</v>
      </c>
      <c r="J395" s="9">
        <v>16090</v>
      </c>
      <c r="K395" s="10">
        <f t="shared" si="16"/>
        <v>24240</v>
      </c>
      <c r="L395" s="10">
        <v>23797</v>
      </c>
      <c r="M395" s="11" t="s">
        <v>2416</v>
      </c>
      <c r="N395" s="12">
        <v>20</v>
      </c>
      <c r="O395" s="13" t="s">
        <v>855</v>
      </c>
      <c r="P395" s="14"/>
    </row>
    <row r="396" spans="1:17" x14ac:dyDescent="0.25">
      <c r="A396" s="6"/>
      <c r="B396" s="7">
        <v>44301</v>
      </c>
      <c r="C396" s="8" t="s">
        <v>984</v>
      </c>
      <c r="D396" s="8" t="s">
        <v>899</v>
      </c>
      <c r="E396" s="9" t="s">
        <v>490</v>
      </c>
      <c r="F396" s="9" t="s">
        <v>491</v>
      </c>
      <c r="G396" s="17">
        <v>0.63541666666666663</v>
      </c>
      <c r="H396" s="17">
        <v>0.6479166666666667</v>
      </c>
      <c r="I396" s="9">
        <v>39550</v>
      </c>
      <c r="J396" s="9">
        <v>15820</v>
      </c>
      <c r="K396" s="10">
        <f t="shared" ref="K396:K460" si="17">+I396-J396</f>
        <v>23730</v>
      </c>
      <c r="L396" s="10">
        <v>23797</v>
      </c>
      <c r="M396" s="11" t="s">
        <v>2416</v>
      </c>
      <c r="N396" s="12">
        <f>9.75*2</f>
        <v>19.5</v>
      </c>
      <c r="O396" s="13" t="s">
        <v>855</v>
      </c>
      <c r="P396" s="14"/>
    </row>
    <row r="397" spans="1:17" x14ac:dyDescent="0.25">
      <c r="A397" s="6"/>
      <c r="B397" s="7">
        <v>44301</v>
      </c>
      <c r="C397" s="8" t="s">
        <v>2615</v>
      </c>
      <c r="D397" s="8" t="s">
        <v>928</v>
      </c>
      <c r="E397" s="9" t="s">
        <v>947</v>
      </c>
      <c r="F397" s="9" t="s">
        <v>948</v>
      </c>
      <c r="G397" s="17">
        <v>0.64236111111111105</v>
      </c>
      <c r="H397" s="17">
        <v>0.65555555555555556</v>
      </c>
      <c r="I397" s="9">
        <v>15130</v>
      </c>
      <c r="J397" s="9">
        <v>7530</v>
      </c>
      <c r="K397" s="10">
        <f t="shared" si="17"/>
        <v>7600</v>
      </c>
      <c r="L397" s="10">
        <v>23798</v>
      </c>
      <c r="M397" s="11" t="s">
        <v>2619</v>
      </c>
      <c r="N397" s="12">
        <v>7.2</v>
      </c>
      <c r="O397" s="13" t="s">
        <v>855</v>
      </c>
      <c r="P397" s="14"/>
      <c r="Q397" s="2"/>
    </row>
    <row r="398" spans="1:17" x14ac:dyDescent="0.25">
      <c r="A398" s="6"/>
      <c r="B398" s="7">
        <v>44301</v>
      </c>
      <c r="C398" s="8" t="s">
        <v>2602</v>
      </c>
      <c r="D398" s="8" t="s">
        <v>2603</v>
      </c>
      <c r="E398" s="9" t="s">
        <v>1247</v>
      </c>
      <c r="F398" s="9" t="s">
        <v>338</v>
      </c>
      <c r="G398" s="17">
        <v>0.65972222222222221</v>
      </c>
      <c r="H398" s="17">
        <v>0.68958333333333333</v>
      </c>
      <c r="I398" s="9">
        <v>18630</v>
      </c>
      <c r="J398" s="9">
        <v>48710</v>
      </c>
      <c r="K398" s="10">
        <f t="shared" si="17"/>
        <v>-30080</v>
      </c>
      <c r="L398" s="10">
        <v>5958</v>
      </c>
      <c r="M398" s="11" t="s">
        <v>2604</v>
      </c>
      <c r="N398" s="12">
        <v>600</v>
      </c>
      <c r="O398" s="13" t="s">
        <v>54</v>
      </c>
      <c r="P398" s="14"/>
    </row>
    <row r="399" spans="1:17" x14ac:dyDescent="0.25">
      <c r="A399" s="6"/>
      <c r="B399" s="7">
        <v>44301</v>
      </c>
      <c r="C399" s="8" t="s">
        <v>985</v>
      </c>
      <c r="D399" s="8" t="s">
        <v>1794</v>
      </c>
      <c r="E399" s="9" t="s">
        <v>628</v>
      </c>
      <c r="F399" s="9" t="s">
        <v>628</v>
      </c>
      <c r="G399" s="17">
        <v>0.66736111111111107</v>
      </c>
      <c r="H399" s="17">
        <v>0.69374999999999998</v>
      </c>
      <c r="I399" s="9">
        <v>20970</v>
      </c>
      <c r="J399" s="9">
        <v>9610</v>
      </c>
      <c r="K399" s="10">
        <f t="shared" si="17"/>
        <v>11360</v>
      </c>
      <c r="L399" s="10">
        <v>23799</v>
      </c>
      <c r="M399" s="11" t="s">
        <v>2618</v>
      </c>
      <c r="N399" s="12">
        <f>5*2</f>
        <v>10</v>
      </c>
      <c r="O399" s="13" t="s">
        <v>855</v>
      </c>
      <c r="P399" s="14"/>
    </row>
    <row r="400" spans="1:17" x14ac:dyDescent="0.25">
      <c r="A400" s="6"/>
      <c r="B400" s="7">
        <v>44301</v>
      </c>
      <c r="C400" s="8" t="s">
        <v>1083</v>
      </c>
      <c r="D400" s="8" t="s">
        <v>1084</v>
      </c>
      <c r="E400" s="9" t="s">
        <v>502</v>
      </c>
      <c r="F400" s="9" t="s">
        <v>503</v>
      </c>
      <c r="G400" s="17">
        <v>0.67847222222222225</v>
      </c>
      <c r="H400" s="17">
        <v>0.70208333333333339</v>
      </c>
      <c r="I400" s="9">
        <v>7570</v>
      </c>
      <c r="J400" s="9">
        <v>5630</v>
      </c>
      <c r="K400" s="10">
        <f t="shared" si="17"/>
        <v>1940</v>
      </c>
      <c r="L400" s="10">
        <v>20207</v>
      </c>
      <c r="M400" s="11" t="s">
        <v>1873</v>
      </c>
      <c r="N400" s="12">
        <v>1940</v>
      </c>
      <c r="O400" s="13" t="s">
        <v>32</v>
      </c>
      <c r="P400" s="14" t="s">
        <v>2475</v>
      </c>
    </row>
    <row r="401" spans="1:17" x14ac:dyDescent="0.25">
      <c r="A401" s="6"/>
      <c r="B401" s="7">
        <v>44301</v>
      </c>
      <c r="C401" s="8" t="s">
        <v>85</v>
      </c>
      <c r="D401" s="8" t="s">
        <v>853</v>
      </c>
      <c r="E401" s="9" t="s">
        <v>51</v>
      </c>
      <c r="F401" s="9" t="s">
        <v>52</v>
      </c>
      <c r="G401" s="17">
        <v>0.69444444444444453</v>
      </c>
      <c r="H401" s="17">
        <v>0.7368055555555556</v>
      </c>
      <c r="I401" s="9">
        <v>15750</v>
      </c>
      <c r="J401" s="9">
        <v>38520</v>
      </c>
      <c r="K401" s="10">
        <f t="shared" ref="K401" si="18">+I401-J401</f>
        <v>-22770</v>
      </c>
      <c r="L401" s="10">
        <v>5960</v>
      </c>
      <c r="M401" s="11" t="s">
        <v>1872</v>
      </c>
      <c r="N401" s="12">
        <v>21610</v>
      </c>
      <c r="O401" s="13" t="s">
        <v>32</v>
      </c>
      <c r="P401" s="14" t="s">
        <v>468</v>
      </c>
      <c r="Q401" s="2"/>
    </row>
    <row r="402" spans="1:17" x14ac:dyDescent="0.25">
      <c r="A402" s="6"/>
      <c r="B402" s="7">
        <v>44301</v>
      </c>
      <c r="C402" s="8" t="s">
        <v>985</v>
      </c>
      <c r="D402" s="8" t="s">
        <v>1850</v>
      </c>
      <c r="E402" s="9" t="s">
        <v>144</v>
      </c>
      <c r="F402" s="9" t="s">
        <v>626</v>
      </c>
      <c r="G402" s="17">
        <v>0.70833333333333337</v>
      </c>
      <c r="H402" s="17">
        <v>0.71458333333333324</v>
      </c>
      <c r="I402" s="9">
        <v>36670</v>
      </c>
      <c r="J402" s="9">
        <v>15510</v>
      </c>
      <c r="K402" s="10">
        <f t="shared" si="17"/>
        <v>21160</v>
      </c>
      <c r="L402" s="10">
        <v>23799</v>
      </c>
      <c r="M402" s="11" t="s">
        <v>2182</v>
      </c>
      <c r="N402" s="12">
        <v>19.8</v>
      </c>
      <c r="O402" s="13" t="s">
        <v>855</v>
      </c>
      <c r="P402" s="14"/>
    </row>
    <row r="403" spans="1:17" x14ac:dyDescent="0.25">
      <c r="A403" s="6"/>
      <c r="B403" s="7">
        <v>44301</v>
      </c>
      <c r="C403" s="8" t="s">
        <v>985</v>
      </c>
      <c r="D403" s="8" t="s">
        <v>284</v>
      </c>
      <c r="E403" s="9" t="s">
        <v>177</v>
      </c>
      <c r="F403" s="9" t="s">
        <v>178</v>
      </c>
      <c r="G403" s="17">
        <v>0.72013888888888899</v>
      </c>
      <c r="H403" s="17">
        <v>0.73541666666666661</v>
      </c>
      <c r="I403" s="9">
        <v>40180</v>
      </c>
      <c r="J403" s="9">
        <v>17060</v>
      </c>
      <c r="K403" s="10">
        <f t="shared" si="17"/>
        <v>23120</v>
      </c>
      <c r="L403" s="10">
        <v>23799</v>
      </c>
      <c r="M403" s="11" t="s">
        <v>2620</v>
      </c>
      <c r="N403" s="12">
        <v>22</v>
      </c>
      <c r="O403" s="13" t="s">
        <v>855</v>
      </c>
      <c r="P403" s="14"/>
      <c r="Q403" s="2"/>
    </row>
    <row r="404" spans="1:17" x14ac:dyDescent="0.25">
      <c r="A404" s="6"/>
      <c r="B404" s="7">
        <v>44301</v>
      </c>
      <c r="C404" s="8" t="s">
        <v>985</v>
      </c>
      <c r="D404" s="8" t="s">
        <v>465</v>
      </c>
      <c r="E404" s="9" t="s">
        <v>748</v>
      </c>
      <c r="F404" s="9" t="s">
        <v>749</v>
      </c>
      <c r="G404" s="17">
        <v>0.74097222222222225</v>
      </c>
      <c r="H404" s="17">
        <v>0.75138888888888899</v>
      </c>
      <c r="I404" s="9">
        <v>38600</v>
      </c>
      <c r="J404" s="9">
        <v>16720</v>
      </c>
      <c r="K404" s="10">
        <f t="shared" si="17"/>
        <v>21880</v>
      </c>
      <c r="L404" s="10">
        <v>23799</v>
      </c>
      <c r="M404" s="11" t="s">
        <v>2621</v>
      </c>
      <c r="N404" s="12">
        <v>19.8</v>
      </c>
      <c r="O404" s="13" t="s">
        <v>855</v>
      </c>
      <c r="P404" s="14"/>
    </row>
    <row r="405" spans="1:17" x14ac:dyDescent="0.25">
      <c r="A405" s="6"/>
      <c r="B405" s="7">
        <v>44301</v>
      </c>
      <c r="C405" s="8" t="s">
        <v>55</v>
      </c>
      <c r="D405" s="8" t="s">
        <v>465</v>
      </c>
      <c r="E405" s="9" t="s">
        <v>748</v>
      </c>
      <c r="F405" s="9" t="s">
        <v>749</v>
      </c>
      <c r="G405" s="17">
        <v>0.76250000000000007</v>
      </c>
      <c r="H405" s="17">
        <v>0.78819444444444453</v>
      </c>
      <c r="I405" s="9">
        <v>16990</v>
      </c>
      <c r="J405" s="9">
        <v>40380</v>
      </c>
      <c r="K405" s="10">
        <f t="shared" si="17"/>
        <v>-23390</v>
      </c>
      <c r="L405" s="10">
        <v>5959</v>
      </c>
      <c r="M405" s="11" t="s">
        <v>1872</v>
      </c>
      <c r="N405" s="12">
        <v>22230</v>
      </c>
      <c r="O405" s="13" t="s">
        <v>32</v>
      </c>
      <c r="P405" s="14" t="s">
        <v>468</v>
      </c>
    </row>
    <row r="406" spans="1:17" x14ac:dyDescent="0.25">
      <c r="A406" s="6"/>
      <c r="B406" s="7">
        <v>44301</v>
      </c>
      <c r="C406" s="8" t="s">
        <v>2622</v>
      </c>
      <c r="D406" s="8" t="s">
        <v>243</v>
      </c>
      <c r="E406" s="9" t="s">
        <v>440</v>
      </c>
      <c r="F406" s="9" t="s">
        <v>1276</v>
      </c>
      <c r="G406" s="17">
        <v>0.7680555555555556</v>
      </c>
      <c r="H406" s="17">
        <v>0.78263888888888899</v>
      </c>
      <c r="I406" s="9">
        <v>37210</v>
      </c>
      <c r="J406" s="9">
        <v>15330</v>
      </c>
      <c r="K406" s="10">
        <f t="shared" si="17"/>
        <v>21880</v>
      </c>
      <c r="L406" s="10" t="s">
        <v>2623</v>
      </c>
      <c r="M406" s="11" t="s">
        <v>2620</v>
      </c>
      <c r="N406" s="12">
        <v>19.8</v>
      </c>
      <c r="O406" s="13" t="s">
        <v>855</v>
      </c>
      <c r="P406" s="14"/>
    </row>
    <row r="407" spans="1:17" x14ac:dyDescent="0.25">
      <c r="A407" s="6"/>
      <c r="B407" s="7">
        <v>44301</v>
      </c>
      <c r="C407" s="8" t="s">
        <v>2233</v>
      </c>
      <c r="D407" s="8" t="s">
        <v>174</v>
      </c>
      <c r="E407" s="9" t="s">
        <v>2624</v>
      </c>
      <c r="F407" s="9" t="s">
        <v>2625</v>
      </c>
      <c r="G407" s="17">
        <v>0.77500000000000002</v>
      </c>
      <c r="H407" s="17">
        <v>0.79513888888888884</v>
      </c>
      <c r="I407" s="9">
        <v>9210</v>
      </c>
      <c r="J407" s="9">
        <v>7900</v>
      </c>
      <c r="K407" s="10">
        <f t="shared" si="17"/>
        <v>1310</v>
      </c>
      <c r="L407" s="10">
        <v>401</v>
      </c>
      <c r="M407" s="11" t="s">
        <v>2626</v>
      </c>
      <c r="N407" s="12">
        <v>24</v>
      </c>
      <c r="O407" s="13" t="s">
        <v>80</v>
      </c>
      <c r="P407" s="14"/>
    </row>
    <row r="408" spans="1:17" x14ac:dyDescent="0.25">
      <c r="A408" s="6"/>
      <c r="B408" s="7">
        <v>44301</v>
      </c>
      <c r="C408" s="8" t="s">
        <v>1369</v>
      </c>
      <c r="D408" s="8" t="s">
        <v>899</v>
      </c>
      <c r="E408" s="9" t="s">
        <v>490</v>
      </c>
      <c r="F408" s="9" t="s">
        <v>491</v>
      </c>
      <c r="G408" s="17">
        <v>0.77847222222222223</v>
      </c>
      <c r="H408" s="17">
        <v>0.8027777777777777</v>
      </c>
      <c r="I408" s="9">
        <v>31850</v>
      </c>
      <c r="J408" s="9">
        <v>15890</v>
      </c>
      <c r="K408" s="10">
        <f t="shared" si="17"/>
        <v>15960</v>
      </c>
      <c r="L408" s="10">
        <v>23800</v>
      </c>
      <c r="M408" s="11" t="s">
        <v>1515</v>
      </c>
      <c r="N408" s="12">
        <v>12.65</v>
      </c>
      <c r="O408" s="13" t="s">
        <v>855</v>
      </c>
      <c r="P408" s="14"/>
    </row>
    <row r="409" spans="1:17" x14ac:dyDescent="0.25">
      <c r="A409" s="6"/>
      <c r="B409" s="7">
        <v>44301</v>
      </c>
      <c r="C409" s="8" t="s">
        <v>208</v>
      </c>
      <c r="D409" s="8" t="s">
        <v>1850</v>
      </c>
      <c r="E409" s="9" t="s">
        <v>144</v>
      </c>
      <c r="F409" s="9" t="s">
        <v>626</v>
      </c>
      <c r="G409" s="17">
        <v>0.82847222222222217</v>
      </c>
      <c r="H409" s="17">
        <v>0.40208333333333335</v>
      </c>
      <c r="I409" s="9">
        <v>37470</v>
      </c>
      <c r="J409" s="9">
        <v>17110</v>
      </c>
      <c r="K409" s="10">
        <f t="shared" si="17"/>
        <v>20360</v>
      </c>
      <c r="L409" s="10">
        <v>41749</v>
      </c>
      <c r="M409" s="11" t="s">
        <v>1626</v>
      </c>
      <c r="N409" s="12">
        <v>20400</v>
      </c>
      <c r="O409" s="13" t="s">
        <v>32</v>
      </c>
      <c r="P409" s="14"/>
    </row>
    <row r="410" spans="1:17" x14ac:dyDescent="0.25">
      <c r="A410" s="6"/>
      <c r="B410" s="7">
        <v>44301</v>
      </c>
      <c r="C410" s="8" t="s">
        <v>1726</v>
      </c>
      <c r="D410" s="8" t="s">
        <v>1853</v>
      </c>
      <c r="E410" s="9" t="s">
        <v>1206</v>
      </c>
      <c r="F410" s="9" t="s">
        <v>338</v>
      </c>
      <c r="G410" s="17">
        <v>0.86736111111111114</v>
      </c>
      <c r="H410" s="17">
        <v>0.8847222222222223</v>
      </c>
      <c r="I410" s="9">
        <v>12560</v>
      </c>
      <c r="J410" s="9">
        <v>6660</v>
      </c>
      <c r="K410" s="10">
        <f t="shared" si="17"/>
        <v>5900</v>
      </c>
      <c r="L410" s="10">
        <v>26834</v>
      </c>
      <c r="M410" s="11" t="s">
        <v>966</v>
      </c>
      <c r="N410" s="12">
        <v>5900</v>
      </c>
      <c r="O410" s="13" t="s">
        <v>32</v>
      </c>
      <c r="P410" s="14"/>
    </row>
    <row r="411" spans="1:17" x14ac:dyDescent="0.25">
      <c r="A411" s="6"/>
      <c r="B411" s="7">
        <v>44301</v>
      </c>
      <c r="C411" s="8" t="s">
        <v>2101</v>
      </c>
      <c r="D411" s="8" t="s">
        <v>1794</v>
      </c>
      <c r="E411" s="9" t="s">
        <v>628</v>
      </c>
      <c r="F411" s="9" t="s">
        <v>628</v>
      </c>
      <c r="G411" s="17">
        <v>0.87013888888888891</v>
      </c>
      <c r="H411" s="17">
        <v>0.87916666666666676</v>
      </c>
      <c r="I411" s="9">
        <v>16220</v>
      </c>
      <c r="J411" s="9">
        <v>9610</v>
      </c>
      <c r="K411" s="10">
        <f t="shared" si="17"/>
        <v>6610</v>
      </c>
      <c r="L411" s="10">
        <v>26835</v>
      </c>
      <c r="M411" s="11" t="s">
        <v>1041</v>
      </c>
      <c r="N411" s="12">
        <v>6610</v>
      </c>
      <c r="O411" s="13" t="s">
        <v>32</v>
      </c>
      <c r="P411" s="14"/>
    </row>
    <row r="412" spans="1:17" x14ac:dyDescent="0.25">
      <c r="A412" s="6"/>
      <c r="B412" s="7">
        <v>44301</v>
      </c>
      <c r="C412" s="8" t="s">
        <v>204</v>
      </c>
      <c r="D412" s="8" t="s">
        <v>122</v>
      </c>
      <c r="E412" s="9" t="s">
        <v>2573</v>
      </c>
      <c r="F412" s="9" t="s">
        <v>154</v>
      </c>
      <c r="G412" s="17">
        <v>0.93055555555555547</v>
      </c>
      <c r="H412" s="17">
        <v>0.9902777777777777</v>
      </c>
      <c r="I412" s="9">
        <v>12255</v>
      </c>
      <c r="J412" s="9">
        <v>6310</v>
      </c>
      <c r="K412" s="10">
        <f t="shared" si="17"/>
        <v>5945</v>
      </c>
      <c r="L412" s="10">
        <v>26836</v>
      </c>
      <c r="M412" s="11" t="s">
        <v>838</v>
      </c>
      <c r="N412" s="12">
        <v>5945</v>
      </c>
      <c r="O412" s="13" t="s">
        <v>32</v>
      </c>
      <c r="P412" s="14"/>
    </row>
    <row r="413" spans="1:17" x14ac:dyDescent="0.25">
      <c r="A413" s="6"/>
      <c r="B413" s="7">
        <v>44302</v>
      </c>
      <c r="C413" s="8" t="s">
        <v>2483</v>
      </c>
      <c r="D413" s="8" t="s">
        <v>2483</v>
      </c>
      <c r="E413" s="9" t="s">
        <v>2572</v>
      </c>
      <c r="F413" s="9" t="s">
        <v>36</v>
      </c>
      <c r="G413" s="17">
        <v>1.4583333333333332E-2</v>
      </c>
      <c r="H413" s="17">
        <v>2.4305555555555556E-2</v>
      </c>
      <c r="I413" s="9">
        <v>1930</v>
      </c>
      <c r="J413" s="9">
        <v>1580</v>
      </c>
      <c r="K413" s="10">
        <f t="shared" si="17"/>
        <v>350</v>
      </c>
      <c r="L413" s="10">
        <v>26837</v>
      </c>
      <c r="M413" s="11" t="s">
        <v>2627</v>
      </c>
      <c r="N413" s="12">
        <v>350</v>
      </c>
      <c r="O413" s="13" t="s">
        <v>32</v>
      </c>
      <c r="P413" s="14"/>
    </row>
    <row r="414" spans="1:17" x14ac:dyDescent="0.25">
      <c r="A414" s="6"/>
      <c r="B414" s="7">
        <v>44302</v>
      </c>
      <c r="C414" s="8" t="s">
        <v>2568</v>
      </c>
      <c r="D414" s="8" t="s">
        <v>2569</v>
      </c>
      <c r="E414" s="9" t="s">
        <v>1823</v>
      </c>
      <c r="F414" s="9" t="s">
        <v>36</v>
      </c>
      <c r="G414" s="17">
        <v>2.15</v>
      </c>
      <c r="H414" s="17">
        <v>0.15763888888888888</v>
      </c>
      <c r="I414" s="9">
        <v>7580</v>
      </c>
      <c r="J414" s="9">
        <v>4570</v>
      </c>
      <c r="K414" s="10">
        <f t="shared" si="17"/>
        <v>3010</v>
      </c>
      <c r="L414" s="10">
        <v>23838</v>
      </c>
      <c r="M414" s="11" t="s">
        <v>1339</v>
      </c>
      <c r="N414" s="12">
        <v>3010</v>
      </c>
      <c r="O414" s="13" t="s">
        <v>683</v>
      </c>
      <c r="P414" s="14"/>
    </row>
    <row r="415" spans="1:17" x14ac:dyDescent="0.25">
      <c r="A415" s="6"/>
      <c r="B415" s="7">
        <v>44301</v>
      </c>
      <c r="C415" s="8" t="s">
        <v>142</v>
      </c>
      <c r="D415" s="8" t="s">
        <v>86</v>
      </c>
      <c r="E415" s="9" t="s">
        <v>87</v>
      </c>
      <c r="F415" s="9" t="s">
        <v>88</v>
      </c>
      <c r="G415" s="17">
        <v>0.12430555555555556</v>
      </c>
      <c r="H415" s="17">
        <v>0.13194444444444445</v>
      </c>
      <c r="I415" s="9">
        <v>40090</v>
      </c>
      <c r="J415" s="9">
        <v>17320</v>
      </c>
      <c r="K415" s="10">
        <f t="shared" si="17"/>
        <v>22770</v>
      </c>
      <c r="L415" s="10">
        <v>815</v>
      </c>
      <c r="M415" s="11" t="s">
        <v>257</v>
      </c>
      <c r="N415" s="12">
        <v>22770</v>
      </c>
      <c r="O415" s="13" t="s">
        <v>683</v>
      </c>
      <c r="P415" s="14"/>
      <c r="Q415" s="2"/>
    </row>
    <row r="416" spans="1:17" x14ac:dyDescent="0.25">
      <c r="A416" s="6"/>
      <c r="B416" s="15">
        <v>44302</v>
      </c>
      <c r="C416" s="8" t="s">
        <v>1096</v>
      </c>
      <c r="D416" s="8" t="s">
        <v>928</v>
      </c>
      <c r="E416" s="9" t="s">
        <v>947</v>
      </c>
      <c r="F416" s="9" t="s">
        <v>948</v>
      </c>
      <c r="G416" s="17">
        <v>0.3972222222222222</v>
      </c>
      <c r="H416" s="17">
        <v>0.4152777777777778</v>
      </c>
      <c r="I416" s="9">
        <v>11330</v>
      </c>
      <c r="J416" s="9">
        <v>7590</v>
      </c>
      <c r="K416" s="10">
        <f t="shared" si="17"/>
        <v>3740</v>
      </c>
      <c r="L416" s="10">
        <v>23801</v>
      </c>
      <c r="M416" s="11" t="s">
        <v>1490</v>
      </c>
      <c r="N416" s="12">
        <v>3.3</v>
      </c>
      <c r="O416" s="13" t="s">
        <v>855</v>
      </c>
      <c r="P416" s="14"/>
    </row>
    <row r="417" spans="1:16" x14ac:dyDescent="0.25">
      <c r="A417" s="6"/>
      <c r="B417" s="7">
        <v>44302</v>
      </c>
      <c r="C417" s="8" t="s">
        <v>164</v>
      </c>
      <c r="D417" s="8" t="s">
        <v>1355</v>
      </c>
      <c r="E417" s="9" t="s">
        <v>1048</v>
      </c>
      <c r="F417" s="9" t="s">
        <v>526</v>
      </c>
      <c r="G417" s="17">
        <v>0.41736111111111113</v>
      </c>
      <c r="H417" s="17">
        <v>0.44097222222222227</v>
      </c>
      <c r="I417" s="9">
        <v>37500</v>
      </c>
      <c r="J417" s="9">
        <v>19500</v>
      </c>
      <c r="K417" s="10">
        <f t="shared" si="17"/>
        <v>18000</v>
      </c>
      <c r="L417" s="10">
        <v>16031</v>
      </c>
      <c r="M417" s="11" t="s">
        <v>398</v>
      </c>
      <c r="N417" s="12">
        <v>353</v>
      </c>
      <c r="O417" s="13" t="s">
        <v>54</v>
      </c>
      <c r="P417" s="14" t="s">
        <v>2628</v>
      </c>
    </row>
    <row r="418" spans="1:16" x14ac:dyDescent="0.25">
      <c r="A418" s="6"/>
      <c r="B418" s="7">
        <v>44302</v>
      </c>
      <c r="C418" s="8" t="s">
        <v>1403</v>
      </c>
      <c r="D418" s="8" t="s">
        <v>1794</v>
      </c>
      <c r="E418" s="9" t="s">
        <v>628</v>
      </c>
      <c r="F418" s="9" t="s">
        <v>628</v>
      </c>
      <c r="G418" s="17">
        <v>0.41875000000000001</v>
      </c>
      <c r="H418" s="17">
        <v>0.43055555555555558</v>
      </c>
      <c r="I418" s="9">
        <v>17290</v>
      </c>
      <c r="J418" s="9">
        <v>9610</v>
      </c>
      <c r="K418" s="10">
        <f t="shared" si="17"/>
        <v>7680</v>
      </c>
      <c r="L418" s="10">
        <v>23802</v>
      </c>
      <c r="M418" s="11" t="s">
        <v>2629</v>
      </c>
      <c r="N418" s="12">
        <v>6.85</v>
      </c>
      <c r="O418" s="13" t="s">
        <v>855</v>
      </c>
      <c r="P418" s="14"/>
    </row>
    <row r="419" spans="1:16" x14ac:dyDescent="0.25">
      <c r="A419" s="6"/>
      <c r="B419" s="7">
        <v>44302</v>
      </c>
      <c r="C419" s="8" t="s">
        <v>1042</v>
      </c>
      <c r="D419" s="8" t="s">
        <v>899</v>
      </c>
      <c r="E419" s="9" t="s">
        <v>490</v>
      </c>
      <c r="F419" s="9" t="s">
        <v>491</v>
      </c>
      <c r="G419" s="17">
        <v>0.44791666666666669</v>
      </c>
      <c r="H419" s="17">
        <v>0.46458333333333335</v>
      </c>
      <c r="I419" s="9">
        <v>39790</v>
      </c>
      <c r="J419" s="9">
        <v>15970</v>
      </c>
      <c r="K419" s="10">
        <f t="shared" si="17"/>
        <v>23820</v>
      </c>
      <c r="L419" s="10">
        <v>23803</v>
      </c>
      <c r="M419" s="11" t="s">
        <v>2630</v>
      </c>
      <c r="N419" s="12">
        <v>21.6</v>
      </c>
      <c r="O419" s="13" t="s">
        <v>855</v>
      </c>
      <c r="P419" s="14"/>
    </row>
    <row r="420" spans="1:16" x14ac:dyDescent="0.25">
      <c r="A420" s="6"/>
      <c r="B420" s="7">
        <v>44302</v>
      </c>
      <c r="C420" s="8" t="s">
        <v>1042</v>
      </c>
      <c r="D420" s="8" t="s">
        <v>284</v>
      </c>
      <c r="E420" s="9" t="s">
        <v>177</v>
      </c>
      <c r="F420" s="9" t="s">
        <v>178</v>
      </c>
      <c r="G420" s="17">
        <v>0.45</v>
      </c>
      <c r="H420" s="17">
        <v>0.47222222222222227</v>
      </c>
      <c r="I420" s="9">
        <v>42490</v>
      </c>
      <c r="J420" s="9">
        <v>17070</v>
      </c>
      <c r="K420" s="10">
        <f t="shared" si="17"/>
        <v>25420</v>
      </c>
      <c r="L420" s="10">
        <v>23803</v>
      </c>
      <c r="M420" s="11" t="s">
        <v>1400</v>
      </c>
      <c r="N420" s="12">
        <v>24</v>
      </c>
      <c r="O420" s="13" t="s">
        <v>855</v>
      </c>
      <c r="P420" s="14"/>
    </row>
    <row r="421" spans="1:16" x14ac:dyDescent="0.25">
      <c r="A421" s="6"/>
      <c r="B421" s="7">
        <v>44302</v>
      </c>
      <c r="C421" s="8" t="s">
        <v>164</v>
      </c>
      <c r="D421" s="8" t="s">
        <v>1355</v>
      </c>
      <c r="E421" s="9" t="s">
        <v>1048</v>
      </c>
      <c r="F421" s="9" t="s">
        <v>526</v>
      </c>
      <c r="G421" s="17">
        <v>0.4513888888888889</v>
      </c>
      <c r="H421" s="17">
        <v>0.47430555555555554</v>
      </c>
      <c r="I421" s="9">
        <v>17270</v>
      </c>
      <c r="J421" s="9">
        <v>42550</v>
      </c>
      <c r="K421" s="10">
        <f t="shared" si="17"/>
        <v>-25280</v>
      </c>
      <c r="L421" s="10">
        <v>17089</v>
      </c>
      <c r="M421" s="11" t="s">
        <v>166</v>
      </c>
      <c r="N421" s="12">
        <v>504</v>
      </c>
      <c r="O421" s="13" t="s">
        <v>54</v>
      </c>
      <c r="P421" s="14"/>
    </row>
    <row r="422" spans="1:16" x14ac:dyDescent="0.25">
      <c r="A422" s="6"/>
      <c r="B422" s="7">
        <v>44302</v>
      </c>
      <c r="C422" s="8" t="s">
        <v>1042</v>
      </c>
      <c r="D422" s="8" t="s">
        <v>928</v>
      </c>
      <c r="E422" s="9" t="s">
        <v>947</v>
      </c>
      <c r="F422" s="9" t="s">
        <v>948</v>
      </c>
      <c r="G422" s="17">
        <v>0.46319444444444446</v>
      </c>
      <c r="H422" s="17">
        <v>0.47083333333333338</v>
      </c>
      <c r="I422" s="9">
        <v>17840</v>
      </c>
      <c r="J422" s="9">
        <v>7520</v>
      </c>
      <c r="K422" s="10">
        <f t="shared" si="17"/>
        <v>10320</v>
      </c>
      <c r="L422" s="10">
        <v>23803</v>
      </c>
      <c r="M422" s="11" t="s">
        <v>1400</v>
      </c>
      <c r="N422" s="12">
        <v>9.6</v>
      </c>
      <c r="O422" s="13" t="s">
        <v>855</v>
      </c>
      <c r="P422" s="14"/>
    </row>
    <row r="423" spans="1:16" x14ac:dyDescent="0.25">
      <c r="A423" s="6"/>
      <c r="B423" s="7">
        <v>44302</v>
      </c>
      <c r="C423" s="8" t="s">
        <v>1042</v>
      </c>
      <c r="D423" s="8" t="s">
        <v>1794</v>
      </c>
      <c r="E423" s="9" t="s">
        <v>628</v>
      </c>
      <c r="F423" s="9" t="s">
        <v>628</v>
      </c>
      <c r="G423" s="17">
        <v>0.48749999999999999</v>
      </c>
      <c r="H423" s="17">
        <v>0.49513888888888885</v>
      </c>
      <c r="I423" s="9">
        <v>22840</v>
      </c>
      <c r="J423" s="9">
        <v>9610</v>
      </c>
      <c r="K423" s="10">
        <f t="shared" si="17"/>
        <v>13230</v>
      </c>
      <c r="L423" s="10">
        <v>23803</v>
      </c>
      <c r="M423" s="11" t="s">
        <v>1400</v>
      </c>
      <c r="N423" s="12">
        <v>12</v>
      </c>
      <c r="O423" s="13" t="s">
        <v>855</v>
      </c>
      <c r="P423" s="14"/>
    </row>
    <row r="424" spans="1:16" x14ac:dyDescent="0.25">
      <c r="A424" s="6"/>
      <c r="B424" s="7">
        <v>44302</v>
      </c>
      <c r="C424" s="8" t="s">
        <v>1029</v>
      </c>
      <c r="D424" s="8" t="s">
        <v>928</v>
      </c>
      <c r="E424" s="9" t="s">
        <v>947</v>
      </c>
      <c r="F424" s="9" t="s">
        <v>948</v>
      </c>
      <c r="G424" s="17">
        <v>0.53611111111111109</v>
      </c>
      <c r="H424" s="17">
        <v>0.54375000000000007</v>
      </c>
      <c r="I424" s="9">
        <v>9320</v>
      </c>
      <c r="J424" s="9">
        <v>7510</v>
      </c>
      <c r="K424" s="10">
        <f t="shared" si="17"/>
        <v>1810</v>
      </c>
      <c r="L424" s="10">
        <v>23804</v>
      </c>
      <c r="M424" s="11" t="s">
        <v>1490</v>
      </c>
      <c r="N424" s="12">
        <v>1810</v>
      </c>
      <c r="O424" s="13" t="s">
        <v>32</v>
      </c>
      <c r="P424" s="14" t="s">
        <v>1488</v>
      </c>
    </row>
    <row r="425" spans="1:16" x14ac:dyDescent="0.25">
      <c r="A425" s="6"/>
      <c r="B425" s="7">
        <v>44302</v>
      </c>
      <c r="C425" s="8" t="s">
        <v>164</v>
      </c>
      <c r="D425" s="8" t="s">
        <v>1355</v>
      </c>
      <c r="E425" s="9" t="s">
        <v>1048</v>
      </c>
      <c r="F425" s="9" t="s">
        <v>526</v>
      </c>
      <c r="G425" s="17">
        <v>0.54722222222222217</v>
      </c>
      <c r="H425" s="17">
        <v>0.58333333333333337</v>
      </c>
      <c r="I425" s="9">
        <v>17300</v>
      </c>
      <c r="J425" s="9">
        <v>42530</v>
      </c>
      <c r="K425" s="10">
        <f t="shared" si="17"/>
        <v>-25230</v>
      </c>
      <c r="L425" s="10">
        <v>17090</v>
      </c>
      <c r="M425" s="11" t="s">
        <v>166</v>
      </c>
      <c r="N425" s="12">
        <v>504</v>
      </c>
      <c r="O425" s="13" t="s">
        <v>54</v>
      </c>
      <c r="P425" s="14"/>
    </row>
    <row r="426" spans="1:16" x14ac:dyDescent="0.25">
      <c r="A426" s="6"/>
      <c r="B426" s="7">
        <v>44302</v>
      </c>
      <c r="C426" s="8" t="s">
        <v>2509</v>
      </c>
      <c r="D426" s="8" t="s">
        <v>1920</v>
      </c>
      <c r="E426" s="9" t="s">
        <v>511</v>
      </c>
      <c r="F426" s="9" t="s">
        <v>36</v>
      </c>
      <c r="G426" s="17">
        <v>0.5756944444444444</v>
      </c>
      <c r="H426" s="17">
        <v>0.61736111111111114</v>
      </c>
      <c r="I426" s="9">
        <v>14350</v>
      </c>
      <c r="J426" s="9">
        <v>8040</v>
      </c>
      <c r="K426" s="10">
        <f t="shared" si="17"/>
        <v>6310</v>
      </c>
      <c r="L426" s="10">
        <v>21</v>
      </c>
      <c r="M426" s="11" t="s">
        <v>2631</v>
      </c>
      <c r="N426" s="12">
        <v>6000</v>
      </c>
      <c r="O426" s="13" t="s">
        <v>32</v>
      </c>
      <c r="P426" s="14"/>
    </row>
    <row r="427" spans="1:16" x14ac:dyDescent="0.25">
      <c r="A427" s="6"/>
      <c r="B427" s="7">
        <v>44302</v>
      </c>
      <c r="C427" s="8" t="s">
        <v>1726</v>
      </c>
      <c r="D427" s="8" t="s">
        <v>1847</v>
      </c>
      <c r="E427" s="9" t="s">
        <v>2632</v>
      </c>
      <c r="F427" s="9" t="s">
        <v>36</v>
      </c>
      <c r="G427" s="17">
        <v>0.62013888888888891</v>
      </c>
      <c r="H427" s="17">
        <v>0.64861111111111114</v>
      </c>
      <c r="I427" s="9">
        <v>5210</v>
      </c>
      <c r="J427" s="9">
        <v>2570</v>
      </c>
      <c r="K427" s="10">
        <f t="shared" si="17"/>
        <v>2640</v>
      </c>
      <c r="L427" s="10">
        <v>26839</v>
      </c>
      <c r="M427" s="11" t="s">
        <v>2633</v>
      </c>
      <c r="N427" s="12">
        <v>2640</v>
      </c>
      <c r="O427" s="13" t="s">
        <v>32</v>
      </c>
      <c r="P427" s="14"/>
    </row>
    <row r="428" spans="1:16" x14ac:dyDescent="0.25">
      <c r="A428" s="6"/>
      <c r="B428" s="7">
        <v>44302</v>
      </c>
      <c r="C428" s="8" t="s">
        <v>2279</v>
      </c>
      <c r="D428" s="8" t="s">
        <v>928</v>
      </c>
      <c r="E428" s="9" t="s">
        <v>947</v>
      </c>
      <c r="F428" s="9" t="s">
        <v>948</v>
      </c>
      <c r="G428" s="17">
        <v>0.62847222222222221</v>
      </c>
      <c r="H428" s="17">
        <v>0.63611111111111118</v>
      </c>
      <c r="I428" s="9">
        <v>11540</v>
      </c>
      <c r="J428" s="9">
        <v>7520</v>
      </c>
      <c r="K428" s="10">
        <f t="shared" si="17"/>
        <v>4020</v>
      </c>
      <c r="L428" s="10">
        <v>23806</v>
      </c>
      <c r="M428" s="11" t="s">
        <v>1515</v>
      </c>
      <c r="N428" s="12">
        <v>4020</v>
      </c>
      <c r="O428" s="13" t="s">
        <v>32</v>
      </c>
      <c r="P428" s="14" t="s">
        <v>979</v>
      </c>
    </row>
    <row r="429" spans="1:16" x14ac:dyDescent="0.25">
      <c r="A429" s="6"/>
      <c r="B429" s="7">
        <v>44302</v>
      </c>
      <c r="C429" s="8" t="s">
        <v>1726</v>
      </c>
      <c r="D429" s="8" t="s">
        <v>1679</v>
      </c>
      <c r="E429" s="9" t="s">
        <v>1000</v>
      </c>
      <c r="F429" s="9" t="s">
        <v>36</v>
      </c>
      <c r="G429" s="17">
        <v>0.63472222222222219</v>
      </c>
      <c r="H429" s="17">
        <v>0.65555555555555556</v>
      </c>
      <c r="I429" s="9">
        <v>3930</v>
      </c>
      <c r="J429" s="9">
        <v>1910</v>
      </c>
      <c r="K429" s="10">
        <f t="shared" si="17"/>
        <v>2020</v>
      </c>
      <c r="L429" s="10">
        <v>26840</v>
      </c>
      <c r="M429" s="11" t="s">
        <v>2633</v>
      </c>
      <c r="N429" s="12">
        <v>2020</v>
      </c>
      <c r="O429" s="13" t="s">
        <v>32</v>
      </c>
      <c r="P429" s="14"/>
    </row>
    <row r="430" spans="1:16" x14ac:dyDescent="0.25">
      <c r="A430" s="6"/>
      <c r="B430" s="7">
        <v>44302</v>
      </c>
      <c r="C430" s="8" t="s">
        <v>2634</v>
      </c>
      <c r="D430" s="8" t="s">
        <v>1794</v>
      </c>
      <c r="E430" s="9" t="s">
        <v>628</v>
      </c>
      <c r="F430" s="9" t="s">
        <v>628</v>
      </c>
      <c r="G430" s="17">
        <v>0.6645833333333333</v>
      </c>
      <c r="H430" s="17">
        <v>0.67499999999999993</v>
      </c>
      <c r="I430" s="9">
        <v>22130</v>
      </c>
      <c r="J430" s="9">
        <v>9610</v>
      </c>
      <c r="K430" s="10">
        <f t="shared" si="17"/>
        <v>12520</v>
      </c>
      <c r="L430" s="10" t="s">
        <v>2635</v>
      </c>
      <c r="M430" s="11" t="s">
        <v>1041</v>
      </c>
      <c r="N430" s="12">
        <v>12</v>
      </c>
      <c r="O430" s="13" t="s">
        <v>855</v>
      </c>
      <c r="P430" s="14"/>
    </row>
    <row r="431" spans="1:16" x14ac:dyDescent="0.25">
      <c r="A431" s="6"/>
      <c r="B431" s="7">
        <v>44302</v>
      </c>
      <c r="C431" s="8" t="s">
        <v>164</v>
      </c>
      <c r="D431" s="8" t="s">
        <v>1355</v>
      </c>
      <c r="E431" s="9" t="s">
        <v>1048</v>
      </c>
      <c r="F431" s="9" t="s">
        <v>526</v>
      </c>
      <c r="G431" s="17">
        <v>0.68333333333333324</v>
      </c>
      <c r="H431" s="17">
        <v>0.69791666666666663</v>
      </c>
      <c r="I431" s="9">
        <v>42590</v>
      </c>
      <c r="J431" s="9">
        <v>17310</v>
      </c>
      <c r="K431" s="10">
        <f t="shared" si="17"/>
        <v>25280</v>
      </c>
      <c r="L431" s="10">
        <v>16032</v>
      </c>
      <c r="M431" s="11" t="s">
        <v>2636</v>
      </c>
      <c r="N431" s="12">
        <v>504</v>
      </c>
      <c r="O431" s="13" t="s">
        <v>54</v>
      </c>
      <c r="P431" s="14"/>
    </row>
    <row r="432" spans="1:16" x14ac:dyDescent="0.25">
      <c r="A432" s="6"/>
      <c r="B432" s="7">
        <v>44302</v>
      </c>
      <c r="C432" s="8" t="s">
        <v>85</v>
      </c>
      <c r="D432" s="8" t="s">
        <v>853</v>
      </c>
      <c r="E432" s="9" t="s">
        <v>51</v>
      </c>
      <c r="F432" s="9" t="s">
        <v>52</v>
      </c>
      <c r="G432" s="17">
        <v>0.68402777777777779</v>
      </c>
      <c r="H432" s="17">
        <v>0.73263888888888884</v>
      </c>
      <c r="I432" s="9">
        <v>16670</v>
      </c>
      <c r="J432" s="9">
        <v>15690</v>
      </c>
      <c r="K432" s="10">
        <f t="shared" si="17"/>
        <v>980</v>
      </c>
      <c r="L432" s="10">
        <v>5960</v>
      </c>
      <c r="M432" s="11" t="s">
        <v>2637</v>
      </c>
      <c r="N432" s="12">
        <v>16</v>
      </c>
      <c r="O432" s="13" t="s">
        <v>80</v>
      </c>
      <c r="P432" s="14"/>
    </row>
    <row r="433" spans="1:16" x14ac:dyDescent="0.25">
      <c r="A433" s="6"/>
      <c r="B433" s="7">
        <v>44302</v>
      </c>
      <c r="C433" s="8" t="s">
        <v>2638</v>
      </c>
      <c r="D433" s="8" t="s">
        <v>2639</v>
      </c>
      <c r="E433" s="9" t="s">
        <v>2640</v>
      </c>
      <c r="F433" s="9" t="s">
        <v>36</v>
      </c>
      <c r="G433" s="17">
        <v>0.69652777777777775</v>
      </c>
      <c r="H433" s="17">
        <v>0.77569444444444446</v>
      </c>
      <c r="I433" s="9">
        <v>57270</v>
      </c>
      <c r="J433" s="9">
        <v>21970</v>
      </c>
      <c r="K433" s="10">
        <f t="shared" si="17"/>
        <v>35300</v>
      </c>
      <c r="L433" s="10">
        <v>14503</v>
      </c>
      <c r="M433" s="11" t="s">
        <v>2355</v>
      </c>
      <c r="N433" s="12">
        <v>10000</v>
      </c>
      <c r="O433" s="13" t="s">
        <v>84</v>
      </c>
      <c r="P433" s="14"/>
    </row>
    <row r="434" spans="1:16" x14ac:dyDescent="0.25">
      <c r="A434" s="6"/>
      <c r="B434" s="7">
        <v>44302</v>
      </c>
      <c r="C434" s="8" t="s">
        <v>1726</v>
      </c>
      <c r="D434" s="8" t="s">
        <v>1813</v>
      </c>
      <c r="E434" s="9" t="s">
        <v>1675</v>
      </c>
      <c r="F434" s="9" t="s">
        <v>36</v>
      </c>
      <c r="G434" s="17">
        <v>0.70416666666666661</v>
      </c>
      <c r="H434" s="17">
        <v>0.73055555555555562</v>
      </c>
      <c r="I434" s="9">
        <v>6850</v>
      </c>
      <c r="J434" s="9">
        <v>2830</v>
      </c>
      <c r="K434" s="10">
        <f t="shared" si="17"/>
        <v>4020</v>
      </c>
      <c r="L434" s="10">
        <v>26841</v>
      </c>
      <c r="M434" s="11" t="s">
        <v>2633</v>
      </c>
      <c r="N434" s="12">
        <v>4020</v>
      </c>
      <c r="O434" s="13" t="s">
        <v>32</v>
      </c>
      <c r="P434" s="14"/>
    </row>
    <row r="435" spans="1:16" x14ac:dyDescent="0.25">
      <c r="A435" s="6"/>
      <c r="B435" s="7">
        <v>44302</v>
      </c>
      <c r="C435" s="8" t="s">
        <v>2641</v>
      </c>
      <c r="D435" s="8" t="s">
        <v>44</v>
      </c>
      <c r="E435" s="9" t="s">
        <v>2642</v>
      </c>
      <c r="F435" s="9" t="s">
        <v>2643</v>
      </c>
      <c r="G435" s="17">
        <v>0.70763888888888893</v>
      </c>
      <c r="H435" s="17">
        <v>0.73402777777777783</v>
      </c>
      <c r="I435" s="9">
        <v>8720</v>
      </c>
      <c r="J435" s="9">
        <v>7820</v>
      </c>
      <c r="K435" s="10">
        <f t="shared" si="17"/>
        <v>900</v>
      </c>
      <c r="L435" s="10">
        <v>402</v>
      </c>
      <c r="M435" s="11" t="s">
        <v>958</v>
      </c>
      <c r="N435" s="12">
        <v>16</v>
      </c>
      <c r="O435" s="13" t="s">
        <v>80</v>
      </c>
      <c r="P435" s="14"/>
    </row>
    <row r="436" spans="1:16" x14ac:dyDescent="0.25">
      <c r="A436" s="6"/>
      <c r="B436" s="7">
        <v>44302</v>
      </c>
      <c r="C436" s="8" t="s">
        <v>55</v>
      </c>
      <c r="D436" s="8" t="s">
        <v>465</v>
      </c>
      <c r="E436" s="9" t="s">
        <v>748</v>
      </c>
      <c r="F436" s="9" t="s">
        <v>749</v>
      </c>
      <c r="G436" s="17">
        <v>0.76458333333333339</v>
      </c>
      <c r="H436" s="17">
        <v>0.78819444444444453</v>
      </c>
      <c r="I436" s="9">
        <v>17820</v>
      </c>
      <c r="J436" s="9">
        <v>17090</v>
      </c>
      <c r="K436" s="10">
        <f t="shared" si="17"/>
        <v>730</v>
      </c>
      <c r="L436" s="10">
        <v>2190</v>
      </c>
      <c r="M436" s="11" t="s">
        <v>2644</v>
      </c>
      <c r="N436" s="12">
        <v>12</v>
      </c>
      <c r="O436" s="13" t="s">
        <v>80</v>
      </c>
      <c r="P436" s="14"/>
    </row>
    <row r="437" spans="1:16" x14ac:dyDescent="0.25">
      <c r="A437" s="6"/>
      <c r="B437" s="7">
        <v>44302</v>
      </c>
      <c r="C437" s="8" t="s">
        <v>208</v>
      </c>
      <c r="D437" s="8" t="s">
        <v>1850</v>
      </c>
      <c r="E437" s="9" t="s">
        <v>144</v>
      </c>
      <c r="F437" s="9" t="s">
        <v>626</v>
      </c>
      <c r="G437" s="17">
        <v>0.77916666666666667</v>
      </c>
      <c r="H437" s="17">
        <v>0.41944444444444445</v>
      </c>
      <c r="I437" s="9">
        <v>32110</v>
      </c>
      <c r="J437" s="9">
        <v>17220</v>
      </c>
      <c r="K437" s="10">
        <f t="shared" si="17"/>
        <v>14890</v>
      </c>
      <c r="L437" s="10">
        <v>41782</v>
      </c>
      <c r="M437" s="11" t="s">
        <v>1626</v>
      </c>
      <c r="N437" s="12">
        <v>14910</v>
      </c>
      <c r="O437" s="13" t="s">
        <v>32</v>
      </c>
      <c r="P437" s="14"/>
    </row>
    <row r="438" spans="1:16" x14ac:dyDescent="0.25">
      <c r="A438" s="6"/>
      <c r="B438" s="7">
        <v>44302</v>
      </c>
      <c r="C438" s="8" t="s">
        <v>2645</v>
      </c>
      <c r="D438" s="8" t="s">
        <v>2646</v>
      </c>
      <c r="E438" s="9" t="s">
        <v>2647</v>
      </c>
      <c r="F438" s="9" t="s">
        <v>390</v>
      </c>
      <c r="G438" s="17">
        <v>0.78472222222222221</v>
      </c>
      <c r="H438" s="17">
        <v>0.875</v>
      </c>
      <c r="I438" s="9">
        <v>54440</v>
      </c>
      <c r="J438" s="9">
        <v>19210</v>
      </c>
      <c r="K438" s="10">
        <f t="shared" si="17"/>
        <v>35230</v>
      </c>
      <c r="L438" s="10">
        <v>14504</v>
      </c>
      <c r="M438" s="11" t="s">
        <v>2355</v>
      </c>
      <c r="N438" s="12">
        <v>10000</v>
      </c>
      <c r="O438" s="13" t="s">
        <v>84</v>
      </c>
      <c r="P438" s="14"/>
    </row>
    <row r="439" spans="1:16" x14ac:dyDescent="0.25">
      <c r="A439" s="6"/>
      <c r="B439" s="7">
        <v>44302</v>
      </c>
      <c r="C439" s="8" t="s">
        <v>1789</v>
      </c>
      <c r="D439" s="8" t="s">
        <v>1230</v>
      </c>
      <c r="E439" s="9" t="s">
        <v>1206</v>
      </c>
      <c r="F439" s="9" t="s">
        <v>36</v>
      </c>
      <c r="G439" s="17">
        <v>0.83958333333333324</v>
      </c>
      <c r="H439" s="17">
        <v>0.85625000000000007</v>
      </c>
      <c r="I439" s="9">
        <v>10470</v>
      </c>
      <c r="J439" s="9">
        <v>6650</v>
      </c>
      <c r="K439" s="10">
        <f t="shared" si="17"/>
        <v>3820</v>
      </c>
      <c r="L439" s="10">
        <v>26842</v>
      </c>
      <c r="M439" s="11" t="s">
        <v>1461</v>
      </c>
      <c r="N439" s="12">
        <v>3820</v>
      </c>
      <c r="O439" s="13" t="s">
        <v>683</v>
      </c>
      <c r="P439" s="14"/>
    </row>
    <row r="440" spans="1:16" x14ac:dyDescent="0.25">
      <c r="A440" s="6"/>
      <c r="B440" s="7">
        <v>44302</v>
      </c>
      <c r="C440" s="8" t="s">
        <v>289</v>
      </c>
      <c r="D440" s="8" t="s">
        <v>174</v>
      </c>
      <c r="E440" s="9" t="s">
        <v>699</v>
      </c>
      <c r="F440" s="9" t="s">
        <v>459</v>
      </c>
      <c r="G440" s="17">
        <v>0.89861111111111114</v>
      </c>
      <c r="H440" s="17">
        <v>9.4444444444444442E-2</v>
      </c>
      <c r="I440" s="9">
        <v>19150</v>
      </c>
      <c r="J440" s="9">
        <v>8290</v>
      </c>
      <c r="K440" s="10">
        <f t="shared" si="17"/>
        <v>10860</v>
      </c>
      <c r="L440" s="10">
        <v>8930</v>
      </c>
      <c r="M440" s="11" t="s">
        <v>1339</v>
      </c>
      <c r="N440" s="12">
        <v>10860</v>
      </c>
      <c r="O440" s="13" t="s">
        <v>32</v>
      </c>
      <c r="P440" s="14"/>
    </row>
    <row r="441" spans="1:16" x14ac:dyDescent="0.25">
      <c r="A441" s="6"/>
      <c r="B441" s="7">
        <v>44302</v>
      </c>
      <c r="C441" s="8" t="s">
        <v>2652</v>
      </c>
      <c r="D441" s="8" t="s">
        <v>2062</v>
      </c>
      <c r="E441" s="9" t="s">
        <v>473</v>
      </c>
      <c r="F441" s="9" t="s">
        <v>36</v>
      </c>
      <c r="G441" s="17">
        <v>0.90694444444444444</v>
      </c>
      <c r="H441" s="17">
        <v>0.38472222222222219</v>
      </c>
      <c r="I441" s="9">
        <v>38290</v>
      </c>
      <c r="J441" s="9">
        <v>16250</v>
      </c>
      <c r="K441" s="10">
        <f t="shared" si="17"/>
        <v>22040</v>
      </c>
      <c r="L441" s="10">
        <v>5575</v>
      </c>
      <c r="M441" s="11" t="s">
        <v>2648</v>
      </c>
      <c r="N441" s="12">
        <v>840</v>
      </c>
      <c r="O441" s="13" t="s">
        <v>54</v>
      </c>
      <c r="P441" s="14" t="s">
        <v>322</v>
      </c>
    </row>
    <row r="442" spans="1:16" x14ac:dyDescent="0.25">
      <c r="A442" s="6"/>
      <c r="B442" s="7">
        <v>44303</v>
      </c>
      <c r="C442" s="8" t="s">
        <v>1616</v>
      </c>
      <c r="D442" s="8" t="s">
        <v>122</v>
      </c>
      <c r="E442" s="9" t="s">
        <v>39</v>
      </c>
      <c r="F442" s="9" t="s">
        <v>36</v>
      </c>
      <c r="G442" s="17">
        <v>2.6388888888888889E-2</v>
      </c>
      <c r="H442" s="17">
        <v>7.4999999999999997E-2</v>
      </c>
      <c r="I442" s="9">
        <v>18460</v>
      </c>
      <c r="J442" s="9">
        <v>6260</v>
      </c>
      <c r="K442" s="10">
        <f t="shared" si="17"/>
        <v>12200</v>
      </c>
      <c r="L442" s="10">
        <v>26843</v>
      </c>
      <c r="M442" s="11" t="s">
        <v>2649</v>
      </c>
      <c r="N442" s="12">
        <v>12200</v>
      </c>
      <c r="O442" s="13" t="s">
        <v>32</v>
      </c>
      <c r="P442" s="14"/>
    </row>
    <row r="443" spans="1:16" x14ac:dyDescent="0.25">
      <c r="A443" s="6"/>
      <c r="B443" s="7">
        <v>44303</v>
      </c>
      <c r="C443" s="8" t="s">
        <v>133</v>
      </c>
      <c r="D443" s="8" t="s">
        <v>2419</v>
      </c>
      <c r="E443" s="9" t="s">
        <v>220</v>
      </c>
      <c r="F443" s="9" t="s">
        <v>924</v>
      </c>
      <c r="G443" s="17">
        <v>3.7499999999999999E-2</v>
      </c>
      <c r="H443" s="17">
        <v>0.19375000000000001</v>
      </c>
      <c r="I443" s="9">
        <v>20890</v>
      </c>
      <c r="J443" s="9">
        <v>9190</v>
      </c>
      <c r="K443" s="10">
        <f t="shared" si="17"/>
        <v>11700</v>
      </c>
      <c r="L443" s="10" t="s">
        <v>2650</v>
      </c>
      <c r="M443" s="11" t="s">
        <v>2651</v>
      </c>
      <c r="N443" s="12">
        <v>11771</v>
      </c>
      <c r="O443" s="13" t="s">
        <v>32</v>
      </c>
      <c r="P443" s="14"/>
    </row>
    <row r="444" spans="1:16" x14ac:dyDescent="0.25">
      <c r="A444" s="6"/>
      <c r="B444" s="7">
        <v>44303</v>
      </c>
      <c r="C444" s="8" t="s">
        <v>2652</v>
      </c>
      <c r="D444" s="8" t="s">
        <v>2653</v>
      </c>
      <c r="E444" s="9" t="s">
        <v>104</v>
      </c>
      <c r="F444" s="9" t="s">
        <v>36</v>
      </c>
      <c r="G444" s="17">
        <v>5.486111111111111E-2</v>
      </c>
      <c r="H444" s="17">
        <v>0.4055555555555555</v>
      </c>
      <c r="I444" s="9">
        <v>38550</v>
      </c>
      <c r="J444" s="9">
        <v>16910</v>
      </c>
      <c r="K444" s="10">
        <f t="shared" si="17"/>
        <v>21640</v>
      </c>
      <c r="L444" s="10">
        <v>5576</v>
      </c>
      <c r="M444" s="11" t="s">
        <v>2648</v>
      </c>
      <c r="N444" s="12">
        <v>840</v>
      </c>
      <c r="O444" s="13" t="s">
        <v>54</v>
      </c>
      <c r="P444" s="14"/>
    </row>
    <row r="445" spans="1:16" x14ac:dyDescent="0.25">
      <c r="A445" s="6"/>
      <c r="B445" s="7">
        <v>44303</v>
      </c>
      <c r="C445" s="8" t="s">
        <v>871</v>
      </c>
      <c r="D445" s="8" t="s">
        <v>86</v>
      </c>
      <c r="E445" s="9" t="s">
        <v>87</v>
      </c>
      <c r="F445" s="9" t="s">
        <v>88</v>
      </c>
      <c r="G445" s="17">
        <v>0.21041666666666667</v>
      </c>
      <c r="H445" s="17">
        <v>0.22430555555555556</v>
      </c>
      <c r="I445" s="9">
        <v>35520</v>
      </c>
      <c r="J445" s="9">
        <v>17220</v>
      </c>
      <c r="K445" s="10">
        <f t="shared" si="17"/>
        <v>18300</v>
      </c>
      <c r="L445" s="10" t="s">
        <v>2655</v>
      </c>
      <c r="M445" s="11" t="s">
        <v>2654</v>
      </c>
      <c r="N445" s="12">
        <v>18768</v>
      </c>
      <c r="O445" s="13" t="s">
        <v>32</v>
      </c>
      <c r="P445" s="14"/>
    </row>
    <row r="446" spans="1:16" x14ac:dyDescent="0.25">
      <c r="A446" s="6"/>
      <c r="B446" s="7">
        <v>44303</v>
      </c>
      <c r="C446" s="8" t="s">
        <v>1369</v>
      </c>
      <c r="D446" s="8" t="s">
        <v>1672</v>
      </c>
      <c r="E446" s="9" t="s">
        <v>881</v>
      </c>
      <c r="F446" s="9" t="s">
        <v>749</v>
      </c>
      <c r="G446" s="17">
        <v>0.21666666666666667</v>
      </c>
      <c r="H446" s="17">
        <v>0.22708333333333333</v>
      </c>
      <c r="I446" s="9">
        <v>35230</v>
      </c>
      <c r="J446" s="9">
        <v>16870</v>
      </c>
      <c r="K446" s="10">
        <f t="shared" si="17"/>
        <v>18360</v>
      </c>
      <c r="L446" s="10">
        <v>23808</v>
      </c>
      <c r="M446" s="11" t="s">
        <v>1490</v>
      </c>
      <c r="N446" s="12">
        <v>18.7</v>
      </c>
      <c r="O446" s="13" t="s">
        <v>855</v>
      </c>
      <c r="P446" s="14"/>
    </row>
    <row r="447" spans="1:16" x14ac:dyDescent="0.25">
      <c r="A447" s="6"/>
      <c r="B447" s="15">
        <v>44303</v>
      </c>
      <c r="C447" s="8" t="s">
        <v>973</v>
      </c>
      <c r="D447" s="8" t="s">
        <v>928</v>
      </c>
      <c r="E447" s="9" t="s">
        <v>947</v>
      </c>
      <c r="F447" s="9" t="s">
        <v>948</v>
      </c>
      <c r="G447" s="17">
        <v>0.35694444444444445</v>
      </c>
      <c r="H447" s="17">
        <v>0.3659722222222222</v>
      </c>
      <c r="I447" s="9">
        <v>11680</v>
      </c>
      <c r="J447" s="9">
        <v>7450</v>
      </c>
      <c r="K447" s="10">
        <f t="shared" si="17"/>
        <v>4230</v>
      </c>
      <c r="L447" s="10">
        <v>23809</v>
      </c>
      <c r="M447" s="11" t="s">
        <v>1490</v>
      </c>
      <c r="N447" s="12">
        <v>4.4000000000000004</v>
      </c>
      <c r="O447" s="13" t="s">
        <v>855</v>
      </c>
      <c r="P447" s="14"/>
    </row>
    <row r="448" spans="1:16" x14ac:dyDescent="0.25">
      <c r="A448" s="6"/>
      <c r="B448" s="7">
        <v>44303</v>
      </c>
      <c r="C448" s="8" t="s">
        <v>2188</v>
      </c>
      <c r="D448" s="8" t="s">
        <v>928</v>
      </c>
      <c r="E448" s="9" t="s">
        <v>947</v>
      </c>
      <c r="F448" s="9" t="s">
        <v>948</v>
      </c>
      <c r="G448" s="17">
        <v>0.40833333333333338</v>
      </c>
      <c r="H448" s="17">
        <v>0.41736111111111113</v>
      </c>
      <c r="I448" s="9">
        <v>18680</v>
      </c>
      <c r="J448" s="9">
        <v>7440</v>
      </c>
      <c r="K448" s="10">
        <f t="shared" si="17"/>
        <v>11240</v>
      </c>
      <c r="L448" s="10">
        <v>23809</v>
      </c>
      <c r="M448" s="11" t="s">
        <v>1490</v>
      </c>
      <c r="N448" s="12">
        <v>11</v>
      </c>
      <c r="O448" s="13" t="s">
        <v>855</v>
      </c>
      <c r="P448" s="14"/>
    </row>
    <row r="449" spans="1:17" x14ac:dyDescent="0.25">
      <c r="A449" s="6"/>
      <c r="B449" s="7">
        <v>44303</v>
      </c>
      <c r="C449" s="8" t="s">
        <v>2188</v>
      </c>
      <c r="D449" s="8" t="s">
        <v>284</v>
      </c>
      <c r="E449" s="9" t="s">
        <v>177</v>
      </c>
      <c r="F449" s="9" t="s">
        <v>178</v>
      </c>
      <c r="G449" s="17">
        <v>0.42638888888888887</v>
      </c>
      <c r="H449" s="17">
        <v>0.43472222222222223</v>
      </c>
      <c r="I449" s="9">
        <v>38560</v>
      </c>
      <c r="J449" s="9">
        <v>17000</v>
      </c>
      <c r="K449" s="10">
        <f t="shared" si="17"/>
        <v>21560</v>
      </c>
      <c r="L449" s="10">
        <v>23810</v>
      </c>
      <c r="M449" s="11" t="s">
        <v>1490</v>
      </c>
      <c r="N449" s="12">
        <v>22</v>
      </c>
      <c r="O449" s="13" t="s">
        <v>855</v>
      </c>
      <c r="P449" s="14"/>
    </row>
    <row r="450" spans="1:17" x14ac:dyDescent="0.25">
      <c r="A450" s="6"/>
      <c r="B450" s="7">
        <v>44303</v>
      </c>
      <c r="C450" s="8" t="s">
        <v>2656</v>
      </c>
      <c r="D450" s="8" t="s">
        <v>1672</v>
      </c>
      <c r="E450" s="9" t="s">
        <v>881</v>
      </c>
      <c r="F450" s="9" t="s">
        <v>749</v>
      </c>
      <c r="G450" s="17">
        <v>0.44930555555555557</v>
      </c>
      <c r="H450" s="17">
        <v>0.45624999999999999</v>
      </c>
      <c r="I450" s="9">
        <v>38380</v>
      </c>
      <c r="J450" s="9">
        <v>16790</v>
      </c>
      <c r="K450" s="10">
        <f t="shared" si="17"/>
        <v>21590</v>
      </c>
      <c r="L450" s="10" t="s">
        <v>2657</v>
      </c>
      <c r="M450" s="11" t="s">
        <v>2658</v>
      </c>
      <c r="N450" s="12">
        <f>2.2+16</f>
        <v>18.2</v>
      </c>
      <c r="O450" s="13" t="s">
        <v>855</v>
      </c>
      <c r="P450" s="14"/>
    </row>
    <row r="451" spans="1:17" x14ac:dyDescent="0.25">
      <c r="A451" s="6"/>
      <c r="B451" s="7">
        <v>44303</v>
      </c>
      <c r="C451" s="8" t="s">
        <v>984</v>
      </c>
      <c r="D451" s="8" t="s">
        <v>899</v>
      </c>
      <c r="E451" s="9" t="s">
        <v>490</v>
      </c>
      <c r="F451" s="9" t="s">
        <v>491</v>
      </c>
      <c r="G451" s="17">
        <v>0.4597222222222222</v>
      </c>
      <c r="H451" s="17">
        <v>0.46666666666666662</v>
      </c>
      <c r="I451" s="9">
        <v>40050</v>
      </c>
      <c r="J451" s="9">
        <v>16000</v>
      </c>
      <c r="K451" s="10">
        <f t="shared" si="17"/>
        <v>24050</v>
      </c>
      <c r="L451" s="10">
        <v>23810</v>
      </c>
      <c r="M451" s="11" t="s">
        <v>1490</v>
      </c>
      <c r="N451" s="12">
        <v>20</v>
      </c>
      <c r="O451" s="13" t="s">
        <v>855</v>
      </c>
      <c r="P451" s="14"/>
      <c r="Q451" s="1">
        <f>7.2+4</f>
        <v>11.2</v>
      </c>
    </row>
    <row r="452" spans="1:17" x14ac:dyDescent="0.25">
      <c r="A452" s="6"/>
      <c r="B452" s="7">
        <v>44303</v>
      </c>
      <c r="C452" s="8" t="s">
        <v>984</v>
      </c>
      <c r="D452" s="8" t="s">
        <v>928</v>
      </c>
      <c r="E452" s="9" t="s">
        <v>947</v>
      </c>
      <c r="F452" s="9" t="s">
        <v>948</v>
      </c>
      <c r="G452" s="17">
        <v>0.46319444444444446</v>
      </c>
      <c r="H452" s="17">
        <v>0.4694444444444445</v>
      </c>
      <c r="I452" s="9">
        <v>17530</v>
      </c>
      <c r="J452" s="9">
        <v>7440</v>
      </c>
      <c r="K452" s="10">
        <f t="shared" si="17"/>
        <v>10090</v>
      </c>
      <c r="L452" s="10">
        <v>23810</v>
      </c>
      <c r="M452" s="11" t="s">
        <v>1490</v>
      </c>
      <c r="N452" s="12">
        <v>8.8000000000000007</v>
      </c>
      <c r="O452" s="13" t="s">
        <v>855</v>
      </c>
      <c r="P452" s="14"/>
      <c r="Q452" s="1">
        <f>7.2+14</f>
        <v>21.2</v>
      </c>
    </row>
    <row r="453" spans="1:17" x14ac:dyDescent="0.25">
      <c r="A453" s="6"/>
      <c r="B453" s="7">
        <v>44303</v>
      </c>
      <c r="C453" s="8" t="s">
        <v>984</v>
      </c>
      <c r="D453" s="8" t="s">
        <v>198</v>
      </c>
      <c r="E453" s="9" t="s">
        <v>51</v>
      </c>
      <c r="F453" s="9" t="s">
        <v>52</v>
      </c>
      <c r="G453" s="17">
        <v>0.46527777777777773</v>
      </c>
      <c r="H453" s="17">
        <v>0.47361111111111115</v>
      </c>
      <c r="I453" s="9">
        <v>40310</v>
      </c>
      <c r="J453" s="9">
        <v>15370</v>
      </c>
      <c r="K453" s="10">
        <f t="shared" si="17"/>
        <v>24940</v>
      </c>
      <c r="L453" s="10">
        <v>23810</v>
      </c>
      <c r="M453" s="11" t="s">
        <v>1490</v>
      </c>
      <c r="N453" s="12">
        <v>21.2</v>
      </c>
      <c r="O453" s="13" t="s">
        <v>855</v>
      </c>
      <c r="P453" s="14"/>
    </row>
    <row r="454" spans="1:17" x14ac:dyDescent="0.25">
      <c r="A454" s="6"/>
      <c r="B454" s="7">
        <v>44303</v>
      </c>
      <c r="C454" s="43" t="s">
        <v>2660</v>
      </c>
      <c r="D454" s="8" t="s">
        <v>711</v>
      </c>
      <c r="E454" s="9" t="s">
        <v>1632</v>
      </c>
      <c r="F454" s="9" t="s">
        <v>266</v>
      </c>
      <c r="G454" s="17">
        <v>0.48333333333333334</v>
      </c>
      <c r="H454" s="17">
        <v>0.48819444444444443</v>
      </c>
      <c r="I454" s="9">
        <v>380</v>
      </c>
      <c r="J454" s="9">
        <v>90</v>
      </c>
      <c r="K454" s="10">
        <f t="shared" si="17"/>
        <v>290</v>
      </c>
      <c r="L454" s="10" t="s">
        <v>2650</v>
      </c>
      <c r="M454" s="47" t="s">
        <v>2659</v>
      </c>
      <c r="N454" s="12">
        <v>290</v>
      </c>
      <c r="O454" s="13" t="s">
        <v>32</v>
      </c>
      <c r="P454" s="14"/>
    </row>
    <row r="455" spans="1:17" x14ac:dyDescent="0.25">
      <c r="A455" s="6"/>
      <c r="B455" s="7">
        <v>44303</v>
      </c>
      <c r="C455" s="8" t="s">
        <v>2661</v>
      </c>
      <c r="D455" s="8" t="s">
        <v>284</v>
      </c>
      <c r="E455" s="9" t="s">
        <v>177</v>
      </c>
      <c r="F455" s="9" t="s">
        <v>178</v>
      </c>
      <c r="G455" s="17">
        <v>0.50555555555555554</v>
      </c>
      <c r="H455" s="17">
        <v>0.51180555555555551</v>
      </c>
      <c r="I455" s="9">
        <v>37780</v>
      </c>
      <c r="J455" s="9">
        <v>17020</v>
      </c>
      <c r="K455" s="10">
        <f t="shared" si="17"/>
        <v>20760</v>
      </c>
      <c r="L455" s="10" t="s">
        <v>2662</v>
      </c>
      <c r="M455" s="11" t="s">
        <v>2416</v>
      </c>
      <c r="N455" s="12">
        <f>17.6+3.6</f>
        <v>21.200000000000003</v>
      </c>
      <c r="O455" s="13" t="s">
        <v>855</v>
      </c>
      <c r="P455" s="14"/>
    </row>
    <row r="456" spans="1:17" x14ac:dyDescent="0.25">
      <c r="A456" s="6"/>
      <c r="B456" s="7">
        <v>44303</v>
      </c>
      <c r="C456" s="8" t="s">
        <v>1849</v>
      </c>
      <c r="D456" s="8" t="s">
        <v>1672</v>
      </c>
      <c r="E456" s="9" t="s">
        <v>881</v>
      </c>
      <c r="F456" s="9" t="s">
        <v>749</v>
      </c>
      <c r="G456" s="17">
        <v>0.51874999999999993</v>
      </c>
      <c r="H456" s="17">
        <v>0.53402777777777777</v>
      </c>
      <c r="I456" s="9">
        <v>25830</v>
      </c>
      <c r="J456" s="9">
        <v>16770</v>
      </c>
      <c r="K456" s="10">
        <f t="shared" si="17"/>
        <v>9060</v>
      </c>
      <c r="L456" s="10">
        <v>23812</v>
      </c>
      <c r="M456" s="11" t="s">
        <v>1490</v>
      </c>
      <c r="N456" s="12">
        <v>9.35</v>
      </c>
      <c r="O456" s="13" t="s">
        <v>855</v>
      </c>
      <c r="P456" s="14"/>
    </row>
    <row r="457" spans="1:17" x14ac:dyDescent="0.25">
      <c r="A457" s="6"/>
      <c r="B457" s="7">
        <v>44303</v>
      </c>
      <c r="C457" s="8" t="s">
        <v>1290</v>
      </c>
      <c r="D457" s="8" t="s">
        <v>899</v>
      </c>
      <c r="E457" s="9" t="s">
        <v>490</v>
      </c>
      <c r="F457" s="9" t="s">
        <v>491</v>
      </c>
      <c r="G457" s="17">
        <v>0.53611111111111109</v>
      </c>
      <c r="H457" s="17">
        <v>0.54722222222222217</v>
      </c>
      <c r="I457" s="9">
        <v>23570</v>
      </c>
      <c r="J457" s="9">
        <v>15980</v>
      </c>
      <c r="K457" s="10">
        <f t="shared" si="17"/>
        <v>7590</v>
      </c>
      <c r="L457" s="10">
        <v>23813</v>
      </c>
      <c r="M457" s="11" t="s">
        <v>2663</v>
      </c>
      <c r="N457" s="12">
        <v>7</v>
      </c>
      <c r="O457" s="13" t="s">
        <v>855</v>
      </c>
      <c r="P457" s="14"/>
    </row>
    <row r="458" spans="1:17" x14ac:dyDescent="0.25">
      <c r="A458" s="6"/>
      <c r="B458" s="7">
        <v>44303</v>
      </c>
      <c r="C458" s="8" t="s">
        <v>2578</v>
      </c>
      <c r="D458" s="8" t="s">
        <v>198</v>
      </c>
      <c r="E458" s="9" t="s">
        <v>51</v>
      </c>
      <c r="F458" s="9" t="s">
        <v>52</v>
      </c>
      <c r="G458" s="17">
        <v>0.53819444444444442</v>
      </c>
      <c r="H458" s="17">
        <v>0.5493055555555556</v>
      </c>
      <c r="I458" s="9">
        <v>19300</v>
      </c>
      <c r="J458" s="9">
        <v>15350</v>
      </c>
      <c r="K458" s="10">
        <f t="shared" si="17"/>
        <v>3950</v>
      </c>
      <c r="L458" s="10">
        <v>23814</v>
      </c>
      <c r="M458" s="11" t="s">
        <v>2664</v>
      </c>
      <c r="N458" s="12">
        <v>3950</v>
      </c>
      <c r="O458" s="13" t="s">
        <v>2665</v>
      </c>
      <c r="P458" s="14" t="s">
        <v>2666</v>
      </c>
    </row>
    <row r="459" spans="1:17" x14ac:dyDescent="0.25">
      <c r="A459" s="6"/>
      <c r="B459" s="7">
        <v>44303</v>
      </c>
      <c r="C459" s="8" t="s">
        <v>1083</v>
      </c>
      <c r="D459" s="8" t="s">
        <v>1084</v>
      </c>
      <c r="E459" s="9" t="s">
        <v>1745</v>
      </c>
      <c r="F459" s="9" t="s">
        <v>1454</v>
      </c>
      <c r="G459" s="17">
        <v>0.59305555555555556</v>
      </c>
      <c r="H459" s="17">
        <v>0.61249999999999993</v>
      </c>
      <c r="I459" s="9">
        <v>10250</v>
      </c>
      <c r="J459" s="9">
        <v>6340</v>
      </c>
      <c r="K459" s="10">
        <f t="shared" si="17"/>
        <v>3910</v>
      </c>
      <c r="L459" s="10">
        <v>20208</v>
      </c>
      <c r="M459" s="11" t="s">
        <v>1087</v>
      </c>
      <c r="N459" s="12">
        <v>3910</v>
      </c>
      <c r="O459" s="13" t="s">
        <v>2665</v>
      </c>
      <c r="P459" s="14" t="s">
        <v>1193</v>
      </c>
    </row>
    <row r="460" spans="1:17" x14ac:dyDescent="0.25">
      <c r="A460" s="6"/>
      <c r="B460" s="7">
        <v>44303</v>
      </c>
      <c r="C460" s="8" t="s">
        <v>2483</v>
      </c>
      <c r="D460" s="8" t="s">
        <v>2483</v>
      </c>
      <c r="E460" s="9" t="s">
        <v>2667</v>
      </c>
      <c r="F460" s="9" t="s">
        <v>36</v>
      </c>
      <c r="G460" s="17">
        <v>0.63680555555555551</v>
      </c>
      <c r="H460" s="17">
        <v>0.65972222222222221</v>
      </c>
      <c r="I460" s="9">
        <v>4390</v>
      </c>
      <c r="J460" s="9">
        <v>2720</v>
      </c>
      <c r="K460" s="10">
        <f t="shared" si="17"/>
        <v>1670</v>
      </c>
      <c r="L460" s="10">
        <v>26844</v>
      </c>
      <c r="M460" s="11" t="s">
        <v>1676</v>
      </c>
      <c r="N460" s="12">
        <v>1670</v>
      </c>
      <c r="O460" s="13" t="s">
        <v>2665</v>
      </c>
      <c r="P460" s="14"/>
    </row>
    <row r="461" spans="1:17" x14ac:dyDescent="0.25">
      <c r="A461" s="6"/>
      <c r="B461" s="7">
        <v>44303</v>
      </c>
      <c r="C461" s="8" t="s">
        <v>1789</v>
      </c>
      <c r="D461" s="8" t="s">
        <v>1677</v>
      </c>
      <c r="E461" s="9" t="s">
        <v>1095</v>
      </c>
      <c r="F461" s="9" t="s">
        <v>36</v>
      </c>
      <c r="G461" s="17">
        <v>0.66319444444444442</v>
      </c>
      <c r="H461" s="17">
        <v>0.68055555555555547</v>
      </c>
      <c r="I461" s="9">
        <v>2810</v>
      </c>
      <c r="J461" s="9">
        <v>1260</v>
      </c>
      <c r="K461" s="10">
        <f t="shared" ref="K461:K524" si="19">+I461-J461</f>
        <v>1550</v>
      </c>
      <c r="L461" s="10">
        <v>26845</v>
      </c>
      <c r="M461" s="11" t="s">
        <v>1676</v>
      </c>
      <c r="N461" s="12">
        <v>1550</v>
      </c>
      <c r="O461" s="13" t="s">
        <v>2665</v>
      </c>
      <c r="P461" s="14"/>
    </row>
    <row r="462" spans="1:17" x14ac:dyDescent="0.25">
      <c r="A462" s="6"/>
      <c r="B462" s="7">
        <v>44303</v>
      </c>
      <c r="C462" s="8" t="s">
        <v>1083</v>
      </c>
      <c r="D462" s="8" t="s">
        <v>1084</v>
      </c>
      <c r="E462" s="9" t="s">
        <v>502</v>
      </c>
      <c r="F462" s="9" t="s">
        <v>36</v>
      </c>
      <c r="G462" s="17">
        <v>0.66597222222222219</v>
      </c>
      <c r="H462" s="17">
        <v>0.68402777777777779</v>
      </c>
      <c r="I462" s="9">
        <v>7810</v>
      </c>
      <c r="J462" s="9">
        <v>5610</v>
      </c>
      <c r="K462" s="10">
        <f t="shared" si="19"/>
        <v>2200</v>
      </c>
      <c r="L462" s="10">
        <v>20209</v>
      </c>
      <c r="M462" s="11" t="s">
        <v>1873</v>
      </c>
      <c r="N462" s="12">
        <v>2200</v>
      </c>
      <c r="O462" s="13" t="s">
        <v>2665</v>
      </c>
      <c r="P462" s="14" t="s">
        <v>2475</v>
      </c>
    </row>
    <row r="463" spans="1:17" x14ac:dyDescent="0.25">
      <c r="A463" s="6"/>
      <c r="B463" s="7">
        <v>44303</v>
      </c>
      <c r="C463" s="8" t="s">
        <v>1789</v>
      </c>
      <c r="D463" s="8" t="s">
        <v>1813</v>
      </c>
      <c r="E463" s="9" t="s">
        <v>1675</v>
      </c>
      <c r="F463" s="9" t="s">
        <v>36</v>
      </c>
      <c r="G463" s="17">
        <v>0.66736111111111107</v>
      </c>
      <c r="H463" s="17">
        <v>0.68958333333333333</v>
      </c>
      <c r="I463" s="9">
        <v>4970</v>
      </c>
      <c r="J463" s="9">
        <v>2820</v>
      </c>
      <c r="K463" s="10">
        <f t="shared" si="19"/>
        <v>2150</v>
      </c>
      <c r="L463" s="10">
        <v>26846</v>
      </c>
      <c r="M463" s="11" t="s">
        <v>1676</v>
      </c>
      <c r="N463" s="12">
        <v>2150</v>
      </c>
      <c r="O463" s="13" t="s">
        <v>2665</v>
      </c>
      <c r="P463" s="14"/>
    </row>
    <row r="464" spans="1:17" x14ac:dyDescent="0.25">
      <c r="A464" s="6"/>
      <c r="B464" s="7">
        <v>44303</v>
      </c>
      <c r="C464" s="8" t="s">
        <v>2668</v>
      </c>
      <c r="D464" s="8" t="s">
        <v>174</v>
      </c>
      <c r="E464" s="9" t="s">
        <v>699</v>
      </c>
      <c r="F464" s="9" t="s">
        <v>459</v>
      </c>
      <c r="G464" s="17">
        <v>0.83958333333333324</v>
      </c>
      <c r="H464" s="17">
        <v>0.92569444444444438</v>
      </c>
      <c r="I464" s="9">
        <v>14970</v>
      </c>
      <c r="J464" s="9">
        <v>8210</v>
      </c>
      <c r="K464" s="10">
        <f t="shared" si="19"/>
        <v>6760</v>
      </c>
      <c r="L464" s="10" t="s">
        <v>2669</v>
      </c>
      <c r="M464" s="11" t="s">
        <v>2674</v>
      </c>
      <c r="N464" s="12">
        <v>6760</v>
      </c>
      <c r="O464" s="13" t="s">
        <v>32</v>
      </c>
      <c r="P464" s="14"/>
    </row>
    <row r="465" spans="1:16" x14ac:dyDescent="0.25">
      <c r="A465" s="6"/>
      <c r="B465" s="7">
        <v>44303</v>
      </c>
      <c r="C465" s="8" t="s">
        <v>1789</v>
      </c>
      <c r="D465" s="8" t="s">
        <v>1230</v>
      </c>
      <c r="E465" s="9" t="s">
        <v>1206</v>
      </c>
      <c r="F465" s="9" t="s">
        <v>36</v>
      </c>
      <c r="G465" s="17">
        <v>0.8569444444444444</v>
      </c>
      <c r="H465" s="17">
        <v>0.87361111111111101</v>
      </c>
      <c r="I465" s="9">
        <v>14620</v>
      </c>
      <c r="J465" s="9">
        <v>6630</v>
      </c>
      <c r="K465" s="10">
        <f t="shared" si="19"/>
        <v>7990</v>
      </c>
      <c r="L465" s="10">
        <v>26847</v>
      </c>
      <c r="M465" s="11" t="s">
        <v>2670</v>
      </c>
      <c r="N465" s="12">
        <v>7990</v>
      </c>
      <c r="O465" s="13" t="s">
        <v>32</v>
      </c>
      <c r="P465" s="14"/>
    </row>
    <row r="466" spans="1:16" x14ac:dyDescent="0.25">
      <c r="A466" s="6"/>
      <c r="B466" s="7">
        <v>44303</v>
      </c>
      <c r="C466" s="8" t="s">
        <v>37</v>
      </c>
      <c r="D466" s="8" t="s">
        <v>1696</v>
      </c>
      <c r="E466" s="9" t="s">
        <v>39</v>
      </c>
      <c r="F466" s="9" t="s">
        <v>36</v>
      </c>
      <c r="G466" s="17">
        <v>0.86111111111111116</v>
      </c>
      <c r="H466" s="17">
        <v>0.9194444444444444</v>
      </c>
      <c r="I466" s="9">
        <v>16025</v>
      </c>
      <c r="J466" s="9">
        <v>6300</v>
      </c>
      <c r="K466" s="10">
        <f t="shared" si="19"/>
        <v>9725</v>
      </c>
      <c r="L466" s="10">
        <v>26848</v>
      </c>
      <c r="M466" s="11" t="s">
        <v>2671</v>
      </c>
      <c r="N466" s="12">
        <v>9725</v>
      </c>
      <c r="O466" s="13" t="s">
        <v>32</v>
      </c>
      <c r="P466" s="14"/>
    </row>
    <row r="467" spans="1:16" x14ac:dyDescent="0.25">
      <c r="A467" s="6"/>
      <c r="B467" s="7">
        <v>44303</v>
      </c>
      <c r="C467" s="8" t="s">
        <v>37</v>
      </c>
      <c r="D467" s="8" t="s">
        <v>1001</v>
      </c>
      <c r="E467" s="9" t="s">
        <v>1002</v>
      </c>
      <c r="F467" s="9" t="s">
        <v>36</v>
      </c>
      <c r="G467" s="17">
        <v>0.8930555555555556</v>
      </c>
      <c r="H467" s="17">
        <v>0.95416666666666661</v>
      </c>
      <c r="I467" s="9">
        <v>12200</v>
      </c>
      <c r="J467" s="9">
        <v>4000</v>
      </c>
      <c r="K467" s="10">
        <f t="shared" si="19"/>
        <v>8200</v>
      </c>
      <c r="L467" s="10">
        <v>26849</v>
      </c>
      <c r="M467" s="11" t="s">
        <v>2672</v>
      </c>
      <c r="N467" s="12">
        <v>8200</v>
      </c>
      <c r="O467" s="13" t="s">
        <v>32</v>
      </c>
      <c r="P467" s="14"/>
    </row>
    <row r="468" spans="1:16" x14ac:dyDescent="0.25">
      <c r="A468" s="6"/>
      <c r="B468" s="7">
        <v>44303</v>
      </c>
      <c r="C468" s="8" t="s">
        <v>1673</v>
      </c>
      <c r="D468" s="8" t="s">
        <v>1230</v>
      </c>
      <c r="E468" s="9" t="s">
        <v>1231</v>
      </c>
      <c r="F468" s="9" t="s">
        <v>36</v>
      </c>
      <c r="G468" s="17">
        <v>0.92083333333333339</v>
      </c>
      <c r="H468" s="17">
        <v>0.9819444444444444</v>
      </c>
      <c r="I468" s="9">
        <v>11060</v>
      </c>
      <c r="J468" s="9">
        <v>4020</v>
      </c>
      <c r="K468" s="10">
        <f t="shared" si="19"/>
        <v>7040</v>
      </c>
      <c r="L468" s="10">
        <v>26851</v>
      </c>
      <c r="M468" s="11" t="s">
        <v>1461</v>
      </c>
      <c r="N468" s="12">
        <v>7040</v>
      </c>
      <c r="O468" s="13" t="s">
        <v>32</v>
      </c>
      <c r="P468" s="14"/>
    </row>
    <row r="469" spans="1:16" x14ac:dyDescent="0.25">
      <c r="A469" s="6"/>
      <c r="B469" s="7">
        <v>44303</v>
      </c>
      <c r="C469" s="8" t="s">
        <v>1789</v>
      </c>
      <c r="D469" s="8" t="s">
        <v>1230</v>
      </c>
      <c r="E469" s="9" t="s">
        <v>1206</v>
      </c>
      <c r="F469" s="9" t="s">
        <v>36</v>
      </c>
      <c r="G469" s="17">
        <v>0.95624999999999993</v>
      </c>
      <c r="H469" s="17">
        <v>0.97152777777777777</v>
      </c>
      <c r="I469" s="9">
        <v>10420</v>
      </c>
      <c r="J469" s="9">
        <v>6630</v>
      </c>
      <c r="K469" s="10">
        <f t="shared" si="19"/>
        <v>3790</v>
      </c>
      <c r="L469" s="10">
        <v>26850</v>
      </c>
      <c r="M469" s="11" t="s">
        <v>2673</v>
      </c>
      <c r="N469" s="12">
        <v>3790</v>
      </c>
      <c r="O469" s="13" t="s">
        <v>32</v>
      </c>
      <c r="P469" s="14"/>
    </row>
    <row r="470" spans="1:16" x14ac:dyDescent="0.25">
      <c r="A470" s="6"/>
      <c r="B470" s="15">
        <v>44304</v>
      </c>
      <c r="C470" s="16" t="s">
        <v>142</v>
      </c>
      <c r="D470" s="8" t="s">
        <v>86</v>
      </c>
      <c r="E470" s="9" t="s">
        <v>87</v>
      </c>
      <c r="F470" s="9" t="s">
        <v>88</v>
      </c>
      <c r="G470" s="17">
        <v>9.0277777777777776E-2</v>
      </c>
      <c r="H470" s="17">
        <v>0.10486111111111111</v>
      </c>
      <c r="I470" s="9">
        <v>38420</v>
      </c>
      <c r="J470" s="9">
        <v>17210</v>
      </c>
      <c r="K470" s="10">
        <f t="shared" si="19"/>
        <v>21210</v>
      </c>
      <c r="L470" s="10">
        <v>6305</v>
      </c>
      <c r="M470" s="11" t="s">
        <v>257</v>
      </c>
      <c r="N470" s="12">
        <v>21210</v>
      </c>
      <c r="O470" s="13" t="s">
        <v>32</v>
      </c>
      <c r="P470" s="14"/>
    </row>
    <row r="471" spans="1:16" x14ac:dyDescent="0.25">
      <c r="A471" s="6"/>
      <c r="B471" s="7">
        <v>44304</v>
      </c>
      <c r="C471" s="8" t="s">
        <v>1062</v>
      </c>
      <c r="D471" s="8" t="s">
        <v>243</v>
      </c>
      <c r="E471" s="9" t="s">
        <v>440</v>
      </c>
      <c r="F471" s="9" t="s">
        <v>1276</v>
      </c>
      <c r="G471" s="17">
        <v>0.40625</v>
      </c>
      <c r="H471" s="17">
        <v>0.41319444444444442</v>
      </c>
      <c r="I471" s="9">
        <v>36940</v>
      </c>
      <c r="J471" s="9">
        <v>15470</v>
      </c>
      <c r="K471" s="10">
        <f t="shared" si="19"/>
        <v>21470</v>
      </c>
      <c r="L471" s="10">
        <v>23815</v>
      </c>
      <c r="M471" s="11" t="s">
        <v>2675</v>
      </c>
      <c r="N471" s="12">
        <v>22</v>
      </c>
      <c r="O471" s="13" t="s">
        <v>855</v>
      </c>
      <c r="P471" s="14"/>
    </row>
    <row r="472" spans="1:16" x14ac:dyDescent="0.25">
      <c r="A472" s="6"/>
      <c r="B472" s="7">
        <v>44304</v>
      </c>
      <c r="C472" s="8" t="s">
        <v>1062</v>
      </c>
      <c r="D472" s="8" t="s">
        <v>1850</v>
      </c>
      <c r="E472" s="9" t="s">
        <v>144</v>
      </c>
      <c r="F472" s="9" t="s">
        <v>626</v>
      </c>
      <c r="G472" s="17">
        <v>0.41041666666666665</v>
      </c>
      <c r="H472" s="17">
        <v>0.41736111111111113</v>
      </c>
      <c r="I472" s="9">
        <v>37640</v>
      </c>
      <c r="J472" s="9">
        <v>15790</v>
      </c>
      <c r="K472" s="10">
        <f t="shared" si="19"/>
        <v>21850</v>
      </c>
      <c r="L472" s="10">
        <v>23815</v>
      </c>
      <c r="M472" s="11" t="s">
        <v>2675</v>
      </c>
      <c r="N472" s="12">
        <v>22</v>
      </c>
      <c r="O472" s="13" t="s">
        <v>855</v>
      </c>
      <c r="P472" s="14"/>
    </row>
    <row r="473" spans="1:16" x14ac:dyDescent="0.25">
      <c r="A473" s="6"/>
      <c r="B473" s="7">
        <v>44304</v>
      </c>
      <c r="C473" s="8" t="s">
        <v>1062</v>
      </c>
      <c r="D473" s="8" t="s">
        <v>1794</v>
      </c>
      <c r="E473" s="9" t="s">
        <v>628</v>
      </c>
      <c r="F473" s="9" t="s">
        <v>628</v>
      </c>
      <c r="G473" s="17">
        <v>0.4145833333333333</v>
      </c>
      <c r="H473" s="17">
        <v>0.4201388888888889</v>
      </c>
      <c r="I473" s="9">
        <v>21070</v>
      </c>
      <c r="J473" s="9">
        <v>9840</v>
      </c>
      <c r="K473" s="10">
        <f t="shared" si="19"/>
        <v>11230</v>
      </c>
      <c r="L473" s="10">
        <v>23815</v>
      </c>
      <c r="M473" s="11" t="s">
        <v>2676</v>
      </c>
      <c r="N473" s="12">
        <v>10</v>
      </c>
      <c r="O473" s="13" t="s">
        <v>855</v>
      </c>
      <c r="P473" s="14"/>
    </row>
    <row r="474" spans="1:16" x14ac:dyDescent="0.25">
      <c r="A474" s="6"/>
      <c r="B474" s="7">
        <v>44304</v>
      </c>
      <c r="C474" s="8" t="s">
        <v>1062</v>
      </c>
      <c r="D474" s="8" t="s">
        <v>1355</v>
      </c>
      <c r="E474" s="9" t="s">
        <v>1048</v>
      </c>
      <c r="F474" s="9" t="s">
        <v>526</v>
      </c>
      <c r="G474" s="17">
        <v>0.41944444444444445</v>
      </c>
      <c r="H474" s="17">
        <v>0.42777777777777781</v>
      </c>
      <c r="I474" s="9">
        <v>36480</v>
      </c>
      <c r="J474" s="9">
        <v>16670</v>
      </c>
      <c r="K474" s="10">
        <f t="shared" si="19"/>
        <v>19810</v>
      </c>
      <c r="L474" s="10">
        <v>23815</v>
      </c>
      <c r="M474" s="11" t="s">
        <v>2676</v>
      </c>
      <c r="N474" s="12">
        <v>18</v>
      </c>
      <c r="O474" s="13" t="s">
        <v>855</v>
      </c>
      <c r="P474" s="14"/>
    </row>
    <row r="475" spans="1:16" x14ac:dyDescent="0.25">
      <c r="A475" s="6"/>
      <c r="B475" s="7">
        <v>44304</v>
      </c>
      <c r="C475" s="8" t="s">
        <v>2677</v>
      </c>
      <c r="D475" s="8" t="s">
        <v>853</v>
      </c>
      <c r="E475" s="9" t="s">
        <v>51</v>
      </c>
      <c r="F475" s="9" t="s">
        <v>52</v>
      </c>
      <c r="G475" s="17">
        <v>0.46111111111111108</v>
      </c>
      <c r="H475" s="17">
        <v>0.47083333333333338</v>
      </c>
      <c r="I475" s="9">
        <v>37850</v>
      </c>
      <c r="J475" s="9">
        <v>15360</v>
      </c>
      <c r="K475" s="10">
        <f t="shared" si="19"/>
        <v>22490</v>
      </c>
      <c r="L475" s="10" t="s">
        <v>2678</v>
      </c>
      <c r="M475" s="11" t="s">
        <v>2679</v>
      </c>
      <c r="N475" s="12">
        <v>20.8</v>
      </c>
      <c r="O475" s="13" t="s">
        <v>855</v>
      </c>
      <c r="P475" s="14"/>
    </row>
    <row r="476" spans="1:16" x14ac:dyDescent="0.25">
      <c r="A476" s="6"/>
      <c r="B476" s="7">
        <v>44304</v>
      </c>
      <c r="C476" s="8" t="s">
        <v>1558</v>
      </c>
      <c r="D476" s="8" t="s">
        <v>243</v>
      </c>
      <c r="E476" s="9" t="s">
        <v>440</v>
      </c>
      <c r="F476" s="9" t="s">
        <v>1276</v>
      </c>
      <c r="G476" s="17">
        <v>0.47638888888888892</v>
      </c>
      <c r="H476" s="17">
        <v>0.48333333333333334</v>
      </c>
      <c r="I476" s="9">
        <v>38050</v>
      </c>
      <c r="J476" s="9">
        <v>15470</v>
      </c>
      <c r="K476" s="10">
        <f t="shared" si="19"/>
        <v>22580</v>
      </c>
      <c r="L476" s="10">
        <v>23817</v>
      </c>
      <c r="M476" s="11" t="s">
        <v>1515</v>
      </c>
      <c r="N476" s="12">
        <v>22</v>
      </c>
      <c r="O476" s="13" t="s">
        <v>855</v>
      </c>
      <c r="P476" s="14"/>
    </row>
    <row r="477" spans="1:16" x14ac:dyDescent="0.25">
      <c r="A477" s="6"/>
      <c r="B477" s="7">
        <v>44304</v>
      </c>
      <c r="C477" s="8" t="s">
        <v>1558</v>
      </c>
      <c r="D477" s="8" t="s">
        <v>1850</v>
      </c>
      <c r="E477" s="9" t="s">
        <v>144</v>
      </c>
      <c r="F477" s="9" t="s">
        <v>626</v>
      </c>
      <c r="G477" s="17">
        <v>0.4861111111111111</v>
      </c>
      <c r="H477" s="17">
        <v>0.4916666666666667</v>
      </c>
      <c r="I477" s="9">
        <v>37760</v>
      </c>
      <c r="J477" s="9">
        <v>15630</v>
      </c>
      <c r="K477" s="10">
        <f t="shared" si="19"/>
        <v>22130</v>
      </c>
      <c r="L477" s="10">
        <v>23817</v>
      </c>
      <c r="M477" s="11" t="s">
        <v>2620</v>
      </c>
      <c r="N477" s="12">
        <v>22</v>
      </c>
      <c r="O477" s="13" t="s">
        <v>855</v>
      </c>
      <c r="P477" s="14"/>
    </row>
    <row r="478" spans="1:16" x14ac:dyDescent="0.25">
      <c r="A478" s="6"/>
      <c r="B478" s="7">
        <v>44304</v>
      </c>
      <c r="C478" s="8" t="s">
        <v>1558</v>
      </c>
      <c r="D478" s="8" t="s">
        <v>1794</v>
      </c>
      <c r="E478" s="9" t="s">
        <v>628</v>
      </c>
      <c r="F478" s="9" t="s">
        <v>628</v>
      </c>
      <c r="G478" s="17">
        <v>0.49861111111111112</v>
      </c>
      <c r="H478" s="17">
        <v>0.50347222222222221</v>
      </c>
      <c r="I478" s="9">
        <v>21010</v>
      </c>
      <c r="J478" s="9">
        <v>9670</v>
      </c>
      <c r="K478" s="10">
        <f t="shared" si="19"/>
        <v>11340</v>
      </c>
      <c r="L478" s="10">
        <v>23817</v>
      </c>
      <c r="M478" s="11" t="s">
        <v>1515</v>
      </c>
      <c r="N478" s="12">
        <v>11</v>
      </c>
      <c r="O478" s="13" t="s">
        <v>855</v>
      </c>
      <c r="P478" s="14"/>
    </row>
    <row r="479" spans="1:16" x14ac:dyDescent="0.25">
      <c r="A479" s="6"/>
      <c r="B479" s="7">
        <v>44304</v>
      </c>
      <c r="C479" s="8" t="s">
        <v>2681</v>
      </c>
      <c r="D479" s="8" t="s">
        <v>1355</v>
      </c>
      <c r="E479" s="9" t="s">
        <v>1048</v>
      </c>
      <c r="F479" s="9" t="s">
        <v>526</v>
      </c>
      <c r="G479" s="17">
        <v>0.52708333333333335</v>
      </c>
      <c r="H479" s="17">
        <v>0.53333333333333333</v>
      </c>
      <c r="I479" s="9">
        <v>36470</v>
      </c>
      <c r="J479" s="9">
        <v>16650</v>
      </c>
      <c r="K479" s="10">
        <f t="shared" si="19"/>
        <v>19820</v>
      </c>
      <c r="L479" s="10" t="s">
        <v>2680</v>
      </c>
      <c r="M479" s="11" t="s">
        <v>2076</v>
      </c>
      <c r="N479" s="12">
        <v>19.8</v>
      </c>
      <c r="O479" s="13" t="s">
        <v>855</v>
      </c>
      <c r="P479" s="14"/>
    </row>
    <row r="480" spans="1:16" x14ac:dyDescent="0.25">
      <c r="A480" s="6"/>
      <c r="B480" s="7">
        <v>44304</v>
      </c>
      <c r="C480" s="8" t="s">
        <v>1789</v>
      </c>
      <c r="D480" s="8" t="s">
        <v>1230</v>
      </c>
      <c r="E480" s="9" t="s">
        <v>1206</v>
      </c>
      <c r="F480" s="9" t="s">
        <v>36</v>
      </c>
      <c r="G480" s="17">
        <v>0.56666666666666665</v>
      </c>
      <c r="H480" s="17">
        <v>0.57916666666666672</v>
      </c>
      <c r="I480" s="9">
        <v>12760</v>
      </c>
      <c r="J480" s="9">
        <v>6630</v>
      </c>
      <c r="K480" s="10">
        <f t="shared" si="19"/>
        <v>6130</v>
      </c>
      <c r="L480" s="10">
        <v>26853</v>
      </c>
      <c r="M480" s="11" t="s">
        <v>1515</v>
      </c>
      <c r="N480" s="12">
        <v>6130</v>
      </c>
      <c r="O480" s="13" t="s">
        <v>32</v>
      </c>
      <c r="P480" s="14"/>
    </row>
    <row r="481" spans="1:16" x14ac:dyDescent="0.25">
      <c r="A481" s="6"/>
      <c r="B481" s="7">
        <v>44304</v>
      </c>
      <c r="C481" s="8" t="s">
        <v>2682</v>
      </c>
      <c r="D481" s="8" t="s">
        <v>299</v>
      </c>
      <c r="E481" s="9" t="s">
        <v>813</v>
      </c>
      <c r="F481" s="9" t="s">
        <v>814</v>
      </c>
      <c r="G481" s="17">
        <v>0.58611111111111114</v>
      </c>
      <c r="H481" s="17">
        <v>0.59097222222222223</v>
      </c>
      <c r="I481" s="9">
        <v>41560</v>
      </c>
      <c r="J481" s="9">
        <v>17450</v>
      </c>
      <c r="K481" s="10">
        <f t="shared" si="19"/>
        <v>24110</v>
      </c>
      <c r="L481" s="10" t="s">
        <v>2683</v>
      </c>
      <c r="M481" s="11" t="s">
        <v>2076</v>
      </c>
      <c r="N481" s="12">
        <v>21.06</v>
      </c>
      <c r="O481" s="13" t="s">
        <v>855</v>
      </c>
      <c r="P481" s="14"/>
    </row>
    <row r="482" spans="1:16" x14ac:dyDescent="0.25">
      <c r="A482" s="6"/>
      <c r="B482" s="7">
        <v>44304</v>
      </c>
      <c r="C482" s="8" t="s">
        <v>1042</v>
      </c>
      <c r="D482" s="8" t="s">
        <v>853</v>
      </c>
      <c r="E482" s="9" t="s">
        <v>51</v>
      </c>
      <c r="F482" s="9" t="s">
        <v>52</v>
      </c>
      <c r="G482" s="17">
        <v>0.60555555555555551</v>
      </c>
      <c r="H482" s="17">
        <v>0.6118055555555556</v>
      </c>
      <c r="I482" s="9">
        <v>36870</v>
      </c>
      <c r="J482" s="9">
        <v>15320</v>
      </c>
      <c r="K482" s="10">
        <f t="shared" si="19"/>
        <v>21550</v>
      </c>
      <c r="L482" s="10">
        <v>23822</v>
      </c>
      <c r="M482" s="11" t="s">
        <v>1784</v>
      </c>
      <c r="N482" s="12">
        <v>21550</v>
      </c>
      <c r="O482" s="13" t="s">
        <v>32</v>
      </c>
      <c r="P482" s="14" t="s">
        <v>989</v>
      </c>
    </row>
    <row r="483" spans="1:16" x14ac:dyDescent="0.25">
      <c r="A483" s="6"/>
      <c r="B483" s="7">
        <v>44304</v>
      </c>
      <c r="C483" s="8" t="s">
        <v>2188</v>
      </c>
      <c r="D483" s="8" t="s">
        <v>243</v>
      </c>
      <c r="E483" s="9" t="s">
        <v>440</v>
      </c>
      <c r="F483" s="9" t="s">
        <v>1276</v>
      </c>
      <c r="G483" s="17">
        <v>0.6069444444444444</v>
      </c>
      <c r="H483" s="17">
        <v>0.61458333333333337</v>
      </c>
      <c r="I483" s="9">
        <v>36610</v>
      </c>
      <c r="J483" s="9">
        <v>15690</v>
      </c>
      <c r="K483" s="10">
        <f t="shared" si="19"/>
        <v>20920</v>
      </c>
      <c r="L483" s="10">
        <v>23821</v>
      </c>
      <c r="M483" s="11" t="s">
        <v>1515</v>
      </c>
      <c r="N483" s="12">
        <v>22</v>
      </c>
      <c r="O483" s="13" t="s">
        <v>855</v>
      </c>
      <c r="P483" s="14"/>
    </row>
    <row r="484" spans="1:16" x14ac:dyDescent="0.25">
      <c r="A484" s="6"/>
      <c r="B484" s="7">
        <v>44304</v>
      </c>
      <c r="C484" s="8" t="s">
        <v>1042</v>
      </c>
      <c r="D484" s="8" t="s">
        <v>1794</v>
      </c>
      <c r="E484" s="9" t="s">
        <v>628</v>
      </c>
      <c r="F484" s="9" t="s">
        <v>628</v>
      </c>
      <c r="G484" s="17">
        <v>0.6166666666666667</v>
      </c>
      <c r="H484" s="17">
        <v>0.64097222222222217</v>
      </c>
      <c r="I484" s="9">
        <v>14940</v>
      </c>
      <c r="J484" s="9">
        <v>9760</v>
      </c>
      <c r="K484" s="10">
        <f t="shared" si="19"/>
        <v>5180</v>
      </c>
      <c r="L484" s="10">
        <v>23822</v>
      </c>
      <c r="M484" s="11" t="s">
        <v>1784</v>
      </c>
      <c r="N484" s="12">
        <v>5180</v>
      </c>
      <c r="O484" s="13" t="s">
        <v>32</v>
      </c>
      <c r="P484" s="14" t="s">
        <v>1291</v>
      </c>
    </row>
    <row r="485" spans="1:16" x14ac:dyDescent="0.25">
      <c r="A485" s="6"/>
      <c r="B485" s="7">
        <v>44304</v>
      </c>
      <c r="C485" s="8" t="s">
        <v>2188</v>
      </c>
      <c r="D485" s="8" t="s">
        <v>1850</v>
      </c>
      <c r="E485" s="9" t="s">
        <v>144</v>
      </c>
      <c r="F485" s="9" t="s">
        <v>626</v>
      </c>
      <c r="G485" s="17">
        <v>0.63541666666666663</v>
      </c>
      <c r="H485" s="17">
        <v>0.6479166666666667</v>
      </c>
      <c r="I485" s="9">
        <v>34270</v>
      </c>
      <c r="J485" s="9">
        <v>15600</v>
      </c>
      <c r="K485" s="10">
        <f t="shared" si="19"/>
        <v>18670</v>
      </c>
      <c r="L485" s="10">
        <v>23821</v>
      </c>
      <c r="M485" s="11" t="s">
        <v>1515</v>
      </c>
      <c r="N485" s="12">
        <v>19.8</v>
      </c>
      <c r="O485" s="13" t="s">
        <v>855</v>
      </c>
      <c r="P485" s="14"/>
    </row>
    <row r="486" spans="1:16" x14ac:dyDescent="0.25">
      <c r="A486" s="6"/>
      <c r="B486" s="7">
        <v>44304</v>
      </c>
      <c r="C486" s="8" t="s">
        <v>1083</v>
      </c>
      <c r="D486" s="8" t="s">
        <v>1084</v>
      </c>
      <c r="E486" s="9" t="s">
        <v>502</v>
      </c>
      <c r="F486" s="9" t="s">
        <v>503</v>
      </c>
      <c r="G486" s="17">
        <v>0.67291666666666661</v>
      </c>
      <c r="H486" s="17">
        <v>0.68680555555555556</v>
      </c>
      <c r="I486" s="9">
        <v>7250</v>
      </c>
      <c r="J486" s="9">
        <v>5450</v>
      </c>
      <c r="K486" s="10">
        <f t="shared" si="19"/>
        <v>1800</v>
      </c>
      <c r="L486" s="10">
        <v>20210</v>
      </c>
      <c r="M486" s="11" t="s">
        <v>1873</v>
      </c>
      <c r="N486" s="12">
        <v>1800</v>
      </c>
      <c r="O486" s="13" t="s">
        <v>32</v>
      </c>
      <c r="P486" s="14" t="s">
        <v>992</v>
      </c>
    </row>
    <row r="487" spans="1:16" x14ac:dyDescent="0.25">
      <c r="A487" s="6"/>
      <c r="B487" s="7">
        <v>44304</v>
      </c>
      <c r="C487" s="8" t="s">
        <v>2684</v>
      </c>
      <c r="D487" s="8" t="s">
        <v>1355</v>
      </c>
      <c r="E487" s="9" t="s">
        <v>1048</v>
      </c>
      <c r="F487" s="9" t="s">
        <v>526</v>
      </c>
      <c r="G487" s="17">
        <v>0.67638888888888893</v>
      </c>
      <c r="H487" s="17">
        <v>0.69236111111111109</v>
      </c>
      <c r="I487" s="9">
        <v>30620</v>
      </c>
      <c r="J487" s="9">
        <v>16640</v>
      </c>
      <c r="K487" s="10">
        <f t="shared" si="19"/>
        <v>13980</v>
      </c>
      <c r="L487" s="10" t="s">
        <v>2685</v>
      </c>
      <c r="M487" s="11" t="s">
        <v>2686</v>
      </c>
      <c r="N487" s="12">
        <v>13.2</v>
      </c>
      <c r="O487" s="13" t="s">
        <v>855</v>
      </c>
      <c r="P487" s="14"/>
    </row>
    <row r="488" spans="1:16" x14ac:dyDescent="0.25">
      <c r="A488" s="6"/>
      <c r="B488" s="7">
        <v>44304</v>
      </c>
      <c r="C488" s="8" t="s">
        <v>1065</v>
      </c>
      <c r="D488" s="8" t="s">
        <v>284</v>
      </c>
      <c r="E488" s="9" t="s">
        <v>177</v>
      </c>
      <c r="F488" s="9" t="s">
        <v>178</v>
      </c>
      <c r="G488" s="17">
        <v>0.68611111111111101</v>
      </c>
      <c r="H488" s="17">
        <v>0.69791666666666663</v>
      </c>
      <c r="I488" s="9">
        <v>39390</v>
      </c>
      <c r="J488" s="9">
        <v>16960</v>
      </c>
      <c r="K488" s="10">
        <f t="shared" si="19"/>
        <v>22430</v>
      </c>
      <c r="L488" s="10">
        <v>23825</v>
      </c>
      <c r="M488" s="11" t="s">
        <v>2182</v>
      </c>
      <c r="N488" s="12">
        <v>22</v>
      </c>
      <c r="O488" s="13" t="s">
        <v>855</v>
      </c>
      <c r="P488" s="14"/>
    </row>
    <row r="489" spans="1:16" x14ac:dyDescent="0.25">
      <c r="A489" s="6"/>
      <c r="B489" s="7">
        <v>44304</v>
      </c>
      <c r="C489" s="8" t="s">
        <v>1065</v>
      </c>
      <c r="D489" s="8" t="s">
        <v>299</v>
      </c>
      <c r="E489" s="9" t="s">
        <v>813</v>
      </c>
      <c r="F489" s="9" t="s">
        <v>814</v>
      </c>
      <c r="G489" s="17">
        <v>0.69444444444444453</v>
      </c>
      <c r="H489" s="17">
        <v>0.7284722222222223</v>
      </c>
      <c r="I489" s="9">
        <v>40340</v>
      </c>
      <c r="J489" s="9">
        <v>17380</v>
      </c>
      <c r="K489" s="10">
        <f t="shared" si="19"/>
        <v>22960</v>
      </c>
      <c r="L489" s="10">
        <v>23825</v>
      </c>
      <c r="M489" s="11" t="s">
        <v>2182</v>
      </c>
      <c r="N489" s="12">
        <v>22</v>
      </c>
      <c r="O489" s="13" t="s">
        <v>855</v>
      </c>
      <c r="P489" s="14"/>
    </row>
    <row r="490" spans="1:16" x14ac:dyDescent="0.25">
      <c r="A490" s="6"/>
      <c r="B490" s="7">
        <v>44304</v>
      </c>
      <c r="C490" s="8" t="s">
        <v>1065</v>
      </c>
      <c r="D490" s="8" t="s">
        <v>1794</v>
      </c>
      <c r="E490" s="9" t="s">
        <v>628</v>
      </c>
      <c r="F490" s="9" t="s">
        <v>628</v>
      </c>
      <c r="G490" s="17">
        <v>0.70138888888888884</v>
      </c>
      <c r="H490" s="17">
        <v>0.72638888888888886</v>
      </c>
      <c r="I490" s="9">
        <v>12930</v>
      </c>
      <c r="J490" s="9">
        <v>9830</v>
      </c>
      <c r="K490" s="10">
        <f t="shared" si="19"/>
        <v>3100</v>
      </c>
      <c r="L490" s="10">
        <v>23825</v>
      </c>
      <c r="M490" s="11" t="s">
        <v>2182</v>
      </c>
      <c r="N490" s="12">
        <v>3</v>
      </c>
      <c r="O490" s="13" t="s">
        <v>855</v>
      </c>
      <c r="P490" s="14"/>
    </row>
    <row r="491" spans="1:16" x14ac:dyDescent="0.25">
      <c r="A491" s="6"/>
      <c r="B491" s="7">
        <v>44304</v>
      </c>
      <c r="C491" s="8" t="s">
        <v>1673</v>
      </c>
      <c r="D491" s="8" t="s">
        <v>1230</v>
      </c>
      <c r="E491" s="9" t="s">
        <v>1231</v>
      </c>
      <c r="F491" s="9" t="s">
        <v>36</v>
      </c>
      <c r="G491" s="17">
        <v>0.70277777777777783</v>
      </c>
      <c r="H491" s="17">
        <v>0.73888888888888893</v>
      </c>
      <c r="I491" s="9">
        <v>9420</v>
      </c>
      <c r="J491" s="9">
        <v>4010</v>
      </c>
      <c r="K491" s="10">
        <f t="shared" si="19"/>
        <v>5410</v>
      </c>
      <c r="L491" s="10">
        <v>26854</v>
      </c>
      <c r="M491" s="11" t="s">
        <v>2687</v>
      </c>
      <c r="N491" s="12">
        <v>5410</v>
      </c>
      <c r="O491" s="13" t="s">
        <v>32</v>
      </c>
      <c r="P491" s="14"/>
    </row>
    <row r="492" spans="1:16" x14ac:dyDescent="0.25">
      <c r="A492" s="6"/>
      <c r="B492" s="7">
        <v>44304</v>
      </c>
      <c r="C492" s="8" t="s">
        <v>1673</v>
      </c>
      <c r="D492" s="8" t="s">
        <v>1794</v>
      </c>
      <c r="E492" s="9" t="s">
        <v>628</v>
      </c>
      <c r="F492" s="9" t="s">
        <v>628</v>
      </c>
      <c r="G492" s="17">
        <v>0.77500000000000002</v>
      </c>
      <c r="H492" s="17">
        <v>0.78194444444444444</v>
      </c>
      <c r="I492" s="9">
        <v>15180</v>
      </c>
      <c r="J492" s="9">
        <v>9650</v>
      </c>
      <c r="K492" s="10">
        <f t="shared" si="19"/>
        <v>5530</v>
      </c>
      <c r="L492" s="10">
        <v>26855</v>
      </c>
      <c r="M492" s="11" t="s">
        <v>2620</v>
      </c>
      <c r="N492" s="12">
        <v>5530</v>
      </c>
      <c r="O492" s="13" t="s">
        <v>32</v>
      </c>
      <c r="P492" s="14"/>
    </row>
    <row r="493" spans="1:16" x14ac:dyDescent="0.25">
      <c r="A493" s="6"/>
      <c r="B493" s="7">
        <v>44304</v>
      </c>
      <c r="C493" s="8" t="s">
        <v>2688</v>
      </c>
      <c r="D493" s="8" t="s">
        <v>1850</v>
      </c>
      <c r="E493" s="9" t="s">
        <v>144</v>
      </c>
      <c r="F493" s="9" t="s">
        <v>626</v>
      </c>
      <c r="G493" s="17">
        <v>0.78611111111111109</v>
      </c>
      <c r="H493" s="17">
        <v>0.7909722222222223</v>
      </c>
      <c r="I493" s="9">
        <v>26170</v>
      </c>
      <c r="J493" s="9">
        <v>15610</v>
      </c>
      <c r="K493" s="10">
        <f t="shared" si="19"/>
        <v>10560</v>
      </c>
      <c r="L493" s="10">
        <v>23826</v>
      </c>
      <c r="M493" s="11" t="s">
        <v>2182</v>
      </c>
      <c r="N493" s="12">
        <v>10.8</v>
      </c>
      <c r="O493" s="13" t="s">
        <v>855</v>
      </c>
      <c r="P493" s="14"/>
    </row>
    <row r="494" spans="1:16" x14ac:dyDescent="0.25">
      <c r="A494" s="6"/>
      <c r="B494" s="7">
        <v>44304</v>
      </c>
      <c r="C494" s="8" t="s">
        <v>1062</v>
      </c>
      <c r="D494" s="8" t="s">
        <v>1794</v>
      </c>
      <c r="E494" s="9" t="s">
        <v>628</v>
      </c>
      <c r="F494" s="9" t="s">
        <v>629</v>
      </c>
      <c r="G494" s="17">
        <v>0.82847222222222217</v>
      </c>
      <c r="H494" s="17">
        <v>0.83263888888888893</v>
      </c>
      <c r="I494" s="9">
        <v>11590</v>
      </c>
      <c r="J494" s="9">
        <v>9640</v>
      </c>
      <c r="K494" s="10">
        <f t="shared" si="19"/>
        <v>1950</v>
      </c>
      <c r="L494" s="10">
        <v>23827</v>
      </c>
      <c r="M494" s="11" t="s">
        <v>1490</v>
      </c>
      <c r="N494" s="12">
        <v>195</v>
      </c>
      <c r="O494" s="13" t="s">
        <v>683</v>
      </c>
      <c r="P494" s="14" t="s">
        <v>2689</v>
      </c>
    </row>
    <row r="495" spans="1:16" x14ac:dyDescent="0.25">
      <c r="A495" s="6"/>
      <c r="B495" s="7">
        <v>44304</v>
      </c>
      <c r="C495" s="8" t="s">
        <v>1673</v>
      </c>
      <c r="D495" s="8" t="s">
        <v>1230</v>
      </c>
      <c r="E495" s="9" t="s">
        <v>1206</v>
      </c>
      <c r="F495" s="9" t="s">
        <v>154</v>
      </c>
      <c r="G495" s="17">
        <v>0.84236111111111101</v>
      </c>
      <c r="H495" s="17">
        <v>0.86111111111111116</v>
      </c>
      <c r="I495" s="9">
        <v>13720</v>
      </c>
      <c r="J495" s="9">
        <v>6660</v>
      </c>
      <c r="K495" s="10">
        <f t="shared" si="19"/>
        <v>7060</v>
      </c>
      <c r="L495" s="10">
        <v>26856</v>
      </c>
      <c r="M495" s="11" t="s">
        <v>1461</v>
      </c>
      <c r="N495" s="12">
        <v>7060</v>
      </c>
      <c r="O495" s="13" t="s">
        <v>683</v>
      </c>
      <c r="P495" s="14"/>
    </row>
    <row r="496" spans="1:16" x14ac:dyDescent="0.25">
      <c r="A496" s="6"/>
      <c r="B496" s="7">
        <v>44304</v>
      </c>
      <c r="C496" s="8" t="s">
        <v>1673</v>
      </c>
      <c r="D496" s="8" t="s">
        <v>1230</v>
      </c>
      <c r="E496" s="9" t="s">
        <v>1231</v>
      </c>
      <c r="F496" s="9" t="s">
        <v>36</v>
      </c>
      <c r="G496" s="17">
        <v>0.86944444444444446</v>
      </c>
      <c r="H496" s="17">
        <v>0.90138888888888891</v>
      </c>
      <c r="I496" s="9">
        <v>6740</v>
      </c>
      <c r="J496" s="9">
        <v>4010</v>
      </c>
      <c r="K496" s="10">
        <f t="shared" si="19"/>
        <v>2730</v>
      </c>
      <c r="L496" s="10">
        <v>26857</v>
      </c>
      <c r="M496" s="11" t="s">
        <v>2670</v>
      </c>
      <c r="N496" s="12">
        <v>2730</v>
      </c>
      <c r="O496" s="13" t="s">
        <v>683</v>
      </c>
      <c r="P496" s="14"/>
    </row>
    <row r="497" spans="1:17" x14ac:dyDescent="0.25">
      <c r="A497" s="6"/>
      <c r="B497" s="15">
        <v>44304</v>
      </c>
      <c r="C497" s="16" t="s">
        <v>1616</v>
      </c>
      <c r="D497" s="8" t="s">
        <v>1001</v>
      </c>
      <c r="E497" s="9" t="s">
        <v>39</v>
      </c>
      <c r="F497" s="9" t="s">
        <v>36</v>
      </c>
      <c r="G497" s="17">
        <v>0.87152777777777779</v>
      </c>
      <c r="H497" s="17">
        <v>0.8881944444444444</v>
      </c>
      <c r="I497" s="9">
        <v>11060</v>
      </c>
      <c r="J497" s="9">
        <v>6170</v>
      </c>
      <c r="K497" s="10">
        <f t="shared" si="19"/>
        <v>4890</v>
      </c>
      <c r="L497" s="10">
        <v>26858</v>
      </c>
      <c r="M497" s="11" t="s">
        <v>2649</v>
      </c>
      <c r="N497" s="12">
        <v>4890</v>
      </c>
      <c r="O497" s="13" t="s">
        <v>32</v>
      </c>
      <c r="P497" s="14"/>
    </row>
    <row r="498" spans="1:17" x14ac:dyDescent="0.25">
      <c r="A498" s="6"/>
      <c r="B498" s="7">
        <v>44305</v>
      </c>
      <c r="C498" s="8" t="s">
        <v>130</v>
      </c>
      <c r="D498" s="8" t="s">
        <v>131</v>
      </c>
      <c r="E498" s="9" t="s">
        <v>132</v>
      </c>
      <c r="F498" s="9" t="s">
        <v>36</v>
      </c>
      <c r="G498" s="17">
        <v>0.27708333333333335</v>
      </c>
      <c r="H498" s="17">
        <v>0.29444444444444445</v>
      </c>
      <c r="I498" s="9">
        <v>42360</v>
      </c>
      <c r="J498" s="9">
        <v>18470</v>
      </c>
      <c r="K498" s="10">
        <f t="shared" si="19"/>
        <v>23890</v>
      </c>
      <c r="L498" s="10">
        <v>5764</v>
      </c>
      <c r="M498" s="11" t="s">
        <v>31</v>
      </c>
      <c r="N498" s="12">
        <v>23890</v>
      </c>
      <c r="O498" s="13" t="s">
        <v>32</v>
      </c>
      <c r="P498" s="14"/>
    </row>
    <row r="499" spans="1:17" x14ac:dyDescent="0.25">
      <c r="A499" s="6"/>
      <c r="B499" s="7">
        <v>44305</v>
      </c>
      <c r="C499" s="8" t="s">
        <v>130</v>
      </c>
      <c r="D499" s="8" t="s">
        <v>356</v>
      </c>
      <c r="E499" s="9" t="s">
        <v>904</v>
      </c>
      <c r="F499" s="9" t="s">
        <v>36</v>
      </c>
      <c r="G499" s="17">
        <v>0.28611111111111115</v>
      </c>
      <c r="H499" s="17">
        <v>0.30902777777777779</v>
      </c>
      <c r="I499" s="9">
        <v>48510</v>
      </c>
      <c r="J499" s="9">
        <v>18420</v>
      </c>
      <c r="K499" s="10">
        <f t="shared" si="19"/>
        <v>30090</v>
      </c>
      <c r="L499" s="10">
        <v>5763</v>
      </c>
      <c r="M499" s="11" t="s">
        <v>31</v>
      </c>
      <c r="N499" s="12">
        <v>30090</v>
      </c>
      <c r="O499" s="13" t="s">
        <v>32</v>
      </c>
      <c r="P499" s="14"/>
    </row>
    <row r="500" spans="1:17" x14ac:dyDescent="0.25">
      <c r="A500" s="6"/>
      <c r="B500" s="7">
        <v>44305</v>
      </c>
      <c r="C500" s="8" t="s">
        <v>2690</v>
      </c>
      <c r="D500" s="8" t="s">
        <v>2691</v>
      </c>
      <c r="E500" s="9" t="s">
        <v>2692</v>
      </c>
      <c r="F500" s="9" t="s">
        <v>36</v>
      </c>
      <c r="G500" s="17">
        <v>0.3430555555555555</v>
      </c>
      <c r="H500" s="17">
        <v>0.56666666666666665</v>
      </c>
      <c r="I500" s="9">
        <v>14030</v>
      </c>
      <c r="J500" s="9">
        <v>40530</v>
      </c>
      <c r="K500" s="10">
        <f t="shared" si="19"/>
        <v>-26500</v>
      </c>
      <c r="L500" s="10">
        <v>5966</v>
      </c>
      <c r="M500" s="11" t="s">
        <v>53</v>
      </c>
      <c r="N500" s="12">
        <v>530</v>
      </c>
      <c r="O500" s="13" t="s">
        <v>54</v>
      </c>
      <c r="P500" s="14"/>
    </row>
    <row r="501" spans="1:17" x14ac:dyDescent="0.25">
      <c r="A501" s="6"/>
      <c r="B501" s="7">
        <v>44305</v>
      </c>
      <c r="C501" s="8" t="s">
        <v>2690</v>
      </c>
      <c r="D501" s="8" t="s">
        <v>2693</v>
      </c>
      <c r="E501" s="9" t="s">
        <v>551</v>
      </c>
      <c r="F501" s="9" t="s">
        <v>36</v>
      </c>
      <c r="G501" s="17">
        <v>0.3444444444444445</v>
      </c>
      <c r="H501" s="17">
        <v>0.57222222222222219</v>
      </c>
      <c r="I501" s="9">
        <v>13960</v>
      </c>
      <c r="J501" s="9">
        <v>40460</v>
      </c>
      <c r="K501" s="10">
        <f t="shared" si="19"/>
        <v>-26500</v>
      </c>
      <c r="L501" s="10">
        <v>5964</v>
      </c>
      <c r="M501" s="11" t="s">
        <v>53</v>
      </c>
      <c r="N501" s="12">
        <v>530</v>
      </c>
      <c r="O501" s="13" t="s">
        <v>54</v>
      </c>
      <c r="P501" s="14"/>
    </row>
    <row r="502" spans="1:17" x14ac:dyDescent="0.25">
      <c r="A502" s="6"/>
      <c r="B502" s="7">
        <v>44305</v>
      </c>
      <c r="C502" s="8" t="s">
        <v>2690</v>
      </c>
      <c r="D502" s="8" t="s">
        <v>2694</v>
      </c>
      <c r="E502" s="9" t="s">
        <v>541</v>
      </c>
      <c r="F502" s="9" t="s">
        <v>36</v>
      </c>
      <c r="G502" s="17">
        <v>0.34791666666666665</v>
      </c>
      <c r="H502" s="17">
        <v>0.56944444444444442</v>
      </c>
      <c r="I502" s="9">
        <v>13690</v>
      </c>
      <c r="J502" s="9">
        <v>40190</v>
      </c>
      <c r="K502" s="10">
        <f t="shared" si="19"/>
        <v>-26500</v>
      </c>
      <c r="L502" s="10">
        <v>5965</v>
      </c>
      <c r="M502" s="11" t="s">
        <v>53</v>
      </c>
      <c r="N502" s="12">
        <v>530</v>
      </c>
      <c r="O502" s="13" t="s">
        <v>54</v>
      </c>
      <c r="P502" s="14"/>
    </row>
    <row r="503" spans="1:17" x14ac:dyDescent="0.25">
      <c r="A503" s="6"/>
      <c r="B503" s="7">
        <v>44305</v>
      </c>
      <c r="C503" s="8" t="s">
        <v>2690</v>
      </c>
      <c r="D503" s="8" t="s">
        <v>2695</v>
      </c>
      <c r="E503" s="9" t="s">
        <v>2696</v>
      </c>
      <c r="F503" s="9" t="s">
        <v>36</v>
      </c>
      <c r="G503" s="17">
        <v>0.34930555555555554</v>
      </c>
      <c r="H503" s="17">
        <v>0.57500000000000007</v>
      </c>
      <c r="I503" s="9">
        <v>13360</v>
      </c>
      <c r="J503" s="9">
        <v>39860</v>
      </c>
      <c r="K503" s="10">
        <f t="shared" si="19"/>
        <v>-26500</v>
      </c>
      <c r="L503" s="10">
        <v>5963</v>
      </c>
      <c r="M503" s="11" t="s">
        <v>53</v>
      </c>
      <c r="N503" s="12">
        <v>530</v>
      </c>
      <c r="O503" s="13" t="s">
        <v>54</v>
      </c>
      <c r="P503" s="14"/>
    </row>
    <row r="504" spans="1:17" x14ac:dyDescent="0.25">
      <c r="A504" s="6"/>
      <c r="B504" s="7">
        <v>44305</v>
      </c>
      <c r="C504" s="8" t="s">
        <v>164</v>
      </c>
      <c r="D504" s="8" t="s">
        <v>299</v>
      </c>
      <c r="E504" s="9" t="s">
        <v>813</v>
      </c>
      <c r="F504" s="9" t="s">
        <v>814</v>
      </c>
      <c r="G504" s="17">
        <v>0.43124999999999997</v>
      </c>
      <c r="H504" s="17">
        <v>0.54027777777777775</v>
      </c>
      <c r="I504" s="9">
        <v>16760</v>
      </c>
      <c r="J504" s="9">
        <v>42250</v>
      </c>
      <c r="K504" s="10">
        <f t="shared" si="19"/>
        <v>-25490</v>
      </c>
      <c r="L504" s="10">
        <v>17093</v>
      </c>
      <c r="M504" s="11" t="s">
        <v>166</v>
      </c>
      <c r="N504" s="12">
        <v>504</v>
      </c>
      <c r="O504" s="13" t="s">
        <v>54</v>
      </c>
      <c r="P504" s="14"/>
    </row>
    <row r="505" spans="1:17" x14ac:dyDescent="0.25">
      <c r="A505" s="6"/>
      <c r="B505" s="7">
        <v>44305</v>
      </c>
      <c r="C505" s="8" t="s">
        <v>164</v>
      </c>
      <c r="D505" s="8" t="s">
        <v>284</v>
      </c>
      <c r="E505" s="9" t="s">
        <v>177</v>
      </c>
      <c r="F505" s="9" t="s">
        <v>178</v>
      </c>
      <c r="G505" s="17">
        <v>0.47152777777777777</v>
      </c>
      <c r="H505" s="17">
        <v>0.55694444444444446</v>
      </c>
      <c r="I505" s="9">
        <v>15840</v>
      </c>
      <c r="J505" s="9">
        <v>41150</v>
      </c>
      <c r="K505" s="10">
        <f t="shared" si="19"/>
        <v>-25310</v>
      </c>
      <c r="L505" s="10">
        <v>17094</v>
      </c>
      <c r="M505" s="11" t="s">
        <v>166</v>
      </c>
      <c r="N505" s="12">
        <v>504</v>
      </c>
      <c r="O505" s="13" t="s">
        <v>54</v>
      </c>
      <c r="P505" s="14"/>
    </row>
    <row r="506" spans="1:17" x14ac:dyDescent="0.25">
      <c r="A506" s="6"/>
      <c r="B506" s="7">
        <v>44305</v>
      </c>
      <c r="C506" s="8" t="s">
        <v>2690</v>
      </c>
      <c r="D506" s="8" t="s">
        <v>1942</v>
      </c>
      <c r="E506" s="9" t="s">
        <v>561</v>
      </c>
      <c r="F506" s="9" t="s">
        <v>36</v>
      </c>
      <c r="G506" s="17">
        <v>0.47916666666666669</v>
      </c>
      <c r="H506" s="17">
        <v>0.68541666666666667</v>
      </c>
      <c r="I506" s="9">
        <v>15630</v>
      </c>
      <c r="J506" s="9">
        <v>42130</v>
      </c>
      <c r="K506" s="10">
        <f t="shared" si="19"/>
        <v>-26500</v>
      </c>
      <c r="L506" s="10">
        <v>5969</v>
      </c>
      <c r="M506" s="11" t="s">
        <v>53</v>
      </c>
      <c r="N506" s="12">
        <v>530</v>
      </c>
      <c r="O506" s="13" t="s">
        <v>54</v>
      </c>
      <c r="P506" s="14"/>
    </row>
    <row r="507" spans="1:17" x14ac:dyDescent="0.25">
      <c r="A507" s="6"/>
      <c r="B507" s="7">
        <v>44305</v>
      </c>
      <c r="C507" s="8" t="s">
        <v>2690</v>
      </c>
      <c r="D507" s="8" t="s">
        <v>2697</v>
      </c>
      <c r="E507" s="9" t="s">
        <v>2150</v>
      </c>
      <c r="F507" s="9" t="s">
        <v>36</v>
      </c>
      <c r="G507" s="17">
        <v>0.48055555555555557</v>
      </c>
      <c r="H507" s="17">
        <v>0.69097222222222221</v>
      </c>
      <c r="I507" s="9">
        <v>16300</v>
      </c>
      <c r="J507" s="9">
        <v>42800</v>
      </c>
      <c r="K507" s="10">
        <f t="shared" si="19"/>
        <v>-26500</v>
      </c>
      <c r="L507" s="10">
        <v>5968</v>
      </c>
      <c r="M507" s="11" t="s">
        <v>53</v>
      </c>
      <c r="N507" s="12">
        <v>530</v>
      </c>
      <c r="O507" s="13" t="s">
        <v>54</v>
      </c>
      <c r="P507" s="14"/>
    </row>
    <row r="508" spans="1:17" x14ac:dyDescent="0.25">
      <c r="A508" s="6"/>
      <c r="B508" s="7">
        <v>44305</v>
      </c>
      <c r="C508" s="8" t="s">
        <v>2690</v>
      </c>
      <c r="D508" s="8" t="s">
        <v>2698</v>
      </c>
      <c r="E508" s="9" t="s">
        <v>2232</v>
      </c>
      <c r="F508" s="9" t="s">
        <v>36</v>
      </c>
      <c r="G508" s="17">
        <v>0.4826388888888889</v>
      </c>
      <c r="H508" s="17">
        <v>0.69305555555555554</v>
      </c>
      <c r="I508" s="9">
        <v>15450</v>
      </c>
      <c r="J508" s="9">
        <v>41950</v>
      </c>
      <c r="K508" s="10">
        <f t="shared" si="19"/>
        <v>-26500</v>
      </c>
      <c r="L508" s="10">
        <v>5967</v>
      </c>
      <c r="M508" s="11" t="s">
        <v>53</v>
      </c>
      <c r="N508" s="12">
        <v>530</v>
      </c>
      <c r="O508" s="13" t="s">
        <v>54</v>
      </c>
      <c r="P508" s="14"/>
    </row>
    <row r="509" spans="1:17" x14ac:dyDescent="0.25">
      <c r="A509" s="6"/>
      <c r="B509" s="7">
        <v>44305</v>
      </c>
      <c r="C509" s="8" t="s">
        <v>2699</v>
      </c>
      <c r="D509" s="8" t="s">
        <v>243</v>
      </c>
      <c r="E509" s="9" t="s">
        <v>440</v>
      </c>
      <c r="F509" s="9" t="s">
        <v>1276</v>
      </c>
      <c r="G509" s="17">
        <v>0.48472222222222222</v>
      </c>
      <c r="H509" s="17">
        <v>0.48958333333333331</v>
      </c>
      <c r="I509" s="9">
        <v>23110</v>
      </c>
      <c r="J509" s="9">
        <v>15450</v>
      </c>
      <c r="K509" s="10">
        <f t="shared" si="19"/>
        <v>7660</v>
      </c>
      <c r="L509" s="10">
        <v>23828</v>
      </c>
      <c r="M509" s="11" t="s">
        <v>1515</v>
      </c>
      <c r="N509" s="12">
        <v>7.7</v>
      </c>
      <c r="O509" s="13" t="s">
        <v>855</v>
      </c>
      <c r="P509" s="14"/>
    </row>
    <row r="510" spans="1:17" x14ac:dyDescent="0.25">
      <c r="A510" s="6"/>
      <c r="B510" s="7">
        <v>44305</v>
      </c>
      <c r="C510" s="8" t="s">
        <v>2638</v>
      </c>
      <c r="D510" s="8" t="s">
        <v>2639</v>
      </c>
      <c r="E510" s="9" t="s">
        <v>2640</v>
      </c>
      <c r="F510" s="9" t="s">
        <v>36</v>
      </c>
      <c r="G510" s="17">
        <v>0.4861111111111111</v>
      </c>
      <c r="H510" s="17">
        <v>0.57986111111111105</v>
      </c>
      <c r="I510" s="9">
        <v>57230</v>
      </c>
      <c r="J510" s="9">
        <v>21920</v>
      </c>
      <c r="K510" s="10">
        <f t="shared" si="19"/>
        <v>35310</v>
      </c>
      <c r="L510" s="10">
        <v>14512</v>
      </c>
      <c r="M510" s="11" t="s">
        <v>306</v>
      </c>
      <c r="N510" s="12">
        <v>10000</v>
      </c>
      <c r="O510" s="13" t="s">
        <v>84</v>
      </c>
      <c r="P510" s="14"/>
    </row>
    <row r="511" spans="1:17" x14ac:dyDescent="0.25">
      <c r="A511" s="6"/>
      <c r="B511" s="7">
        <v>44305</v>
      </c>
      <c r="C511" s="8" t="s">
        <v>2700</v>
      </c>
      <c r="D511" s="8" t="s">
        <v>1355</v>
      </c>
      <c r="E511" s="9" t="s">
        <v>1048</v>
      </c>
      <c r="F511" s="9" t="s">
        <v>526</v>
      </c>
      <c r="G511" s="17">
        <v>0.51458333333333328</v>
      </c>
      <c r="H511" s="17">
        <v>0.52569444444444446</v>
      </c>
      <c r="I511" s="9">
        <v>37630</v>
      </c>
      <c r="J511" s="9">
        <v>16590</v>
      </c>
      <c r="K511" s="10">
        <f t="shared" si="19"/>
        <v>21040</v>
      </c>
      <c r="L511" s="10">
        <v>23829</v>
      </c>
      <c r="M511" s="11" t="s">
        <v>1784</v>
      </c>
      <c r="N511" s="12">
        <v>19.2</v>
      </c>
      <c r="O511" s="13" t="s">
        <v>855</v>
      </c>
      <c r="P511" s="14"/>
      <c r="Q511" s="2"/>
    </row>
    <row r="512" spans="1:17" x14ac:dyDescent="0.25">
      <c r="A512" s="6"/>
      <c r="B512" s="7">
        <v>44305</v>
      </c>
      <c r="C512" s="8" t="s">
        <v>2700</v>
      </c>
      <c r="D512" s="8" t="s">
        <v>1794</v>
      </c>
      <c r="E512" s="9" t="s">
        <v>628</v>
      </c>
      <c r="F512" s="9" t="s">
        <v>628</v>
      </c>
      <c r="G512" s="17">
        <v>0.52083333333333337</v>
      </c>
      <c r="H512" s="17">
        <v>0.52986111111111112</v>
      </c>
      <c r="I512" s="9">
        <v>22920</v>
      </c>
      <c r="J512" s="9">
        <v>9640</v>
      </c>
      <c r="K512" s="10">
        <f t="shared" si="19"/>
        <v>13280</v>
      </c>
      <c r="L512" s="10">
        <v>23829</v>
      </c>
      <c r="M512" s="11" t="s">
        <v>1784</v>
      </c>
      <c r="N512" s="12">
        <v>12</v>
      </c>
      <c r="O512" s="13" t="s">
        <v>855</v>
      </c>
      <c r="P512" s="14"/>
    </row>
    <row r="513" spans="1:23" x14ac:dyDescent="0.25">
      <c r="A513" s="6"/>
      <c r="B513" s="7">
        <v>44305</v>
      </c>
      <c r="C513" s="8" t="s">
        <v>2690</v>
      </c>
      <c r="D513" s="8" t="s">
        <v>2701</v>
      </c>
      <c r="E513" s="9" t="s">
        <v>2702</v>
      </c>
      <c r="F513" s="9" t="s">
        <v>36</v>
      </c>
      <c r="G513" s="17">
        <v>0.52777777777777779</v>
      </c>
      <c r="H513" s="17">
        <v>0.72638888888888886</v>
      </c>
      <c r="I513" s="9">
        <v>16550</v>
      </c>
      <c r="J513" s="9">
        <v>43050</v>
      </c>
      <c r="K513" s="10">
        <f t="shared" si="19"/>
        <v>-26500</v>
      </c>
      <c r="L513" s="10">
        <v>5970</v>
      </c>
      <c r="M513" s="11" t="s">
        <v>53</v>
      </c>
      <c r="N513" s="12">
        <v>530</v>
      </c>
      <c r="O513" s="13" t="s">
        <v>54</v>
      </c>
      <c r="P513" s="14"/>
    </row>
    <row r="514" spans="1:23" x14ac:dyDescent="0.25">
      <c r="A514" s="6"/>
      <c r="B514" s="7">
        <v>44305</v>
      </c>
      <c r="C514" s="8" t="s">
        <v>2703</v>
      </c>
      <c r="D514" s="8" t="s">
        <v>2704</v>
      </c>
      <c r="E514" s="9" t="s">
        <v>2705</v>
      </c>
      <c r="F514" s="9" t="s">
        <v>36</v>
      </c>
      <c r="G514" s="17">
        <v>0.55486111111111114</v>
      </c>
      <c r="H514" s="17">
        <v>0.56180555555555556</v>
      </c>
      <c r="I514" s="9">
        <v>4320</v>
      </c>
      <c r="J514" s="9">
        <v>4100</v>
      </c>
      <c r="K514" s="10">
        <f t="shared" si="19"/>
        <v>220</v>
      </c>
      <c r="L514" s="10">
        <v>19769</v>
      </c>
      <c r="M514" s="11" t="s">
        <v>2706</v>
      </c>
      <c r="N514" s="12">
        <v>200</v>
      </c>
      <c r="O514" s="13" t="s">
        <v>32</v>
      </c>
      <c r="P514" s="14"/>
    </row>
    <row r="515" spans="1:23" x14ac:dyDescent="0.25">
      <c r="A515" s="6"/>
      <c r="B515" s="7">
        <v>44305</v>
      </c>
      <c r="C515" s="8" t="s">
        <v>2707</v>
      </c>
      <c r="D515" s="8" t="s">
        <v>899</v>
      </c>
      <c r="E515" s="9" t="s">
        <v>490</v>
      </c>
      <c r="F515" s="9" t="s">
        <v>491</v>
      </c>
      <c r="G515" s="17">
        <v>0.57847222222222217</v>
      </c>
      <c r="H515" s="17">
        <v>0.58819444444444446</v>
      </c>
      <c r="I515" s="9">
        <v>28910</v>
      </c>
      <c r="J515" s="9">
        <v>15920</v>
      </c>
      <c r="K515" s="10">
        <f t="shared" si="19"/>
        <v>12990</v>
      </c>
      <c r="L515" s="10" t="s">
        <v>2708</v>
      </c>
      <c r="M515" s="11" t="s">
        <v>2182</v>
      </c>
      <c r="N515" s="12">
        <v>11.475</v>
      </c>
      <c r="O515" s="13" t="s">
        <v>855</v>
      </c>
      <c r="P515" s="14"/>
    </row>
    <row r="516" spans="1:23" x14ac:dyDescent="0.25">
      <c r="A516" s="6"/>
      <c r="B516" s="7">
        <v>44305</v>
      </c>
      <c r="C516" s="8" t="s">
        <v>927</v>
      </c>
      <c r="D516" s="8" t="s">
        <v>198</v>
      </c>
      <c r="E516" s="9" t="s">
        <v>881</v>
      </c>
      <c r="F516" s="9" t="s">
        <v>749</v>
      </c>
      <c r="G516" s="17">
        <v>0.5854166666666667</v>
      </c>
      <c r="H516" s="17">
        <v>0.59236111111111112</v>
      </c>
      <c r="I516" s="9">
        <v>20050</v>
      </c>
      <c r="J516" s="9">
        <v>16750</v>
      </c>
      <c r="K516" s="10">
        <f t="shared" si="19"/>
        <v>3300</v>
      </c>
      <c r="L516" s="10">
        <v>23831</v>
      </c>
      <c r="M516" s="11" t="s">
        <v>2709</v>
      </c>
      <c r="N516" s="12">
        <v>3</v>
      </c>
      <c r="O516" s="13" t="s">
        <v>855</v>
      </c>
      <c r="P516" s="14"/>
    </row>
    <row r="517" spans="1:23" x14ac:dyDescent="0.25">
      <c r="A517" s="6"/>
      <c r="B517" s="7">
        <v>44305</v>
      </c>
      <c r="C517" s="8" t="s">
        <v>2462</v>
      </c>
      <c r="D517" s="8" t="s">
        <v>1794</v>
      </c>
      <c r="E517" s="9" t="s">
        <v>628</v>
      </c>
      <c r="F517" s="9" t="s">
        <v>628</v>
      </c>
      <c r="G517" s="17">
        <v>0.6381944444444444</v>
      </c>
      <c r="H517" s="17">
        <v>0.6479166666666667</v>
      </c>
      <c r="I517" s="9">
        <v>15010</v>
      </c>
      <c r="J517" s="9">
        <v>9630</v>
      </c>
      <c r="K517" s="10">
        <f t="shared" si="19"/>
        <v>5380</v>
      </c>
      <c r="L517" s="10">
        <v>23832</v>
      </c>
      <c r="M517" s="11" t="s">
        <v>1041</v>
      </c>
      <c r="N517" s="12">
        <v>4.8</v>
      </c>
      <c r="O517" s="13" t="s">
        <v>855</v>
      </c>
      <c r="P517" s="14"/>
    </row>
    <row r="518" spans="1:23" x14ac:dyDescent="0.25">
      <c r="A518" s="6"/>
      <c r="B518" s="7">
        <v>44305</v>
      </c>
      <c r="C518" s="8" t="s">
        <v>1083</v>
      </c>
      <c r="D518" s="8" t="s">
        <v>1084</v>
      </c>
      <c r="E518" s="9" t="s">
        <v>502</v>
      </c>
      <c r="F518" s="9" t="s">
        <v>36</v>
      </c>
      <c r="G518" s="17">
        <v>0.6430555555555556</v>
      </c>
      <c r="H518" s="17">
        <v>0.6645833333333333</v>
      </c>
      <c r="I518" s="9">
        <v>6020</v>
      </c>
      <c r="J518" s="9">
        <v>5330</v>
      </c>
      <c r="K518" s="10">
        <f t="shared" si="19"/>
        <v>690</v>
      </c>
      <c r="L518" s="10">
        <v>20211</v>
      </c>
      <c r="M518" s="11" t="s">
        <v>1873</v>
      </c>
      <c r="N518" s="12">
        <v>690</v>
      </c>
      <c r="O518" s="13" t="s">
        <v>32</v>
      </c>
      <c r="P518" s="14" t="s">
        <v>883</v>
      </c>
    </row>
    <row r="519" spans="1:23" x14ac:dyDescent="0.25">
      <c r="A519" s="6"/>
      <c r="B519" s="7">
        <v>44305</v>
      </c>
      <c r="C519" s="8" t="s">
        <v>2710</v>
      </c>
      <c r="D519" s="8" t="s">
        <v>1850</v>
      </c>
      <c r="E519" s="9" t="s">
        <v>144</v>
      </c>
      <c r="F519" s="9" t="s">
        <v>626</v>
      </c>
      <c r="G519" s="17">
        <v>0.65763888888888888</v>
      </c>
      <c r="H519" s="17">
        <v>0.69513888888888886</v>
      </c>
      <c r="I519" s="9">
        <v>36090</v>
      </c>
      <c r="J519" s="9">
        <v>15640</v>
      </c>
      <c r="K519" s="10">
        <f t="shared" si="19"/>
        <v>20450</v>
      </c>
      <c r="L519" s="10">
        <v>39009</v>
      </c>
      <c r="M519" s="11" t="s">
        <v>741</v>
      </c>
      <c r="N519" s="12">
        <v>20</v>
      </c>
      <c r="O519" s="13" t="s">
        <v>855</v>
      </c>
      <c r="P519" s="14"/>
    </row>
    <row r="520" spans="1:23" x14ac:dyDescent="0.25">
      <c r="A520" s="6"/>
      <c r="B520" s="7">
        <v>44305</v>
      </c>
      <c r="C520" s="8" t="s">
        <v>973</v>
      </c>
      <c r="D520" s="8" t="s">
        <v>1794</v>
      </c>
      <c r="E520" s="9" t="s">
        <v>628</v>
      </c>
      <c r="F520" s="9" t="s">
        <v>628</v>
      </c>
      <c r="G520" s="17">
        <v>0.68125000000000002</v>
      </c>
      <c r="H520" s="17">
        <v>0.6958333333333333</v>
      </c>
      <c r="I520" s="9">
        <v>9970</v>
      </c>
      <c r="J520" s="9">
        <v>9630</v>
      </c>
      <c r="K520" s="10">
        <f t="shared" si="19"/>
        <v>340</v>
      </c>
      <c r="L520" s="10">
        <v>23833</v>
      </c>
      <c r="M520" s="11" t="s">
        <v>2416</v>
      </c>
      <c r="N520" s="12">
        <v>340</v>
      </c>
      <c r="O520" s="13" t="s">
        <v>32</v>
      </c>
      <c r="P520" s="14" t="s">
        <v>2375</v>
      </c>
    </row>
    <row r="521" spans="1:23" x14ac:dyDescent="0.25">
      <c r="A521" s="6"/>
      <c r="B521" s="7">
        <v>44305</v>
      </c>
      <c r="C521" s="8" t="s">
        <v>55</v>
      </c>
      <c r="D521" s="8" t="s">
        <v>284</v>
      </c>
      <c r="E521" s="9" t="s">
        <v>177</v>
      </c>
      <c r="F521" s="9" t="s">
        <v>178</v>
      </c>
      <c r="G521" s="17">
        <v>0.70624999999999993</v>
      </c>
      <c r="H521" s="17">
        <v>0.76666666666666661</v>
      </c>
      <c r="I521" s="9">
        <v>15690</v>
      </c>
      <c r="J521" s="9">
        <v>50860</v>
      </c>
      <c r="K521" s="10">
        <f t="shared" si="19"/>
        <v>-35170</v>
      </c>
      <c r="L521" s="10">
        <v>5971</v>
      </c>
      <c r="M521" s="11" t="s">
        <v>53</v>
      </c>
      <c r="N521" s="12">
        <v>700</v>
      </c>
      <c r="O521" s="13" t="s">
        <v>54</v>
      </c>
      <c r="P521" s="14"/>
      <c r="R521" s="1" t="s">
        <v>91</v>
      </c>
      <c r="S521" s="1">
        <v>57</v>
      </c>
      <c r="T521" s="18">
        <v>4</v>
      </c>
      <c r="U521" s="1">
        <f>+T521*S521</f>
        <v>228</v>
      </c>
    </row>
    <row r="522" spans="1:23" x14ac:dyDescent="0.25">
      <c r="A522" s="6"/>
      <c r="B522" s="7">
        <v>44305</v>
      </c>
      <c r="C522" s="8" t="s">
        <v>1558</v>
      </c>
      <c r="D522" s="8" t="s">
        <v>1794</v>
      </c>
      <c r="E522" s="9" t="s">
        <v>628</v>
      </c>
      <c r="F522" s="9" t="s">
        <v>628</v>
      </c>
      <c r="G522" s="17">
        <v>0.7416666666666667</v>
      </c>
      <c r="H522" s="17">
        <v>0.74791666666666667</v>
      </c>
      <c r="I522" s="9">
        <v>10040</v>
      </c>
      <c r="J522" s="9">
        <v>9610</v>
      </c>
      <c r="K522" s="10">
        <f t="shared" si="19"/>
        <v>430</v>
      </c>
      <c r="L522" s="10">
        <v>23834</v>
      </c>
      <c r="M522" s="11" t="s">
        <v>1490</v>
      </c>
      <c r="N522" s="12">
        <v>430</v>
      </c>
      <c r="O522" s="13" t="s">
        <v>32</v>
      </c>
      <c r="P522" s="14" t="s">
        <v>1732</v>
      </c>
      <c r="R522" s="1" t="s">
        <v>646</v>
      </c>
      <c r="S522" s="1">
        <v>58</v>
      </c>
      <c r="T522" s="18">
        <v>0</v>
      </c>
      <c r="U522" s="1">
        <f>+T522*S522</f>
        <v>0</v>
      </c>
    </row>
    <row r="523" spans="1:23" x14ac:dyDescent="0.25">
      <c r="A523" s="6"/>
      <c r="B523" s="7">
        <v>44305</v>
      </c>
      <c r="C523" s="8" t="s">
        <v>522</v>
      </c>
      <c r="D523" s="8" t="s">
        <v>243</v>
      </c>
      <c r="E523" s="9" t="s">
        <v>2404</v>
      </c>
      <c r="F523" s="9" t="s">
        <v>503</v>
      </c>
      <c r="G523" s="17">
        <v>0.76388888888888884</v>
      </c>
      <c r="H523" s="17">
        <v>0.78541666666666676</v>
      </c>
      <c r="I523" s="9">
        <v>7820</v>
      </c>
      <c r="J523" s="9">
        <v>14910</v>
      </c>
      <c r="K523" s="10">
        <f t="shared" si="19"/>
        <v>-7090</v>
      </c>
      <c r="L523" s="10">
        <v>15710</v>
      </c>
      <c r="M523" s="11" t="s">
        <v>240</v>
      </c>
      <c r="N523" s="12">
        <v>6736</v>
      </c>
      <c r="O523" s="13" t="s">
        <v>32</v>
      </c>
      <c r="P523" s="14" t="s">
        <v>2711</v>
      </c>
      <c r="R523" s="1" t="s">
        <v>669</v>
      </c>
      <c r="S523" s="1">
        <v>63</v>
      </c>
      <c r="T523" s="18">
        <v>2</v>
      </c>
      <c r="U523" s="1">
        <f>+T523*S523</f>
        <v>126</v>
      </c>
    </row>
    <row r="524" spans="1:23" x14ac:dyDescent="0.25">
      <c r="A524" s="6"/>
      <c r="B524" s="7">
        <v>44305</v>
      </c>
      <c r="C524" s="8" t="s">
        <v>289</v>
      </c>
      <c r="D524" s="8" t="s">
        <v>174</v>
      </c>
      <c r="E524" s="9" t="s">
        <v>699</v>
      </c>
      <c r="F524" s="9" t="s">
        <v>459</v>
      </c>
      <c r="G524" s="17">
        <v>0.77847222222222223</v>
      </c>
      <c r="H524" s="17">
        <v>0.81527777777777777</v>
      </c>
      <c r="I524" s="9">
        <v>11060</v>
      </c>
      <c r="J524" s="9">
        <v>8260</v>
      </c>
      <c r="K524" s="10">
        <f t="shared" si="19"/>
        <v>2800</v>
      </c>
      <c r="L524" s="10">
        <v>8933</v>
      </c>
      <c r="M524" s="11" t="s">
        <v>159</v>
      </c>
      <c r="N524" s="12">
        <v>2800</v>
      </c>
      <c r="O524" s="13" t="s">
        <v>32</v>
      </c>
      <c r="P524" s="14"/>
      <c r="T524" s="18">
        <f>SUM(T521:T523)</f>
        <v>6</v>
      </c>
      <c r="U524" s="18">
        <f>SUM(U521:U523)</f>
        <v>354</v>
      </c>
      <c r="V524" s="18">
        <v>7090</v>
      </c>
      <c r="W524" s="18">
        <f>+V524-U524</f>
        <v>6736</v>
      </c>
    </row>
    <row r="525" spans="1:23" x14ac:dyDescent="0.25">
      <c r="A525" s="6"/>
      <c r="B525" s="7">
        <v>44305</v>
      </c>
      <c r="C525" s="8" t="s">
        <v>208</v>
      </c>
      <c r="D525" s="8" t="s">
        <v>198</v>
      </c>
      <c r="E525" s="9" t="s">
        <v>881</v>
      </c>
      <c r="F525" s="9" t="s">
        <v>749</v>
      </c>
      <c r="G525" s="17">
        <v>0.80833333333333324</v>
      </c>
      <c r="H525" s="17">
        <v>0.37222222222222223</v>
      </c>
      <c r="I525" s="9">
        <v>32580</v>
      </c>
      <c r="J525" s="9">
        <v>18380</v>
      </c>
      <c r="K525" s="10">
        <f t="shared" ref="K525:K593" si="20">+I525-J525</f>
        <v>14200</v>
      </c>
      <c r="L525" s="10">
        <v>41810</v>
      </c>
      <c r="M525" s="11" t="s">
        <v>1626</v>
      </c>
      <c r="N525" s="12">
        <v>14190</v>
      </c>
      <c r="O525" s="13" t="s">
        <v>32</v>
      </c>
      <c r="P525" s="14"/>
    </row>
    <row r="526" spans="1:23" x14ac:dyDescent="0.25">
      <c r="A526" s="6"/>
      <c r="B526" s="7">
        <v>44305</v>
      </c>
      <c r="C526" s="8" t="s">
        <v>2542</v>
      </c>
      <c r="D526" s="8" t="s">
        <v>2569</v>
      </c>
      <c r="E526" s="9" t="s">
        <v>1823</v>
      </c>
      <c r="F526" s="9" t="s">
        <v>36</v>
      </c>
      <c r="G526" s="17">
        <v>0.87847222222222221</v>
      </c>
      <c r="H526" s="17">
        <v>2.9861111111111113E-2</v>
      </c>
      <c r="I526" s="9">
        <v>9290</v>
      </c>
      <c r="J526" s="9">
        <v>4580</v>
      </c>
      <c r="K526" s="10">
        <f t="shared" si="20"/>
        <v>4710</v>
      </c>
      <c r="L526" s="10">
        <v>26861</v>
      </c>
      <c r="M526" s="11" t="s">
        <v>1857</v>
      </c>
      <c r="N526" s="12">
        <v>4710</v>
      </c>
      <c r="O526" s="13" t="s">
        <v>32</v>
      </c>
      <c r="P526" s="14"/>
    </row>
    <row r="527" spans="1:23" x14ac:dyDescent="0.25">
      <c r="A527" s="6"/>
      <c r="B527" s="7">
        <v>44305</v>
      </c>
      <c r="C527" s="8" t="s">
        <v>1673</v>
      </c>
      <c r="D527" s="8" t="s">
        <v>1794</v>
      </c>
      <c r="E527" s="9" t="s">
        <v>628</v>
      </c>
      <c r="F527" s="9" t="s">
        <v>629</v>
      </c>
      <c r="G527" s="17">
        <v>0.88750000000000007</v>
      </c>
      <c r="H527" s="17">
        <v>0.90277777777777779</v>
      </c>
      <c r="I527" s="9">
        <v>15310</v>
      </c>
      <c r="J527" s="9">
        <v>9720</v>
      </c>
      <c r="K527" s="10">
        <f>+I527-J527</f>
        <v>5590</v>
      </c>
      <c r="L527" s="10">
        <v>26859</v>
      </c>
      <c r="M527" s="11" t="s">
        <v>1461</v>
      </c>
      <c r="N527" s="12">
        <v>5590</v>
      </c>
      <c r="O527" s="13" t="s">
        <v>32</v>
      </c>
      <c r="P527" s="14"/>
    </row>
    <row r="528" spans="1:23" x14ac:dyDescent="0.25">
      <c r="A528" s="6"/>
      <c r="B528" s="7">
        <v>44305</v>
      </c>
      <c r="C528" s="8" t="s">
        <v>37</v>
      </c>
      <c r="D528" s="8" t="s">
        <v>2418</v>
      </c>
      <c r="E528" s="9" t="s">
        <v>39</v>
      </c>
      <c r="F528" s="9" t="s">
        <v>36</v>
      </c>
      <c r="G528" s="17">
        <v>0.9</v>
      </c>
      <c r="H528" s="17">
        <v>0.96597222222222223</v>
      </c>
      <c r="I528" s="9">
        <v>11495</v>
      </c>
      <c r="J528" s="9">
        <v>6270</v>
      </c>
      <c r="K528" s="10">
        <f t="shared" si="20"/>
        <v>5225</v>
      </c>
      <c r="L528" s="10">
        <v>26860</v>
      </c>
      <c r="M528" s="11" t="s">
        <v>2712</v>
      </c>
      <c r="N528" s="12">
        <v>5225</v>
      </c>
      <c r="O528" s="13" t="s">
        <v>32</v>
      </c>
      <c r="P528" s="14"/>
    </row>
    <row r="529" spans="1:27" x14ac:dyDescent="0.25">
      <c r="A529" s="6"/>
      <c r="B529" s="7">
        <v>44306</v>
      </c>
      <c r="C529" s="8" t="s">
        <v>133</v>
      </c>
      <c r="D529" s="8" t="s">
        <v>1047</v>
      </c>
      <c r="E529" s="9" t="s">
        <v>220</v>
      </c>
      <c r="F529" s="9" t="s">
        <v>924</v>
      </c>
      <c r="G529" s="17">
        <v>2.2222222222222223E-2</v>
      </c>
      <c r="H529" s="17">
        <v>0.15</v>
      </c>
      <c r="I529" s="9">
        <v>21000</v>
      </c>
      <c r="J529" s="9">
        <v>9160</v>
      </c>
      <c r="K529" s="10">
        <f t="shared" si="20"/>
        <v>11840</v>
      </c>
      <c r="L529" s="10" t="s">
        <v>2713</v>
      </c>
      <c r="M529" s="11" t="s">
        <v>2714</v>
      </c>
      <c r="N529" s="12">
        <f>2522+9375</f>
        <v>11897</v>
      </c>
      <c r="O529" s="13" t="s">
        <v>32</v>
      </c>
      <c r="P529" s="14"/>
    </row>
    <row r="530" spans="1:27" x14ac:dyDescent="0.25">
      <c r="A530" s="6"/>
      <c r="B530" s="7">
        <v>44306</v>
      </c>
      <c r="C530" s="8" t="s">
        <v>871</v>
      </c>
      <c r="D530" s="8" t="s">
        <v>86</v>
      </c>
      <c r="E530" s="9" t="s">
        <v>87</v>
      </c>
      <c r="F530" s="9" t="s">
        <v>88</v>
      </c>
      <c r="G530" s="17">
        <v>0.14375000000000002</v>
      </c>
      <c r="H530" s="17">
        <v>0.15416666666666667</v>
      </c>
      <c r="I530" s="9">
        <v>38170</v>
      </c>
      <c r="J530" s="9">
        <v>17180</v>
      </c>
      <c r="K530" s="10">
        <f t="shared" si="20"/>
        <v>20990</v>
      </c>
      <c r="L530" s="10">
        <v>819</v>
      </c>
      <c r="M530" s="11" t="s">
        <v>2715</v>
      </c>
      <c r="N530" s="12">
        <v>23432</v>
      </c>
      <c r="O530" s="13" t="s">
        <v>32</v>
      </c>
      <c r="P530" s="14"/>
    </row>
    <row r="531" spans="1:27" x14ac:dyDescent="0.25">
      <c r="A531" s="6"/>
      <c r="B531" s="15">
        <v>44306</v>
      </c>
      <c r="C531" s="16" t="s">
        <v>55</v>
      </c>
      <c r="D531" s="8" t="s">
        <v>1355</v>
      </c>
      <c r="E531" s="9" t="s">
        <v>1048</v>
      </c>
      <c r="F531" s="9" t="s">
        <v>526</v>
      </c>
      <c r="G531" s="17">
        <v>0.33958333333333335</v>
      </c>
      <c r="H531" s="17">
        <v>0.39166666666666666</v>
      </c>
      <c r="I531" s="9">
        <v>17590</v>
      </c>
      <c r="J531" s="9">
        <v>40950</v>
      </c>
      <c r="K531" s="10">
        <f t="shared" si="20"/>
        <v>-23360</v>
      </c>
      <c r="L531" s="10">
        <v>5972</v>
      </c>
      <c r="M531" s="11" t="s">
        <v>1872</v>
      </c>
      <c r="N531" s="12">
        <v>22200</v>
      </c>
      <c r="O531" s="13" t="s">
        <v>32</v>
      </c>
      <c r="P531" s="14" t="s">
        <v>468</v>
      </c>
    </row>
    <row r="532" spans="1:27" x14ac:dyDescent="0.25">
      <c r="A532" s="6"/>
      <c r="B532" s="7">
        <v>44306</v>
      </c>
      <c r="C532" s="43" t="s">
        <v>2660</v>
      </c>
      <c r="D532" s="8" t="s">
        <v>711</v>
      </c>
      <c r="E532" s="9" t="s">
        <v>1632</v>
      </c>
      <c r="F532" s="9" t="s">
        <v>266</v>
      </c>
      <c r="G532" s="17">
        <v>0.34097222222222223</v>
      </c>
      <c r="H532" s="17">
        <v>0.3444444444444445</v>
      </c>
      <c r="I532" s="9">
        <v>450</v>
      </c>
      <c r="J532" s="9">
        <v>80</v>
      </c>
      <c r="K532" s="10">
        <f t="shared" si="20"/>
        <v>370</v>
      </c>
      <c r="L532" s="10" t="s">
        <v>2713</v>
      </c>
      <c r="M532" s="47" t="s">
        <v>2716</v>
      </c>
      <c r="N532" s="12">
        <v>370</v>
      </c>
      <c r="O532" s="13" t="s">
        <v>32</v>
      </c>
      <c r="P532" s="14"/>
    </row>
    <row r="533" spans="1:27" x14ac:dyDescent="0.25">
      <c r="A533" s="6"/>
      <c r="B533" s="7">
        <v>44306</v>
      </c>
      <c r="C533" s="8" t="s">
        <v>164</v>
      </c>
      <c r="D533" s="8" t="s">
        <v>899</v>
      </c>
      <c r="E533" s="9" t="s">
        <v>490</v>
      </c>
      <c r="F533" s="9" t="s">
        <v>491</v>
      </c>
      <c r="G533" s="17">
        <v>0.3520833333333333</v>
      </c>
      <c r="H533" s="17">
        <v>0.3840277777777778</v>
      </c>
      <c r="I533" s="9">
        <v>17280</v>
      </c>
      <c r="J533" s="9">
        <v>42540</v>
      </c>
      <c r="K533" s="10">
        <f t="shared" si="20"/>
        <v>-25260</v>
      </c>
      <c r="L533" s="10">
        <v>17096</v>
      </c>
      <c r="M533" s="11" t="s">
        <v>166</v>
      </c>
      <c r="N533" s="12">
        <v>504</v>
      </c>
      <c r="O533" s="13" t="s">
        <v>54</v>
      </c>
      <c r="P533" s="14"/>
    </row>
    <row r="534" spans="1:27" x14ac:dyDescent="0.25">
      <c r="A534" s="6"/>
      <c r="B534" s="7">
        <v>44306</v>
      </c>
      <c r="C534" s="8" t="s">
        <v>164</v>
      </c>
      <c r="D534" s="8" t="s">
        <v>299</v>
      </c>
      <c r="E534" s="9" t="s">
        <v>813</v>
      </c>
      <c r="F534" s="9" t="s">
        <v>814</v>
      </c>
      <c r="G534" s="17">
        <v>0.37013888888888885</v>
      </c>
      <c r="H534" s="17">
        <v>0.39999999999999997</v>
      </c>
      <c r="I534" s="9">
        <v>16860</v>
      </c>
      <c r="J534" s="9">
        <v>42220</v>
      </c>
      <c r="K534" s="10">
        <f t="shared" si="20"/>
        <v>-25360</v>
      </c>
      <c r="L534" s="10">
        <v>17097</v>
      </c>
      <c r="M534" s="11" t="s">
        <v>166</v>
      </c>
      <c r="N534" s="12">
        <v>504</v>
      </c>
      <c r="O534" s="13" t="s">
        <v>54</v>
      </c>
      <c r="P534" s="14"/>
    </row>
    <row r="535" spans="1:27" x14ac:dyDescent="0.25">
      <c r="A535" s="6"/>
      <c r="B535" s="7">
        <v>44306</v>
      </c>
      <c r="C535" s="8" t="s">
        <v>2723</v>
      </c>
      <c r="D535" s="8" t="s">
        <v>2717</v>
      </c>
      <c r="E535" s="9" t="s">
        <v>2718</v>
      </c>
      <c r="F535" s="9" t="s">
        <v>390</v>
      </c>
      <c r="G535" s="17">
        <v>0.43402777777777773</v>
      </c>
      <c r="H535" s="17">
        <v>0.45555555555555555</v>
      </c>
      <c r="I535" s="9">
        <v>6200</v>
      </c>
      <c r="J535" s="9">
        <v>5500</v>
      </c>
      <c r="K535" s="10">
        <f t="shared" si="20"/>
        <v>700</v>
      </c>
      <c r="L535" s="10">
        <v>83663</v>
      </c>
      <c r="M535" s="11" t="s">
        <v>2719</v>
      </c>
      <c r="N535" s="12">
        <v>850</v>
      </c>
      <c r="O535" s="13" t="s">
        <v>2724</v>
      </c>
      <c r="P535" s="14"/>
    </row>
    <row r="536" spans="1:27" x14ac:dyDescent="0.25">
      <c r="A536" s="6"/>
      <c r="B536" s="7">
        <v>44306</v>
      </c>
      <c r="C536" s="8" t="s">
        <v>2720</v>
      </c>
      <c r="D536" s="8" t="s">
        <v>94</v>
      </c>
      <c r="E536" s="9" t="s">
        <v>1774</v>
      </c>
      <c r="F536" s="9" t="s">
        <v>1775</v>
      </c>
      <c r="G536" s="17">
        <v>0.43611111111111112</v>
      </c>
      <c r="H536" s="17">
        <v>0.4465277777777778</v>
      </c>
      <c r="I536" s="9">
        <v>15320</v>
      </c>
      <c r="J536" s="9">
        <v>7430</v>
      </c>
      <c r="K536" s="10">
        <f t="shared" si="20"/>
        <v>7890</v>
      </c>
      <c r="L536" s="10" t="s">
        <v>2721</v>
      </c>
      <c r="M536" s="11" t="s">
        <v>2722</v>
      </c>
      <c r="N536" s="12">
        <v>6.82</v>
      </c>
      <c r="O536" s="13" t="s">
        <v>855</v>
      </c>
      <c r="P536" s="14"/>
    </row>
    <row r="537" spans="1:27" x14ac:dyDescent="0.25">
      <c r="A537" s="6"/>
      <c r="B537" s="7">
        <v>44306</v>
      </c>
      <c r="C537" s="8" t="s">
        <v>164</v>
      </c>
      <c r="D537" s="8" t="s">
        <v>899</v>
      </c>
      <c r="E537" s="9" t="s">
        <v>490</v>
      </c>
      <c r="F537" s="9" t="s">
        <v>491</v>
      </c>
      <c r="G537" s="17">
        <v>0.44513888888888892</v>
      </c>
      <c r="H537" s="17">
        <v>0.47500000000000003</v>
      </c>
      <c r="I537" s="9">
        <v>17180</v>
      </c>
      <c r="J537" s="9">
        <v>42500</v>
      </c>
      <c r="K537" s="10">
        <f t="shared" ref="K537" si="21">+I537-J537</f>
        <v>-25320</v>
      </c>
      <c r="L537" s="10">
        <v>17098</v>
      </c>
      <c r="M537" s="11" t="s">
        <v>166</v>
      </c>
      <c r="N537" s="12">
        <v>504</v>
      </c>
      <c r="O537" s="13" t="s">
        <v>54</v>
      </c>
      <c r="P537" s="14"/>
    </row>
    <row r="538" spans="1:27" x14ac:dyDescent="0.25">
      <c r="A538" s="6"/>
      <c r="B538" s="7">
        <v>44306</v>
      </c>
      <c r="C538" s="8" t="s">
        <v>2723</v>
      </c>
      <c r="D538" s="8" t="s">
        <v>2717</v>
      </c>
      <c r="E538" s="9" t="s">
        <v>2718</v>
      </c>
      <c r="F538" s="9" t="s">
        <v>390</v>
      </c>
      <c r="G538" s="17">
        <v>0.45624999999999999</v>
      </c>
      <c r="H538" s="17">
        <v>0.68680555555555556</v>
      </c>
      <c r="I538" s="9">
        <v>5500</v>
      </c>
      <c r="J538" s="9">
        <v>14380</v>
      </c>
      <c r="K538" s="10">
        <f t="shared" si="20"/>
        <v>-8880</v>
      </c>
      <c r="L538" s="10">
        <v>17152</v>
      </c>
      <c r="M538" s="11" t="s">
        <v>2725</v>
      </c>
      <c r="N538" s="12">
        <v>8880</v>
      </c>
      <c r="O538" s="13" t="s">
        <v>32</v>
      </c>
      <c r="P538" s="14"/>
      <c r="V538" s="1">
        <v>0</v>
      </c>
    </row>
    <row r="539" spans="1:27" x14ac:dyDescent="0.25">
      <c r="A539" s="6"/>
      <c r="B539" s="7">
        <v>44306</v>
      </c>
      <c r="C539" s="8" t="s">
        <v>164</v>
      </c>
      <c r="D539" s="8" t="s">
        <v>299</v>
      </c>
      <c r="E539" s="9" t="s">
        <v>813</v>
      </c>
      <c r="F539" s="9" t="s">
        <v>814</v>
      </c>
      <c r="G539" s="17">
        <v>0.45763888888888887</v>
      </c>
      <c r="H539" s="17">
        <v>0.48402777777777778</v>
      </c>
      <c r="I539" s="9">
        <v>16890</v>
      </c>
      <c r="J539" s="9">
        <v>42110</v>
      </c>
      <c r="K539" s="10">
        <f t="shared" si="20"/>
        <v>-25220</v>
      </c>
      <c r="L539" s="10">
        <v>17099</v>
      </c>
      <c r="M539" s="11" t="s">
        <v>166</v>
      </c>
      <c r="N539" s="12">
        <v>504</v>
      </c>
      <c r="O539" s="13" t="s">
        <v>54</v>
      </c>
      <c r="P539" s="14"/>
      <c r="V539" s="1">
        <v>14350</v>
      </c>
      <c r="X539" s="1">
        <v>0</v>
      </c>
    </row>
    <row r="540" spans="1:27" x14ac:dyDescent="0.25">
      <c r="A540" s="6"/>
      <c r="B540" s="7">
        <v>44306</v>
      </c>
      <c r="C540" s="8" t="s">
        <v>1673</v>
      </c>
      <c r="D540" s="8" t="s">
        <v>1794</v>
      </c>
      <c r="E540" s="9" t="s">
        <v>628</v>
      </c>
      <c r="F540" s="9" t="s">
        <v>629</v>
      </c>
      <c r="G540" s="17">
        <v>0.4861111111111111</v>
      </c>
      <c r="H540" s="17">
        <v>0.49305555555555558</v>
      </c>
      <c r="I540" s="9">
        <v>13120</v>
      </c>
      <c r="J540" s="9">
        <v>9610</v>
      </c>
      <c r="K540" s="10">
        <f t="shared" si="20"/>
        <v>3510</v>
      </c>
      <c r="L540" s="10">
        <v>23838</v>
      </c>
      <c r="M540" s="11" t="s">
        <v>1795</v>
      </c>
      <c r="N540" s="12">
        <v>3510</v>
      </c>
      <c r="O540" s="13" t="s">
        <v>32</v>
      </c>
      <c r="P540" s="14" t="s">
        <v>1477</v>
      </c>
      <c r="X540" s="1">
        <v>40110</v>
      </c>
    </row>
    <row r="541" spans="1:27" x14ac:dyDescent="0.25">
      <c r="A541" s="6"/>
      <c r="B541" s="7">
        <v>44306</v>
      </c>
      <c r="C541" s="8" t="s">
        <v>1029</v>
      </c>
      <c r="D541" s="8" t="s">
        <v>1794</v>
      </c>
      <c r="E541" s="9" t="s">
        <v>628</v>
      </c>
      <c r="F541" s="9" t="s">
        <v>629</v>
      </c>
      <c r="G541" s="17">
        <v>0.53749999999999998</v>
      </c>
      <c r="H541" s="17">
        <v>0.54583333333333328</v>
      </c>
      <c r="I541" s="9">
        <v>11740</v>
      </c>
      <c r="J541" s="9">
        <v>9590</v>
      </c>
      <c r="K541" s="10">
        <f t="shared" si="20"/>
        <v>2150</v>
      </c>
      <c r="L541" s="10">
        <v>23839</v>
      </c>
      <c r="M541" s="11" t="s">
        <v>1482</v>
      </c>
      <c r="N541" s="12">
        <v>2150</v>
      </c>
      <c r="O541" s="13" t="s">
        <v>32</v>
      </c>
      <c r="P541" s="14" t="s">
        <v>2726</v>
      </c>
      <c r="X541" s="1">
        <v>14350</v>
      </c>
      <c r="Y541" s="25">
        <v>35.776614310645726</v>
      </c>
    </row>
    <row r="542" spans="1:27" x14ac:dyDescent="0.25">
      <c r="A542" s="6"/>
      <c r="B542" s="7">
        <v>44306</v>
      </c>
      <c r="C542" s="8" t="s">
        <v>55</v>
      </c>
      <c r="D542" s="8" t="s">
        <v>853</v>
      </c>
      <c r="E542" s="9" t="s">
        <v>51</v>
      </c>
      <c r="F542" s="9" t="s">
        <v>52</v>
      </c>
      <c r="G542" s="17">
        <v>0.65277777777777779</v>
      </c>
      <c r="H542" s="17">
        <v>0.1763888888888889</v>
      </c>
      <c r="I542" s="9">
        <v>15060</v>
      </c>
      <c r="J542" s="9">
        <v>50220</v>
      </c>
      <c r="K542" s="10">
        <f t="shared" si="20"/>
        <v>-35160</v>
      </c>
      <c r="L542" s="10">
        <v>5973</v>
      </c>
      <c r="M542" s="11" t="s">
        <v>53</v>
      </c>
      <c r="N542" s="12">
        <v>700</v>
      </c>
      <c r="O542" s="13" t="s">
        <v>54</v>
      </c>
      <c r="P542" s="14"/>
      <c r="W542" s="1">
        <v>2576</v>
      </c>
      <c r="X542" s="1">
        <v>25760</v>
      </c>
      <c r="Y542" s="25">
        <v>64.223385689354274</v>
      </c>
      <c r="AA542" s="1">
        <v>2576</v>
      </c>
    </row>
    <row r="543" spans="1:27" x14ac:dyDescent="0.25">
      <c r="A543" s="6"/>
      <c r="B543" s="7">
        <v>44306</v>
      </c>
      <c r="C543" s="8" t="s">
        <v>2727</v>
      </c>
      <c r="D543" s="8" t="s">
        <v>94</v>
      </c>
      <c r="E543" s="9" t="s">
        <v>1774</v>
      </c>
      <c r="F543" s="9" t="s">
        <v>1775</v>
      </c>
      <c r="G543" s="17">
        <v>0.7104166666666667</v>
      </c>
      <c r="H543" s="17">
        <v>0.71666666666666667</v>
      </c>
      <c r="I543" s="9">
        <v>9160</v>
      </c>
      <c r="J543" s="9">
        <v>7530</v>
      </c>
      <c r="K543" s="10">
        <f t="shared" si="20"/>
        <v>1630</v>
      </c>
      <c r="L543" s="10">
        <v>23840</v>
      </c>
      <c r="M543" s="11" t="s">
        <v>2728</v>
      </c>
      <c r="N543" s="12">
        <v>1.2</v>
      </c>
      <c r="O543" s="13" t="s">
        <v>855</v>
      </c>
      <c r="P543" s="14"/>
      <c r="X543" s="1">
        <v>40110</v>
      </c>
      <c r="Y543" s="25">
        <v>100</v>
      </c>
      <c r="AA543" s="1" t="s">
        <v>22</v>
      </c>
    </row>
    <row r="544" spans="1:27" x14ac:dyDescent="0.25">
      <c r="A544" s="6"/>
      <c r="B544" s="7">
        <v>44306</v>
      </c>
      <c r="C544" s="8" t="s">
        <v>208</v>
      </c>
      <c r="D544" s="8" t="s">
        <v>198</v>
      </c>
      <c r="E544" s="9" t="s">
        <v>881</v>
      </c>
      <c r="F544" s="9" t="s">
        <v>749</v>
      </c>
      <c r="G544" s="17">
        <v>0.8354166666666667</v>
      </c>
      <c r="H544" s="17">
        <v>0.36736111111111108</v>
      </c>
      <c r="I544" s="9">
        <v>32520</v>
      </c>
      <c r="J544" s="9">
        <v>18390</v>
      </c>
      <c r="K544" s="10">
        <f t="shared" si="20"/>
        <v>14130</v>
      </c>
      <c r="L544" s="10">
        <v>41839</v>
      </c>
      <c r="M544" s="11" t="s">
        <v>1626</v>
      </c>
      <c r="N544" s="12">
        <v>14230</v>
      </c>
      <c r="O544" s="13" t="s">
        <v>32</v>
      </c>
      <c r="P544" s="14"/>
    </row>
    <row r="545" spans="1:27" x14ac:dyDescent="0.25">
      <c r="A545" s="6"/>
      <c r="B545" s="7">
        <v>44306</v>
      </c>
      <c r="C545" s="8" t="s">
        <v>2734</v>
      </c>
      <c r="D545" s="8" t="s">
        <v>2729</v>
      </c>
      <c r="E545" s="9" t="s">
        <v>699</v>
      </c>
      <c r="F545" s="9" t="s">
        <v>459</v>
      </c>
      <c r="G545" s="17">
        <v>0.8534722222222223</v>
      </c>
      <c r="H545" s="17">
        <v>0.34513888888888888</v>
      </c>
      <c r="I545" s="9">
        <v>9960</v>
      </c>
      <c r="J545" s="9">
        <v>8250</v>
      </c>
      <c r="K545" s="10">
        <f t="shared" si="20"/>
        <v>1710</v>
      </c>
      <c r="L545" s="10" t="s">
        <v>2733</v>
      </c>
      <c r="M545" s="11" t="s">
        <v>2730</v>
      </c>
      <c r="N545" s="12">
        <f>1280+431+1607</f>
        <v>3318</v>
      </c>
      <c r="O545" s="13" t="s">
        <v>683</v>
      </c>
      <c r="P545" s="14">
        <v>4</v>
      </c>
    </row>
    <row r="546" spans="1:27" x14ac:dyDescent="0.25">
      <c r="A546" s="6"/>
      <c r="B546" s="7">
        <v>44306</v>
      </c>
      <c r="C546" s="8" t="s">
        <v>37</v>
      </c>
      <c r="D546" s="8" t="s">
        <v>2418</v>
      </c>
      <c r="E546" s="9" t="s">
        <v>39</v>
      </c>
      <c r="F546" s="9" t="s">
        <v>36</v>
      </c>
      <c r="G546" s="17">
        <v>0.93125000000000002</v>
      </c>
      <c r="H546" s="17">
        <v>0.95972222222222225</v>
      </c>
      <c r="I546" s="9">
        <v>14205</v>
      </c>
      <c r="J546" s="9">
        <v>6220</v>
      </c>
      <c r="K546" s="10">
        <f t="shared" si="20"/>
        <v>7985</v>
      </c>
      <c r="L546" s="10">
        <v>26862</v>
      </c>
      <c r="M546" s="11" t="s">
        <v>2731</v>
      </c>
      <c r="N546" s="12">
        <v>7985</v>
      </c>
      <c r="O546" s="13" t="s">
        <v>32</v>
      </c>
      <c r="P546" s="14">
        <v>4</v>
      </c>
      <c r="Y546" s="25" t="e">
        <v>#DIV/0!</v>
      </c>
      <c r="Z546" s="1" t="s">
        <v>23</v>
      </c>
    </row>
    <row r="547" spans="1:27" x14ac:dyDescent="0.25">
      <c r="A547" s="6"/>
      <c r="B547" s="7">
        <v>44307</v>
      </c>
      <c r="C547" s="8" t="s">
        <v>142</v>
      </c>
      <c r="D547" s="8" t="s">
        <v>86</v>
      </c>
      <c r="E547" s="9" t="s">
        <v>87</v>
      </c>
      <c r="F547" s="9" t="s">
        <v>88</v>
      </c>
      <c r="G547" s="17">
        <v>7.4305555555555555E-2</v>
      </c>
      <c r="H547" s="17">
        <v>8.4027777777777771E-2</v>
      </c>
      <c r="I547" s="9">
        <v>38910</v>
      </c>
      <c r="J547" s="9">
        <v>17170</v>
      </c>
      <c r="K547" s="10">
        <f t="shared" si="20"/>
        <v>21740</v>
      </c>
      <c r="L547" s="10">
        <v>820</v>
      </c>
      <c r="M547" s="11" t="s">
        <v>2732</v>
      </c>
      <c r="N547" s="12">
        <v>21740</v>
      </c>
      <c r="O547" s="13" t="s">
        <v>683</v>
      </c>
      <c r="P547" s="14">
        <v>2</v>
      </c>
      <c r="Y547" s="25" t="e">
        <v>#DIV/0!</v>
      </c>
      <c r="Z547" s="1" t="s">
        <v>24</v>
      </c>
    </row>
    <row r="548" spans="1:27" s="20" customFormat="1" x14ac:dyDescent="0.25">
      <c r="A548" s="98"/>
      <c r="B548" s="15">
        <v>44307</v>
      </c>
      <c r="C548" s="16" t="s">
        <v>130</v>
      </c>
      <c r="D548" s="16" t="s">
        <v>2055</v>
      </c>
      <c r="E548" s="21" t="s">
        <v>1547</v>
      </c>
      <c r="F548" s="21" t="s">
        <v>36</v>
      </c>
      <c r="G548" s="59">
        <v>0.35069444444444442</v>
      </c>
      <c r="H548" s="59">
        <v>0.4694444444444445</v>
      </c>
      <c r="I548" s="21">
        <v>39260</v>
      </c>
      <c r="J548" s="21"/>
      <c r="K548" s="60">
        <f t="shared" si="20"/>
        <v>39260</v>
      </c>
      <c r="L548" s="60">
        <v>5578</v>
      </c>
      <c r="M548" s="61" t="s">
        <v>898</v>
      </c>
      <c r="N548" s="62">
        <v>840</v>
      </c>
      <c r="O548" s="63" t="s">
        <v>54</v>
      </c>
      <c r="P548" s="22" t="s">
        <v>799</v>
      </c>
      <c r="Y548" s="99" t="e">
        <v>#DIV/0!</v>
      </c>
      <c r="Z548" s="20" t="s">
        <v>25</v>
      </c>
      <c r="AA548" s="20">
        <v>100</v>
      </c>
    </row>
    <row r="549" spans="1:27" x14ac:dyDescent="0.25">
      <c r="A549" s="6"/>
      <c r="B549" s="7">
        <v>44307</v>
      </c>
      <c r="C549" s="8" t="s">
        <v>164</v>
      </c>
      <c r="D549" s="8" t="s">
        <v>299</v>
      </c>
      <c r="E549" s="9" t="s">
        <v>813</v>
      </c>
      <c r="F549" s="9" t="s">
        <v>814</v>
      </c>
      <c r="G549" s="17">
        <v>0.3743055555555555</v>
      </c>
      <c r="H549" s="17">
        <v>0.39999999999999997</v>
      </c>
      <c r="I549" s="9">
        <v>16890</v>
      </c>
      <c r="J549" s="9">
        <v>42030</v>
      </c>
      <c r="K549" s="10">
        <f t="shared" si="20"/>
        <v>-25140</v>
      </c>
      <c r="L549" s="10">
        <v>17100</v>
      </c>
      <c r="M549" s="11" t="s">
        <v>166</v>
      </c>
      <c r="N549" s="12">
        <v>504</v>
      </c>
      <c r="O549" s="13" t="s">
        <v>54</v>
      </c>
      <c r="P549" s="14"/>
      <c r="U549" s="25"/>
    </row>
    <row r="550" spans="1:27" x14ac:dyDescent="0.25">
      <c r="A550" s="6"/>
      <c r="B550" s="7">
        <v>44307</v>
      </c>
      <c r="C550" s="8" t="s">
        <v>164</v>
      </c>
      <c r="D550" s="8" t="s">
        <v>198</v>
      </c>
      <c r="E550" s="9" t="s">
        <v>881</v>
      </c>
      <c r="F550" s="9" t="s">
        <v>749</v>
      </c>
      <c r="G550" s="17">
        <v>0.38263888888888892</v>
      </c>
      <c r="H550" s="17">
        <v>0.41736111111111113</v>
      </c>
      <c r="I550" s="9">
        <v>17650</v>
      </c>
      <c r="J550" s="9">
        <v>42840</v>
      </c>
      <c r="K550" s="10">
        <f t="shared" si="20"/>
        <v>-25190</v>
      </c>
      <c r="L550" s="10">
        <v>17201</v>
      </c>
      <c r="M550" s="11" t="s">
        <v>166</v>
      </c>
      <c r="N550" s="12">
        <v>504</v>
      </c>
      <c r="O550" s="13" t="s">
        <v>54</v>
      </c>
      <c r="P550" s="14"/>
      <c r="U550" s="25"/>
    </row>
    <row r="551" spans="1:27" x14ac:dyDescent="0.25">
      <c r="A551" s="6"/>
      <c r="B551" s="7">
        <v>44307</v>
      </c>
      <c r="C551" s="8" t="s">
        <v>2602</v>
      </c>
      <c r="D551" s="8" t="s">
        <v>2735</v>
      </c>
      <c r="E551" s="9" t="s">
        <v>1409</v>
      </c>
      <c r="F551" s="9" t="s">
        <v>36</v>
      </c>
      <c r="G551" s="17">
        <v>0.41250000000000003</v>
      </c>
      <c r="H551" s="17">
        <v>0.4604166666666667</v>
      </c>
      <c r="I551" s="9">
        <v>15550</v>
      </c>
      <c r="J551" s="9">
        <v>45660</v>
      </c>
      <c r="K551" s="10">
        <f t="shared" si="20"/>
        <v>-30110</v>
      </c>
      <c r="L551" s="10">
        <v>5974</v>
      </c>
      <c r="M551" s="11" t="s">
        <v>53</v>
      </c>
      <c r="N551" s="12">
        <v>600</v>
      </c>
      <c r="O551" s="13" t="s">
        <v>54</v>
      </c>
      <c r="P551" s="14"/>
      <c r="U551" s="25"/>
    </row>
    <row r="552" spans="1:27" x14ac:dyDescent="0.25">
      <c r="A552" s="6"/>
      <c r="B552" s="7">
        <v>44307</v>
      </c>
      <c r="C552" s="8" t="s">
        <v>2736</v>
      </c>
      <c r="D552" s="8" t="s">
        <v>94</v>
      </c>
      <c r="E552" s="9" t="s">
        <v>1774</v>
      </c>
      <c r="F552" s="9" t="s">
        <v>1775</v>
      </c>
      <c r="G552" s="17">
        <v>0.45694444444444443</v>
      </c>
      <c r="H552" s="17">
        <v>0.47500000000000003</v>
      </c>
      <c r="I552" s="9">
        <v>13960</v>
      </c>
      <c r="J552" s="9">
        <v>7520</v>
      </c>
      <c r="K552" s="10">
        <f t="shared" si="20"/>
        <v>6440</v>
      </c>
      <c r="L552" s="10" t="s">
        <v>2737</v>
      </c>
      <c r="M552" s="11" t="s">
        <v>2738</v>
      </c>
      <c r="N552" s="12">
        <f>4.8+1.2</f>
        <v>6</v>
      </c>
      <c r="O552" s="13" t="s">
        <v>855</v>
      </c>
      <c r="P552" s="14"/>
    </row>
    <row r="553" spans="1:27" x14ac:dyDescent="0.25">
      <c r="A553" s="6"/>
      <c r="B553" s="7">
        <v>44307</v>
      </c>
      <c r="C553" s="8" t="s">
        <v>164</v>
      </c>
      <c r="D553" s="8" t="s">
        <v>198</v>
      </c>
      <c r="E553" s="9" t="s">
        <v>881</v>
      </c>
      <c r="F553" s="9" t="s">
        <v>749</v>
      </c>
      <c r="G553" s="17">
        <v>0.49444444444444446</v>
      </c>
      <c r="H553" s="17">
        <v>0.50486111111111109</v>
      </c>
      <c r="I553" s="9">
        <v>20150</v>
      </c>
      <c r="J553" s="9">
        <v>16360</v>
      </c>
      <c r="K553" s="10">
        <f t="shared" si="20"/>
        <v>3790</v>
      </c>
      <c r="L553" s="10">
        <v>16042</v>
      </c>
      <c r="M553" s="11" t="s">
        <v>919</v>
      </c>
      <c r="N553" s="12">
        <v>36</v>
      </c>
      <c r="O553" s="13" t="s">
        <v>96</v>
      </c>
      <c r="P553" s="14"/>
    </row>
    <row r="554" spans="1:27" x14ac:dyDescent="0.25">
      <c r="A554" s="6"/>
      <c r="B554" s="7">
        <v>44307</v>
      </c>
      <c r="C554" s="8" t="s">
        <v>2602</v>
      </c>
      <c r="D554" s="8" t="s">
        <v>2739</v>
      </c>
      <c r="E554" s="9" t="s">
        <v>2740</v>
      </c>
      <c r="F554" s="9" t="s">
        <v>36</v>
      </c>
      <c r="G554" s="17">
        <v>0.49652777777777773</v>
      </c>
      <c r="H554" s="17">
        <v>0.5854166666666667</v>
      </c>
      <c r="I554" s="9">
        <v>17110</v>
      </c>
      <c r="J554" s="9">
        <v>48020</v>
      </c>
      <c r="K554" s="10">
        <f t="shared" si="20"/>
        <v>-30910</v>
      </c>
      <c r="L554" s="10">
        <v>5975</v>
      </c>
      <c r="M554" s="11" t="s">
        <v>53</v>
      </c>
      <c r="N554" s="12">
        <v>600</v>
      </c>
      <c r="O554" s="13" t="s">
        <v>54</v>
      </c>
      <c r="P554" s="14" t="s">
        <v>2747</v>
      </c>
      <c r="Q554" s="1">
        <v>30910</v>
      </c>
      <c r="R554" s="1">
        <f>+Q554-30090</f>
        <v>820</v>
      </c>
    </row>
    <row r="555" spans="1:27" x14ac:dyDescent="0.25">
      <c r="A555" s="6"/>
      <c r="B555" s="7">
        <v>44307</v>
      </c>
      <c r="C555" s="8" t="s">
        <v>1711</v>
      </c>
      <c r="D555" s="8" t="s">
        <v>1794</v>
      </c>
      <c r="E555" s="9" t="s">
        <v>628</v>
      </c>
      <c r="F555" s="9" t="s">
        <v>629</v>
      </c>
      <c r="G555" s="17">
        <v>0.5</v>
      </c>
      <c r="H555" s="17">
        <v>0.51388888888888895</v>
      </c>
      <c r="I555" s="9">
        <v>19020</v>
      </c>
      <c r="J555" s="9">
        <v>9680</v>
      </c>
      <c r="K555" s="10">
        <f t="shared" si="20"/>
        <v>9340</v>
      </c>
      <c r="L555" s="10">
        <v>23843</v>
      </c>
      <c r="M555" s="11" t="s">
        <v>1359</v>
      </c>
      <c r="N555" s="12">
        <v>9340</v>
      </c>
      <c r="O555" s="13" t="s">
        <v>683</v>
      </c>
      <c r="P555" s="14" t="s">
        <v>1983</v>
      </c>
    </row>
    <row r="556" spans="1:27" x14ac:dyDescent="0.25">
      <c r="A556" s="6"/>
      <c r="B556" s="7">
        <v>44307</v>
      </c>
      <c r="C556" s="8" t="s">
        <v>2741</v>
      </c>
      <c r="D556" s="8" t="s">
        <v>1355</v>
      </c>
      <c r="E556" s="9" t="s">
        <v>1048</v>
      </c>
      <c r="F556" s="9" t="s">
        <v>526</v>
      </c>
      <c r="G556" s="17">
        <v>0.54583333333333328</v>
      </c>
      <c r="H556" s="17">
        <v>0.55138888888888882</v>
      </c>
      <c r="I556" s="9">
        <v>37920</v>
      </c>
      <c r="J556" s="9">
        <v>16860</v>
      </c>
      <c r="K556" s="10">
        <f t="shared" si="20"/>
        <v>21060</v>
      </c>
      <c r="L556" s="10">
        <v>23844</v>
      </c>
      <c r="M556" s="11" t="s">
        <v>1359</v>
      </c>
      <c r="N556" s="12">
        <v>19.2</v>
      </c>
      <c r="O556" s="13" t="s">
        <v>855</v>
      </c>
      <c r="P556" s="14"/>
      <c r="Y556" s="1">
        <v>0</v>
      </c>
    </row>
    <row r="557" spans="1:27" x14ac:dyDescent="0.25">
      <c r="A557" s="7"/>
      <c r="B557" s="7">
        <v>44307</v>
      </c>
      <c r="C557" s="8" t="s">
        <v>2741</v>
      </c>
      <c r="D557" s="8" t="s">
        <v>243</v>
      </c>
      <c r="E557" s="9" t="s">
        <v>440</v>
      </c>
      <c r="F557" s="9" t="s">
        <v>1276</v>
      </c>
      <c r="G557" s="17">
        <v>0.55069444444444449</v>
      </c>
      <c r="H557" s="17">
        <v>0.55486111111111114</v>
      </c>
      <c r="I557" s="9">
        <v>38640</v>
      </c>
      <c r="J557" s="9">
        <v>15390</v>
      </c>
      <c r="K557" s="10">
        <f t="shared" si="20"/>
        <v>23250</v>
      </c>
      <c r="L557" s="10">
        <v>23844</v>
      </c>
      <c r="M557" s="11" t="s">
        <v>1359</v>
      </c>
      <c r="N557" s="12">
        <v>21.6</v>
      </c>
      <c r="O557" s="13" t="s">
        <v>855</v>
      </c>
      <c r="P557" s="14"/>
    </row>
    <row r="558" spans="1:27" x14ac:dyDescent="0.25">
      <c r="A558" s="7"/>
      <c r="B558" s="7">
        <v>44307</v>
      </c>
      <c r="C558" s="8" t="s">
        <v>2742</v>
      </c>
      <c r="D558" s="8" t="s">
        <v>2743</v>
      </c>
      <c r="E558" s="9" t="s">
        <v>2744</v>
      </c>
      <c r="F558" s="9" t="s">
        <v>36</v>
      </c>
      <c r="G558" s="17">
        <v>0.57222222222222219</v>
      </c>
      <c r="H558" s="17">
        <v>0.59305555555555556</v>
      </c>
      <c r="I558" s="9">
        <v>5750</v>
      </c>
      <c r="J558" s="9">
        <v>3670</v>
      </c>
      <c r="K558" s="10">
        <f t="shared" si="20"/>
        <v>2080</v>
      </c>
      <c r="L558" s="10">
        <v>69707</v>
      </c>
      <c r="M558" s="11" t="s">
        <v>2745</v>
      </c>
      <c r="N558" s="12">
        <v>2000</v>
      </c>
      <c r="O558" s="13" t="s">
        <v>32</v>
      </c>
      <c r="P558" s="14"/>
    </row>
    <row r="559" spans="1:27" x14ac:dyDescent="0.25">
      <c r="A559" s="7"/>
      <c r="B559" s="7">
        <v>44307</v>
      </c>
      <c r="C559" s="8" t="s">
        <v>2723</v>
      </c>
      <c r="D559" s="8" t="s">
        <v>2717</v>
      </c>
      <c r="E559" s="9" t="s">
        <v>2718</v>
      </c>
      <c r="F559" s="9" t="s">
        <v>390</v>
      </c>
      <c r="G559" s="17">
        <v>0.58124999999999993</v>
      </c>
      <c r="H559" s="17">
        <v>0.67361111111111116</v>
      </c>
      <c r="I559" s="9">
        <v>5490</v>
      </c>
      <c r="J559" s="9">
        <v>8530</v>
      </c>
      <c r="K559" s="10">
        <f t="shared" si="20"/>
        <v>-3040</v>
      </c>
      <c r="L559" s="10">
        <v>17153</v>
      </c>
      <c r="M559" s="11" t="s">
        <v>2748</v>
      </c>
      <c r="N559" s="12">
        <v>3040</v>
      </c>
      <c r="O559" s="13" t="s">
        <v>32</v>
      </c>
      <c r="P559" s="14"/>
      <c r="U559" s="1">
        <v>0.25</v>
      </c>
      <c r="W559" s="1">
        <v>0.5</v>
      </c>
    </row>
    <row r="560" spans="1:27" x14ac:dyDescent="0.25">
      <c r="A560" s="7"/>
      <c r="B560" s="7">
        <v>44307</v>
      </c>
      <c r="C560" s="8" t="s">
        <v>2746</v>
      </c>
      <c r="D560" s="8" t="s">
        <v>899</v>
      </c>
      <c r="E560" s="9" t="s">
        <v>490</v>
      </c>
      <c r="F560" s="9" t="s">
        <v>491</v>
      </c>
      <c r="G560" s="17">
        <v>0.58124999999999993</v>
      </c>
      <c r="H560" s="17">
        <v>0.58750000000000002</v>
      </c>
      <c r="I560" s="9">
        <v>39720</v>
      </c>
      <c r="J560" s="9">
        <v>16380</v>
      </c>
      <c r="K560" s="10">
        <f t="shared" si="20"/>
        <v>23340</v>
      </c>
      <c r="L560" s="10">
        <v>23845</v>
      </c>
      <c r="M560" s="11" t="s">
        <v>1359</v>
      </c>
      <c r="N560" s="12">
        <v>21.6</v>
      </c>
      <c r="O560" s="13" t="s">
        <v>855</v>
      </c>
      <c r="P560" s="14"/>
    </row>
    <row r="561" spans="1:23" x14ac:dyDescent="0.25">
      <c r="A561" s="7"/>
      <c r="B561" s="7">
        <v>44307</v>
      </c>
      <c r="C561" s="8" t="s">
        <v>2746</v>
      </c>
      <c r="D561" s="8" t="s">
        <v>1794</v>
      </c>
      <c r="E561" s="9" t="s">
        <v>628</v>
      </c>
      <c r="F561" s="9" t="s">
        <v>629</v>
      </c>
      <c r="G561" s="17">
        <v>0.58402777777777781</v>
      </c>
      <c r="H561" s="17">
        <v>0.59097222222222223</v>
      </c>
      <c r="I561" s="9">
        <v>22650</v>
      </c>
      <c r="J561" s="9">
        <v>9670</v>
      </c>
      <c r="K561" s="10">
        <f t="shared" si="20"/>
        <v>12980</v>
      </c>
      <c r="L561" s="10">
        <v>23845</v>
      </c>
      <c r="M561" s="11" t="s">
        <v>1359</v>
      </c>
      <c r="N561" s="12">
        <v>12</v>
      </c>
      <c r="O561" s="13" t="s">
        <v>855</v>
      </c>
      <c r="P561" s="14"/>
    </row>
    <row r="562" spans="1:23" x14ac:dyDescent="0.25">
      <c r="A562" s="7"/>
      <c r="B562" s="7">
        <v>44307</v>
      </c>
      <c r="C562" s="8" t="s">
        <v>2746</v>
      </c>
      <c r="D562" s="8" t="s">
        <v>299</v>
      </c>
      <c r="E562" s="9" t="s">
        <v>813</v>
      </c>
      <c r="F562" s="9" t="s">
        <v>814</v>
      </c>
      <c r="G562" s="17">
        <v>0.60138888888888886</v>
      </c>
      <c r="H562" s="17">
        <v>0.61527777777777781</v>
      </c>
      <c r="I562" s="9">
        <v>43640</v>
      </c>
      <c r="J562" s="9">
        <v>17290</v>
      </c>
      <c r="K562" s="10">
        <f t="shared" si="20"/>
        <v>26350</v>
      </c>
      <c r="L562" s="10">
        <v>23845</v>
      </c>
      <c r="M562" s="11" t="s">
        <v>1359</v>
      </c>
      <c r="N562" s="12">
        <v>24</v>
      </c>
      <c r="O562" s="13" t="s">
        <v>855</v>
      </c>
      <c r="P562" s="14"/>
    </row>
    <row r="563" spans="1:23" x14ac:dyDescent="0.25">
      <c r="A563" s="7"/>
      <c r="B563" s="7">
        <v>44307</v>
      </c>
      <c r="C563" s="8" t="s">
        <v>2746</v>
      </c>
      <c r="D563" s="8" t="s">
        <v>198</v>
      </c>
      <c r="E563" s="9" t="s">
        <v>881</v>
      </c>
      <c r="F563" s="9" t="s">
        <v>749</v>
      </c>
      <c r="G563" s="17">
        <v>0.62916666666666665</v>
      </c>
      <c r="H563" s="17">
        <v>0.63958333333333328</v>
      </c>
      <c r="I563" s="9">
        <v>40020</v>
      </c>
      <c r="J563" s="9">
        <v>16760</v>
      </c>
      <c r="K563" s="10">
        <f t="shared" si="20"/>
        <v>23260</v>
      </c>
      <c r="L563" s="10">
        <v>23845</v>
      </c>
      <c r="M563" s="11" t="s">
        <v>1359</v>
      </c>
      <c r="N563" s="12">
        <v>19.2</v>
      </c>
      <c r="O563" s="13" t="s">
        <v>855</v>
      </c>
      <c r="P563" s="14"/>
    </row>
    <row r="564" spans="1:23" x14ac:dyDescent="0.25">
      <c r="A564" s="7"/>
      <c r="B564" s="7">
        <v>44307</v>
      </c>
      <c r="C564" s="8" t="s">
        <v>2746</v>
      </c>
      <c r="D564" s="8" t="s">
        <v>1355</v>
      </c>
      <c r="E564" s="9" t="s">
        <v>1048</v>
      </c>
      <c r="F564" s="9" t="s">
        <v>526</v>
      </c>
      <c r="G564" s="17">
        <v>0.65486111111111112</v>
      </c>
      <c r="H564" s="17">
        <v>0.66111111111111109</v>
      </c>
      <c r="I564" s="9">
        <v>37800</v>
      </c>
      <c r="J564" s="9">
        <v>16830</v>
      </c>
      <c r="K564" s="10">
        <f t="shared" si="20"/>
        <v>20970</v>
      </c>
      <c r="L564" s="10">
        <v>23845</v>
      </c>
      <c r="M564" s="11" t="s">
        <v>1359</v>
      </c>
      <c r="N564" s="12">
        <v>19.2</v>
      </c>
      <c r="O564" s="13" t="s">
        <v>855</v>
      </c>
      <c r="P564" s="14"/>
    </row>
    <row r="565" spans="1:23" x14ac:dyDescent="0.25">
      <c r="A565" s="7"/>
      <c r="B565" s="7">
        <v>44307</v>
      </c>
      <c r="C565" s="8" t="s">
        <v>1083</v>
      </c>
      <c r="D565" s="8" t="s">
        <v>1084</v>
      </c>
      <c r="E565" s="9" t="s">
        <v>1745</v>
      </c>
      <c r="F565" s="9" t="s">
        <v>1454</v>
      </c>
      <c r="G565" s="17">
        <v>0.6645833333333333</v>
      </c>
      <c r="H565" s="17">
        <v>0.68472222222222223</v>
      </c>
      <c r="I565" s="9">
        <v>7910</v>
      </c>
      <c r="J565" s="9">
        <v>6350</v>
      </c>
      <c r="K565" s="10">
        <f t="shared" si="20"/>
        <v>1560</v>
      </c>
      <c r="L565" s="10">
        <v>20212</v>
      </c>
      <c r="M565" s="11" t="s">
        <v>1087</v>
      </c>
      <c r="N565" s="12">
        <v>1560</v>
      </c>
      <c r="O565" s="13" t="s">
        <v>32</v>
      </c>
      <c r="P565" s="14"/>
      <c r="R565" s="1" t="s">
        <v>91</v>
      </c>
      <c r="S565" s="1">
        <v>57</v>
      </c>
      <c r="T565" s="18">
        <v>12</v>
      </c>
      <c r="U565" s="1">
        <f>+T565*S565</f>
        <v>684</v>
      </c>
    </row>
    <row r="566" spans="1:23" x14ac:dyDescent="0.25">
      <c r="A566" s="7"/>
      <c r="B566" s="7">
        <v>44307</v>
      </c>
      <c r="C566" s="8" t="s">
        <v>2101</v>
      </c>
      <c r="D566" s="8" t="s">
        <v>1619</v>
      </c>
      <c r="E566" s="9" t="s">
        <v>1434</v>
      </c>
      <c r="F566" s="9" t="s">
        <v>36</v>
      </c>
      <c r="G566" s="17">
        <v>0.6694444444444444</v>
      </c>
      <c r="H566" s="17">
        <v>0.71250000000000002</v>
      </c>
      <c r="I566" s="9">
        <v>19840</v>
      </c>
      <c r="J566" s="9">
        <v>5760</v>
      </c>
      <c r="K566" s="10">
        <f t="shared" si="20"/>
        <v>14080</v>
      </c>
      <c r="L566" s="10">
        <v>26863</v>
      </c>
      <c r="M566" s="11" t="s">
        <v>1359</v>
      </c>
      <c r="N566" s="12">
        <v>14080</v>
      </c>
      <c r="O566" s="13" t="s">
        <v>32</v>
      </c>
      <c r="P566" s="14"/>
      <c r="R566" s="1" t="s">
        <v>646</v>
      </c>
      <c r="S566" s="1">
        <v>58</v>
      </c>
      <c r="T566" s="18">
        <v>8</v>
      </c>
      <c r="U566" s="1">
        <f>+T566*S566</f>
        <v>464</v>
      </c>
    </row>
    <row r="567" spans="1:23" x14ac:dyDescent="0.25">
      <c r="A567" s="7"/>
      <c r="B567" s="7">
        <v>44307</v>
      </c>
      <c r="C567" s="8" t="s">
        <v>55</v>
      </c>
      <c r="D567" s="8" t="s">
        <v>299</v>
      </c>
      <c r="E567" s="9" t="s">
        <v>813</v>
      </c>
      <c r="F567" s="9" t="s">
        <v>814</v>
      </c>
      <c r="G567" s="17">
        <v>0.68958333333333333</v>
      </c>
      <c r="H567" s="17">
        <v>0.72569444444444453</v>
      </c>
      <c r="I567" s="9">
        <v>14080</v>
      </c>
      <c r="J567" s="9">
        <v>37250</v>
      </c>
      <c r="K567" s="10">
        <f t="shared" si="20"/>
        <v>-23170</v>
      </c>
      <c r="L567" s="10">
        <v>5976</v>
      </c>
      <c r="M567" s="11" t="s">
        <v>574</v>
      </c>
      <c r="N567" s="12">
        <v>22022</v>
      </c>
      <c r="O567" s="13" t="s">
        <v>32</v>
      </c>
      <c r="P567" s="14" t="s">
        <v>2749</v>
      </c>
      <c r="R567" s="1" t="s">
        <v>669</v>
      </c>
      <c r="S567" s="1">
        <v>63</v>
      </c>
      <c r="T567" s="18">
        <v>0</v>
      </c>
      <c r="U567" s="1">
        <f>+T567*S567</f>
        <v>0</v>
      </c>
    </row>
    <row r="568" spans="1:23" x14ac:dyDescent="0.25">
      <c r="A568" s="7"/>
      <c r="B568" s="7">
        <v>44307</v>
      </c>
      <c r="C568" s="8" t="s">
        <v>2746</v>
      </c>
      <c r="D568" s="8" t="s">
        <v>243</v>
      </c>
      <c r="E568" s="9" t="s">
        <v>440</v>
      </c>
      <c r="F568" s="9" t="s">
        <v>1276</v>
      </c>
      <c r="G568" s="17">
        <v>0.70624999999999993</v>
      </c>
      <c r="H568" s="17">
        <v>0.72291666666666676</v>
      </c>
      <c r="I568" s="9">
        <v>38600</v>
      </c>
      <c r="J568" s="9">
        <v>15350</v>
      </c>
      <c r="K568" s="10">
        <f t="shared" si="20"/>
        <v>23250</v>
      </c>
      <c r="L568" s="10">
        <v>23845</v>
      </c>
      <c r="M568" s="11" t="s">
        <v>1359</v>
      </c>
      <c r="N568" s="12">
        <v>21.6</v>
      </c>
      <c r="O568" s="13" t="s">
        <v>855</v>
      </c>
      <c r="P568" s="14"/>
      <c r="T568" s="18">
        <f>SUM(T565:T567)</f>
        <v>20</v>
      </c>
      <c r="U568" s="18">
        <f>SUM(U565:U567)</f>
        <v>1148</v>
      </c>
      <c r="V568" s="18">
        <v>23170</v>
      </c>
      <c r="W568" s="18">
        <f>+V568-U568</f>
        <v>22022</v>
      </c>
    </row>
    <row r="569" spans="1:23" x14ac:dyDescent="0.25">
      <c r="A569" s="7"/>
      <c r="B569" s="7">
        <v>44307</v>
      </c>
      <c r="C569" s="8" t="s">
        <v>2746</v>
      </c>
      <c r="D569" s="8" t="s">
        <v>94</v>
      </c>
      <c r="E569" s="9" t="s">
        <v>1774</v>
      </c>
      <c r="F569" s="9" t="s">
        <v>1775</v>
      </c>
      <c r="G569" s="17">
        <v>0.7416666666666667</v>
      </c>
      <c r="H569" s="17">
        <v>0.74722222222222223</v>
      </c>
      <c r="I569" s="9">
        <v>17830</v>
      </c>
      <c r="J569" s="9">
        <v>7510</v>
      </c>
      <c r="K569" s="10">
        <f t="shared" si="20"/>
        <v>10320</v>
      </c>
      <c r="L569" s="10">
        <v>23845</v>
      </c>
      <c r="M569" s="11" t="s">
        <v>1359</v>
      </c>
      <c r="N569" s="12">
        <v>9.6</v>
      </c>
      <c r="O569" s="13" t="s">
        <v>855</v>
      </c>
      <c r="P569" s="14"/>
    </row>
    <row r="570" spans="1:23" x14ac:dyDescent="0.25">
      <c r="A570" s="7"/>
      <c r="B570" s="7">
        <v>44307</v>
      </c>
      <c r="C570" s="8" t="s">
        <v>2746</v>
      </c>
      <c r="D570" s="8" t="s">
        <v>899</v>
      </c>
      <c r="E570" s="9" t="s">
        <v>490</v>
      </c>
      <c r="F570" s="9" t="s">
        <v>491</v>
      </c>
      <c r="G570" s="17">
        <v>0.77222222222222225</v>
      </c>
      <c r="H570" s="17">
        <v>0.78194444444444444</v>
      </c>
      <c r="I570" s="9">
        <v>36130</v>
      </c>
      <c r="J570" s="9">
        <v>16360</v>
      </c>
      <c r="K570" s="10">
        <f t="shared" si="20"/>
        <v>19770</v>
      </c>
      <c r="L570" s="10">
        <v>23845</v>
      </c>
      <c r="M570" s="11" t="s">
        <v>1041</v>
      </c>
      <c r="N570" s="12">
        <v>18.600000000000001</v>
      </c>
      <c r="O570" s="13" t="s">
        <v>855</v>
      </c>
      <c r="P570" s="14"/>
    </row>
    <row r="571" spans="1:23" x14ac:dyDescent="0.25">
      <c r="A571" s="7"/>
      <c r="B571" s="7">
        <v>44307</v>
      </c>
      <c r="C571" s="8" t="s">
        <v>927</v>
      </c>
      <c r="D571" s="8" t="s">
        <v>1794</v>
      </c>
      <c r="E571" s="9" t="s">
        <v>628</v>
      </c>
      <c r="F571" s="9" t="s">
        <v>629</v>
      </c>
      <c r="G571" s="17">
        <v>0.77430555555555547</v>
      </c>
      <c r="H571" s="17">
        <v>0.77986111111111101</v>
      </c>
      <c r="I571" s="9">
        <v>12720</v>
      </c>
      <c r="J571" s="9">
        <v>9670</v>
      </c>
      <c r="K571" s="10">
        <f t="shared" si="20"/>
        <v>3050</v>
      </c>
      <c r="L571" s="10">
        <v>23846</v>
      </c>
      <c r="M571" s="11" t="s">
        <v>2750</v>
      </c>
      <c r="N571" s="12">
        <v>2.4</v>
      </c>
      <c r="O571" s="13" t="s">
        <v>855</v>
      </c>
      <c r="P571" s="14"/>
    </row>
    <row r="572" spans="1:23" x14ac:dyDescent="0.25">
      <c r="A572" s="7"/>
      <c r="B572" s="7">
        <v>44307</v>
      </c>
      <c r="C572" s="8" t="s">
        <v>208</v>
      </c>
      <c r="D572" s="8" t="s">
        <v>198</v>
      </c>
      <c r="E572" s="9" t="s">
        <v>881</v>
      </c>
      <c r="F572" s="9" t="s">
        <v>749</v>
      </c>
      <c r="G572" s="17">
        <v>0.85486111111111107</v>
      </c>
      <c r="H572" s="17">
        <v>0.31875000000000003</v>
      </c>
      <c r="I572" s="9">
        <v>33640</v>
      </c>
      <c r="J572" s="9">
        <v>18320</v>
      </c>
      <c r="K572" s="10">
        <f t="shared" si="20"/>
        <v>15320</v>
      </c>
      <c r="L572" s="10">
        <v>41868</v>
      </c>
      <c r="M572" s="11" t="s">
        <v>1626</v>
      </c>
      <c r="N572" s="12">
        <v>15270</v>
      </c>
      <c r="O572" s="13" t="s">
        <v>32</v>
      </c>
      <c r="P572" s="14"/>
    </row>
    <row r="573" spans="1:23" x14ac:dyDescent="0.25">
      <c r="A573" s="6"/>
      <c r="B573" s="7">
        <v>44307</v>
      </c>
      <c r="C573" s="8" t="s">
        <v>1673</v>
      </c>
      <c r="D573" s="8" t="s">
        <v>94</v>
      </c>
      <c r="E573" s="9" t="s">
        <v>947</v>
      </c>
      <c r="F573" s="9" t="s">
        <v>948</v>
      </c>
      <c r="G573" s="17">
        <v>0.88124999999999998</v>
      </c>
      <c r="H573" s="17">
        <v>0.88611111111111107</v>
      </c>
      <c r="I573" s="9">
        <v>9300</v>
      </c>
      <c r="J573" s="9">
        <v>7520</v>
      </c>
      <c r="K573" s="10">
        <f t="shared" si="20"/>
        <v>1780</v>
      </c>
      <c r="L573" s="10">
        <v>26864</v>
      </c>
      <c r="M573" s="11" t="s">
        <v>966</v>
      </c>
      <c r="N573" s="12">
        <v>1780</v>
      </c>
      <c r="O573" s="13" t="s">
        <v>32</v>
      </c>
      <c r="P573" s="14"/>
    </row>
    <row r="574" spans="1:23" x14ac:dyDescent="0.25">
      <c r="A574" s="6"/>
      <c r="B574" s="7">
        <v>44307</v>
      </c>
      <c r="C574" s="8" t="s">
        <v>37</v>
      </c>
      <c r="D574" s="8" t="s">
        <v>2418</v>
      </c>
      <c r="E574" s="9" t="s">
        <v>39</v>
      </c>
      <c r="F574" s="9" t="s">
        <v>36</v>
      </c>
      <c r="G574" s="17">
        <v>0.93194444444444446</v>
      </c>
      <c r="H574" s="17">
        <v>0.9506944444444444</v>
      </c>
      <c r="I574" s="9">
        <v>16265</v>
      </c>
      <c r="J574" s="9">
        <v>6150</v>
      </c>
      <c r="K574" s="10">
        <f t="shared" si="20"/>
        <v>10115</v>
      </c>
      <c r="L574" s="10">
        <v>26865</v>
      </c>
      <c r="M574" s="11" t="s">
        <v>2731</v>
      </c>
      <c r="N574" s="12">
        <v>10115</v>
      </c>
      <c r="O574" s="13" t="s">
        <v>32</v>
      </c>
      <c r="P574" s="14"/>
    </row>
    <row r="575" spans="1:23" x14ac:dyDescent="0.25">
      <c r="A575" s="6"/>
      <c r="B575" s="7">
        <v>44308</v>
      </c>
      <c r="C575" s="8" t="s">
        <v>1476</v>
      </c>
      <c r="D575" s="8" t="s">
        <v>94</v>
      </c>
      <c r="E575" s="9" t="s">
        <v>947</v>
      </c>
      <c r="F575" s="9" t="s">
        <v>948</v>
      </c>
      <c r="G575" s="17">
        <v>4.0972222222222222E-2</v>
      </c>
      <c r="H575" s="17">
        <v>5.2083333333333336E-2</v>
      </c>
      <c r="I575" s="9">
        <v>10410</v>
      </c>
      <c r="J575" s="9">
        <v>7460</v>
      </c>
      <c r="K575" s="10">
        <v>2950</v>
      </c>
      <c r="L575" s="10">
        <v>23847</v>
      </c>
      <c r="M575" s="11" t="s">
        <v>1041</v>
      </c>
      <c r="N575" s="12">
        <v>2950</v>
      </c>
      <c r="O575" s="13" t="s">
        <v>32</v>
      </c>
      <c r="P575" s="14" t="s">
        <v>2751</v>
      </c>
    </row>
    <row r="576" spans="1:23" x14ac:dyDescent="0.25">
      <c r="A576" s="6"/>
      <c r="B576" s="7">
        <v>44308</v>
      </c>
      <c r="C576" s="8" t="s">
        <v>142</v>
      </c>
      <c r="D576" s="8" t="s">
        <v>86</v>
      </c>
      <c r="E576" s="9" t="s">
        <v>87</v>
      </c>
      <c r="F576" s="9" t="s">
        <v>88</v>
      </c>
      <c r="G576" s="17">
        <v>4.6527777777777779E-2</v>
      </c>
      <c r="H576" s="17">
        <v>5.6944444444444443E-2</v>
      </c>
      <c r="I576" s="9">
        <v>37920</v>
      </c>
      <c r="J576" s="9">
        <v>17170</v>
      </c>
      <c r="K576" s="10">
        <v>20750</v>
      </c>
      <c r="L576" s="10">
        <v>821</v>
      </c>
      <c r="M576" s="11" t="s">
        <v>2752</v>
      </c>
      <c r="N576" s="12">
        <v>19999</v>
      </c>
      <c r="O576" s="13" t="s">
        <v>32</v>
      </c>
      <c r="P576" s="14"/>
    </row>
    <row r="577" spans="1:18" x14ac:dyDescent="0.25">
      <c r="A577" s="6"/>
      <c r="B577" s="7">
        <v>44308</v>
      </c>
      <c r="C577" s="8" t="s">
        <v>133</v>
      </c>
      <c r="D577" s="8" t="s">
        <v>1047</v>
      </c>
      <c r="E577" s="9" t="s">
        <v>220</v>
      </c>
      <c r="F577" s="9" t="s">
        <v>924</v>
      </c>
      <c r="G577" s="17">
        <v>5.5555555555555552E-2</v>
      </c>
      <c r="H577" s="17">
        <v>0.20069444444444443</v>
      </c>
      <c r="I577" s="9">
        <v>20430</v>
      </c>
      <c r="J577" s="9">
        <v>9180</v>
      </c>
      <c r="K577" s="10">
        <f t="shared" si="20"/>
        <v>11250</v>
      </c>
      <c r="L577" s="10" t="s">
        <v>2753</v>
      </c>
      <c r="M577" s="11" t="s">
        <v>2154</v>
      </c>
      <c r="N577" s="12">
        <v>11297</v>
      </c>
      <c r="O577" s="13" t="s">
        <v>32</v>
      </c>
      <c r="P577" s="14"/>
      <c r="R577" s="1">
        <f>8787+2510</f>
        <v>11297</v>
      </c>
    </row>
    <row r="578" spans="1:18" x14ac:dyDescent="0.25">
      <c r="A578" s="6"/>
      <c r="B578" s="15">
        <v>44308</v>
      </c>
      <c r="C578" s="16" t="s">
        <v>2754</v>
      </c>
      <c r="D578" s="8" t="s">
        <v>94</v>
      </c>
      <c r="E578" s="9" t="s">
        <v>947</v>
      </c>
      <c r="F578" s="9" t="s">
        <v>948</v>
      </c>
      <c r="G578" s="17">
        <v>0.10277777777777779</v>
      </c>
      <c r="H578" s="17">
        <v>0.1076388888888889</v>
      </c>
      <c r="I578" s="9">
        <v>8360</v>
      </c>
      <c r="J578" s="9">
        <v>7450</v>
      </c>
      <c r="K578" s="10">
        <f t="shared" si="20"/>
        <v>910</v>
      </c>
      <c r="L578" s="10">
        <v>23848</v>
      </c>
      <c r="M578" s="11" t="s">
        <v>1041</v>
      </c>
      <c r="N578" s="12">
        <v>910</v>
      </c>
      <c r="O578" s="13" t="s">
        <v>32</v>
      </c>
      <c r="P578" s="14" t="s">
        <v>2755</v>
      </c>
    </row>
    <row r="579" spans="1:18" x14ac:dyDescent="0.25">
      <c r="A579" s="6"/>
      <c r="B579" s="7">
        <v>44308</v>
      </c>
      <c r="C579" s="8" t="s">
        <v>2756</v>
      </c>
      <c r="D579" s="8" t="s">
        <v>2757</v>
      </c>
      <c r="E579" s="9" t="s">
        <v>559</v>
      </c>
      <c r="F579" s="9" t="s">
        <v>36</v>
      </c>
      <c r="G579" s="17">
        <v>0.34722222222222227</v>
      </c>
      <c r="H579" s="17">
        <v>0.48749999999999999</v>
      </c>
      <c r="I579" s="9">
        <v>16510</v>
      </c>
      <c r="J579" s="9">
        <v>43010</v>
      </c>
      <c r="K579" s="10">
        <f t="shared" si="20"/>
        <v>-26500</v>
      </c>
      <c r="L579" s="10">
        <v>5979</v>
      </c>
      <c r="M579" s="11" t="s">
        <v>53</v>
      </c>
      <c r="N579" s="12">
        <v>530</v>
      </c>
      <c r="O579" s="13" t="s">
        <v>54</v>
      </c>
      <c r="P579" s="14"/>
    </row>
    <row r="580" spans="1:18" x14ac:dyDescent="0.25">
      <c r="A580" s="6"/>
      <c r="B580" s="7">
        <v>44308</v>
      </c>
      <c r="C580" s="8" t="s">
        <v>2756</v>
      </c>
      <c r="D580" s="8" t="s">
        <v>2147</v>
      </c>
      <c r="E580" s="1" t="s">
        <v>2232</v>
      </c>
      <c r="F580" s="9" t="s">
        <v>36</v>
      </c>
      <c r="G580" s="17">
        <v>0.34861111111111115</v>
      </c>
      <c r="H580" s="17">
        <v>0.50069444444444444</v>
      </c>
      <c r="I580" s="9">
        <v>15640</v>
      </c>
      <c r="J580" s="9">
        <v>42140</v>
      </c>
      <c r="K580" s="10">
        <f t="shared" si="20"/>
        <v>-26500</v>
      </c>
      <c r="L580" s="10">
        <v>5978</v>
      </c>
      <c r="M580" s="11" t="s">
        <v>53</v>
      </c>
      <c r="N580" s="12">
        <v>530</v>
      </c>
      <c r="O580" s="13" t="s">
        <v>54</v>
      </c>
      <c r="P580" s="14"/>
    </row>
    <row r="581" spans="1:18" x14ac:dyDescent="0.25">
      <c r="A581" s="6"/>
      <c r="B581" s="7">
        <v>44308</v>
      </c>
      <c r="C581" s="8" t="s">
        <v>2756</v>
      </c>
      <c r="D581" s="8" t="s">
        <v>1969</v>
      </c>
      <c r="E581" s="9" t="s">
        <v>2758</v>
      </c>
      <c r="F581" s="9" t="s">
        <v>36</v>
      </c>
      <c r="G581" s="17">
        <v>0.35625000000000001</v>
      </c>
      <c r="H581" s="17">
        <v>0.60138888888888886</v>
      </c>
      <c r="I581" s="9">
        <v>16790</v>
      </c>
      <c r="J581" s="9">
        <v>43290</v>
      </c>
      <c r="K581" s="10">
        <f t="shared" si="20"/>
        <v>-26500</v>
      </c>
      <c r="L581" s="10">
        <v>5981</v>
      </c>
      <c r="M581" s="11" t="s">
        <v>53</v>
      </c>
      <c r="N581" s="12">
        <v>530</v>
      </c>
      <c r="O581" s="13" t="s">
        <v>54</v>
      </c>
      <c r="P581" s="14"/>
    </row>
    <row r="582" spans="1:18" x14ac:dyDescent="0.25">
      <c r="A582" s="6"/>
      <c r="B582" s="7">
        <v>44308</v>
      </c>
      <c r="C582" s="8" t="s">
        <v>1887</v>
      </c>
      <c r="D582" s="8" t="s">
        <v>243</v>
      </c>
      <c r="E582" s="9" t="s">
        <v>440</v>
      </c>
      <c r="F582" s="9" t="s">
        <v>1276</v>
      </c>
      <c r="G582" s="17">
        <v>0.36041666666666666</v>
      </c>
      <c r="H582" s="17">
        <v>0.3833333333333333</v>
      </c>
      <c r="I582" s="9">
        <v>39380</v>
      </c>
      <c r="J582" s="9">
        <v>15360</v>
      </c>
      <c r="K582" s="10">
        <f t="shared" ref="K582:K583" si="22">+I582-J582</f>
        <v>24020</v>
      </c>
      <c r="L582" s="10">
        <v>26866</v>
      </c>
      <c r="M582" s="11" t="s">
        <v>1041</v>
      </c>
      <c r="N582" s="12">
        <v>24020</v>
      </c>
      <c r="O582" s="13" t="s">
        <v>32</v>
      </c>
      <c r="P582" s="14"/>
    </row>
    <row r="583" spans="1:18" x14ac:dyDescent="0.25">
      <c r="A583" s="6"/>
      <c r="B583" s="7">
        <v>44308</v>
      </c>
      <c r="C583" s="8" t="s">
        <v>1476</v>
      </c>
      <c r="D583" s="8" t="s">
        <v>1794</v>
      </c>
      <c r="E583" s="9" t="s">
        <v>628</v>
      </c>
      <c r="F583" s="9" t="s">
        <v>629</v>
      </c>
      <c r="G583" s="17">
        <v>0.37152777777777773</v>
      </c>
      <c r="H583" s="17">
        <v>0.37986111111111115</v>
      </c>
      <c r="I583" s="9">
        <v>11450</v>
      </c>
      <c r="J583" s="9">
        <v>9660</v>
      </c>
      <c r="K583" s="10">
        <f t="shared" si="22"/>
        <v>1790</v>
      </c>
      <c r="L583" s="10">
        <v>23849</v>
      </c>
      <c r="M583" s="11" t="s">
        <v>1041</v>
      </c>
      <c r="N583" s="12">
        <v>1790</v>
      </c>
      <c r="O583" s="13" t="s">
        <v>32</v>
      </c>
      <c r="P583" s="14" t="s">
        <v>992</v>
      </c>
    </row>
    <row r="584" spans="1:18" x14ac:dyDescent="0.25">
      <c r="A584" s="6"/>
      <c r="B584" s="7">
        <v>44308</v>
      </c>
      <c r="C584" s="8" t="s">
        <v>2756</v>
      </c>
      <c r="D584" s="8" t="s">
        <v>2759</v>
      </c>
      <c r="E584" s="9" t="s">
        <v>2330</v>
      </c>
      <c r="F584" s="9" t="s">
        <v>36</v>
      </c>
      <c r="G584" s="17">
        <v>0.37291666666666662</v>
      </c>
      <c r="H584" s="17">
        <v>0.59930555555555554</v>
      </c>
      <c r="I584" s="9">
        <v>17660</v>
      </c>
      <c r="J584" s="9">
        <v>44160</v>
      </c>
      <c r="K584" s="10">
        <f t="shared" si="20"/>
        <v>-26500</v>
      </c>
      <c r="L584" s="10">
        <v>5980</v>
      </c>
      <c r="M584" s="11" t="s">
        <v>53</v>
      </c>
      <c r="N584" s="12">
        <v>530</v>
      </c>
      <c r="O584" s="13" t="s">
        <v>54</v>
      </c>
      <c r="P584" s="14"/>
    </row>
    <row r="585" spans="1:18" x14ac:dyDescent="0.25">
      <c r="A585" s="6"/>
      <c r="B585" s="7">
        <v>44308</v>
      </c>
      <c r="C585" s="8" t="s">
        <v>2756</v>
      </c>
      <c r="D585" s="8" t="s">
        <v>2760</v>
      </c>
      <c r="E585" s="9" t="s">
        <v>2761</v>
      </c>
      <c r="F585" s="9" t="s">
        <v>36</v>
      </c>
      <c r="G585" s="17">
        <v>0.3756944444444445</v>
      </c>
      <c r="H585" s="17">
        <v>0.59166666666666667</v>
      </c>
      <c r="I585" s="9">
        <v>16850</v>
      </c>
      <c r="J585" s="9">
        <v>43350</v>
      </c>
      <c r="K585" s="10">
        <f t="shared" si="20"/>
        <v>-26500</v>
      </c>
      <c r="L585" s="10">
        <v>5982</v>
      </c>
      <c r="M585" s="11" t="s">
        <v>53</v>
      </c>
      <c r="N585" s="12">
        <v>530</v>
      </c>
      <c r="O585" s="13" t="s">
        <v>54</v>
      </c>
      <c r="P585" s="14"/>
    </row>
    <row r="586" spans="1:18" x14ac:dyDescent="0.25">
      <c r="A586" s="6"/>
      <c r="B586" s="7">
        <v>44308</v>
      </c>
      <c r="C586" s="8" t="s">
        <v>2756</v>
      </c>
      <c r="D586" s="8" t="s">
        <v>2762</v>
      </c>
      <c r="E586" s="9" t="s">
        <v>561</v>
      </c>
      <c r="F586" s="9" t="s">
        <v>36</v>
      </c>
      <c r="G586" s="17">
        <v>0.37708333333333338</v>
      </c>
      <c r="H586" s="17">
        <v>0.49027777777777781</v>
      </c>
      <c r="I586" s="9">
        <v>15580</v>
      </c>
      <c r="J586" s="9">
        <v>42080</v>
      </c>
      <c r="K586" s="10">
        <f t="shared" si="20"/>
        <v>-26500</v>
      </c>
      <c r="L586" s="10">
        <v>5977</v>
      </c>
      <c r="M586" s="11" t="s">
        <v>53</v>
      </c>
      <c r="N586" s="12">
        <v>530</v>
      </c>
      <c r="O586" s="13" t="s">
        <v>54</v>
      </c>
      <c r="P586" s="14"/>
    </row>
    <row r="587" spans="1:18" x14ac:dyDescent="0.25">
      <c r="A587" s="6"/>
      <c r="B587" s="7">
        <v>44308</v>
      </c>
      <c r="C587" s="8" t="s">
        <v>1887</v>
      </c>
      <c r="D587" s="8" t="s">
        <v>284</v>
      </c>
      <c r="E587" s="9" t="s">
        <v>177</v>
      </c>
      <c r="F587" s="9" t="s">
        <v>178</v>
      </c>
      <c r="G587" s="17">
        <v>0.40347222222222223</v>
      </c>
      <c r="H587" s="17">
        <v>0.41180555555555554</v>
      </c>
      <c r="I587" s="9">
        <v>39270</v>
      </c>
      <c r="J587" s="9">
        <v>16280</v>
      </c>
      <c r="K587" s="10">
        <f t="shared" si="20"/>
        <v>22990</v>
      </c>
      <c r="L587" s="10">
        <v>26867</v>
      </c>
      <c r="M587" s="11" t="s">
        <v>1041</v>
      </c>
      <c r="N587" s="12">
        <v>22990</v>
      </c>
      <c r="O587" s="13" t="s">
        <v>32</v>
      </c>
      <c r="P587" s="14"/>
    </row>
    <row r="588" spans="1:18" x14ac:dyDescent="0.25">
      <c r="A588" s="6"/>
      <c r="B588" s="7">
        <v>44308</v>
      </c>
      <c r="C588" s="43" t="s">
        <v>1630</v>
      </c>
      <c r="D588" s="43" t="s">
        <v>602</v>
      </c>
      <c r="E588" s="44" t="s">
        <v>1632</v>
      </c>
      <c r="F588" s="44" t="s">
        <v>266</v>
      </c>
      <c r="G588" s="17">
        <v>0.43402777777777773</v>
      </c>
      <c r="H588" s="17">
        <v>0.44166666666666665</v>
      </c>
      <c r="I588" s="9">
        <v>5690</v>
      </c>
      <c r="J588" s="9">
        <v>5500</v>
      </c>
      <c r="K588" s="10">
        <f t="shared" si="20"/>
        <v>190</v>
      </c>
      <c r="L588" s="10" t="s">
        <v>2764</v>
      </c>
      <c r="M588" s="47" t="s">
        <v>2763</v>
      </c>
      <c r="N588" s="12">
        <v>190</v>
      </c>
      <c r="O588" s="13" t="s">
        <v>32</v>
      </c>
      <c r="P588" s="14"/>
    </row>
    <row r="589" spans="1:18" x14ac:dyDescent="0.25">
      <c r="A589" s="6"/>
      <c r="B589" s="7">
        <v>44308</v>
      </c>
      <c r="C589" s="8" t="s">
        <v>1887</v>
      </c>
      <c r="D589" s="8" t="s">
        <v>1672</v>
      </c>
      <c r="E589" s="9" t="s">
        <v>881</v>
      </c>
      <c r="F589" s="9" t="s">
        <v>749</v>
      </c>
      <c r="G589" s="17">
        <v>0.45624999999999999</v>
      </c>
      <c r="H589" s="17">
        <v>0.46180555555555558</v>
      </c>
      <c r="I589" s="9">
        <v>41190</v>
      </c>
      <c r="J589" s="9">
        <v>16680</v>
      </c>
      <c r="K589" s="10">
        <f t="shared" si="20"/>
        <v>24510</v>
      </c>
      <c r="L589" s="10">
        <v>26868</v>
      </c>
      <c r="M589" s="11" t="s">
        <v>1041</v>
      </c>
      <c r="N589" s="12">
        <v>24510</v>
      </c>
      <c r="O589" s="13" t="s">
        <v>32</v>
      </c>
      <c r="P589" s="14"/>
    </row>
    <row r="590" spans="1:18" x14ac:dyDescent="0.25">
      <c r="A590" s="6"/>
      <c r="B590" s="7">
        <v>44308</v>
      </c>
      <c r="C590" s="8" t="s">
        <v>1887</v>
      </c>
      <c r="D590" s="8" t="s">
        <v>94</v>
      </c>
      <c r="E590" s="9" t="s">
        <v>947</v>
      </c>
      <c r="F590" s="9" t="s">
        <v>948</v>
      </c>
      <c r="G590" s="17">
        <v>0.48055555555555557</v>
      </c>
      <c r="H590" s="17">
        <v>0.49583333333333335</v>
      </c>
      <c r="I590" s="9">
        <v>15570</v>
      </c>
      <c r="J590" s="9">
        <v>7440</v>
      </c>
      <c r="K590" s="10">
        <f t="shared" si="20"/>
        <v>8130</v>
      </c>
      <c r="L590" s="10">
        <v>26869</v>
      </c>
      <c r="M590" s="11" t="s">
        <v>1041</v>
      </c>
      <c r="N590" s="12">
        <v>8130</v>
      </c>
      <c r="O590" s="13" t="s">
        <v>32</v>
      </c>
      <c r="P590" s="14"/>
    </row>
    <row r="591" spans="1:18" x14ac:dyDescent="0.25">
      <c r="A591" s="6"/>
      <c r="B591" s="7">
        <v>44308</v>
      </c>
      <c r="C591" s="8" t="s">
        <v>1583</v>
      </c>
      <c r="D591" s="8" t="s">
        <v>1584</v>
      </c>
      <c r="E591" s="9" t="s">
        <v>2765</v>
      </c>
      <c r="F591" s="9" t="s">
        <v>36</v>
      </c>
      <c r="G591" s="17">
        <v>0.49444444444444446</v>
      </c>
      <c r="H591" s="17">
        <v>0.50763888888888886</v>
      </c>
      <c r="I591" s="9">
        <v>9310</v>
      </c>
      <c r="J591" s="9">
        <v>4220</v>
      </c>
      <c r="K591" s="10">
        <f t="shared" si="20"/>
        <v>5090</v>
      </c>
      <c r="L591" s="10">
        <v>8062</v>
      </c>
      <c r="M591" s="11" t="s">
        <v>2766</v>
      </c>
      <c r="N591" s="12">
        <v>5090</v>
      </c>
      <c r="O591" s="13" t="s">
        <v>32</v>
      </c>
      <c r="P591" s="14"/>
    </row>
    <row r="592" spans="1:18" x14ac:dyDescent="0.25">
      <c r="A592" s="6"/>
      <c r="B592" s="7">
        <v>44308</v>
      </c>
      <c r="C592" s="8" t="s">
        <v>164</v>
      </c>
      <c r="D592" s="8" t="s">
        <v>899</v>
      </c>
      <c r="E592" s="9" t="s">
        <v>490</v>
      </c>
      <c r="F592" s="9" t="s">
        <v>491</v>
      </c>
      <c r="G592" s="17">
        <v>0.49652777777777773</v>
      </c>
      <c r="H592" s="17">
        <v>0.57847222222222217</v>
      </c>
      <c r="I592" s="9">
        <v>17950</v>
      </c>
      <c r="J592" s="9">
        <v>43140</v>
      </c>
      <c r="K592" s="10">
        <f t="shared" si="20"/>
        <v>-25190</v>
      </c>
      <c r="L592" s="10">
        <v>17205</v>
      </c>
      <c r="M592" s="11" t="s">
        <v>166</v>
      </c>
      <c r="N592" s="12">
        <v>504</v>
      </c>
      <c r="O592" s="13" t="s">
        <v>54</v>
      </c>
      <c r="P592" s="14"/>
    </row>
    <row r="593" spans="1:16" x14ac:dyDescent="0.25">
      <c r="A593" s="6"/>
      <c r="B593" s="7">
        <v>44308</v>
      </c>
      <c r="C593" s="8" t="s">
        <v>1062</v>
      </c>
      <c r="D593" s="8" t="s">
        <v>1355</v>
      </c>
      <c r="E593" s="9" t="s">
        <v>1048</v>
      </c>
      <c r="F593" s="9" t="s">
        <v>526</v>
      </c>
      <c r="G593" s="17">
        <v>0.49791666666666662</v>
      </c>
      <c r="H593" s="17">
        <v>0.50416666666666665</v>
      </c>
      <c r="I593" s="9">
        <v>33930</v>
      </c>
      <c r="J593" s="9">
        <v>16850</v>
      </c>
      <c r="K593" s="10">
        <f t="shared" si="20"/>
        <v>17080</v>
      </c>
      <c r="L593" s="10">
        <v>23850</v>
      </c>
      <c r="M593" s="11" t="s">
        <v>1784</v>
      </c>
      <c r="N593" s="12">
        <v>15.2</v>
      </c>
      <c r="O593" s="13" t="s">
        <v>855</v>
      </c>
      <c r="P593" s="14"/>
    </row>
    <row r="594" spans="1:16" x14ac:dyDescent="0.25">
      <c r="A594" s="6"/>
      <c r="B594" s="7">
        <v>44308</v>
      </c>
      <c r="C594" s="8" t="s">
        <v>164</v>
      </c>
      <c r="D594" s="8" t="s">
        <v>284</v>
      </c>
      <c r="E594" s="9" t="s">
        <v>177</v>
      </c>
      <c r="F594" s="9" t="s">
        <v>178</v>
      </c>
      <c r="G594" s="17">
        <v>0.50208333333333333</v>
      </c>
      <c r="H594" s="17">
        <v>0.53888888888888886</v>
      </c>
      <c r="I594" s="9">
        <v>16320</v>
      </c>
      <c r="J594" s="9">
        <v>41580</v>
      </c>
      <c r="K594" s="10">
        <f t="shared" ref="K594:K652" si="23">+I594-J594</f>
        <v>-25260</v>
      </c>
      <c r="L594" s="10">
        <v>17206</v>
      </c>
      <c r="M594" s="11" t="s">
        <v>166</v>
      </c>
      <c r="N594" s="12">
        <v>504</v>
      </c>
      <c r="O594" s="13" t="s">
        <v>855</v>
      </c>
      <c r="P594" s="14"/>
    </row>
    <row r="595" spans="1:16" x14ac:dyDescent="0.25">
      <c r="A595" s="6"/>
      <c r="B595" s="7">
        <v>44308</v>
      </c>
      <c r="C595" s="8" t="s">
        <v>1065</v>
      </c>
      <c r="D595" s="8" t="s">
        <v>1794</v>
      </c>
      <c r="E595" s="9" t="s">
        <v>628</v>
      </c>
      <c r="F595" s="9" t="s">
        <v>629</v>
      </c>
      <c r="G595" s="17">
        <v>0.5229166666666667</v>
      </c>
      <c r="H595" s="17">
        <v>0.55763888888888891</v>
      </c>
      <c r="I595" s="9">
        <v>22880</v>
      </c>
      <c r="J595" s="9">
        <v>9640</v>
      </c>
      <c r="K595" s="10">
        <f t="shared" si="23"/>
        <v>13240</v>
      </c>
      <c r="L595" s="10">
        <v>23851</v>
      </c>
      <c r="M595" s="11" t="s">
        <v>1041</v>
      </c>
      <c r="N595" s="12">
        <v>12</v>
      </c>
      <c r="O595" s="13" t="s">
        <v>855</v>
      </c>
      <c r="P595" s="14"/>
    </row>
    <row r="596" spans="1:16" x14ac:dyDescent="0.25">
      <c r="A596" s="6"/>
      <c r="B596" s="7">
        <v>44308</v>
      </c>
      <c r="C596" s="8" t="s">
        <v>1065</v>
      </c>
      <c r="D596" s="8" t="s">
        <v>94</v>
      </c>
      <c r="E596" s="9" t="s">
        <v>947</v>
      </c>
      <c r="F596" s="9" t="s">
        <v>948</v>
      </c>
      <c r="G596" s="17">
        <v>0.57291666666666663</v>
      </c>
      <c r="H596" s="17">
        <v>0.58402777777777781</v>
      </c>
      <c r="I596" s="9">
        <v>10440</v>
      </c>
      <c r="J596" s="9">
        <v>7440</v>
      </c>
      <c r="K596" s="10">
        <f t="shared" si="23"/>
        <v>3000</v>
      </c>
      <c r="L596" s="10">
        <v>23851</v>
      </c>
      <c r="M596" s="11" t="s">
        <v>1041</v>
      </c>
      <c r="N596" s="12">
        <v>2.4</v>
      </c>
      <c r="O596" s="13" t="s">
        <v>855</v>
      </c>
      <c r="P596" s="14"/>
    </row>
    <row r="597" spans="1:16" x14ac:dyDescent="0.25">
      <c r="A597" s="6"/>
      <c r="B597" s="7">
        <v>44308</v>
      </c>
      <c r="C597" s="8" t="s">
        <v>2352</v>
      </c>
      <c r="D597" s="8" t="s">
        <v>2360</v>
      </c>
      <c r="E597" s="9" t="s">
        <v>2361</v>
      </c>
      <c r="F597" s="9" t="s">
        <v>36</v>
      </c>
      <c r="G597" s="17">
        <v>0.58194444444444449</v>
      </c>
      <c r="H597" s="17">
        <v>0.65416666666666667</v>
      </c>
      <c r="I597" s="9">
        <v>57100</v>
      </c>
      <c r="J597" s="9">
        <v>21720</v>
      </c>
      <c r="K597" s="10">
        <f t="shared" si="23"/>
        <v>35380</v>
      </c>
      <c r="L597" s="10">
        <v>14617</v>
      </c>
      <c r="M597" s="11" t="s">
        <v>2355</v>
      </c>
      <c r="N597" s="12">
        <v>10000</v>
      </c>
      <c r="O597" s="13" t="s">
        <v>84</v>
      </c>
      <c r="P597" s="14"/>
    </row>
    <row r="598" spans="1:16" x14ac:dyDescent="0.25">
      <c r="A598" s="6"/>
      <c r="B598" s="7">
        <v>44308</v>
      </c>
      <c r="C598" s="8" t="s">
        <v>1083</v>
      </c>
      <c r="D598" s="8" t="s">
        <v>1084</v>
      </c>
      <c r="E598" s="9" t="s">
        <v>502</v>
      </c>
      <c r="F598" s="9" t="s">
        <v>36</v>
      </c>
      <c r="G598" s="17">
        <v>0.6118055555555556</v>
      </c>
      <c r="H598" s="17">
        <v>0.625</v>
      </c>
      <c r="I598" s="9">
        <v>6670</v>
      </c>
      <c r="J598" s="9">
        <v>5570</v>
      </c>
      <c r="K598" s="10">
        <f t="shared" si="23"/>
        <v>1100</v>
      </c>
      <c r="L598" s="10">
        <v>20213</v>
      </c>
      <c r="M598" s="11" t="s">
        <v>1873</v>
      </c>
      <c r="N598" s="12">
        <v>1100</v>
      </c>
      <c r="O598" s="13" t="s">
        <v>32</v>
      </c>
      <c r="P598" s="14" t="s">
        <v>992</v>
      </c>
    </row>
    <row r="599" spans="1:16" x14ac:dyDescent="0.25">
      <c r="A599" s="6"/>
      <c r="B599" s="7">
        <v>44308</v>
      </c>
      <c r="C599" s="8" t="s">
        <v>1042</v>
      </c>
      <c r="D599" s="8" t="s">
        <v>1794</v>
      </c>
      <c r="E599" s="9" t="s">
        <v>628</v>
      </c>
      <c r="F599" s="9" t="s">
        <v>629</v>
      </c>
      <c r="G599" s="17">
        <v>0.61249999999999993</v>
      </c>
      <c r="H599" s="17">
        <v>0.6166666666666667</v>
      </c>
      <c r="I599" s="9">
        <v>13010</v>
      </c>
      <c r="J599" s="9">
        <v>9640</v>
      </c>
      <c r="K599" s="10">
        <f t="shared" si="23"/>
        <v>3370</v>
      </c>
      <c r="L599" s="10">
        <v>23852</v>
      </c>
      <c r="M599" s="11" t="s">
        <v>1041</v>
      </c>
      <c r="N599" s="12">
        <v>3370</v>
      </c>
      <c r="O599" s="13" t="s">
        <v>32</v>
      </c>
      <c r="P599" s="14" t="s">
        <v>1477</v>
      </c>
    </row>
    <row r="600" spans="1:16" x14ac:dyDescent="0.25">
      <c r="A600" s="6"/>
      <c r="B600" s="7">
        <v>44308</v>
      </c>
      <c r="C600" s="8" t="s">
        <v>1083</v>
      </c>
      <c r="D600" s="8" t="s">
        <v>1084</v>
      </c>
      <c r="E600" s="9" t="s">
        <v>502</v>
      </c>
      <c r="F600" s="9" t="s">
        <v>36</v>
      </c>
      <c r="G600" s="17">
        <v>0.62569444444444444</v>
      </c>
      <c r="H600" s="17">
        <v>0.63680555555555551</v>
      </c>
      <c r="I600" s="9">
        <v>5560</v>
      </c>
      <c r="J600" s="9">
        <v>6270</v>
      </c>
      <c r="K600" s="10">
        <f t="shared" si="23"/>
        <v>-710</v>
      </c>
      <c r="L600" s="10">
        <v>17154</v>
      </c>
      <c r="M600" s="11" t="s">
        <v>2350</v>
      </c>
      <c r="N600" s="12">
        <v>710</v>
      </c>
      <c r="O600" s="13" t="s">
        <v>32</v>
      </c>
      <c r="P600" s="14"/>
    </row>
    <row r="601" spans="1:16" x14ac:dyDescent="0.25">
      <c r="A601" s="6"/>
      <c r="B601" s="7">
        <v>44308</v>
      </c>
      <c r="C601" s="8" t="s">
        <v>2525</v>
      </c>
      <c r="D601" s="8" t="s">
        <v>94</v>
      </c>
      <c r="E601" s="9" t="s">
        <v>947</v>
      </c>
      <c r="F601" s="9" t="s">
        <v>948</v>
      </c>
      <c r="G601" s="17">
        <v>0.66041666666666665</v>
      </c>
      <c r="H601" s="17">
        <v>0.67152777777777783</v>
      </c>
      <c r="I601" s="9">
        <v>13240</v>
      </c>
      <c r="J601" s="9">
        <v>7430</v>
      </c>
      <c r="K601" s="10">
        <f t="shared" si="23"/>
        <v>5810</v>
      </c>
      <c r="L601" s="10">
        <v>23853</v>
      </c>
      <c r="M601" s="11" t="s">
        <v>1041</v>
      </c>
      <c r="N601" s="12">
        <v>4.8</v>
      </c>
      <c r="O601" s="13" t="s">
        <v>855</v>
      </c>
      <c r="P601" s="14"/>
    </row>
    <row r="602" spans="1:16" x14ac:dyDescent="0.25">
      <c r="A602" s="6"/>
      <c r="B602" s="7">
        <v>44308</v>
      </c>
      <c r="C602" s="8" t="s">
        <v>1789</v>
      </c>
      <c r="D602" s="8" t="s">
        <v>1230</v>
      </c>
      <c r="E602" s="9" t="s">
        <v>1206</v>
      </c>
      <c r="F602" s="9" t="s">
        <v>36</v>
      </c>
      <c r="G602" s="17">
        <v>0.66388888888888886</v>
      </c>
      <c r="H602" s="17">
        <v>0.67847222222222225</v>
      </c>
      <c r="I602" s="9">
        <v>12470</v>
      </c>
      <c r="J602" s="9">
        <v>6670</v>
      </c>
      <c r="K602" s="10">
        <f t="shared" si="23"/>
        <v>5800</v>
      </c>
      <c r="L602" s="10">
        <v>26870</v>
      </c>
      <c r="M602" s="11" t="s">
        <v>1208</v>
      </c>
      <c r="N602" s="12">
        <v>5800</v>
      </c>
      <c r="O602" s="13" t="s">
        <v>32</v>
      </c>
      <c r="P602" s="14"/>
    </row>
    <row r="603" spans="1:16" x14ac:dyDescent="0.25">
      <c r="A603" s="6"/>
      <c r="B603" s="7">
        <v>44308</v>
      </c>
      <c r="C603" s="8" t="s">
        <v>1403</v>
      </c>
      <c r="D603" s="8" t="s">
        <v>1672</v>
      </c>
      <c r="E603" s="9" t="s">
        <v>881</v>
      </c>
      <c r="F603" s="9" t="s">
        <v>749</v>
      </c>
      <c r="G603" s="17">
        <v>0.68958333333333333</v>
      </c>
      <c r="H603" s="17">
        <v>0.69374999999999998</v>
      </c>
      <c r="I603" s="9">
        <v>41420</v>
      </c>
      <c r="J603" s="9">
        <v>16660</v>
      </c>
      <c r="K603" s="10">
        <f t="shared" si="23"/>
        <v>24760</v>
      </c>
      <c r="L603" s="10">
        <v>23854</v>
      </c>
      <c r="M603" s="11" t="s">
        <v>1041</v>
      </c>
      <c r="N603" s="12">
        <v>22.2</v>
      </c>
      <c r="O603" s="13" t="s">
        <v>855</v>
      </c>
      <c r="P603" s="14"/>
    </row>
    <row r="604" spans="1:16" x14ac:dyDescent="0.25">
      <c r="A604" s="6"/>
      <c r="B604" s="7">
        <v>44308</v>
      </c>
      <c r="C604" s="8" t="s">
        <v>1673</v>
      </c>
      <c r="D604" s="8" t="s">
        <v>458</v>
      </c>
      <c r="E604" s="9" t="s">
        <v>1231</v>
      </c>
      <c r="F604" s="9" t="s">
        <v>36</v>
      </c>
      <c r="G604" s="17">
        <v>0.71458333333333324</v>
      </c>
      <c r="H604" s="17">
        <v>0.72499999999999998</v>
      </c>
      <c r="I604" s="9">
        <v>6220</v>
      </c>
      <c r="J604" s="9">
        <v>4620</v>
      </c>
      <c r="K604" s="10">
        <f t="shared" si="23"/>
        <v>1600</v>
      </c>
      <c r="L604" s="10">
        <v>26871</v>
      </c>
      <c r="M604" s="11" t="s">
        <v>1041</v>
      </c>
      <c r="N604" s="12">
        <v>1600</v>
      </c>
      <c r="O604" s="13" t="s">
        <v>32</v>
      </c>
      <c r="P604" s="14"/>
    </row>
    <row r="605" spans="1:16" x14ac:dyDescent="0.25">
      <c r="A605" s="6"/>
      <c r="B605" s="7">
        <v>44308</v>
      </c>
      <c r="C605" s="8" t="s">
        <v>1673</v>
      </c>
      <c r="D605" s="8" t="s">
        <v>458</v>
      </c>
      <c r="E605" s="9" t="s">
        <v>1231</v>
      </c>
      <c r="F605" s="9" t="s">
        <v>36</v>
      </c>
      <c r="G605" s="17">
        <v>0.72569444444444453</v>
      </c>
      <c r="H605" s="17">
        <v>0.7416666666666667</v>
      </c>
      <c r="I605" s="9">
        <v>4630</v>
      </c>
      <c r="J605" s="9">
        <v>4080</v>
      </c>
      <c r="K605" s="10">
        <f t="shared" si="23"/>
        <v>550</v>
      </c>
      <c r="L605" s="10">
        <v>26872</v>
      </c>
      <c r="M605" s="11" t="s">
        <v>1208</v>
      </c>
      <c r="N605" s="12">
        <v>550</v>
      </c>
      <c r="O605" s="13" t="s">
        <v>32</v>
      </c>
      <c r="P605" s="14"/>
    </row>
    <row r="606" spans="1:16" x14ac:dyDescent="0.25">
      <c r="A606" s="6"/>
      <c r="B606" s="7">
        <v>44308</v>
      </c>
      <c r="C606" s="8" t="s">
        <v>55</v>
      </c>
      <c r="D606" s="8" t="s">
        <v>299</v>
      </c>
      <c r="E606" s="9" t="s">
        <v>813</v>
      </c>
      <c r="F606" s="9" t="s">
        <v>814</v>
      </c>
      <c r="G606" s="17">
        <v>0.73958333333333337</v>
      </c>
      <c r="H606" s="17"/>
      <c r="I606" s="9">
        <v>16700</v>
      </c>
      <c r="J606" s="9"/>
      <c r="K606" s="10">
        <f t="shared" si="23"/>
        <v>16700</v>
      </c>
      <c r="L606" s="10">
        <v>2204</v>
      </c>
      <c r="M606" s="11" t="s">
        <v>2611</v>
      </c>
      <c r="N606" s="12">
        <v>40</v>
      </c>
      <c r="O606" s="13" t="s">
        <v>2767</v>
      </c>
      <c r="P606" s="14"/>
    </row>
    <row r="607" spans="1:16" x14ac:dyDescent="0.25">
      <c r="A607" s="6"/>
      <c r="B607" s="7">
        <v>44308</v>
      </c>
      <c r="C607" s="8" t="s">
        <v>1849</v>
      </c>
      <c r="D607" s="8" t="s">
        <v>94</v>
      </c>
      <c r="E607" s="9" t="s">
        <v>947</v>
      </c>
      <c r="F607" s="9" t="s">
        <v>948</v>
      </c>
      <c r="G607" s="17">
        <v>0.77986111111111101</v>
      </c>
      <c r="H607" s="17">
        <v>0.7895833333333333</v>
      </c>
      <c r="I607" s="9">
        <v>9640</v>
      </c>
      <c r="J607" s="9">
        <v>7530</v>
      </c>
      <c r="K607" s="10">
        <f t="shared" si="23"/>
        <v>2110</v>
      </c>
      <c r="L607" s="10">
        <v>23855</v>
      </c>
      <c r="M607" s="11" t="s">
        <v>2768</v>
      </c>
      <c r="N607" s="12">
        <v>1.8</v>
      </c>
      <c r="O607" s="13" t="s">
        <v>855</v>
      </c>
      <c r="P607" s="14"/>
    </row>
    <row r="608" spans="1:16" x14ac:dyDescent="0.25">
      <c r="A608" s="6"/>
      <c r="B608" s="7">
        <v>44308</v>
      </c>
      <c r="C608" s="8" t="s">
        <v>208</v>
      </c>
      <c r="D608" s="8" t="s">
        <v>198</v>
      </c>
      <c r="E608" s="9" t="s">
        <v>881</v>
      </c>
      <c r="F608" s="9" t="s">
        <v>749</v>
      </c>
      <c r="G608" s="17">
        <v>0.82708333333333339</v>
      </c>
      <c r="H608" s="17">
        <v>0.37083333333333335</v>
      </c>
      <c r="I608" s="9">
        <v>35430</v>
      </c>
      <c r="J608" s="9">
        <v>18280</v>
      </c>
      <c r="K608" s="10">
        <f t="shared" si="23"/>
        <v>17150</v>
      </c>
      <c r="L608" s="10">
        <v>41906</v>
      </c>
      <c r="M608" s="11" t="s">
        <v>1626</v>
      </c>
      <c r="N608" s="12">
        <v>17190</v>
      </c>
      <c r="O608" s="13" t="s">
        <v>32</v>
      </c>
      <c r="P608" s="14"/>
    </row>
    <row r="609" spans="1:16" x14ac:dyDescent="0.25">
      <c r="A609" s="6"/>
      <c r="B609" s="7">
        <v>44308</v>
      </c>
      <c r="C609" s="8" t="s">
        <v>37</v>
      </c>
      <c r="D609" s="8" t="s">
        <v>2418</v>
      </c>
      <c r="E609" s="9" t="s">
        <v>39</v>
      </c>
      <c r="F609" s="9" t="s">
        <v>36</v>
      </c>
      <c r="G609" s="17">
        <v>0.91041666666666676</v>
      </c>
      <c r="H609" s="17">
        <v>0.9375</v>
      </c>
      <c r="I609" s="9">
        <v>16455</v>
      </c>
      <c r="J609" s="9">
        <v>6210</v>
      </c>
      <c r="K609" s="10">
        <f t="shared" si="23"/>
        <v>10245</v>
      </c>
      <c r="L609" s="10">
        <v>26873</v>
      </c>
      <c r="M609" s="11" t="s">
        <v>2769</v>
      </c>
      <c r="N609" s="12">
        <v>10245</v>
      </c>
      <c r="O609" s="13" t="s">
        <v>32</v>
      </c>
      <c r="P609" s="14"/>
    </row>
    <row r="610" spans="1:16" x14ac:dyDescent="0.25">
      <c r="A610" s="6"/>
      <c r="B610" s="7">
        <v>44308</v>
      </c>
      <c r="C610" s="8" t="s">
        <v>1673</v>
      </c>
      <c r="D610" s="8" t="s">
        <v>458</v>
      </c>
      <c r="E610" s="9" t="s">
        <v>1231</v>
      </c>
      <c r="F610" s="9" t="s">
        <v>36</v>
      </c>
      <c r="G610" s="17">
        <v>0.96180555555555547</v>
      </c>
      <c r="H610" s="17">
        <v>5.5555555555555558E-3</v>
      </c>
      <c r="I610" s="9">
        <v>8850</v>
      </c>
      <c r="J610" s="9">
        <v>4070</v>
      </c>
      <c r="K610" s="10">
        <f t="shared" si="23"/>
        <v>4780</v>
      </c>
      <c r="L610" s="10">
        <v>26875</v>
      </c>
      <c r="M610" s="11" t="s">
        <v>1041</v>
      </c>
      <c r="N610" s="12">
        <v>4780</v>
      </c>
      <c r="O610" s="13" t="s">
        <v>32</v>
      </c>
      <c r="P610" s="14"/>
    </row>
    <row r="611" spans="1:16" x14ac:dyDescent="0.25">
      <c r="A611" s="6"/>
      <c r="B611" s="7">
        <v>44308</v>
      </c>
      <c r="C611" s="8" t="s">
        <v>1789</v>
      </c>
      <c r="D611" s="8" t="s">
        <v>1794</v>
      </c>
      <c r="E611" s="9" t="s">
        <v>628</v>
      </c>
      <c r="F611" s="9" t="s">
        <v>629</v>
      </c>
      <c r="G611" s="17">
        <v>0.97986111111111107</v>
      </c>
      <c r="H611" s="17">
        <v>0.99305555555555547</v>
      </c>
      <c r="I611" s="9">
        <v>18570</v>
      </c>
      <c r="J611" s="9">
        <v>9820</v>
      </c>
      <c r="K611" s="10">
        <f t="shared" si="23"/>
        <v>8750</v>
      </c>
      <c r="L611" s="10">
        <v>26874</v>
      </c>
      <c r="M611" s="11" t="s">
        <v>1461</v>
      </c>
      <c r="N611" s="12">
        <v>8750</v>
      </c>
      <c r="O611" s="13" t="s">
        <v>32</v>
      </c>
      <c r="P611" s="14"/>
    </row>
    <row r="612" spans="1:16" x14ac:dyDescent="0.25">
      <c r="A612" s="6"/>
      <c r="B612" s="7">
        <v>44309</v>
      </c>
      <c r="C612" s="8" t="s">
        <v>871</v>
      </c>
      <c r="D612" s="8" t="s">
        <v>86</v>
      </c>
      <c r="E612" s="9" t="s">
        <v>87</v>
      </c>
      <c r="F612" s="9" t="s">
        <v>88</v>
      </c>
      <c r="G612" s="17">
        <v>3.0555555555555555E-2</v>
      </c>
      <c r="H612" s="17">
        <v>3.8194444444444441E-2</v>
      </c>
      <c r="I612" s="9">
        <v>34030</v>
      </c>
      <c r="J612" s="9">
        <v>17180</v>
      </c>
      <c r="K612" s="10">
        <f t="shared" si="23"/>
        <v>16850</v>
      </c>
      <c r="L612" s="10" t="s">
        <v>2770</v>
      </c>
      <c r="M612" s="11" t="s">
        <v>2771</v>
      </c>
      <c r="N612" s="12">
        <v>16850</v>
      </c>
      <c r="O612" s="13" t="s">
        <v>32</v>
      </c>
      <c r="P612" s="14"/>
    </row>
    <row r="613" spans="1:16" x14ac:dyDescent="0.25">
      <c r="A613" s="6"/>
      <c r="B613" s="15">
        <v>44309</v>
      </c>
      <c r="C613" s="16" t="s">
        <v>2602</v>
      </c>
      <c r="D613" s="8" t="s">
        <v>2739</v>
      </c>
      <c r="E613" s="9" t="s">
        <v>2740</v>
      </c>
      <c r="F613" s="9" t="s">
        <v>36</v>
      </c>
      <c r="G613" s="17">
        <v>0.35972222222222222</v>
      </c>
      <c r="H613" s="17">
        <v>0.42708333333333331</v>
      </c>
      <c r="I613" s="9">
        <v>17900</v>
      </c>
      <c r="J613" s="9">
        <v>48020</v>
      </c>
      <c r="K613" s="10">
        <f t="shared" si="23"/>
        <v>-30120</v>
      </c>
      <c r="L613" s="10">
        <v>5985</v>
      </c>
      <c r="M613" s="11" t="s">
        <v>53</v>
      </c>
      <c r="N613" s="12">
        <v>600</v>
      </c>
      <c r="O613" s="13" t="s">
        <v>54</v>
      </c>
      <c r="P613" s="14"/>
    </row>
    <row r="614" spans="1:16" x14ac:dyDescent="0.25">
      <c r="A614" s="6"/>
      <c r="B614" s="7">
        <v>44309</v>
      </c>
      <c r="C614" s="8" t="s">
        <v>2638</v>
      </c>
      <c r="D614" s="8" t="s">
        <v>2639</v>
      </c>
      <c r="E614" s="9" t="s">
        <v>2640</v>
      </c>
      <c r="F614" s="9" t="s">
        <v>36</v>
      </c>
      <c r="G614" s="17">
        <v>0.47500000000000003</v>
      </c>
      <c r="H614" s="17">
        <v>0.54236111111111118</v>
      </c>
      <c r="I614" s="9">
        <v>57260</v>
      </c>
      <c r="J614" s="9">
        <v>21800</v>
      </c>
      <c r="K614" s="10">
        <f t="shared" si="23"/>
        <v>35460</v>
      </c>
      <c r="L614" s="10">
        <v>14657</v>
      </c>
      <c r="M614" s="11" t="s">
        <v>2355</v>
      </c>
      <c r="N614" s="12">
        <v>10000</v>
      </c>
      <c r="O614" s="13" t="s">
        <v>84</v>
      </c>
      <c r="P614" s="14"/>
    </row>
    <row r="615" spans="1:16" x14ac:dyDescent="0.25">
      <c r="A615" s="6"/>
      <c r="B615" s="7">
        <v>44309</v>
      </c>
      <c r="C615" s="8" t="s">
        <v>2772</v>
      </c>
      <c r="D615" s="8" t="s">
        <v>853</v>
      </c>
      <c r="E615" s="9" t="s">
        <v>51</v>
      </c>
      <c r="F615" s="9" t="s">
        <v>52</v>
      </c>
      <c r="G615" s="17">
        <v>0.50277777777777777</v>
      </c>
      <c r="H615" s="17">
        <v>0.5756944444444444</v>
      </c>
      <c r="I615" s="9">
        <v>23020</v>
      </c>
      <c r="J615" s="9">
        <v>15780</v>
      </c>
      <c r="K615" s="10">
        <f t="shared" si="23"/>
        <v>7240</v>
      </c>
      <c r="L615" s="10">
        <v>23856</v>
      </c>
      <c r="M615" s="11" t="s">
        <v>1041</v>
      </c>
      <c r="N615" s="12">
        <v>6</v>
      </c>
      <c r="O615" s="13" t="s">
        <v>855</v>
      </c>
      <c r="P615" s="14"/>
    </row>
    <row r="616" spans="1:16" x14ac:dyDescent="0.25">
      <c r="A616" s="6"/>
      <c r="B616" s="7">
        <v>44309</v>
      </c>
      <c r="C616" s="8" t="s">
        <v>164</v>
      </c>
      <c r="D616" s="8" t="s">
        <v>299</v>
      </c>
      <c r="E616" s="9" t="s">
        <v>813</v>
      </c>
      <c r="F616" s="9" t="s">
        <v>814</v>
      </c>
      <c r="G616" s="17">
        <v>0.5083333333333333</v>
      </c>
      <c r="H616" s="17">
        <v>0.56666666666666665</v>
      </c>
      <c r="I616" s="9">
        <v>36320</v>
      </c>
      <c r="J616" s="9">
        <v>15260</v>
      </c>
      <c r="K616" s="10">
        <f t="shared" si="23"/>
        <v>21060</v>
      </c>
      <c r="L616" s="10">
        <v>16048</v>
      </c>
      <c r="M616" s="11" t="s">
        <v>398</v>
      </c>
      <c r="N616" s="12">
        <v>420</v>
      </c>
      <c r="O616" s="13" t="s">
        <v>54</v>
      </c>
      <c r="P616" s="14"/>
    </row>
    <row r="617" spans="1:16" x14ac:dyDescent="0.25">
      <c r="A617" s="6"/>
      <c r="B617" s="7">
        <v>44309</v>
      </c>
      <c r="C617" s="8" t="s">
        <v>2772</v>
      </c>
      <c r="D617" s="8" t="s">
        <v>198</v>
      </c>
      <c r="E617" s="9" t="s">
        <v>881</v>
      </c>
      <c r="F617" s="9" t="s">
        <v>749</v>
      </c>
      <c r="G617" s="17">
        <v>0.51111111111111118</v>
      </c>
      <c r="H617" s="17">
        <v>0.57916666666666672</v>
      </c>
      <c r="I617" s="9">
        <v>40620</v>
      </c>
      <c r="J617" s="9">
        <v>16630</v>
      </c>
      <c r="K617" s="10">
        <f t="shared" si="23"/>
        <v>23990</v>
      </c>
      <c r="L617" s="10">
        <v>23856</v>
      </c>
      <c r="M617" s="11" t="s">
        <v>1041</v>
      </c>
      <c r="N617" s="12">
        <v>21.6</v>
      </c>
      <c r="O617" s="13" t="s">
        <v>855</v>
      </c>
      <c r="P617" s="14"/>
    </row>
    <row r="618" spans="1:16" x14ac:dyDescent="0.25">
      <c r="A618" s="6"/>
      <c r="B618" s="7">
        <v>44309</v>
      </c>
      <c r="C618" s="8" t="s">
        <v>208</v>
      </c>
      <c r="D618" s="8" t="s">
        <v>1355</v>
      </c>
      <c r="E618" s="9" t="s">
        <v>1048</v>
      </c>
      <c r="F618" s="9" t="s">
        <v>526</v>
      </c>
      <c r="G618" s="17">
        <v>0.55486111111111114</v>
      </c>
      <c r="H618" s="17">
        <v>0.56458333333333333</v>
      </c>
      <c r="I618" s="9">
        <v>36490</v>
      </c>
      <c r="J618" s="9">
        <v>19480</v>
      </c>
      <c r="K618" s="10">
        <f t="shared" si="23"/>
        <v>17010</v>
      </c>
      <c r="L618" s="10" t="s">
        <v>2773</v>
      </c>
      <c r="M618" s="11" t="s">
        <v>2341</v>
      </c>
      <c r="N618" s="12">
        <v>17060</v>
      </c>
      <c r="O618" s="13" t="s">
        <v>32</v>
      </c>
      <c r="P618" s="14"/>
    </row>
    <row r="619" spans="1:16" x14ac:dyDescent="0.25">
      <c r="A619" s="6"/>
      <c r="B619" s="7">
        <v>44309</v>
      </c>
      <c r="C619" s="8" t="s">
        <v>2774</v>
      </c>
      <c r="D619" s="8" t="s">
        <v>2775</v>
      </c>
      <c r="E619" s="9" t="s">
        <v>1921</v>
      </c>
      <c r="F619" s="9" t="s">
        <v>36</v>
      </c>
      <c r="G619" s="17">
        <v>0.57847222222222217</v>
      </c>
      <c r="H619" s="17">
        <v>0.60972222222222217</v>
      </c>
      <c r="I619" s="9">
        <v>15180</v>
      </c>
      <c r="J619" s="9">
        <v>8610</v>
      </c>
      <c r="K619" s="10">
        <f t="shared" si="23"/>
        <v>6570</v>
      </c>
      <c r="L619" s="10">
        <v>23</v>
      </c>
      <c r="M619" s="11" t="s">
        <v>413</v>
      </c>
      <c r="N619" s="12">
        <v>6840</v>
      </c>
      <c r="O619" s="13" t="s">
        <v>32</v>
      </c>
      <c r="P619" s="14" t="s">
        <v>2776</v>
      </c>
    </row>
    <row r="620" spans="1:16" x14ac:dyDescent="0.25">
      <c r="A620" s="6"/>
      <c r="B620" s="7">
        <v>44309</v>
      </c>
      <c r="C620" s="8" t="s">
        <v>164</v>
      </c>
      <c r="D620" s="8" t="s">
        <v>299</v>
      </c>
      <c r="E620" s="9" t="s">
        <v>813</v>
      </c>
      <c r="F620" s="9" t="s">
        <v>814</v>
      </c>
      <c r="G620" s="17">
        <v>0.67499999999999993</v>
      </c>
      <c r="H620" s="17">
        <v>0.69027777777777777</v>
      </c>
      <c r="I620" s="9">
        <v>40820</v>
      </c>
      <c r="J620" s="9">
        <v>15790</v>
      </c>
      <c r="K620" s="10">
        <f t="shared" si="23"/>
        <v>25030</v>
      </c>
      <c r="L620" s="10">
        <v>16301</v>
      </c>
      <c r="M620" s="11" t="s">
        <v>398</v>
      </c>
      <c r="N620" s="12">
        <v>497</v>
      </c>
      <c r="O620" s="13" t="s">
        <v>54</v>
      </c>
      <c r="P620" s="14"/>
    </row>
    <row r="621" spans="1:16" x14ac:dyDescent="0.25">
      <c r="A621" s="6"/>
      <c r="B621" s="7">
        <v>44309</v>
      </c>
      <c r="C621" s="8" t="s">
        <v>1096</v>
      </c>
      <c r="D621" s="8" t="s">
        <v>94</v>
      </c>
      <c r="E621" s="9" t="s">
        <v>947</v>
      </c>
      <c r="F621" s="9" t="s">
        <v>948</v>
      </c>
      <c r="G621" s="17">
        <v>0.68958333333333333</v>
      </c>
      <c r="H621" s="17">
        <v>0.69652777777777775</v>
      </c>
      <c r="I621" s="9">
        <v>13330</v>
      </c>
      <c r="J621" s="9">
        <v>7510</v>
      </c>
      <c r="K621" s="10">
        <f t="shared" si="23"/>
        <v>5820</v>
      </c>
      <c r="L621" s="10">
        <v>23857</v>
      </c>
      <c r="M621" s="11" t="s">
        <v>2777</v>
      </c>
      <c r="N621" s="12">
        <v>5.4</v>
      </c>
      <c r="O621" s="13" t="s">
        <v>855</v>
      </c>
      <c r="P621" s="14"/>
    </row>
    <row r="622" spans="1:16" x14ac:dyDescent="0.25">
      <c r="A622" s="6"/>
      <c r="B622" s="7">
        <v>44309</v>
      </c>
      <c r="C622" s="8" t="s">
        <v>2779</v>
      </c>
      <c r="D622" s="8" t="s">
        <v>2729</v>
      </c>
      <c r="E622" s="9" t="s">
        <v>699</v>
      </c>
      <c r="F622" s="9" t="s">
        <v>459</v>
      </c>
      <c r="G622" s="17">
        <v>0.7006944444444444</v>
      </c>
      <c r="H622" s="17">
        <v>0.74583333333333324</v>
      </c>
      <c r="I622" s="9">
        <v>10930</v>
      </c>
      <c r="J622" s="9">
        <v>8210</v>
      </c>
      <c r="K622" s="10">
        <f t="shared" si="23"/>
        <v>2720</v>
      </c>
      <c r="L622" s="10" t="s">
        <v>2778</v>
      </c>
      <c r="M622" s="11" t="s">
        <v>731</v>
      </c>
      <c r="N622" s="12">
        <f>659+1591+3839</f>
        <v>6089</v>
      </c>
      <c r="O622" s="13" t="s">
        <v>49</v>
      </c>
      <c r="P622" s="14"/>
    </row>
    <row r="623" spans="1:16" x14ac:dyDescent="0.25">
      <c r="A623" s="6"/>
      <c r="B623" s="7">
        <v>44309</v>
      </c>
      <c r="C623" s="8" t="s">
        <v>185</v>
      </c>
      <c r="D623" s="8" t="s">
        <v>2780</v>
      </c>
      <c r="E623" s="9" t="s">
        <v>2781</v>
      </c>
      <c r="F623" s="9" t="s">
        <v>36</v>
      </c>
      <c r="G623" s="17">
        <v>0.7104166666666667</v>
      </c>
      <c r="H623" s="17">
        <v>0.7270833333333333</v>
      </c>
      <c r="I623" s="9">
        <v>2730</v>
      </c>
      <c r="J623" s="9">
        <v>1750</v>
      </c>
      <c r="K623" s="10">
        <f t="shared" si="23"/>
        <v>980</v>
      </c>
      <c r="L623" s="10">
        <v>142122</v>
      </c>
      <c r="M623" s="11" t="s">
        <v>940</v>
      </c>
      <c r="N623" s="12">
        <v>8000</v>
      </c>
      <c r="O623" s="13" t="s">
        <v>54</v>
      </c>
      <c r="P623" s="14"/>
    </row>
    <row r="624" spans="1:16" x14ac:dyDescent="0.25">
      <c r="A624" s="6"/>
      <c r="B624" s="7">
        <v>44309</v>
      </c>
      <c r="C624" s="8" t="s">
        <v>55</v>
      </c>
      <c r="D624" s="8" t="s">
        <v>299</v>
      </c>
      <c r="E624" s="9" t="s">
        <v>813</v>
      </c>
      <c r="F624" s="9" t="s">
        <v>814</v>
      </c>
      <c r="G624" s="17">
        <v>0.7583333333333333</v>
      </c>
      <c r="H624" s="17"/>
      <c r="I624" s="9">
        <v>17970</v>
      </c>
      <c r="J624" s="9"/>
      <c r="K624" s="10">
        <f t="shared" si="23"/>
        <v>17970</v>
      </c>
      <c r="L624" s="10"/>
      <c r="M624" s="11" t="s">
        <v>664</v>
      </c>
      <c r="N624" s="12"/>
      <c r="O624" s="13" t="s">
        <v>84</v>
      </c>
      <c r="P624" s="14"/>
    </row>
    <row r="625" spans="1:23" x14ac:dyDescent="0.25">
      <c r="A625" s="6"/>
      <c r="B625" s="7">
        <v>44309</v>
      </c>
      <c r="C625" s="8" t="s">
        <v>208</v>
      </c>
      <c r="D625" s="8" t="s">
        <v>1355</v>
      </c>
      <c r="E625" s="9" t="s">
        <v>1048</v>
      </c>
      <c r="F625" s="9" t="s">
        <v>526</v>
      </c>
      <c r="G625" s="17">
        <v>0.78541666666666676</v>
      </c>
      <c r="H625" s="17">
        <v>0.80486111111111114</v>
      </c>
      <c r="I625" s="9">
        <v>46170</v>
      </c>
      <c r="J625" s="9">
        <v>19480</v>
      </c>
      <c r="K625" s="10">
        <f t="shared" si="23"/>
        <v>26690</v>
      </c>
      <c r="L625" s="10">
        <v>41913</v>
      </c>
      <c r="M625" s="11" t="s">
        <v>804</v>
      </c>
      <c r="N625" s="12">
        <f>22790+3910</f>
        <v>26700</v>
      </c>
      <c r="O625" s="13" t="s">
        <v>32</v>
      </c>
      <c r="P625" s="14"/>
    </row>
    <row r="626" spans="1:23" x14ac:dyDescent="0.25">
      <c r="A626" s="6"/>
      <c r="B626" s="7">
        <v>44309</v>
      </c>
      <c r="C626" s="8" t="s">
        <v>208</v>
      </c>
      <c r="D626" s="8" t="s">
        <v>198</v>
      </c>
      <c r="E626" s="9" t="s">
        <v>881</v>
      </c>
      <c r="F626" s="9" t="s">
        <v>749</v>
      </c>
      <c r="G626" s="17">
        <v>0.8305555555555556</v>
      </c>
      <c r="H626" s="59">
        <v>0.35416666666666669</v>
      </c>
      <c r="I626" s="9">
        <v>34900</v>
      </c>
      <c r="J626" s="21">
        <v>18280</v>
      </c>
      <c r="K626" s="10">
        <f t="shared" si="23"/>
        <v>16620</v>
      </c>
      <c r="L626" s="10">
        <v>41919</v>
      </c>
      <c r="M626" s="11" t="s">
        <v>1626</v>
      </c>
      <c r="N626" s="12">
        <v>16690</v>
      </c>
      <c r="O626" s="13" t="s">
        <v>32</v>
      </c>
      <c r="P626" s="14"/>
    </row>
    <row r="627" spans="1:23" x14ac:dyDescent="0.25">
      <c r="A627" s="6"/>
      <c r="B627" s="7">
        <v>44309</v>
      </c>
      <c r="C627" s="8" t="s">
        <v>37</v>
      </c>
      <c r="D627" s="8" t="s">
        <v>2418</v>
      </c>
      <c r="E627" s="9" t="s">
        <v>39</v>
      </c>
      <c r="F627" s="9" t="s">
        <v>36</v>
      </c>
      <c r="G627" s="17">
        <v>0.87638888888888899</v>
      </c>
      <c r="H627" s="17">
        <v>0.90416666666666667</v>
      </c>
      <c r="I627" s="9">
        <v>16285</v>
      </c>
      <c r="J627" s="9">
        <v>6160</v>
      </c>
      <c r="K627" s="10">
        <f t="shared" si="23"/>
        <v>10125</v>
      </c>
      <c r="L627" s="10">
        <v>26876</v>
      </c>
      <c r="M627" s="11" t="s">
        <v>1818</v>
      </c>
      <c r="N627" s="12">
        <v>10125</v>
      </c>
      <c r="O627" s="13" t="s">
        <v>32</v>
      </c>
      <c r="P627" s="14"/>
    </row>
    <row r="628" spans="1:23" x14ac:dyDescent="0.25">
      <c r="A628" s="6"/>
      <c r="B628" s="7">
        <v>44309</v>
      </c>
      <c r="C628" s="8" t="s">
        <v>1673</v>
      </c>
      <c r="D628" s="8" t="s">
        <v>1673</v>
      </c>
      <c r="E628" s="9" t="s">
        <v>1231</v>
      </c>
      <c r="F628" s="9" t="s">
        <v>36</v>
      </c>
      <c r="G628" s="17">
        <v>0.91041666666666676</v>
      </c>
      <c r="H628" s="17">
        <v>0.93194444444444446</v>
      </c>
      <c r="I628" s="9">
        <v>6340</v>
      </c>
      <c r="J628" s="9">
        <v>4050</v>
      </c>
      <c r="K628" s="10">
        <f t="shared" si="23"/>
        <v>2290</v>
      </c>
      <c r="L628" s="10">
        <v>26877</v>
      </c>
      <c r="M628" s="11" t="s">
        <v>1208</v>
      </c>
      <c r="N628" s="12">
        <v>2290</v>
      </c>
      <c r="O628" s="13" t="s">
        <v>32</v>
      </c>
      <c r="P628" s="14"/>
      <c r="S628" s="1">
        <f>9943+2533</f>
        <v>12476</v>
      </c>
    </row>
    <row r="629" spans="1:23" x14ac:dyDescent="0.25">
      <c r="A629" s="6"/>
      <c r="B629" s="7">
        <v>44310</v>
      </c>
      <c r="C629" s="8" t="s">
        <v>133</v>
      </c>
      <c r="D629" s="8" t="s">
        <v>1047</v>
      </c>
      <c r="E629" s="9" t="s">
        <v>220</v>
      </c>
      <c r="F629" s="9" t="s">
        <v>924</v>
      </c>
      <c r="G629" s="17">
        <v>5.0694444444444452E-2</v>
      </c>
      <c r="H629" s="17">
        <v>0.37013888888888885</v>
      </c>
      <c r="I629" s="9">
        <v>21740</v>
      </c>
      <c r="J629" s="9">
        <v>9290</v>
      </c>
      <c r="K629" s="10">
        <f t="shared" si="23"/>
        <v>12450</v>
      </c>
      <c r="L629" s="60" t="s">
        <v>2782</v>
      </c>
      <c r="M629" s="11" t="s">
        <v>2783</v>
      </c>
      <c r="N629" s="12">
        <v>12476</v>
      </c>
      <c r="O629" s="13" t="s">
        <v>32</v>
      </c>
      <c r="P629" s="14"/>
    </row>
    <row r="630" spans="1:23" x14ac:dyDescent="0.25">
      <c r="A630" s="6"/>
      <c r="B630" s="7">
        <v>44310</v>
      </c>
      <c r="C630" s="8" t="s">
        <v>871</v>
      </c>
      <c r="D630" s="8" t="s">
        <v>86</v>
      </c>
      <c r="E630" s="9" t="s">
        <v>87</v>
      </c>
      <c r="F630" s="9" t="s">
        <v>88</v>
      </c>
      <c r="G630" s="17">
        <v>7.013888888888889E-2</v>
      </c>
      <c r="H630" s="17">
        <v>7.9861111111111105E-2</v>
      </c>
      <c r="I630" s="9">
        <v>35210</v>
      </c>
      <c r="J630" s="9">
        <v>17250</v>
      </c>
      <c r="K630" s="10">
        <f t="shared" ref="K630" si="24">+I630-J630</f>
        <v>17960</v>
      </c>
      <c r="L630" s="10">
        <v>825</v>
      </c>
      <c r="M630" s="11" t="s">
        <v>809</v>
      </c>
      <c r="N630" s="12">
        <v>17362</v>
      </c>
      <c r="O630" s="13" t="s">
        <v>32</v>
      </c>
      <c r="P630" s="14"/>
    </row>
    <row r="631" spans="1:23" x14ac:dyDescent="0.25">
      <c r="A631" s="6"/>
      <c r="B631" s="7">
        <v>44310</v>
      </c>
      <c r="C631" s="8" t="s">
        <v>156</v>
      </c>
      <c r="D631" s="8" t="s">
        <v>2784</v>
      </c>
      <c r="E631" s="9" t="s">
        <v>1368</v>
      </c>
      <c r="F631" s="9" t="s">
        <v>36</v>
      </c>
      <c r="G631" s="17">
        <v>0.18263888888888891</v>
      </c>
      <c r="H631" s="17">
        <v>0.20486111111111113</v>
      </c>
      <c r="I631" s="9">
        <v>11600</v>
      </c>
      <c r="J631" s="9">
        <v>9740</v>
      </c>
      <c r="K631" s="10">
        <f t="shared" si="23"/>
        <v>1860</v>
      </c>
      <c r="L631" s="10">
        <v>26878</v>
      </c>
      <c r="M631" s="11" t="s">
        <v>1041</v>
      </c>
      <c r="N631" s="12">
        <v>1860</v>
      </c>
      <c r="O631" s="13" t="s">
        <v>32</v>
      </c>
      <c r="P631" s="14"/>
    </row>
    <row r="632" spans="1:23" x14ac:dyDescent="0.25">
      <c r="A632" s="6"/>
      <c r="B632" s="7">
        <v>44310</v>
      </c>
      <c r="C632" s="8" t="s">
        <v>156</v>
      </c>
      <c r="D632" s="8" t="s">
        <v>1756</v>
      </c>
      <c r="E632" s="9" t="s">
        <v>2785</v>
      </c>
      <c r="F632" s="9" t="s">
        <v>36</v>
      </c>
      <c r="G632" s="17">
        <v>0.21527777777777779</v>
      </c>
      <c r="H632" s="17">
        <v>0.22916666666666666</v>
      </c>
      <c r="I632" s="9">
        <v>19380</v>
      </c>
      <c r="J632" s="9">
        <v>17540</v>
      </c>
      <c r="K632" s="10">
        <f t="shared" si="23"/>
        <v>1840</v>
      </c>
      <c r="L632" s="10">
        <v>26879</v>
      </c>
      <c r="M632" s="11" t="s">
        <v>1041</v>
      </c>
      <c r="N632" s="12">
        <v>1840</v>
      </c>
      <c r="O632" s="13" t="s">
        <v>32</v>
      </c>
      <c r="P632" s="14"/>
    </row>
    <row r="633" spans="1:23" x14ac:dyDescent="0.25">
      <c r="A633" s="6"/>
      <c r="B633" s="7">
        <v>44310</v>
      </c>
      <c r="C633" s="43" t="s">
        <v>1630</v>
      </c>
      <c r="D633" s="43" t="s">
        <v>464</v>
      </c>
      <c r="E633" s="44" t="s">
        <v>1632</v>
      </c>
      <c r="F633" s="44" t="s">
        <v>266</v>
      </c>
      <c r="G633" s="17">
        <v>0.42430555555555555</v>
      </c>
      <c r="H633" s="17">
        <v>0.4375</v>
      </c>
      <c r="I633" s="9">
        <v>5990</v>
      </c>
      <c r="J633" s="9">
        <v>5500</v>
      </c>
      <c r="K633" s="10">
        <f t="shared" si="23"/>
        <v>490</v>
      </c>
      <c r="L633" s="60" t="s">
        <v>2782</v>
      </c>
      <c r="M633" s="47" t="s">
        <v>2786</v>
      </c>
      <c r="N633" s="12">
        <v>490</v>
      </c>
      <c r="O633" s="13" t="s">
        <v>32</v>
      </c>
      <c r="P633" s="14"/>
    </row>
    <row r="634" spans="1:23" x14ac:dyDescent="0.25">
      <c r="A634" s="6"/>
      <c r="B634" s="7">
        <v>44310</v>
      </c>
      <c r="C634" s="8" t="s">
        <v>208</v>
      </c>
      <c r="D634" s="8" t="s">
        <v>1355</v>
      </c>
      <c r="E634" s="9" t="s">
        <v>1048</v>
      </c>
      <c r="F634" s="9" t="s">
        <v>526</v>
      </c>
      <c r="G634" s="17">
        <v>0.4916666666666667</v>
      </c>
      <c r="H634" s="17">
        <v>0.50555555555555554</v>
      </c>
      <c r="I634" s="9">
        <v>45600</v>
      </c>
      <c r="J634" s="9">
        <v>19480</v>
      </c>
      <c r="K634" s="10">
        <f t="shared" si="23"/>
        <v>26120</v>
      </c>
      <c r="L634" s="10">
        <v>41913</v>
      </c>
      <c r="M634" s="11" t="s">
        <v>804</v>
      </c>
      <c r="N634" s="12">
        <f>26190+680</f>
        <v>26870</v>
      </c>
      <c r="O634" s="13" t="s">
        <v>32</v>
      </c>
      <c r="P634" s="14"/>
    </row>
    <row r="635" spans="1:23" x14ac:dyDescent="0.25">
      <c r="A635" s="6"/>
      <c r="B635" s="7">
        <v>44310</v>
      </c>
      <c r="C635" s="8" t="s">
        <v>208</v>
      </c>
      <c r="D635" s="8" t="s">
        <v>464</v>
      </c>
      <c r="E635" s="9" t="s">
        <v>1632</v>
      </c>
      <c r="F635" s="9" t="s">
        <v>266</v>
      </c>
      <c r="G635" s="17">
        <v>0.52777777777777779</v>
      </c>
      <c r="H635" s="17">
        <v>0.54375000000000007</v>
      </c>
      <c r="I635" s="9">
        <v>5610</v>
      </c>
      <c r="J635" s="9">
        <v>5500</v>
      </c>
      <c r="K635" s="10">
        <f t="shared" si="23"/>
        <v>110</v>
      </c>
      <c r="L635" s="10">
        <v>41913</v>
      </c>
      <c r="M635" s="11" t="s">
        <v>804</v>
      </c>
      <c r="N635" s="12">
        <v>110</v>
      </c>
      <c r="O635" s="13" t="s">
        <v>32</v>
      </c>
      <c r="P635" s="14" t="s">
        <v>2787</v>
      </c>
    </row>
    <row r="636" spans="1:23" x14ac:dyDescent="0.25">
      <c r="A636" s="6"/>
      <c r="B636" s="7">
        <v>44310</v>
      </c>
      <c r="C636" s="8" t="s">
        <v>208</v>
      </c>
      <c r="D636" s="8" t="s">
        <v>1355</v>
      </c>
      <c r="E636" s="9" t="s">
        <v>1048</v>
      </c>
      <c r="F636" s="9" t="s">
        <v>526</v>
      </c>
      <c r="G636" s="17">
        <v>0.60555555555555551</v>
      </c>
      <c r="H636" s="17">
        <v>0.62291666666666667</v>
      </c>
      <c r="I636" s="9">
        <v>24530</v>
      </c>
      <c r="J636" s="9">
        <v>19410</v>
      </c>
      <c r="K636" s="10">
        <f t="shared" si="23"/>
        <v>5120</v>
      </c>
      <c r="L636" s="10">
        <v>41913</v>
      </c>
      <c r="M636" s="11" t="s">
        <v>257</v>
      </c>
      <c r="N636" s="12">
        <v>5080</v>
      </c>
      <c r="O636" s="13" t="s">
        <v>32</v>
      </c>
      <c r="P636" s="14"/>
    </row>
    <row r="637" spans="1:23" x14ac:dyDescent="0.25">
      <c r="A637" s="6"/>
      <c r="B637" s="7">
        <v>44310</v>
      </c>
      <c r="C637" s="8" t="s">
        <v>2703</v>
      </c>
      <c r="D637" s="8" t="s">
        <v>2788</v>
      </c>
      <c r="E637" s="9" t="s">
        <v>2789</v>
      </c>
      <c r="F637" s="9" t="s">
        <v>2790</v>
      </c>
      <c r="G637" s="17">
        <v>0.71875</v>
      </c>
      <c r="H637" s="17">
        <v>0.71944444444444444</v>
      </c>
      <c r="I637" s="9">
        <v>3790</v>
      </c>
      <c r="J637" s="9">
        <v>3840</v>
      </c>
      <c r="K637" s="10">
        <f t="shared" si="23"/>
        <v>-50</v>
      </c>
      <c r="L637" s="10">
        <v>16165</v>
      </c>
      <c r="M637" s="11" t="s">
        <v>2791</v>
      </c>
      <c r="N637" s="12">
        <v>50</v>
      </c>
      <c r="O637" s="13" t="s">
        <v>2767</v>
      </c>
      <c r="P637" s="14" t="s">
        <v>2793</v>
      </c>
      <c r="R637" s="1" t="s">
        <v>91</v>
      </c>
      <c r="S637" s="1">
        <v>57</v>
      </c>
      <c r="T637" s="18">
        <v>12</v>
      </c>
      <c r="U637" s="1">
        <f>+T637*S637</f>
        <v>684</v>
      </c>
    </row>
    <row r="638" spans="1:23" x14ac:dyDescent="0.25">
      <c r="A638" s="6"/>
      <c r="B638" s="7">
        <v>44310</v>
      </c>
      <c r="C638" s="8" t="s">
        <v>2703</v>
      </c>
      <c r="D638" s="8" t="s">
        <v>2788</v>
      </c>
      <c r="E638" s="9" t="s">
        <v>2789</v>
      </c>
      <c r="F638" s="9" t="s">
        <v>2790</v>
      </c>
      <c r="G638" s="17">
        <v>0.71944444444444444</v>
      </c>
      <c r="H638" s="17">
        <v>0.7368055555555556</v>
      </c>
      <c r="I638" s="9">
        <v>3840</v>
      </c>
      <c r="J638" s="9">
        <v>5000</v>
      </c>
      <c r="K638" s="10">
        <f t="shared" si="23"/>
        <v>-1160</v>
      </c>
      <c r="L638" s="10">
        <v>16165</v>
      </c>
      <c r="M638" s="11" t="s">
        <v>2792</v>
      </c>
      <c r="N638" s="12">
        <v>1160</v>
      </c>
      <c r="O638" s="13" t="s">
        <v>32</v>
      </c>
      <c r="P638" s="14"/>
      <c r="R638" s="1" t="s">
        <v>646</v>
      </c>
      <c r="S638" s="1">
        <v>58</v>
      </c>
      <c r="T638" s="18">
        <v>7</v>
      </c>
      <c r="U638" s="1">
        <f>+T638*S638</f>
        <v>406</v>
      </c>
    </row>
    <row r="639" spans="1:23" x14ac:dyDescent="0.25">
      <c r="A639" s="6"/>
      <c r="B639" s="7">
        <v>44310</v>
      </c>
      <c r="C639" s="8" t="s">
        <v>1721</v>
      </c>
      <c r="D639" s="8" t="s">
        <v>465</v>
      </c>
      <c r="E639" s="9" t="s">
        <v>881</v>
      </c>
      <c r="F639" s="9" t="s">
        <v>749</v>
      </c>
      <c r="G639" s="17">
        <v>0.72430555555555554</v>
      </c>
      <c r="H639" s="17">
        <v>0.76388888888888884</v>
      </c>
      <c r="I639" s="9">
        <v>17070</v>
      </c>
      <c r="J639" s="9">
        <v>40300</v>
      </c>
      <c r="K639" s="10">
        <f t="shared" si="23"/>
        <v>-23230</v>
      </c>
      <c r="L639" s="10">
        <v>5987</v>
      </c>
      <c r="M639" s="11" t="s">
        <v>574</v>
      </c>
      <c r="N639" s="12">
        <v>22077</v>
      </c>
      <c r="O639" s="13" t="s">
        <v>32</v>
      </c>
      <c r="P639" s="14" t="s">
        <v>2794</v>
      </c>
      <c r="Q639" s="2"/>
      <c r="R639" s="1" t="s">
        <v>669</v>
      </c>
      <c r="S639" s="1">
        <v>63</v>
      </c>
      <c r="T639" s="18">
        <v>1</v>
      </c>
      <c r="U639" s="1">
        <f>+T639*S639</f>
        <v>63</v>
      </c>
    </row>
    <row r="640" spans="1:23" x14ac:dyDescent="0.25">
      <c r="A640" s="6"/>
      <c r="B640" s="7"/>
      <c r="C640" s="8"/>
      <c r="D640" s="8"/>
      <c r="E640" s="9"/>
      <c r="F640" s="9"/>
      <c r="G640" s="17"/>
      <c r="H640" s="17"/>
      <c r="I640" s="9"/>
      <c r="J640" s="9"/>
      <c r="K640" s="10">
        <f t="shared" si="23"/>
        <v>0</v>
      </c>
      <c r="L640" s="10"/>
      <c r="M640" s="11"/>
      <c r="N640" s="12"/>
      <c r="O640" s="13"/>
      <c r="P640" s="14"/>
      <c r="T640" s="18">
        <f>SUM(T637:T639)</f>
        <v>20</v>
      </c>
      <c r="U640" s="18">
        <f>SUM(U637:U639)</f>
        <v>1153</v>
      </c>
      <c r="V640" s="18">
        <v>23230</v>
      </c>
      <c r="W640" s="18">
        <f>+V640-U640</f>
        <v>22077</v>
      </c>
    </row>
    <row r="641" spans="1:16" x14ac:dyDescent="0.25">
      <c r="A641" s="6"/>
      <c r="B641" s="7"/>
      <c r="C641" s="8"/>
      <c r="D641" s="8"/>
      <c r="E641" s="9"/>
      <c r="F641" s="9"/>
      <c r="G641" s="17"/>
      <c r="H641" s="17"/>
      <c r="I641" s="9"/>
      <c r="J641" s="9"/>
      <c r="K641" s="10">
        <f t="shared" si="23"/>
        <v>0</v>
      </c>
      <c r="L641" s="10"/>
      <c r="M641" s="11"/>
      <c r="N641" s="12"/>
      <c r="O641" s="13"/>
      <c r="P641" s="14"/>
    </row>
    <row r="642" spans="1:16" x14ac:dyDescent="0.25">
      <c r="A642" s="6"/>
      <c r="B642" s="7"/>
      <c r="C642" s="8"/>
      <c r="D642" s="8"/>
      <c r="E642" s="9"/>
      <c r="F642" s="9"/>
      <c r="G642" s="17"/>
      <c r="H642" s="17"/>
      <c r="I642" s="9"/>
      <c r="J642" s="9"/>
      <c r="K642" s="10">
        <f t="shared" si="23"/>
        <v>0</v>
      </c>
      <c r="L642" s="10"/>
      <c r="M642" s="11"/>
      <c r="N642" s="12"/>
      <c r="O642" s="13"/>
      <c r="P642" s="14"/>
    </row>
    <row r="643" spans="1:16" x14ac:dyDescent="0.25">
      <c r="A643" s="6"/>
      <c r="B643" s="7"/>
      <c r="C643" s="8"/>
      <c r="D643" s="8"/>
      <c r="E643" s="9"/>
      <c r="F643" s="9"/>
      <c r="G643" s="17"/>
      <c r="H643" s="17"/>
      <c r="I643" s="9"/>
      <c r="J643" s="9"/>
      <c r="K643" s="10">
        <f t="shared" si="23"/>
        <v>0</v>
      </c>
      <c r="L643" s="10"/>
      <c r="M643" s="11"/>
      <c r="N643" s="12"/>
      <c r="O643" s="13"/>
      <c r="P643" s="14"/>
    </row>
    <row r="644" spans="1:16" x14ac:dyDescent="0.25">
      <c r="A644" s="6"/>
      <c r="B644" s="7"/>
      <c r="C644" s="8"/>
      <c r="D644" s="8"/>
      <c r="E644" s="9"/>
      <c r="F644" s="9"/>
      <c r="G644" s="17"/>
      <c r="H644" s="17"/>
      <c r="I644" s="9"/>
      <c r="J644" s="9"/>
      <c r="K644" s="10">
        <f t="shared" si="23"/>
        <v>0</v>
      </c>
      <c r="L644" s="10"/>
      <c r="M644" s="11"/>
      <c r="N644" s="12"/>
      <c r="O644" s="13"/>
      <c r="P644" s="14"/>
    </row>
    <row r="645" spans="1:16" x14ac:dyDescent="0.25">
      <c r="A645" s="6"/>
      <c r="B645" s="7"/>
      <c r="C645" s="8"/>
      <c r="D645" s="8"/>
      <c r="E645" s="9"/>
      <c r="F645" s="9"/>
      <c r="G645" s="17"/>
      <c r="H645" s="17"/>
      <c r="I645" s="9"/>
      <c r="J645" s="9"/>
      <c r="K645" s="10">
        <f t="shared" si="23"/>
        <v>0</v>
      </c>
      <c r="L645" s="10"/>
      <c r="M645" s="11"/>
      <c r="N645" s="12"/>
      <c r="O645" s="13"/>
      <c r="P645" s="14"/>
    </row>
    <row r="646" spans="1:16" x14ac:dyDescent="0.25">
      <c r="A646" s="6"/>
      <c r="B646" s="7"/>
      <c r="C646" s="8"/>
      <c r="D646" s="8"/>
      <c r="E646" s="9"/>
      <c r="F646" s="9"/>
      <c r="G646" s="17"/>
      <c r="H646" s="17"/>
      <c r="I646" s="9"/>
      <c r="J646" s="9"/>
      <c r="K646" s="10">
        <f t="shared" si="23"/>
        <v>0</v>
      </c>
      <c r="L646" s="10"/>
      <c r="M646" s="11"/>
      <c r="N646" s="12"/>
      <c r="O646" s="13"/>
      <c r="P646" s="14"/>
    </row>
    <row r="647" spans="1:16" x14ac:dyDescent="0.25">
      <c r="A647" s="6"/>
      <c r="B647" s="7"/>
      <c r="C647" s="8"/>
      <c r="D647" s="8"/>
      <c r="E647" s="9"/>
      <c r="F647" s="9"/>
      <c r="G647" s="17"/>
      <c r="H647" s="17"/>
      <c r="I647" s="9"/>
      <c r="J647" s="9"/>
      <c r="K647" s="10">
        <f t="shared" si="23"/>
        <v>0</v>
      </c>
      <c r="L647" s="10"/>
      <c r="M647" s="11"/>
      <c r="N647" s="12"/>
      <c r="O647" s="13"/>
      <c r="P647" s="14"/>
    </row>
    <row r="648" spans="1:16" x14ac:dyDescent="0.25">
      <c r="A648" s="6"/>
      <c r="B648" s="7"/>
      <c r="C648" s="8"/>
      <c r="D648" s="8"/>
      <c r="E648" s="9"/>
      <c r="F648" s="9"/>
      <c r="G648" s="17"/>
      <c r="H648" s="17"/>
      <c r="I648" s="9"/>
      <c r="J648" s="9"/>
      <c r="K648" s="10">
        <f t="shared" si="23"/>
        <v>0</v>
      </c>
      <c r="L648" s="10"/>
      <c r="M648" s="11"/>
      <c r="N648" s="12"/>
      <c r="O648" s="13"/>
      <c r="P648" s="14"/>
    </row>
    <row r="649" spans="1:16" x14ac:dyDescent="0.25">
      <c r="A649" s="6"/>
      <c r="B649" s="7"/>
      <c r="C649" s="8"/>
      <c r="D649" s="8"/>
      <c r="E649" s="9"/>
      <c r="F649" s="9"/>
      <c r="G649" s="17"/>
      <c r="H649" s="17"/>
      <c r="I649" s="9"/>
      <c r="J649" s="9"/>
      <c r="K649" s="10">
        <f t="shared" si="23"/>
        <v>0</v>
      </c>
      <c r="L649" s="10"/>
      <c r="M649" s="11"/>
      <c r="N649" s="12"/>
      <c r="O649" s="13"/>
      <c r="P649" s="14"/>
    </row>
    <row r="650" spans="1:16" x14ac:dyDescent="0.25">
      <c r="A650" s="6"/>
      <c r="B650" s="7"/>
      <c r="C650" s="8"/>
      <c r="D650" s="8"/>
      <c r="E650" s="9"/>
      <c r="F650" s="9"/>
      <c r="G650" s="17"/>
      <c r="H650" s="17"/>
      <c r="I650" s="9"/>
      <c r="J650" s="9"/>
      <c r="K650" s="10">
        <f t="shared" si="23"/>
        <v>0</v>
      </c>
      <c r="L650" s="10"/>
      <c r="M650" s="11"/>
      <c r="N650" s="12"/>
      <c r="O650" s="13"/>
      <c r="P650" s="14"/>
    </row>
    <row r="651" spans="1:16" x14ac:dyDescent="0.25">
      <c r="A651" s="6"/>
      <c r="B651" s="7"/>
      <c r="C651" s="8"/>
      <c r="D651" s="8"/>
      <c r="E651" s="9"/>
      <c r="F651" s="9"/>
      <c r="G651" s="17"/>
      <c r="H651" s="17"/>
      <c r="I651" s="9"/>
      <c r="J651" s="9"/>
      <c r="K651" s="10">
        <f t="shared" si="23"/>
        <v>0</v>
      </c>
      <c r="L651" s="10"/>
      <c r="M651" s="11"/>
      <c r="N651" s="12"/>
      <c r="O651" s="13"/>
      <c r="P651" s="14"/>
    </row>
    <row r="652" spans="1:16" x14ac:dyDescent="0.25">
      <c r="A652" s="6"/>
      <c r="B652" s="7"/>
      <c r="C652" s="8"/>
      <c r="D652" s="8"/>
      <c r="E652" s="9"/>
      <c r="F652" s="9"/>
      <c r="G652" s="17"/>
      <c r="H652" s="17"/>
      <c r="I652" s="9"/>
      <c r="J652" s="9"/>
      <c r="K652" s="10">
        <f t="shared" si="23"/>
        <v>0</v>
      </c>
      <c r="L652" s="10"/>
      <c r="M652" s="11"/>
      <c r="N652" s="12"/>
      <c r="O652" s="13"/>
      <c r="P652" s="14"/>
    </row>
    <row r="653" spans="1:16" x14ac:dyDescent="0.25">
      <c r="A653" s="6"/>
      <c r="B653" s="7"/>
      <c r="C653" s="8"/>
      <c r="D653" s="8"/>
      <c r="E653" s="9"/>
      <c r="F653" s="9"/>
      <c r="G653" s="17"/>
      <c r="H653" s="17"/>
      <c r="I653" s="9"/>
      <c r="J653" s="9"/>
      <c r="K653" s="10">
        <f t="shared" ref="K653:K665" si="25">+I653-J653</f>
        <v>0</v>
      </c>
      <c r="L653" s="10"/>
      <c r="M653" s="11"/>
      <c r="N653" s="12"/>
      <c r="O653" s="13"/>
      <c r="P653" s="14"/>
    </row>
    <row r="654" spans="1:16" x14ac:dyDescent="0.25">
      <c r="A654" s="6"/>
      <c r="B654" s="7"/>
      <c r="C654" s="8"/>
      <c r="D654" s="8"/>
      <c r="E654" s="9"/>
      <c r="F654" s="9"/>
      <c r="G654" s="17"/>
      <c r="H654" s="17"/>
      <c r="I654" s="9"/>
      <c r="J654" s="9"/>
      <c r="K654" s="10">
        <f t="shared" si="25"/>
        <v>0</v>
      </c>
      <c r="L654" s="10"/>
      <c r="M654" s="11"/>
      <c r="N654" s="12"/>
      <c r="O654" s="13"/>
      <c r="P654" s="14"/>
    </row>
    <row r="655" spans="1:16" x14ac:dyDescent="0.25">
      <c r="A655" s="6"/>
      <c r="B655" s="7"/>
      <c r="C655" s="8"/>
      <c r="D655" s="8"/>
      <c r="E655" s="9"/>
      <c r="F655" s="9"/>
      <c r="G655" s="17"/>
      <c r="H655" s="17"/>
      <c r="I655" s="9"/>
      <c r="J655" s="9"/>
      <c r="K655" s="10">
        <f t="shared" si="25"/>
        <v>0</v>
      </c>
      <c r="L655" s="10"/>
      <c r="M655" s="11"/>
      <c r="N655" s="12"/>
      <c r="O655" s="13"/>
      <c r="P655" s="14"/>
    </row>
    <row r="656" spans="1:16" x14ac:dyDescent="0.25">
      <c r="A656" s="6"/>
      <c r="B656" s="7"/>
      <c r="C656" s="8"/>
      <c r="D656" s="8"/>
      <c r="E656" s="9"/>
      <c r="F656" s="9"/>
      <c r="G656" s="17"/>
      <c r="H656" s="17"/>
      <c r="I656" s="9"/>
      <c r="J656" s="9"/>
      <c r="K656" s="10">
        <f t="shared" si="25"/>
        <v>0</v>
      </c>
      <c r="L656" s="10"/>
      <c r="M656" s="11"/>
      <c r="N656" s="12"/>
      <c r="O656" s="13"/>
      <c r="P656" s="14"/>
    </row>
    <row r="657" spans="1:37" x14ac:dyDescent="0.25">
      <c r="A657" s="6"/>
      <c r="B657" s="7"/>
      <c r="C657" s="8"/>
      <c r="D657" s="8"/>
      <c r="E657" s="9"/>
      <c r="F657" s="9"/>
      <c r="G657" s="17"/>
      <c r="H657" s="17"/>
      <c r="I657" s="9"/>
      <c r="J657" s="9"/>
      <c r="K657" s="10">
        <f t="shared" si="25"/>
        <v>0</v>
      </c>
      <c r="L657" s="10"/>
      <c r="M657" s="11"/>
      <c r="N657" s="12"/>
      <c r="O657" s="13"/>
      <c r="P657" s="14"/>
    </row>
    <row r="658" spans="1:37" x14ac:dyDescent="0.25">
      <c r="A658" s="6"/>
      <c r="B658" s="7"/>
      <c r="C658" s="8"/>
      <c r="D658" s="8"/>
      <c r="E658" s="9"/>
      <c r="F658" s="9"/>
      <c r="G658" s="17"/>
      <c r="H658" s="17"/>
      <c r="I658" s="9"/>
      <c r="J658" s="9"/>
      <c r="K658" s="10">
        <f t="shared" si="25"/>
        <v>0</v>
      </c>
      <c r="L658" s="10"/>
      <c r="M658" s="11"/>
      <c r="N658" s="12"/>
      <c r="O658" s="13"/>
      <c r="P658" s="14"/>
    </row>
    <row r="659" spans="1:37" x14ac:dyDescent="0.25">
      <c r="A659" s="6"/>
      <c r="B659" s="7"/>
      <c r="C659" s="8"/>
      <c r="D659" s="8"/>
      <c r="E659" s="9"/>
      <c r="F659" s="9"/>
      <c r="G659" s="17"/>
      <c r="H659" s="17"/>
      <c r="I659" s="9"/>
      <c r="J659" s="9"/>
      <c r="K659" s="10">
        <f t="shared" si="25"/>
        <v>0</v>
      </c>
      <c r="L659" s="10"/>
      <c r="M659" s="11"/>
      <c r="N659" s="12"/>
      <c r="O659" s="13"/>
      <c r="P659" s="14"/>
    </row>
    <row r="660" spans="1:37" x14ac:dyDescent="0.25">
      <c r="A660" s="6"/>
      <c r="B660" s="7"/>
      <c r="C660" s="8"/>
      <c r="D660" s="8"/>
      <c r="E660" s="9"/>
      <c r="F660" s="9"/>
      <c r="G660" s="17"/>
      <c r="H660" s="17"/>
      <c r="I660" s="9"/>
      <c r="J660" s="9"/>
      <c r="K660" s="10">
        <f t="shared" si="25"/>
        <v>0</v>
      </c>
      <c r="L660" s="10"/>
      <c r="M660" s="11"/>
      <c r="N660" s="12"/>
      <c r="O660" s="13"/>
      <c r="P660" s="14"/>
    </row>
    <row r="661" spans="1:37" x14ac:dyDescent="0.25">
      <c r="A661" s="6"/>
      <c r="B661" s="7"/>
      <c r="C661" s="8"/>
      <c r="D661" s="8"/>
      <c r="E661" s="9"/>
      <c r="F661" s="9"/>
      <c r="G661" s="17"/>
      <c r="H661" s="17"/>
      <c r="I661" s="9"/>
      <c r="J661" s="9"/>
      <c r="K661" s="10">
        <f t="shared" si="25"/>
        <v>0</v>
      </c>
      <c r="L661" s="10"/>
      <c r="M661" s="11"/>
      <c r="N661" s="12"/>
      <c r="O661" s="13"/>
      <c r="P661" s="14"/>
    </row>
    <row r="662" spans="1:37" x14ac:dyDescent="0.25">
      <c r="A662" s="7"/>
      <c r="B662" s="7"/>
      <c r="C662" s="8"/>
      <c r="D662" s="8"/>
      <c r="E662" s="9"/>
      <c r="F662" s="9"/>
      <c r="G662" s="17"/>
      <c r="H662" s="17"/>
      <c r="I662" s="9"/>
      <c r="J662" s="9"/>
      <c r="K662" s="10">
        <f t="shared" si="25"/>
        <v>0</v>
      </c>
      <c r="L662" s="10"/>
      <c r="M662" s="11"/>
      <c r="N662" s="12"/>
      <c r="O662" s="13"/>
      <c r="P662" s="14"/>
    </row>
    <row r="663" spans="1:37" x14ac:dyDescent="0.25">
      <c r="A663" s="7"/>
      <c r="B663" s="7"/>
      <c r="C663" s="8"/>
      <c r="D663" s="8"/>
      <c r="E663" s="9"/>
      <c r="F663" s="9"/>
      <c r="G663" s="17"/>
      <c r="H663" s="17"/>
      <c r="I663" s="9"/>
      <c r="J663" s="9"/>
      <c r="K663" s="10">
        <f t="shared" si="25"/>
        <v>0</v>
      </c>
      <c r="L663" s="10"/>
      <c r="M663" s="11"/>
      <c r="N663" s="12"/>
      <c r="O663" s="13"/>
      <c r="P663" s="14"/>
    </row>
    <row r="664" spans="1:37" x14ac:dyDescent="0.25">
      <c r="A664" s="7"/>
      <c r="B664" s="7"/>
      <c r="C664" s="8"/>
      <c r="D664" s="8"/>
      <c r="E664" s="9"/>
      <c r="F664" s="9"/>
      <c r="G664" s="17"/>
      <c r="H664" s="17"/>
      <c r="I664" s="9"/>
      <c r="J664" s="9"/>
      <c r="K664" s="10">
        <f t="shared" si="25"/>
        <v>0</v>
      </c>
      <c r="L664" s="10"/>
      <c r="M664" s="11"/>
      <c r="N664" s="12"/>
      <c r="O664" s="13"/>
      <c r="P664" s="14"/>
    </row>
    <row r="665" spans="1:37" x14ac:dyDescent="0.25">
      <c r="A665" s="7"/>
      <c r="B665" s="7"/>
      <c r="C665" s="8"/>
      <c r="D665" s="8"/>
      <c r="E665" s="9"/>
      <c r="F665" s="9"/>
      <c r="G665" s="17"/>
      <c r="H665" s="17"/>
      <c r="I665" s="9"/>
      <c r="J665" s="9"/>
      <c r="K665" s="10">
        <f t="shared" si="25"/>
        <v>0</v>
      </c>
      <c r="L665" s="10"/>
      <c r="M665" s="11"/>
      <c r="N665" s="12"/>
      <c r="O665" s="13"/>
      <c r="P665" s="14"/>
    </row>
    <row r="666" spans="1:37" x14ac:dyDescent="0.25">
      <c r="A666" s="7"/>
      <c r="B666" s="7"/>
      <c r="C666" s="8"/>
      <c r="D666" s="8"/>
      <c r="E666" s="9"/>
      <c r="F666" s="9"/>
      <c r="G666" s="17"/>
      <c r="H666" s="17"/>
      <c r="I666" s="9"/>
      <c r="J666" s="9"/>
      <c r="K666" s="10">
        <v>0</v>
      </c>
      <c r="L666" s="10"/>
      <c r="M666" s="11"/>
      <c r="N666" s="12"/>
      <c r="O666" s="13"/>
      <c r="P666" s="14"/>
    </row>
    <row r="667" spans="1:37" x14ac:dyDescent="0.25">
      <c r="A667" s="7"/>
      <c r="B667" s="7"/>
      <c r="C667" s="8"/>
      <c r="D667" s="8"/>
      <c r="E667" s="9"/>
      <c r="F667" s="9"/>
      <c r="G667" s="17"/>
      <c r="H667" s="17"/>
      <c r="I667" s="9"/>
      <c r="J667" s="9"/>
      <c r="K667" s="10">
        <v>0</v>
      </c>
      <c r="L667" s="10"/>
      <c r="M667" s="11"/>
      <c r="N667" s="12"/>
      <c r="O667" s="13"/>
      <c r="P667" s="14"/>
    </row>
    <row r="668" spans="1:37" x14ac:dyDescent="0.25">
      <c r="A668" s="7"/>
      <c r="B668" s="7"/>
      <c r="C668" s="8"/>
      <c r="D668" s="8"/>
      <c r="E668" s="9"/>
      <c r="F668" s="9"/>
      <c r="G668" s="17"/>
      <c r="H668" s="17"/>
      <c r="I668" s="9"/>
      <c r="J668" s="9"/>
      <c r="K668" s="10">
        <v>0</v>
      </c>
      <c r="L668" s="10"/>
      <c r="M668" s="11"/>
      <c r="N668" s="12"/>
      <c r="O668" s="13"/>
      <c r="P668" s="14"/>
    </row>
    <row r="669" spans="1:37" x14ac:dyDescent="0.25">
      <c r="A669" s="6"/>
      <c r="B669" s="7"/>
      <c r="C669" s="8"/>
      <c r="D669" s="8"/>
      <c r="E669" s="9"/>
      <c r="F669" s="9"/>
      <c r="G669" s="17"/>
      <c r="H669" s="17"/>
      <c r="I669" s="9"/>
      <c r="J669" s="9"/>
      <c r="K669" s="10">
        <v>0</v>
      </c>
      <c r="L669" s="10"/>
      <c r="M669" s="11"/>
      <c r="N669" s="12"/>
      <c r="O669" s="13"/>
      <c r="P669" s="14"/>
    </row>
    <row r="670" spans="1:37" x14ac:dyDescent="0.25">
      <c r="A670" s="6"/>
      <c r="B670" s="7"/>
      <c r="C670" s="8"/>
      <c r="D670" s="8"/>
      <c r="E670" s="9"/>
      <c r="F670" s="9"/>
      <c r="G670" s="17"/>
      <c r="H670" s="17"/>
      <c r="I670" s="9"/>
      <c r="J670" s="9"/>
      <c r="K670" s="10">
        <v>0</v>
      </c>
      <c r="L670" s="10"/>
      <c r="M670" s="11"/>
      <c r="N670" s="12"/>
      <c r="O670" s="13"/>
      <c r="P670" s="14"/>
    </row>
    <row r="671" spans="1:37" x14ac:dyDescent="0.25">
      <c r="A671" s="6"/>
      <c r="B671" s="7"/>
      <c r="C671" s="8"/>
      <c r="D671" s="8"/>
      <c r="E671" s="9"/>
      <c r="F671" s="9"/>
      <c r="G671" s="17"/>
      <c r="H671" s="17"/>
      <c r="I671" s="9"/>
      <c r="J671" s="9"/>
      <c r="K671" s="10">
        <v>0</v>
      </c>
      <c r="L671" s="10"/>
      <c r="M671" s="11"/>
      <c r="N671" s="12"/>
      <c r="O671" s="13"/>
      <c r="P671" s="14"/>
    </row>
    <row r="672" spans="1:37" x14ac:dyDescent="0.25">
      <c r="A672" s="6"/>
      <c r="B672" s="15"/>
      <c r="C672" s="8"/>
      <c r="D672" s="8"/>
      <c r="E672" s="9"/>
      <c r="F672" s="9"/>
      <c r="G672" s="17"/>
      <c r="H672" s="17"/>
      <c r="I672" s="9"/>
      <c r="J672" s="9"/>
      <c r="K672" s="10">
        <v>0</v>
      </c>
      <c r="L672" s="10"/>
      <c r="M672" s="11"/>
      <c r="N672" s="12"/>
      <c r="O672" s="13"/>
      <c r="P672" s="14"/>
      <c r="AG672" s="25"/>
      <c r="AH672" s="25"/>
      <c r="AI672" s="25"/>
      <c r="AJ672" s="25"/>
      <c r="AK672" s="25"/>
    </row>
    <row r="673" spans="1:16" x14ac:dyDescent="0.25">
      <c r="A673" s="6"/>
      <c r="B673" s="7"/>
      <c r="C673" s="8"/>
      <c r="D673" s="8"/>
      <c r="E673" s="9"/>
      <c r="F673" s="9"/>
      <c r="G673" s="17"/>
      <c r="H673" s="17"/>
      <c r="I673" s="9"/>
      <c r="J673" s="9"/>
      <c r="K673" s="10">
        <v>0</v>
      </c>
      <c r="L673" s="10"/>
      <c r="M673" s="11"/>
      <c r="N673" s="12"/>
      <c r="O673" s="13"/>
      <c r="P673" s="14"/>
    </row>
    <row r="674" spans="1:16" x14ac:dyDescent="0.25">
      <c r="A674" s="6"/>
      <c r="B674" s="7"/>
      <c r="C674" s="8"/>
      <c r="D674" s="8"/>
      <c r="E674" s="9"/>
      <c r="F674" s="9"/>
      <c r="G674" s="17"/>
      <c r="H674" s="17"/>
      <c r="I674" s="9"/>
      <c r="J674" s="9"/>
      <c r="K674" s="10">
        <v>0</v>
      </c>
      <c r="L674" s="10"/>
      <c r="M674" s="11"/>
      <c r="N674" s="12"/>
      <c r="O674" s="13"/>
      <c r="P674" s="14"/>
    </row>
    <row r="675" spans="1:16" x14ac:dyDescent="0.25">
      <c r="A675" s="6"/>
      <c r="B675" s="7"/>
      <c r="C675" s="8"/>
      <c r="D675" s="8"/>
      <c r="E675" s="9"/>
      <c r="F675" s="9"/>
      <c r="G675" s="17"/>
      <c r="H675" s="17"/>
      <c r="I675" s="9"/>
      <c r="J675" s="9"/>
      <c r="K675" s="10">
        <v>0</v>
      </c>
      <c r="L675" s="10"/>
      <c r="M675" s="11"/>
      <c r="N675" s="12"/>
      <c r="O675" s="13"/>
      <c r="P675" s="14"/>
    </row>
    <row r="676" spans="1:16" x14ac:dyDescent="0.25">
      <c r="A676" s="6"/>
      <c r="B676" s="7"/>
      <c r="C676" s="8"/>
      <c r="D676" s="8"/>
      <c r="E676" s="9"/>
      <c r="F676" s="9"/>
      <c r="G676" s="17"/>
      <c r="H676" s="17"/>
      <c r="I676" s="9"/>
      <c r="J676" s="9"/>
      <c r="K676" s="10">
        <v>0</v>
      </c>
      <c r="L676" s="10"/>
      <c r="M676" s="11"/>
      <c r="N676" s="12"/>
      <c r="O676" s="13"/>
      <c r="P676" s="14"/>
    </row>
    <row r="677" spans="1:16" x14ac:dyDescent="0.25">
      <c r="A677" s="6"/>
      <c r="B677" s="7"/>
      <c r="C677" s="8"/>
      <c r="D677" s="8"/>
      <c r="E677" s="9"/>
      <c r="F677" s="9"/>
      <c r="G677" s="17"/>
      <c r="H677" s="17"/>
      <c r="I677" s="9"/>
      <c r="J677" s="9"/>
      <c r="K677" s="10">
        <v>0</v>
      </c>
      <c r="L677" s="10"/>
      <c r="M677" s="11"/>
      <c r="N677" s="12"/>
      <c r="O677" s="13"/>
      <c r="P677" s="14"/>
    </row>
    <row r="678" spans="1:16" x14ac:dyDescent="0.25">
      <c r="A678" s="6"/>
      <c r="B678" s="7"/>
      <c r="C678" s="8"/>
      <c r="D678" s="8"/>
      <c r="E678" s="9"/>
      <c r="F678" s="9"/>
      <c r="G678" s="17"/>
      <c r="H678" s="17"/>
      <c r="I678" s="9"/>
      <c r="J678" s="9"/>
      <c r="K678" s="10">
        <v>0</v>
      </c>
      <c r="L678" s="10"/>
      <c r="M678" s="11"/>
      <c r="N678" s="12"/>
      <c r="O678" s="13"/>
      <c r="P678" s="14"/>
    </row>
    <row r="679" spans="1:16" x14ac:dyDescent="0.25">
      <c r="A679" s="6"/>
      <c r="B679" s="7"/>
      <c r="C679" s="8"/>
      <c r="D679" s="8"/>
      <c r="E679" s="9"/>
      <c r="F679" s="9"/>
      <c r="G679" s="17"/>
      <c r="H679" s="17"/>
      <c r="I679" s="9"/>
      <c r="J679" s="9"/>
      <c r="K679" s="10">
        <v>0</v>
      </c>
      <c r="L679" s="10"/>
      <c r="M679" s="11"/>
      <c r="N679" s="12"/>
      <c r="O679" s="13"/>
      <c r="P679" s="14"/>
    </row>
    <row r="680" spans="1:16" x14ac:dyDescent="0.25">
      <c r="A680" s="6"/>
      <c r="B680" s="7"/>
      <c r="C680" s="8"/>
      <c r="D680" s="8"/>
      <c r="E680" s="9"/>
      <c r="F680" s="9"/>
      <c r="G680" s="17"/>
      <c r="H680" s="17"/>
      <c r="I680" s="9"/>
      <c r="J680" s="9"/>
      <c r="K680" s="10">
        <v>0</v>
      </c>
      <c r="L680" s="10"/>
      <c r="M680" s="11"/>
      <c r="N680" s="12"/>
      <c r="O680" s="13"/>
      <c r="P680" s="14"/>
    </row>
    <row r="681" spans="1:16" x14ac:dyDescent="0.25">
      <c r="A681" s="6"/>
      <c r="B681" s="7"/>
      <c r="C681" s="8"/>
      <c r="D681" s="8"/>
      <c r="E681" s="9"/>
      <c r="F681" s="9"/>
      <c r="G681" s="17"/>
      <c r="H681" s="17"/>
      <c r="I681" s="9"/>
      <c r="J681" s="9"/>
      <c r="K681" s="10">
        <v>0</v>
      </c>
      <c r="L681" s="10"/>
      <c r="M681" s="11"/>
      <c r="N681" s="12"/>
      <c r="O681" s="13"/>
      <c r="P681" s="14"/>
    </row>
    <row r="682" spans="1:16" x14ac:dyDescent="0.25">
      <c r="A682" s="6"/>
      <c r="B682" s="7"/>
      <c r="C682" s="8"/>
      <c r="D682" s="8"/>
      <c r="E682" s="9"/>
      <c r="F682" s="9"/>
      <c r="G682" s="17"/>
      <c r="H682" s="17"/>
      <c r="I682" s="9"/>
      <c r="J682" s="9"/>
      <c r="K682" s="10">
        <v>0</v>
      </c>
      <c r="L682" s="10"/>
      <c r="M682" s="11"/>
      <c r="N682" s="12"/>
      <c r="O682" s="13"/>
      <c r="P682" s="14"/>
    </row>
    <row r="683" spans="1:16" x14ac:dyDescent="0.25">
      <c r="A683" s="6"/>
      <c r="B683" s="7"/>
      <c r="C683" s="8"/>
      <c r="D683" s="8"/>
      <c r="E683" s="9"/>
      <c r="F683" s="9"/>
      <c r="G683" s="17"/>
      <c r="H683" s="17"/>
      <c r="I683" s="9"/>
      <c r="J683" s="9"/>
      <c r="K683" s="10">
        <v>0</v>
      </c>
      <c r="L683" s="10"/>
      <c r="M683" s="11"/>
      <c r="N683" s="12"/>
      <c r="O683" s="13"/>
      <c r="P683" s="14"/>
    </row>
    <row r="684" spans="1:16" x14ac:dyDescent="0.25">
      <c r="A684" s="7"/>
      <c r="B684" s="7"/>
      <c r="C684" s="8"/>
      <c r="D684" s="8"/>
      <c r="E684" s="9"/>
      <c r="F684" s="9"/>
      <c r="G684" s="17"/>
      <c r="H684" s="17"/>
      <c r="I684" s="9"/>
      <c r="J684" s="9"/>
      <c r="K684" s="10">
        <v>0</v>
      </c>
      <c r="L684" s="10"/>
      <c r="M684" s="11"/>
      <c r="N684" s="12"/>
      <c r="O684" s="13"/>
      <c r="P684" s="14"/>
    </row>
    <row r="685" spans="1:16" x14ac:dyDescent="0.25">
      <c r="A685" s="7"/>
      <c r="B685" s="15"/>
      <c r="C685" s="8"/>
      <c r="D685" s="8"/>
      <c r="E685" s="9"/>
      <c r="F685" s="9"/>
      <c r="G685" s="17"/>
      <c r="H685" s="17"/>
      <c r="I685" s="9"/>
      <c r="J685" s="9"/>
      <c r="K685" s="10">
        <v>0</v>
      </c>
      <c r="L685" s="10"/>
      <c r="M685" s="11"/>
      <c r="N685" s="12"/>
      <c r="O685" s="13"/>
      <c r="P685" s="14"/>
    </row>
    <row r="686" spans="1:16" x14ac:dyDescent="0.25">
      <c r="A686" s="7"/>
      <c r="B686" s="7"/>
      <c r="C686" s="8"/>
      <c r="D686" s="8"/>
      <c r="E686" s="9"/>
      <c r="F686" s="9"/>
      <c r="G686" s="17"/>
      <c r="H686" s="17"/>
      <c r="I686" s="9"/>
      <c r="J686" s="9"/>
      <c r="K686" s="10">
        <v>0</v>
      </c>
      <c r="L686" s="10"/>
      <c r="M686" s="11"/>
      <c r="N686" s="12"/>
      <c r="O686" s="13"/>
      <c r="P686" s="14"/>
    </row>
    <row r="687" spans="1:16" x14ac:dyDescent="0.25">
      <c r="A687" s="7"/>
      <c r="B687" s="7"/>
      <c r="C687" s="8"/>
      <c r="D687" s="8"/>
      <c r="E687" s="9"/>
      <c r="F687" s="9"/>
      <c r="G687" s="17"/>
      <c r="H687" s="17"/>
      <c r="I687" s="9"/>
      <c r="J687" s="9"/>
      <c r="K687" s="10">
        <v>0</v>
      </c>
      <c r="L687" s="10"/>
      <c r="M687" s="11"/>
      <c r="N687" s="12"/>
      <c r="O687" s="13"/>
      <c r="P687" s="14"/>
    </row>
    <row r="688" spans="1:16" x14ac:dyDescent="0.25">
      <c r="A688" s="7"/>
      <c r="B688" s="7"/>
      <c r="C688" s="8"/>
      <c r="D688" s="8"/>
      <c r="E688" s="9"/>
      <c r="F688" s="9"/>
      <c r="G688" s="17"/>
      <c r="H688" s="17"/>
      <c r="I688" s="9"/>
      <c r="J688" s="9"/>
      <c r="K688" s="10">
        <v>0</v>
      </c>
      <c r="L688" s="10"/>
      <c r="M688" s="11"/>
      <c r="N688" s="12"/>
      <c r="O688" s="13"/>
      <c r="P688" s="14"/>
    </row>
    <row r="689" spans="1:16" x14ac:dyDescent="0.25">
      <c r="A689" s="7"/>
      <c r="B689" s="7"/>
      <c r="C689" s="8"/>
      <c r="D689" s="8"/>
      <c r="E689" s="9"/>
      <c r="F689" s="9"/>
      <c r="G689" s="17"/>
      <c r="H689" s="17"/>
      <c r="I689" s="9"/>
      <c r="J689" s="9"/>
      <c r="K689" s="10">
        <v>0</v>
      </c>
      <c r="L689" s="10"/>
      <c r="M689" s="11"/>
      <c r="N689" s="12"/>
      <c r="O689" s="13"/>
      <c r="P689" s="14"/>
    </row>
    <row r="690" spans="1:16" x14ac:dyDescent="0.25">
      <c r="A690" s="7"/>
      <c r="B690" s="7"/>
      <c r="C690" s="8"/>
      <c r="D690" s="8"/>
      <c r="E690" s="9"/>
      <c r="F690" s="9"/>
      <c r="G690" s="17"/>
      <c r="H690" s="17"/>
      <c r="I690" s="9"/>
      <c r="J690" s="9"/>
      <c r="K690" s="10">
        <v>0</v>
      </c>
      <c r="L690" s="10"/>
      <c r="M690" s="11"/>
      <c r="N690" s="12"/>
      <c r="O690" s="13"/>
      <c r="P690" s="14"/>
    </row>
    <row r="691" spans="1:16" x14ac:dyDescent="0.25">
      <c r="A691" s="7"/>
      <c r="B691" s="7"/>
      <c r="C691" s="8"/>
      <c r="D691" s="8"/>
      <c r="E691" s="9"/>
      <c r="F691" s="9"/>
      <c r="G691" s="17"/>
      <c r="H691" s="17"/>
      <c r="I691" s="9"/>
      <c r="J691" s="9"/>
      <c r="K691" s="10">
        <v>0</v>
      </c>
      <c r="L691" s="10"/>
      <c r="M691" s="11"/>
      <c r="N691" s="12"/>
      <c r="O691" s="13"/>
      <c r="P691" s="14"/>
    </row>
    <row r="692" spans="1:16" x14ac:dyDescent="0.25">
      <c r="A692" s="7"/>
      <c r="B692" s="7"/>
      <c r="C692" s="8"/>
      <c r="D692" s="8"/>
      <c r="E692" s="9"/>
      <c r="F692" s="9"/>
      <c r="G692" s="17"/>
      <c r="H692" s="17"/>
      <c r="I692" s="9"/>
      <c r="J692" s="9"/>
      <c r="K692" s="10">
        <v>0</v>
      </c>
      <c r="L692" s="10"/>
      <c r="M692" s="11"/>
      <c r="N692" s="12"/>
      <c r="O692" s="13"/>
      <c r="P692" s="14"/>
    </row>
    <row r="693" spans="1:16" x14ac:dyDescent="0.25">
      <c r="A693" s="7"/>
      <c r="B693" s="7"/>
      <c r="C693" s="8"/>
      <c r="D693" s="8"/>
      <c r="E693" s="9"/>
      <c r="F693" s="9"/>
      <c r="G693" s="17"/>
      <c r="H693" s="17"/>
      <c r="I693" s="9"/>
      <c r="J693" s="9"/>
      <c r="K693" s="10">
        <v>0</v>
      </c>
      <c r="L693" s="10"/>
      <c r="M693" s="11"/>
      <c r="N693" s="12"/>
      <c r="O693" s="13"/>
      <c r="P693" s="14"/>
    </row>
    <row r="694" spans="1:16" x14ac:dyDescent="0.25">
      <c r="A694" s="7"/>
      <c r="B694" s="7"/>
      <c r="C694" s="8"/>
      <c r="D694" s="8"/>
      <c r="E694" s="9"/>
      <c r="F694" s="9"/>
      <c r="G694" s="17"/>
      <c r="H694" s="17"/>
      <c r="I694" s="9"/>
      <c r="J694" s="9"/>
      <c r="K694" s="10">
        <v>0</v>
      </c>
      <c r="L694" s="10"/>
      <c r="M694" s="11"/>
      <c r="N694" s="12"/>
      <c r="O694" s="13"/>
      <c r="P694" s="14"/>
    </row>
    <row r="695" spans="1:16" x14ac:dyDescent="0.25">
      <c r="A695" s="7"/>
      <c r="B695" s="7"/>
      <c r="C695" s="16"/>
      <c r="D695" s="8"/>
      <c r="E695" s="9"/>
      <c r="F695" s="9"/>
      <c r="G695" s="17"/>
      <c r="H695" s="17"/>
      <c r="I695" s="9"/>
      <c r="J695" s="9"/>
      <c r="K695" s="10">
        <v>0</v>
      </c>
      <c r="L695" s="10"/>
      <c r="M695" s="11"/>
      <c r="N695" s="12"/>
      <c r="O695" s="13"/>
      <c r="P695" s="14"/>
    </row>
    <row r="696" spans="1:16" x14ac:dyDescent="0.25">
      <c r="A696" s="7"/>
      <c r="B696" s="15"/>
      <c r="C696" s="8"/>
      <c r="D696" s="8"/>
      <c r="E696" s="9"/>
      <c r="F696" s="9"/>
      <c r="G696" s="17"/>
      <c r="H696" s="17"/>
      <c r="I696" s="9"/>
      <c r="J696" s="9"/>
      <c r="K696" s="10">
        <v>0</v>
      </c>
      <c r="L696" s="10"/>
      <c r="M696" s="11"/>
      <c r="N696" s="12"/>
      <c r="O696" s="13"/>
      <c r="P696" s="14"/>
    </row>
    <row r="697" spans="1:16" x14ac:dyDescent="0.25">
      <c r="A697" s="7"/>
      <c r="B697" s="7"/>
      <c r="C697" s="8"/>
      <c r="D697" s="8"/>
      <c r="E697" s="9"/>
      <c r="F697" s="9"/>
      <c r="G697" s="17"/>
      <c r="H697" s="17"/>
      <c r="I697" s="9"/>
      <c r="J697" s="9"/>
      <c r="K697" s="10">
        <v>0</v>
      </c>
      <c r="L697" s="10"/>
      <c r="M697" s="11"/>
      <c r="N697" s="12"/>
      <c r="O697" s="13"/>
      <c r="P697" s="14"/>
    </row>
    <row r="698" spans="1:16" x14ac:dyDescent="0.25">
      <c r="A698" s="7"/>
      <c r="B698" s="7"/>
      <c r="C698" s="8"/>
      <c r="D698" s="8"/>
      <c r="E698" s="9"/>
      <c r="F698" s="9"/>
      <c r="G698" s="17"/>
      <c r="H698" s="17"/>
      <c r="I698" s="9"/>
      <c r="J698" s="9"/>
      <c r="K698" s="10">
        <v>0</v>
      </c>
      <c r="L698" s="10"/>
      <c r="M698" s="11"/>
      <c r="N698" s="12"/>
      <c r="O698" s="13"/>
      <c r="P698" s="14"/>
    </row>
    <row r="699" spans="1:16" x14ac:dyDescent="0.25">
      <c r="A699" s="7"/>
      <c r="B699" s="7"/>
      <c r="C699" s="8"/>
      <c r="D699" s="8"/>
      <c r="E699" s="9"/>
      <c r="F699" s="9"/>
      <c r="G699" s="17"/>
      <c r="H699" s="17"/>
      <c r="I699" s="9"/>
      <c r="J699" s="9"/>
      <c r="K699" s="10">
        <v>0</v>
      </c>
      <c r="L699" s="10"/>
      <c r="M699" s="11"/>
      <c r="N699" s="12"/>
      <c r="O699" s="13"/>
      <c r="P699" s="14"/>
    </row>
    <row r="700" spans="1:16" x14ac:dyDescent="0.25">
      <c r="A700" s="7"/>
      <c r="B700" s="7"/>
      <c r="C700" s="8"/>
      <c r="D700" s="8"/>
      <c r="E700" s="9"/>
      <c r="F700" s="9"/>
      <c r="G700" s="17"/>
      <c r="H700" s="17"/>
      <c r="I700" s="9"/>
      <c r="J700" s="9"/>
      <c r="K700" s="10">
        <v>0</v>
      </c>
      <c r="L700" s="10"/>
      <c r="M700" s="11"/>
      <c r="N700" s="12"/>
      <c r="O700" s="13"/>
      <c r="P700" s="14"/>
    </row>
    <row r="701" spans="1:16" x14ac:dyDescent="0.25">
      <c r="A701" s="6"/>
      <c r="B701" s="7"/>
      <c r="C701" s="8"/>
      <c r="D701" s="8"/>
      <c r="E701" s="9"/>
      <c r="F701" s="9"/>
      <c r="G701" s="17"/>
      <c r="H701" s="17"/>
      <c r="I701" s="9"/>
      <c r="J701" s="9"/>
      <c r="K701" s="10">
        <v>0</v>
      </c>
      <c r="L701" s="10"/>
      <c r="M701" s="11"/>
      <c r="N701" s="12"/>
      <c r="O701" s="13"/>
      <c r="P701" s="14"/>
    </row>
    <row r="702" spans="1:16" x14ac:dyDescent="0.25">
      <c r="A702" s="6"/>
      <c r="B702" s="7"/>
      <c r="C702" s="8"/>
      <c r="D702" s="8"/>
      <c r="E702" s="9"/>
      <c r="F702" s="9"/>
      <c r="G702" s="17"/>
      <c r="H702" s="17"/>
      <c r="I702" s="9"/>
      <c r="J702" s="9"/>
      <c r="K702" s="10">
        <v>0</v>
      </c>
      <c r="L702" s="10"/>
      <c r="M702" s="11"/>
      <c r="N702" s="12"/>
      <c r="O702" s="13"/>
      <c r="P702" s="14"/>
    </row>
    <row r="703" spans="1:16" x14ac:dyDescent="0.25">
      <c r="A703" s="6"/>
      <c r="B703" s="7"/>
      <c r="C703" s="8"/>
      <c r="D703" s="8"/>
      <c r="E703" s="9"/>
      <c r="F703" s="9"/>
      <c r="G703" s="17"/>
      <c r="H703" s="17"/>
      <c r="I703" s="9"/>
      <c r="J703" s="9"/>
      <c r="K703" s="10">
        <v>0</v>
      </c>
      <c r="L703" s="10"/>
      <c r="M703" s="11"/>
      <c r="N703" s="12"/>
      <c r="O703" s="13"/>
      <c r="P703" s="14"/>
    </row>
    <row r="704" spans="1:16" x14ac:dyDescent="0.25">
      <c r="A704" s="6"/>
      <c r="B704" s="7"/>
      <c r="C704" s="8"/>
      <c r="D704" s="8"/>
      <c r="E704" s="9"/>
      <c r="F704" s="9"/>
      <c r="G704" s="17"/>
      <c r="H704" s="17"/>
      <c r="I704" s="9"/>
      <c r="J704" s="9"/>
      <c r="K704" s="10">
        <v>0</v>
      </c>
      <c r="L704" s="10"/>
      <c r="M704" s="11"/>
      <c r="N704" s="12"/>
      <c r="O704" s="13"/>
      <c r="P704" s="14"/>
    </row>
    <row r="705" spans="1:17" x14ac:dyDescent="0.25">
      <c r="A705" s="6"/>
      <c r="B705" s="7"/>
      <c r="C705" s="8"/>
      <c r="D705" s="8"/>
      <c r="E705" s="9"/>
      <c r="F705" s="9"/>
      <c r="G705" s="17"/>
      <c r="H705" s="17"/>
      <c r="I705" s="9"/>
      <c r="J705" s="9"/>
      <c r="K705" s="10">
        <v>0</v>
      </c>
      <c r="L705" s="10"/>
      <c r="M705" s="11"/>
      <c r="N705" s="12"/>
      <c r="O705" s="13"/>
      <c r="P705" s="14"/>
    </row>
    <row r="706" spans="1:17" x14ac:dyDescent="0.25">
      <c r="A706" s="6"/>
      <c r="B706" s="7"/>
      <c r="C706" s="8"/>
      <c r="D706" s="8"/>
      <c r="E706" s="9"/>
      <c r="F706" s="9"/>
      <c r="G706" s="17"/>
      <c r="H706" s="17"/>
      <c r="I706" s="9"/>
      <c r="J706" s="9"/>
      <c r="K706" s="10">
        <v>0</v>
      </c>
      <c r="L706" s="10"/>
      <c r="M706" s="11"/>
      <c r="N706" s="12"/>
      <c r="O706" s="13"/>
      <c r="P706" s="14"/>
    </row>
    <row r="707" spans="1:17" x14ac:dyDescent="0.25">
      <c r="A707" s="6"/>
      <c r="B707" s="7"/>
      <c r="C707" s="8"/>
      <c r="D707" s="8"/>
      <c r="E707" s="9"/>
      <c r="F707" s="9"/>
      <c r="G707" s="17"/>
      <c r="H707" s="17"/>
      <c r="I707" s="9"/>
      <c r="J707" s="9"/>
      <c r="K707" s="10">
        <v>0</v>
      </c>
      <c r="L707" s="10"/>
      <c r="M707" s="11"/>
      <c r="N707" s="12"/>
      <c r="O707" s="13"/>
      <c r="P707" s="14"/>
    </row>
    <row r="708" spans="1:17" x14ac:dyDescent="0.25">
      <c r="A708" s="6"/>
      <c r="B708" s="15"/>
      <c r="C708" s="8"/>
      <c r="D708" s="8"/>
      <c r="E708" s="9"/>
      <c r="F708" s="9"/>
      <c r="G708" s="17"/>
      <c r="H708" s="17"/>
      <c r="I708" s="9"/>
      <c r="J708" s="9"/>
      <c r="K708" s="10">
        <v>0</v>
      </c>
      <c r="L708" s="10"/>
      <c r="M708" s="11"/>
      <c r="N708" s="12"/>
      <c r="O708" s="13"/>
      <c r="P708" s="14"/>
    </row>
    <row r="709" spans="1:17" x14ac:dyDescent="0.25">
      <c r="A709" s="6"/>
      <c r="B709" s="7"/>
      <c r="C709" s="8"/>
      <c r="D709" s="8"/>
      <c r="E709" s="9"/>
      <c r="F709" s="9"/>
      <c r="G709" s="17"/>
      <c r="H709" s="17"/>
      <c r="I709" s="9"/>
      <c r="J709" s="9"/>
      <c r="K709" s="10">
        <v>0</v>
      </c>
      <c r="L709" s="10"/>
      <c r="M709" s="11"/>
      <c r="N709" s="12"/>
      <c r="O709" s="13"/>
      <c r="P709" s="14"/>
    </row>
    <row r="710" spans="1:17" x14ac:dyDescent="0.25">
      <c r="A710" s="6"/>
      <c r="B710" s="7"/>
      <c r="C710" s="8"/>
      <c r="D710" s="8"/>
      <c r="E710" s="9"/>
      <c r="F710" s="9"/>
      <c r="G710" s="17"/>
      <c r="H710" s="17"/>
      <c r="I710" s="9"/>
      <c r="J710" s="9"/>
      <c r="K710" s="10">
        <v>0</v>
      </c>
      <c r="L710" s="10"/>
      <c r="M710" s="11"/>
      <c r="N710" s="12"/>
      <c r="O710" s="13"/>
      <c r="P710" s="14"/>
    </row>
    <row r="711" spans="1:17" x14ac:dyDescent="0.25">
      <c r="A711" s="6"/>
      <c r="B711" s="7"/>
      <c r="C711" s="8"/>
      <c r="D711" s="8"/>
      <c r="E711" s="9"/>
      <c r="F711" s="9"/>
      <c r="G711" s="17"/>
      <c r="H711" s="17"/>
      <c r="I711" s="9"/>
      <c r="J711" s="9"/>
      <c r="K711" s="10">
        <v>0</v>
      </c>
      <c r="L711" s="10"/>
      <c r="M711" s="11"/>
      <c r="N711" s="12"/>
      <c r="O711" s="13"/>
      <c r="P711" s="14"/>
    </row>
    <row r="712" spans="1:17" x14ac:dyDescent="0.25">
      <c r="A712" s="6"/>
      <c r="B712" s="7"/>
      <c r="C712" s="8"/>
      <c r="D712" s="8"/>
      <c r="E712" s="9"/>
      <c r="F712" s="9"/>
      <c r="G712" s="17"/>
      <c r="H712" s="17"/>
      <c r="I712" s="9"/>
      <c r="J712" s="9"/>
      <c r="K712" s="10">
        <v>0</v>
      </c>
      <c r="L712" s="10"/>
      <c r="M712" s="11"/>
      <c r="N712" s="12"/>
      <c r="O712" s="13"/>
      <c r="P712" s="14"/>
    </row>
    <row r="713" spans="1:17" x14ac:dyDescent="0.25">
      <c r="A713" s="6"/>
      <c r="B713" s="7"/>
      <c r="C713" s="8"/>
      <c r="D713" s="8"/>
      <c r="E713" s="9"/>
      <c r="F713" s="9"/>
      <c r="G713" s="17"/>
      <c r="H713" s="17"/>
      <c r="I713" s="9"/>
      <c r="J713" s="9"/>
      <c r="K713" s="10">
        <v>0</v>
      </c>
      <c r="L713" s="10"/>
      <c r="M713" s="11"/>
      <c r="N713" s="12"/>
      <c r="O713" s="13"/>
      <c r="P713" s="14"/>
    </row>
    <row r="714" spans="1:17" x14ac:dyDescent="0.25">
      <c r="A714" s="6"/>
      <c r="B714" s="7"/>
      <c r="C714" s="16"/>
      <c r="D714" s="8"/>
      <c r="E714" s="9"/>
      <c r="F714" s="9"/>
      <c r="G714" s="17"/>
      <c r="H714" s="17"/>
      <c r="I714" s="9"/>
      <c r="J714" s="9"/>
      <c r="K714" s="10">
        <v>0</v>
      </c>
      <c r="L714" s="10"/>
      <c r="M714" s="11"/>
      <c r="N714" s="12"/>
      <c r="O714" s="13"/>
      <c r="P714" s="14"/>
    </row>
    <row r="715" spans="1:17" x14ac:dyDescent="0.25">
      <c r="A715" s="6"/>
      <c r="B715" s="15"/>
      <c r="C715" s="8"/>
      <c r="D715" s="8"/>
      <c r="E715" s="9"/>
      <c r="F715" s="9"/>
      <c r="G715" s="17"/>
      <c r="H715" s="17"/>
      <c r="I715" s="9"/>
      <c r="J715" s="9"/>
      <c r="K715" s="10">
        <v>0</v>
      </c>
      <c r="L715" s="10"/>
      <c r="M715" s="11"/>
      <c r="N715" s="12"/>
      <c r="O715" s="13"/>
      <c r="P715" s="14"/>
    </row>
    <row r="716" spans="1:17" x14ac:dyDescent="0.25">
      <c r="A716" s="6"/>
      <c r="B716" s="7"/>
      <c r="C716" s="8"/>
      <c r="D716" s="8"/>
      <c r="E716" s="9"/>
      <c r="F716" s="9"/>
      <c r="G716" s="17"/>
      <c r="H716" s="17"/>
      <c r="I716" s="9"/>
      <c r="J716" s="9"/>
      <c r="K716" s="10">
        <v>0</v>
      </c>
      <c r="L716" s="10"/>
      <c r="M716" s="11"/>
      <c r="N716" s="12"/>
      <c r="O716" s="13"/>
      <c r="P716" s="14"/>
    </row>
    <row r="717" spans="1:17" x14ac:dyDescent="0.25">
      <c r="A717" s="6"/>
      <c r="B717" s="7"/>
      <c r="C717" s="8"/>
      <c r="D717" s="8"/>
      <c r="E717" s="9"/>
      <c r="F717" s="9"/>
      <c r="G717" s="17"/>
      <c r="H717" s="17"/>
      <c r="I717" s="9"/>
      <c r="J717" s="9"/>
      <c r="K717" s="10">
        <v>0</v>
      </c>
      <c r="L717" s="10"/>
      <c r="M717" s="11"/>
      <c r="N717" s="12"/>
      <c r="O717" s="13"/>
      <c r="P717" s="14"/>
      <c r="Q717" s="2"/>
    </row>
    <row r="718" spans="1:17" x14ac:dyDescent="0.25">
      <c r="A718" s="6"/>
      <c r="B718" s="7"/>
      <c r="C718" s="8"/>
      <c r="D718" s="8"/>
      <c r="E718" s="9"/>
      <c r="F718" s="9"/>
      <c r="G718" s="17"/>
      <c r="H718" s="17"/>
      <c r="I718" s="9"/>
      <c r="J718" s="9"/>
      <c r="K718" s="10">
        <v>0</v>
      </c>
      <c r="L718" s="10"/>
      <c r="M718" s="11"/>
      <c r="N718" s="12"/>
      <c r="O718" s="13"/>
      <c r="P718" s="14"/>
    </row>
    <row r="719" spans="1:17" x14ac:dyDescent="0.25">
      <c r="A719" s="6"/>
      <c r="B719" s="7"/>
      <c r="C719" s="8"/>
      <c r="D719" s="8"/>
      <c r="E719" s="9"/>
      <c r="F719" s="9"/>
      <c r="G719" s="17"/>
      <c r="H719" s="17"/>
      <c r="I719" s="9"/>
      <c r="J719" s="9"/>
      <c r="K719" s="10">
        <v>0</v>
      </c>
      <c r="L719" s="10"/>
      <c r="M719" s="11"/>
      <c r="N719" s="12"/>
      <c r="O719" s="13"/>
      <c r="P719" s="14"/>
    </row>
    <row r="720" spans="1:17" x14ac:dyDescent="0.25">
      <c r="A720" s="6"/>
      <c r="B720" s="7"/>
      <c r="C720" s="8"/>
      <c r="D720" s="8"/>
      <c r="E720" s="9"/>
      <c r="F720" s="9"/>
      <c r="G720" s="17"/>
      <c r="H720" s="17"/>
      <c r="I720" s="9"/>
      <c r="J720" s="9"/>
      <c r="K720" s="10">
        <v>0</v>
      </c>
      <c r="L720" s="10"/>
      <c r="M720" s="11"/>
      <c r="N720" s="12"/>
      <c r="O720" s="13"/>
      <c r="P720" s="14"/>
    </row>
    <row r="721" spans="1:16" x14ac:dyDescent="0.25">
      <c r="A721" s="6"/>
      <c r="B721" s="7"/>
      <c r="C721" s="8"/>
      <c r="D721" s="8"/>
      <c r="E721" s="9"/>
      <c r="F721" s="9"/>
      <c r="G721" s="17"/>
      <c r="H721" s="17"/>
      <c r="I721" s="9"/>
      <c r="J721" s="9"/>
      <c r="K721" s="10">
        <v>0</v>
      </c>
      <c r="L721" s="10"/>
      <c r="M721" s="11"/>
      <c r="N721" s="12"/>
      <c r="O721" s="13"/>
      <c r="P721" s="14"/>
    </row>
    <row r="722" spans="1:16" x14ac:dyDescent="0.25">
      <c r="A722" s="6"/>
      <c r="B722" s="7"/>
      <c r="C722" s="8"/>
      <c r="D722" s="8"/>
      <c r="E722" s="9"/>
      <c r="F722" s="9"/>
      <c r="G722" s="17"/>
      <c r="H722" s="17"/>
      <c r="I722" s="9"/>
      <c r="J722" s="9"/>
      <c r="K722" s="10">
        <v>0</v>
      </c>
      <c r="L722" s="10"/>
      <c r="M722" s="11"/>
      <c r="N722" s="12"/>
      <c r="O722" s="13"/>
      <c r="P722" s="14"/>
    </row>
    <row r="723" spans="1:16" x14ac:dyDescent="0.25">
      <c r="A723" s="6"/>
      <c r="B723" s="7"/>
      <c r="C723" s="16"/>
      <c r="D723" s="8"/>
      <c r="E723" s="9"/>
      <c r="F723" s="9"/>
      <c r="G723" s="17"/>
      <c r="H723" s="17"/>
      <c r="I723" s="9"/>
      <c r="J723" s="9"/>
      <c r="K723" s="10">
        <v>0</v>
      </c>
      <c r="L723" s="10"/>
      <c r="M723" s="11"/>
      <c r="N723" s="12"/>
      <c r="O723" s="13"/>
      <c r="P723" s="14"/>
    </row>
    <row r="724" spans="1:16" x14ac:dyDescent="0.25">
      <c r="A724" s="6"/>
      <c r="B724" s="15"/>
      <c r="C724" s="8"/>
      <c r="D724" s="8"/>
      <c r="E724" s="9"/>
      <c r="F724" s="9"/>
      <c r="G724" s="17"/>
      <c r="H724" s="17"/>
      <c r="I724" s="9"/>
      <c r="J724" s="9"/>
      <c r="K724" s="10">
        <v>0</v>
      </c>
      <c r="L724" s="10"/>
      <c r="M724" s="11"/>
      <c r="N724" s="12"/>
      <c r="O724" s="13"/>
      <c r="P724" s="14"/>
    </row>
    <row r="725" spans="1:16" x14ac:dyDescent="0.25">
      <c r="A725" s="6"/>
      <c r="B725" s="7"/>
      <c r="C725" s="8"/>
      <c r="D725" s="8"/>
      <c r="E725" s="9"/>
      <c r="F725" s="9"/>
      <c r="G725" s="17"/>
      <c r="H725" s="17"/>
      <c r="I725" s="9"/>
      <c r="J725" s="9"/>
      <c r="K725" s="10">
        <v>0</v>
      </c>
      <c r="L725" s="10"/>
      <c r="M725" s="11"/>
      <c r="N725" s="12"/>
      <c r="O725" s="13"/>
      <c r="P725" s="14"/>
    </row>
    <row r="726" spans="1:16" x14ac:dyDescent="0.25">
      <c r="A726" s="6"/>
      <c r="B726" s="7"/>
      <c r="C726" s="8"/>
      <c r="D726" s="8"/>
      <c r="E726" s="9"/>
      <c r="F726" s="9"/>
      <c r="G726" s="17"/>
      <c r="H726" s="17"/>
      <c r="I726" s="9"/>
      <c r="J726" s="9"/>
      <c r="K726" s="10">
        <v>0</v>
      </c>
      <c r="L726" s="10"/>
      <c r="M726" s="11"/>
      <c r="N726" s="12"/>
      <c r="O726" s="13"/>
      <c r="P726" s="14"/>
    </row>
    <row r="727" spans="1:16" x14ac:dyDescent="0.25">
      <c r="A727" s="6"/>
      <c r="B727" s="7"/>
      <c r="C727" s="8"/>
      <c r="D727" s="8"/>
      <c r="E727" s="9"/>
      <c r="F727" s="9"/>
      <c r="G727" s="17"/>
      <c r="H727" s="17"/>
      <c r="I727" s="9"/>
      <c r="J727" s="9"/>
      <c r="K727" s="10">
        <v>0</v>
      </c>
      <c r="L727" s="10"/>
      <c r="M727" s="11"/>
      <c r="N727" s="12"/>
      <c r="O727" s="13"/>
      <c r="P727" s="14"/>
    </row>
    <row r="728" spans="1:16" x14ac:dyDescent="0.25">
      <c r="A728" s="6"/>
      <c r="B728" s="7"/>
      <c r="C728" s="8"/>
      <c r="D728" s="8"/>
      <c r="E728" s="9"/>
      <c r="F728" s="9"/>
      <c r="G728" s="17"/>
      <c r="H728" s="17"/>
      <c r="I728" s="9"/>
      <c r="J728" s="9"/>
      <c r="K728" s="10">
        <v>0</v>
      </c>
      <c r="L728" s="10"/>
      <c r="M728" s="11"/>
      <c r="N728" s="12"/>
      <c r="O728" s="13"/>
      <c r="P728" s="14"/>
    </row>
    <row r="729" spans="1:16" x14ac:dyDescent="0.25">
      <c r="A729" s="6"/>
      <c r="B729" s="7"/>
      <c r="C729" s="8"/>
      <c r="D729" s="8"/>
      <c r="E729" s="9"/>
      <c r="F729" s="9"/>
      <c r="G729" s="17"/>
      <c r="H729" s="17"/>
      <c r="I729" s="9"/>
      <c r="J729" s="9"/>
      <c r="K729" s="10">
        <v>0</v>
      </c>
      <c r="L729" s="10"/>
      <c r="M729" s="11"/>
      <c r="N729" s="12"/>
      <c r="O729" s="13"/>
      <c r="P729" s="14"/>
    </row>
    <row r="730" spans="1:16" x14ac:dyDescent="0.25">
      <c r="A730" s="6"/>
      <c r="B730" s="7"/>
      <c r="C730" s="8"/>
      <c r="D730" s="8"/>
      <c r="E730" s="9"/>
      <c r="F730" s="9"/>
      <c r="G730" s="17"/>
      <c r="H730" s="17"/>
      <c r="I730" s="9"/>
      <c r="J730" s="9"/>
      <c r="K730" s="10">
        <v>0</v>
      </c>
      <c r="L730" s="10"/>
      <c r="M730" s="11"/>
      <c r="N730" s="12"/>
      <c r="O730" s="13"/>
      <c r="P730" s="14"/>
    </row>
    <row r="731" spans="1:16" x14ac:dyDescent="0.25">
      <c r="A731" s="6"/>
      <c r="B731" s="7"/>
      <c r="C731" s="8"/>
      <c r="D731" s="8"/>
      <c r="E731" s="9"/>
      <c r="F731" s="9"/>
      <c r="G731" s="17"/>
      <c r="H731" s="17"/>
      <c r="I731" s="9"/>
      <c r="J731" s="9"/>
      <c r="K731" s="10">
        <v>0</v>
      </c>
      <c r="L731" s="10"/>
      <c r="M731" s="11"/>
      <c r="N731" s="12"/>
      <c r="O731" s="13"/>
      <c r="P731" s="14"/>
    </row>
    <row r="732" spans="1:16" x14ac:dyDescent="0.25">
      <c r="A732" s="6"/>
      <c r="B732" s="7"/>
      <c r="C732" s="8"/>
      <c r="D732" s="8"/>
      <c r="E732" s="9"/>
      <c r="F732" s="9"/>
      <c r="G732" s="17"/>
      <c r="H732" s="17"/>
      <c r="I732" s="9"/>
      <c r="J732" s="9"/>
      <c r="K732" s="10">
        <v>0</v>
      </c>
      <c r="L732" s="10"/>
      <c r="M732" s="11"/>
      <c r="N732" s="12"/>
      <c r="O732" s="13"/>
      <c r="P732" s="14"/>
    </row>
    <row r="733" spans="1:16" x14ac:dyDescent="0.25">
      <c r="A733" s="6"/>
      <c r="B733" s="7"/>
      <c r="C733" s="8"/>
      <c r="D733" s="8"/>
      <c r="E733" s="9"/>
      <c r="F733" s="9"/>
      <c r="G733" s="17"/>
      <c r="H733" s="17"/>
      <c r="I733" s="9"/>
      <c r="J733" s="9"/>
      <c r="K733" s="10">
        <v>0</v>
      </c>
      <c r="L733" s="10"/>
      <c r="M733" s="11"/>
      <c r="N733" s="12"/>
      <c r="O733" s="13"/>
      <c r="P733" s="14"/>
    </row>
    <row r="734" spans="1:16" x14ac:dyDescent="0.25">
      <c r="A734" s="6"/>
      <c r="B734" s="7"/>
      <c r="C734" s="8"/>
      <c r="D734" s="8"/>
      <c r="E734" s="9"/>
      <c r="F734" s="9"/>
      <c r="G734" s="17"/>
      <c r="H734" s="17"/>
      <c r="I734" s="9"/>
      <c r="J734" s="9"/>
      <c r="K734" s="10">
        <v>0</v>
      </c>
      <c r="L734" s="10"/>
      <c r="M734" s="11"/>
      <c r="N734" s="12"/>
      <c r="O734" s="13"/>
      <c r="P734" s="14"/>
    </row>
    <row r="735" spans="1:16" x14ac:dyDescent="0.25">
      <c r="A735" s="6"/>
      <c r="B735" s="7"/>
      <c r="C735" s="8"/>
      <c r="D735" s="8"/>
      <c r="E735" s="9"/>
      <c r="F735" s="9"/>
      <c r="G735" s="17"/>
      <c r="H735" s="17"/>
      <c r="I735" s="9"/>
      <c r="J735" s="9"/>
      <c r="K735" s="10">
        <v>0</v>
      </c>
      <c r="L735" s="10"/>
      <c r="M735" s="11"/>
      <c r="N735" s="12"/>
      <c r="O735" s="13"/>
      <c r="P735" s="14"/>
    </row>
    <row r="736" spans="1:16" x14ac:dyDescent="0.25">
      <c r="A736" s="6"/>
      <c r="B736" s="7"/>
      <c r="C736" s="16"/>
      <c r="D736" s="8"/>
      <c r="E736" s="9"/>
      <c r="F736" s="9"/>
      <c r="G736" s="17"/>
      <c r="H736" s="17"/>
      <c r="I736" s="9"/>
      <c r="J736" s="9"/>
      <c r="K736" s="10">
        <v>0</v>
      </c>
      <c r="L736" s="10"/>
      <c r="M736" s="11"/>
      <c r="N736" s="12"/>
      <c r="O736" s="13"/>
      <c r="P736" s="14"/>
    </row>
    <row r="737" spans="1:16" x14ac:dyDescent="0.25">
      <c r="A737" s="6"/>
      <c r="B737" s="15"/>
      <c r="C737" s="8"/>
      <c r="D737" s="8"/>
      <c r="E737" s="9"/>
      <c r="F737" s="9"/>
      <c r="G737" s="17"/>
      <c r="H737" s="17"/>
      <c r="I737" s="9"/>
      <c r="J737" s="9"/>
      <c r="K737" s="10">
        <v>0</v>
      </c>
      <c r="L737" s="10"/>
      <c r="M737" s="11"/>
      <c r="N737" s="12"/>
      <c r="O737" s="13"/>
      <c r="P737" s="14"/>
    </row>
    <row r="738" spans="1:16" x14ac:dyDescent="0.25">
      <c r="A738" s="6"/>
      <c r="B738" s="7"/>
      <c r="C738" s="8"/>
      <c r="D738" s="8"/>
      <c r="E738" s="9"/>
      <c r="F738" s="9"/>
      <c r="G738" s="17"/>
      <c r="H738" s="17"/>
      <c r="I738" s="9"/>
      <c r="J738" s="9"/>
      <c r="K738" s="10">
        <v>0</v>
      </c>
      <c r="L738" s="10"/>
      <c r="M738" s="11"/>
      <c r="N738" s="12"/>
      <c r="O738" s="13"/>
      <c r="P738" s="14"/>
    </row>
    <row r="739" spans="1:16" x14ac:dyDescent="0.25">
      <c r="A739" s="6"/>
      <c r="B739" s="7"/>
      <c r="C739" s="8"/>
      <c r="D739" s="8"/>
      <c r="E739" s="9"/>
      <c r="F739" s="9"/>
      <c r="G739" s="17"/>
      <c r="H739" s="17"/>
      <c r="I739" s="9"/>
      <c r="J739" s="9"/>
      <c r="K739" s="10">
        <v>0</v>
      </c>
      <c r="L739" s="10"/>
      <c r="M739" s="11"/>
      <c r="N739" s="12"/>
      <c r="O739" s="13"/>
      <c r="P739" s="14"/>
    </row>
    <row r="740" spans="1:16" x14ac:dyDescent="0.25">
      <c r="A740" s="6"/>
      <c r="B740" s="7"/>
      <c r="C740" s="8"/>
      <c r="D740" s="8"/>
      <c r="E740" s="9"/>
      <c r="F740" s="9"/>
      <c r="G740" s="17"/>
      <c r="H740" s="17"/>
      <c r="I740" s="9"/>
      <c r="J740" s="9"/>
      <c r="K740" s="10">
        <v>0</v>
      </c>
      <c r="L740" s="10"/>
      <c r="M740" s="11"/>
      <c r="N740" s="12"/>
      <c r="O740" s="13"/>
      <c r="P740" s="14"/>
    </row>
    <row r="741" spans="1:16" x14ac:dyDescent="0.25">
      <c r="A741" s="6"/>
      <c r="B741" s="7"/>
      <c r="C741" s="8"/>
      <c r="D741" s="8"/>
      <c r="E741" s="9"/>
      <c r="F741" s="9"/>
      <c r="G741" s="17"/>
      <c r="H741" s="17"/>
      <c r="I741" s="9"/>
      <c r="J741" s="9"/>
      <c r="K741" s="10">
        <v>0</v>
      </c>
      <c r="L741" s="10"/>
      <c r="M741" s="11"/>
      <c r="N741" s="12"/>
      <c r="O741" s="13"/>
      <c r="P741" s="14"/>
    </row>
    <row r="742" spans="1:16" x14ac:dyDescent="0.25">
      <c r="A742" s="6"/>
      <c r="B742" s="7"/>
      <c r="C742" s="8"/>
      <c r="D742" s="8"/>
      <c r="E742" s="9"/>
      <c r="F742" s="9"/>
      <c r="G742" s="17"/>
      <c r="H742" s="17"/>
      <c r="I742" s="9"/>
      <c r="J742" s="9"/>
      <c r="K742" s="10">
        <v>0</v>
      </c>
      <c r="L742" s="10"/>
      <c r="M742" s="11"/>
      <c r="N742" s="12"/>
      <c r="O742" s="13"/>
      <c r="P742" s="14"/>
    </row>
    <row r="743" spans="1:16" x14ac:dyDescent="0.25">
      <c r="A743" s="6"/>
      <c r="B743" s="7"/>
      <c r="C743" s="8"/>
      <c r="D743" s="8"/>
      <c r="E743" s="9"/>
      <c r="F743" s="9"/>
      <c r="G743" s="17"/>
      <c r="H743" s="17"/>
      <c r="I743" s="9"/>
      <c r="J743" s="9"/>
      <c r="K743" s="10">
        <v>0</v>
      </c>
      <c r="L743" s="10"/>
      <c r="M743" s="11"/>
      <c r="N743" s="12"/>
      <c r="O743" s="13"/>
      <c r="P743" s="14"/>
    </row>
    <row r="744" spans="1:16" x14ac:dyDescent="0.25">
      <c r="A744" s="6"/>
      <c r="B744" s="7"/>
      <c r="C744" s="8"/>
      <c r="D744" s="8"/>
      <c r="E744" s="9"/>
      <c r="F744" s="9"/>
      <c r="G744" s="17"/>
      <c r="H744" s="17"/>
      <c r="I744" s="9"/>
      <c r="J744" s="9"/>
      <c r="K744" s="10">
        <v>0</v>
      </c>
      <c r="L744" s="10"/>
      <c r="M744" s="11"/>
      <c r="N744" s="12"/>
      <c r="O744" s="13"/>
      <c r="P744" s="14"/>
    </row>
    <row r="745" spans="1:16" x14ac:dyDescent="0.25">
      <c r="A745" s="6"/>
      <c r="B745" s="7"/>
      <c r="C745" s="8"/>
      <c r="D745" s="8"/>
      <c r="E745" s="9"/>
      <c r="F745" s="9"/>
      <c r="G745" s="17"/>
      <c r="H745" s="17"/>
      <c r="I745" s="9"/>
      <c r="J745" s="9"/>
      <c r="K745" s="10">
        <v>0</v>
      </c>
      <c r="L745" s="10"/>
      <c r="M745" s="11"/>
      <c r="N745" s="12"/>
      <c r="O745" s="13"/>
      <c r="P745" s="14"/>
    </row>
    <row r="746" spans="1:16" x14ac:dyDescent="0.25">
      <c r="A746" s="6"/>
      <c r="B746" s="7"/>
      <c r="C746" s="8"/>
      <c r="D746" s="8"/>
      <c r="E746" s="9"/>
      <c r="F746" s="9"/>
      <c r="G746" s="17"/>
      <c r="H746" s="17"/>
      <c r="I746" s="9"/>
      <c r="J746" s="9"/>
      <c r="K746" s="10">
        <v>0</v>
      </c>
      <c r="L746" s="10"/>
      <c r="M746" s="11"/>
      <c r="N746" s="12"/>
      <c r="O746" s="13"/>
      <c r="P746" s="14"/>
    </row>
    <row r="747" spans="1:16" x14ac:dyDescent="0.25">
      <c r="A747" s="6"/>
      <c r="B747" s="7"/>
      <c r="C747" s="8"/>
      <c r="D747" s="8"/>
      <c r="E747" s="9"/>
      <c r="F747" s="9"/>
      <c r="G747" s="17"/>
      <c r="H747" s="17"/>
      <c r="I747" s="9"/>
      <c r="J747" s="9"/>
      <c r="K747" s="10">
        <v>0</v>
      </c>
      <c r="L747" s="10"/>
      <c r="M747" s="11"/>
      <c r="N747" s="12"/>
      <c r="O747" s="13"/>
      <c r="P747" s="14"/>
    </row>
    <row r="748" spans="1:16" x14ac:dyDescent="0.25">
      <c r="A748" s="6"/>
      <c r="B748" s="7"/>
      <c r="C748" s="8"/>
      <c r="D748" s="8"/>
      <c r="E748" s="9"/>
      <c r="F748" s="9"/>
      <c r="G748" s="17"/>
      <c r="H748" s="17"/>
      <c r="I748" s="9"/>
      <c r="J748" s="9"/>
      <c r="K748" s="10">
        <v>0</v>
      </c>
      <c r="L748" s="10"/>
      <c r="M748" s="11"/>
      <c r="N748" s="12"/>
      <c r="O748" s="13"/>
      <c r="P748" s="14"/>
    </row>
    <row r="749" spans="1:16" x14ac:dyDescent="0.25">
      <c r="A749" s="6"/>
      <c r="B749" s="7"/>
      <c r="C749" s="8"/>
      <c r="D749" s="8"/>
      <c r="E749" s="9"/>
      <c r="F749" s="9"/>
      <c r="G749" s="17"/>
      <c r="H749" s="17"/>
      <c r="I749" s="9"/>
      <c r="J749" s="9"/>
      <c r="K749" s="10">
        <v>0</v>
      </c>
      <c r="L749" s="10"/>
      <c r="M749" s="11"/>
      <c r="N749" s="12"/>
      <c r="O749" s="13"/>
      <c r="P749" s="14"/>
    </row>
    <row r="750" spans="1:16" x14ac:dyDescent="0.25">
      <c r="A750" s="6"/>
      <c r="B750" s="7"/>
      <c r="C750" s="8"/>
      <c r="D750" s="8"/>
      <c r="E750" s="9"/>
      <c r="F750" s="9"/>
      <c r="G750" s="17"/>
      <c r="H750" s="17"/>
      <c r="I750" s="9"/>
      <c r="J750" s="9"/>
      <c r="K750" s="10">
        <v>0</v>
      </c>
      <c r="L750" s="10"/>
      <c r="M750" s="11"/>
      <c r="N750" s="12"/>
      <c r="O750" s="13"/>
      <c r="P750" s="14"/>
    </row>
    <row r="751" spans="1:16" x14ac:dyDescent="0.25">
      <c r="A751" s="6"/>
      <c r="B751" s="7"/>
      <c r="C751" s="8"/>
      <c r="D751" s="8"/>
      <c r="E751" s="9"/>
      <c r="F751" s="9"/>
      <c r="G751" s="17"/>
      <c r="H751" s="17"/>
      <c r="I751" s="9"/>
      <c r="J751" s="9"/>
      <c r="K751" s="10">
        <v>0</v>
      </c>
      <c r="L751" s="10"/>
      <c r="M751" s="11"/>
      <c r="N751" s="12"/>
      <c r="O751" s="13"/>
      <c r="P751" s="14"/>
    </row>
    <row r="752" spans="1:16" x14ac:dyDescent="0.25">
      <c r="A752" s="6"/>
      <c r="B752" s="7"/>
      <c r="C752" s="8"/>
      <c r="D752" s="8"/>
      <c r="E752" s="9"/>
      <c r="F752" s="9"/>
      <c r="G752" s="17"/>
      <c r="H752" s="17"/>
      <c r="I752" s="9"/>
      <c r="J752" s="9"/>
      <c r="K752" s="10">
        <v>0</v>
      </c>
      <c r="L752" s="10"/>
      <c r="M752" s="11"/>
      <c r="N752" s="12"/>
      <c r="O752" s="13"/>
      <c r="P752" s="14"/>
    </row>
    <row r="753" spans="1:16" x14ac:dyDescent="0.25">
      <c r="A753" s="6"/>
      <c r="B753" s="7"/>
      <c r="C753" s="8"/>
      <c r="D753" s="8"/>
      <c r="E753" s="9"/>
      <c r="F753" s="9"/>
      <c r="G753" s="17"/>
      <c r="H753" s="17"/>
      <c r="I753" s="9"/>
      <c r="J753" s="9"/>
      <c r="K753" s="10">
        <v>0</v>
      </c>
      <c r="L753" s="10"/>
      <c r="M753" s="11"/>
      <c r="N753" s="12"/>
      <c r="O753" s="13"/>
      <c r="P753" s="14"/>
    </row>
    <row r="754" spans="1:16" x14ac:dyDescent="0.25">
      <c r="A754" s="6"/>
      <c r="B754" s="7"/>
      <c r="C754" s="8"/>
      <c r="D754" s="8"/>
      <c r="E754" s="9"/>
      <c r="F754" s="9"/>
      <c r="G754" s="17"/>
      <c r="H754" s="17"/>
      <c r="I754" s="9"/>
      <c r="J754" s="9"/>
      <c r="K754" s="10">
        <v>0</v>
      </c>
      <c r="L754" s="10"/>
      <c r="M754" s="11"/>
      <c r="N754" s="12"/>
      <c r="O754" s="13"/>
      <c r="P754" s="14"/>
    </row>
    <row r="755" spans="1:16" x14ac:dyDescent="0.25">
      <c r="A755" s="6"/>
      <c r="B755" s="7"/>
      <c r="C755" s="8"/>
      <c r="D755" s="8"/>
      <c r="E755" s="9"/>
      <c r="F755" s="9"/>
      <c r="G755" s="17"/>
      <c r="H755" s="17"/>
      <c r="I755" s="9"/>
      <c r="J755" s="9"/>
      <c r="K755" s="10">
        <v>0</v>
      </c>
      <c r="L755" s="10"/>
      <c r="M755" s="11"/>
      <c r="N755" s="12"/>
      <c r="O755" s="13"/>
      <c r="P755" s="14"/>
    </row>
    <row r="756" spans="1:16" x14ac:dyDescent="0.25">
      <c r="A756" s="6"/>
      <c r="B756" s="7"/>
      <c r="C756" s="8"/>
      <c r="D756" s="8"/>
      <c r="E756" s="9"/>
      <c r="F756" s="9"/>
      <c r="G756" s="17"/>
      <c r="H756" s="17"/>
      <c r="I756" s="9"/>
      <c r="J756" s="9"/>
      <c r="K756" s="10">
        <v>0</v>
      </c>
      <c r="L756" s="10"/>
      <c r="M756" s="11"/>
      <c r="N756" s="12"/>
      <c r="O756" s="13"/>
      <c r="P756" s="14"/>
    </row>
    <row r="757" spans="1:16" x14ac:dyDescent="0.25">
      <c r="A757" s="6"/>
      <c r="B757" s="7"/>
      <c r="C757" s="8"/>
      <c r="D757" s="8"/>
      <c r="E757" s="9"/>
      <c r="F757" s="9"/>
      <c r="G757" s="17"/>
      <c r="H757" s="17"/>
      <c r="I757" s="9"/>
      <c r="J757" s="9"/>
      <c r="K757" s="10">
        <v>0</v>
      </c>
      <c r="L757" s="10"/>
      <c r="M757" s="11"/>
      <c r="N757" s="12"/>
      <c r="O757" s="13"/>
      <c r="P757" s="14"/>
    </row>
    <row r="758" spans="1:16" x14ac:dyDescent="0.25">
      <c r="A758" s="6"/>
      <c r="B758" s="7"/>
      <c r="C758" s="16"/>
      <c r="D758" s="8"/>
      <c r="E758" s="9"/>
      <c r="F758" s="9"/>
      <c r="G758" s="17"/>
      <c r="H758" s="17"/>
      <c r="I758" s="9"/>
      <c r="J758" s="9"/>
      <c r="K758" s="10">
        <v>0</v>
      </c>
      <c r="L758" s="10"/>
      <c r="M758" s="11"/>
      <c r="N758" s="12"/>
      <c r="O758" s="13"/>
      <c r="P758" s="14"/>
    </row>
    <row r="759" spans="1:16" x14ac:dyDescent="0.25">
      <c r="A759" s="6"/>
      <c r="B759" s="15"/>
      <c r="C759" s="8"/>
      <c r="D759" s="8"/>
      <c r="E759" s="9"/>
      <c r="F759" s="9"/>
      <c r="G759" s="17"/>
      <c r="H759" s="17"/>
      <c r="I759" s="9"/>
      <c r="J759" s="9"/>
      <c r="K759" s="10">
        <v>0</v>
      </c>
      <c r="L759" s="10"/>
      <c r="M759" s="11"/>
      <c r="N759" s="12"/>
      <c r="O759" s="13"/>
      <c r="P759" s="14"/>
    </row>
    <row r="760" spans="1:16" x14ac:dyDescent="0.25">
      <c r="A760" s="6"/>
      <c r="B760" s="7"/>
      <c r="C760" s="8"/>
      <c r="D760" s="8"/>
      <c r="E760" s="9"/>
      <c r="F760" s="9"/>
      <c r="G760" s="17"/>
      <c r="H760" s="17"/>
      <c r="I760" s="9"/>
      <c r="J760" s="9"/>
      <c r="K760" s="10">
        <v>0</v>
      </c>
      <c r="L760" s="10"/>
      <c r="M760" s="11"/>
      <c r="N760" s="12"/>
      <c r="O760" s="13"/>
      <c r="P760" s="14"/>
    </row>
    <row r="761" spans="1:16" x14ac:dyDescent="0.25">
      <c r="A761" s="6"/>
      <c r="B761" s="7"/>
      <c r="C761" s="8"/>
      <c r="D761" s="8"/>
      <c r="E761" s="9"/>
      <c r="F761" s="9"/>
      <c r="G761" s="17"/>
      <c r="H761" s="17"/>
      <c r="I761" s="9"/>
      <c r="J761" s="9"/>
      <c r="K761" s="10">
        <v>0</v>
      </c>
      <c r="L761" s="10"/>
      <c r="M761" s="11"/>
      <c r="N761" s="12"/>
      <c r="O761" s="13"/>
      <c r="P761" s="14"/>
    </row>
    <row r="762" spans="1:16" x14ac:dyDescent="0.25">
      <c r="A762" s="6"/>
      <c r="B762" s="7"/>
      <c r="C762" s="8"/>
      <c r="D762" s="8"/>
      <c r="E762" s="9"/>
      <c r="F762" s="9"/>
      <c r="G762" s="17"/>
      <c r="H762" s="17"/>
      <c r="I762" s="9"/>
      <c r="J762" s="9"/>
      <c r="K762" s="10">
        <v>0</v>
      </c>
      <c r="L762" s="10"/>
      <c r="M762" s="11"/>
      <c r="N762" s="12"/>
      <c r="O762" s="13"/>
      <c r="P762" s="14"/>
    </row>
    <row r="763" spans="1:16" x14ac:dyDescent="0.25">
      <c r="A763" s="6"/>
      <c r="B763" s="7"/>
      <c r="C763" s="8"/>
      <c r="D763" s="8"/>
      <c r="E763" s="9"/>
      <c r="F763" s="9"/>
      <c r="G763" s="17"/>
      <c r="H763" s="17"/>
      <c r="I763" s="9"/>
      <c r="J763" s="9"/>
      <c r="K763" s="10">
        <v>0</v>
      </c>
      <c r="L763" s="10"/>
      <c r="M763" s="11"/>
      <c r="N763" s="12"/>
      <c r="O763" s="13"/>
      <c r="P763" s="14"/>
    </row>
    <row r="764" spans="1:16" x14ac:dyDescent="0.25">
      <c r="A764" s="6"/>
      <c r="B764" s="7"/>
      <c r="C764" s="8"/>
      <c r="D764" s="8"/>
      <c r="E764" s="9"/>
      <c r="F764" s="9"/>
      <c r="G764" s="17"/>
      <c r="H764" s="17"/>
      <c r="I764" s="9"/>
      <c r="J764" s="9"/>
      <c r="K764" s="10">
        <v>0</v>
      </c>
      <c r="L764" s="10"/>
      <c r="M764" s="11"/>
      <c r="N764" s="12"/>
      <c r="O764" s="13"/>
      <c r="P764" s="14"/>
    </row>
    <row r="765" spans="1:16" x14ac:dyDescent="0.25">
      <c r="A765" s="6"/>
      <c r="B765" s="7"/>
      <c r="C765" s="8"/>
      <c r="D765" s="8"/>
      <c r="E765" s="9"/>
      <c r="F765" s="9"/>
      <c r="G765" s="17"/>
      <c r="H765" s="17"/>
      <c r="I765" s="9"/>
      <c r="J765" s="9"/>
      <c r="K765" s="10">
        <v>0</v>
      </c>
      <c r="L765" s="10"/>
      <c r="M765" s="11"/>
      <c r="N765" s="12"/>
      <c r="O765" s="13"/>
      <c r="P765" s="14"/>
    </row>
    <row r="766" spans="1:16" x14ac:dyDescent="0.25">
      <c r="A766" s="6"/>
      <c r="B766" s="7"/>
      <c r="C766" s="8"/>
      <c r="D766" s="8"/>
      <c r="E766" s="9"/>
      <c r="F766" s="9"/>
      <c r="G766" s="17"/>
      <c r="H766" s="17"/>
      <c r="I766" s="9"/>
      <c r="J766" s="9"/>
      <c r="K766" s="10">
        <v>0</v>
      </c>
      <c r="L766" s="10"/>
      <c r="M766" s="11"/>
      <c r="N766" s="12"/>
      <c r="O766" s="13"/>
      <c r="P766" s="14"/>
    </row>
    <row r="767" spans="1:16" x14ac:dyDescent="0.25">
      <c r="A767" s="6"/>
      <c r="B767" s="7"/>
      <c r="C767" s="8"/>
      <c r="D767" s="8"/>
      <c r="E767" s="9"/>
      <c r="F767" s="9"/>
      <c r="G767" s="17"/>
      <c r="H767" s="17"/>
      <c r="I767" s="9"/>
      <c r="J767" s="9"/>
      <c r="K767" s="10">
        <v>0</v>
      </c>
      <c r="L767" s="10"/>
      <c r="M767" s="11"/>
      <c r="N767" s="12"/>
      <c r="O767" s="13"/>
      <c r="P767" s="14"/>
    </row>
    <row r="768" spans="1:16" x14ac:dyDescent="0.25">
      <c r="A768" s="6"/>
      <c r="B768" s="7"/>
      <c r="C768" s="8"/>
      <c r="D768" s="8"/>
      <c r="E768" s="9"/>
      <c r="F768" s="9"/>
      <c r="G768" s="17"/>
      <c r="H768" s="17"/>
      <c r="I768" s="9"/>
      <c r="J768" s="9"/>
      <c r="K768" s="10">
        <v>0</v>
      </c>
      <c r="L768" s="10"/>
      <c r="M768" s="11"/>
      <c r="N768" s="12"/>
      <c r="O768" s="13"/>
      <c r="P768" s="14"/>
    </row>
    <row r="769" spans="1:16" x14ac:dyDescent="0.25">
      <c r="A769" s="6"/>
      <c r="B769" s="7"/>
      <c r="C769" s="8"/>
      <c r="D769" s="8"/>
      <c r="E769" s="9"/>
      <c r="F769" s="9"/>
      <c r="G769" s="17"/>
      <c r="H769" s="17"/>
      <c r="I769" s="9"/>
      <c r="J769" s="9"/>
      <c r="K769" s="10">
        <v>0</v>
      </c>
      <c r="L769" s="10"/>
      <c r="M769" s="11"/>
      <c r="N769" s="12"/>
      <c r="O769" s="13"/>
      <c r="P769" s="14"/>
    </row>
    <row r="770" spans="1:16" x14ac:dyDescent="0.25">
      <c r="A770" s="6"/>
      <c r="B770" s="7"/>
      <c r="C770" s="8"/>
      <c r="D770" s="8"/>
      <c r="E770" s="9"/>
      <c r="F770" s="9"/>
      <c r="G770" s="17"/>
      <c r="H770" s="17"/>
      <c r="I770" s="9"/>
      <c r="J770" s="9"/>
      <c r="K770" s="10">
        <v>0</v>
      </c>
      <c r="L770" s="10"/>
      <c r="M770" s="11"/>
      <c r="N770" s="12"/>
      <c r="O770" s="13"/>
      <c r="P770" s="14"/>
    </row>
    <row r="771" spans="1:16" x14ac:dyDescent="0.25">
      <c r="A771" s="6"/>
      <c r="B771" s="7"/>
      <c r="C771" s="7"/>
      <c r="D771" s="8"/>
      <c r="E771" s="9"/>
      <c r="F771" s="9"/>
      <c r="G771" s="17"/>
      <c r="H771" s="17"/>
      <c r="I771" s="9"/>
      <c r="J771" s="9"/>
      <c r="K771" s="10">
        <v>0</v>
      </c>
      <c r="L771" s="10"/>
      <c r="M771" s="11"/>
      <c r="N771" s="12"/>
      <c r="O771" s="13"/>
      <c r="P771" s="14"/>
    </row>
    <row r="772" spans="1:16" x14ac:dyDescent="0.25">
      <c r="A772" s="6"/>
      <c r="B772" s="7"/>
      <c r="C772" s="7"/>
      <c r="D772" s="8"/>
      <c r="E772" s="9"/>
      <c r="F772" s="9"/>
      <c r="G772" s="17"/>
      <c r="H772" s="17"/>
      <c r="I772" s="9"/>
      <c r="J772" s="9"/>
      <c r="K772" s="10">
        <v>0</v>
      </c>
      <c r="L772" s="10"/>
      <c r="M772" s="11"/>
      <c r="N772" s="12"/>
      <c r="O772" s="13"/>
      <c r="P772" s="14"/>
    </row>
    <row r="773" spans="1:16" x14ac:dyDescent="0.25">
      <c r="A773" s="6"/>
      <c r="B773" s="7"/>
      <c r="C773" s="7"/>
      <c r="D773" s="8"/>
      <c r="E773" s="9"/>
      <c r="F773" s="9"/>
      <c r="G773" s="17"/>
      <c r="H773" s="17"/>
      <c r="I773" s="9"/>
      <c r="J773" s="9"/>
      <c r="K773" s="10">
        <v>0</v>
      </c>
      <c r="L773" s="10"/>
      <c r="M773" s="11"/>
      <c r="N773" s="12"/>
      <c r="O773" s="13"/>
      <c r="P773" s="14"/>
    </row>
    <row r="774" spans="1:16" x14ac:dyDescent="0.25">
      <c r="A774" s="6"/>
      <c r="B774" s="7"/>
      <c r="C774" s="7"/>
      <c r="D774" s="8"/>
      <c r="E774" s="9"/>
      <c r="F774" s="9"/>
      <c r="G774" s="17"/>
      <c r="H774" s="17"/>
      <c r="I774" s="9"/>
      <c r="J774" s="9"/>
      <c r="K774" s="10">
        <v>0</v>
      </c>
      <c r="L774" s="10"/>
      <c r="M774" s="11"/>
      <c r="N774" s="12"/>
      <c r="O774" s="13"/>
      <c r="P774" s="14"/>
    </row>
    <row r="775" spans="1:16" x14ac:dyDescent="0.25">
      <c r="A775" s="6"/>
      <c r="B775" s="7"/>
      <c r="C775" s="7"/>
      <c r="D775" s="8"/>
      <c r="E775" s="9"/>
      <c r="F775" s="9"/>
      <c r="G775" s="17"/>
      <c r="H775" s="17"/>
      <c r="I775" s="9"/>
      <c r="J775" s="9"/>
      <c r="K775" s="10">
        <v>0</v>
      </c>
      <c r="L775" s="10"/>
      <c r="M775" s="11"/>
      <c r="N775" s="12"/>
      <c r="O775" s="13"/>
      <c r="P775" s="14"/>
    </row>
    <row r="776" spans="1:16" x14ac:dyDescent="0.25">
      <c r="A776" s="6"/>
      <c r="B776" s="7"/>
      <c r="C776" s="7"/>
      <c r="D776" s="8"/>
      <c r="E776" s="9"/>
      <c r="F776" s="9"/>
      <c r="G776" s="17"/>
      <c r="H776" s="17"/>
      <c r="I776" s="9"/>
      <c r="J776" s="9"/>
      <c r="K776" s="10">
        <v>0</v>
      </c>
      <c r="L776" s="10"/>
      <c r="M776" s="11"/>
      <c r="N776" s="12"/>
      <c r="O776" s="13"/>
      <c r="P776" s="14"/>
    </row>
    <row r="777" spans="1:16" x14ac:dyDescent="0.25">
      <c r="A777" s="6"/>
      <c r="B777" s="7"/>
      <c r="C777" s="7"/>
      <c r="D777" s="8"/>
      <c r="E777" s="9"/>
      <c r="F777" s="9"/>
      <c r="G777" s="17"/>
      <c r="H777" s="17"/>
      <c r="I777" s="9"/>
      <c r="J777" s="9"/>
      <c r="K777" s="10">
        <v>0</v>
      </c>
      <c r="L777" s="10"/>
      <c r="M777" s="11"/>
      <c r="N777" s="12"/>
      <c r="O777" s="13"/>
      <c r="P777" s="14"/>
    </row>
    <row r="778" spans="1:16" x14ac:dyDescent="0.25">
      <c r="A778" s="6"/>
      <c r="B778" s="7"/>
      <c r="C778" s="7"/>
      <c r="D778" s="8"/>
      <c r="E778" s="9"/>
      <c r="F778" s="9"/>
      <c r="G778" s="17"/>
      <c r="H778" s="17"/>
      <c r="I778" s="9"/>
      <c r="J778" s="9"/>
      <c r="K778" s="10">
        <v>0</v>
      </c>
      <c r="L778" s="10"/>
      <c r="M778" s="11"/>
      <c r="N778" s="12"/>
      <c r="O778" s="13"/>
      <c r="P778" s="14"/>
    </row>
    <row r="779" spans="1:16" x14ac:dyDescent="0.25">
      <c r="A779" s="6"/>
      <c r="B779" s="7"/>
      <c r="C779" s="7"/>
      <c r="D779" s="8"/>
      <c r="E779" s="9"/>
      <c r="F779" s="9"/>
      <c r="G779" s="17"/>
      <c r="H779" s="17"/>
      <c r="I779" s="9"/>
      <c r="J779" s="9"/>
      <c r="K779" s="10">
        <v>0</v>
      </c>
      <c r="L779" s="10"/>
      <c r="M779" s="11"/>
      <c r="N779" s="12"/>
      <c r="O779" s="13"/>
      <c r="P779" s="14"/>
    </row>
    <row r="780" spans="1:16" x14ac:dyDescent="0.25">
      <c r="A780" s="6"/>
      <c r="B780" s="7"/>
      <c r="C780" s="8"/>
      <c r="D780" s="8"/>
      <c r="E780" s="9"/>
      <c r="F780" s="9"/>
      <c r="G780" s="17"/>
      <c r="H780" s="17"/>
      <c r="I780" s="9"/>
      <c r="J780" s="9"/>
      <c r="K780" s="10">
        <v>0</v>
      </c>
      <c r="L780" s="10"/>
      <c r="M780" s="11"/>
      <c r="N780" s="12"/>
      <c r="O780" s="13"/>
      <c r="P780" s="14"/>
    </row>
    <row r="781" spans="1:16" x14ac:dyDescent="0.25">
      <c r="A781" s="6"/>
      <c r="B781" s="7"/>
      <c r="C781" s="8"/>
      <c r="D781" s="8"/>
      <c r="E781" s="9"/>
      <c r="F781" s="9"/>
      <c r="G781" s="17"/>
      <c r="H781" s="17"/>
      <c r="I781" s="9"/>
      <c r="J781" s="9"/>
      <c r="K781" s="10">
        <v>0</v>
      </c>
      <c r="L781" s="10"/>
      <c r="M781" s="11"/>
      <c r="N781" s="12"/>
      <c r="O781" s="13"/>
      <c r="P781" s="14"/>
    </row>
    <row r="782" spans="1:16" x14ac:dyDescent="0.25">
      <c r="A782" s="6"/>
      <c r="B782" s="7"/>
      <c r="C782" s="8"/>
      <c r="D782" s="8"/>
      <c r="E782" s="9"/>
      <c r="F782" s="9"/>
      <c r="G782" s="17"/>
      <c r="H782" s="17"/>
      <c r="I782" s="9"/>
      <c r="J782" s="9"/>
      <c r="K782" s="10">
        <v>0</v>
      </c>
      <c r="L782" s="10"/>
      <c r="M782" s="11"/>
      <c r="N782" s="12"/>
      <c r="O782" s="13"/>
      <c r="P782" s="14"/>
    </row>
    <row r="783" spans="1:16" x14ac:dyDescent="0.25">
      <c r="A783" s="6"/>
      <c r="B783" s="7"/>
      <c r="C783" s="8"/>
      <c r="D783" s="8"/>
      <c r="E783" s="9"/>
      <c r="F783" s="9"/>
      <c r="G783" s="17"/>
      <c r="H783" s="17"/>
      <c r="I783" s="9"/>
      <c r="J783" s="9"/>
      <c r="K783" s="10">
        <v>0</v>
      </c>
      <c r="L783" s="10"/>
      <c r="M783" s="11"/>
      <c r="N783" s="12"/>
      <c r="O783" s="13"/>
      <c r="P783" s="14"/>
    </row>
    <row r="784" spans="1:16" x14ac:dyDescent="0.25">
      <c r="A784" s="6"/>
      <c r="B784" s="7"/>
      <c r="C784" s="8"/>
      <c r="D784" s="8"/>
      <c r="E784" s="9"/>
      <c r="F784" s="9"/>
      <c r="G784" s="17"/>
      <c r="H784" s="17"/>
      <c r="I784" s="9"/>
      <c r="J784" s="9"/>
      <c r="K784" s="10">
        <v>0</v>
      </c>
      <c r="L784" s="10"/>
      <c r="M784" s="11"/>
      <c r="N784" s="12"/>
      <c r="O784" s="13"/>
      <c r="P784" s="14"/>
    </row>
    <row r="785" spans="1:20" x14ac:dyDescent="0.25">
      <c r="A785" s="6"/>
      <c r="B785" s="7"/>
      <c r="C785" s="8"/>
      <c r="D785" s="8"/>
      <c r="E785" s="9"/>
      <c r="F785" s="9"/>
      <c r="G785" s="17"/>
      <c r="H785" s="17"/>
      <c r="I785" s="9"/>
      <c r="J785" s="9"/>
      <c r="K785" s="10">
        <v>0</v>
      </c>
      <c r="L785" s="10"/>
      <c r="M785" s="11"/>
      <c r="N785" s="12"/>
      <c r="O785" s="13"/>
      <c r="P785" s="14"/>
    </row>
    <row r="786" spans="1:20" x14ac:dyDescent="0.25">
      <c r="A786" s="6"/>
      <c r="B786" s="7"/>
      <c r="C786" s="8"/>
      <c r="D786" s="8"/>
      <c r="E786" s="9"/>
      <c r="F786" s="9"/>
      <c r="G786" s="17"/>
      <c r="H786" s="17"/>
      <c r="I786" s="9"/>
      <c r="J786" s="9"/>
      <c r="K786" s="10">
        <v>0</v>
      </c>
      <c r="L786" s="10"/>
      <c r="M786" s="11"/>
      <c r="N786" s="12"/>
      <c r="O786" s="13"/>
      <c r="P786" s="14"/>
    </row>
    <row r="787" spans="1:20" x14ac:dyDescent="0.25">
      <c r="A787" s="6"/>
      <c r="B787" s="7"/>
      <c r="C787" s="8"/>
      <c r="D787" s="8"/>
      <c r="E787" s="9"/>
      <c r="F787" s="9"/>
      <c r="G787" s="17"/>
      <c r="H787" s="17"/>
      <c r="I787" s="9"/>
      <c r="J787" s="9"/>
      <c r="K787" s="10">
        <v>0</v>
      </c>
      <c r="L787" s="10"/>
      <c r="M787" s="11"/>
      <c r="N787" s="12"/>
      <c r="O787" s="13"/>
      <c r="P787" s="14"/>
    </row>
    <row r="788" spans="1:20" x14ac:dyDescent="0.25">
      <c r="A788" s="6"/>
      <c r="B788" s="7"/>
      <c r="C788" s="8"/>
      <c r="D788" s="8"/>
      <c r="E788" s="9"/>
      <c r="F788" s="9"/>
      <c r="G788" s="17"/>
      <c r="H788" s="17"/>
      <c r="I788" s="9"/>
      <c r="J788" s="9"/>
      <c r="K788" s="10">
        <v>0</v>
      </c>
      <c r="L788" s="10"/>
      <c r="M788" s="11"/>
      <c r="N788" s="12"/>
      <c r="O788" s="13"/>
      <c r="P788" s="14"/>
    </row>
    <row r="789" spans="1:20" x14ac:dyDescent="0.25">
      <c r="A789" s="6"/>
      <c r="B789" s="7"/>
      <c r="C789" s="8"/>
      <c r="D789" s="8"/>
      <c r="E789" s="9"/>
      <c r="F789" s="9"/>
      <c r="G789" s="17"/>
      <c r="H789" s="17"/>
      <c r="I789" s="9"/>
      <c r="J789" s="9"/>
      <c r="K789" s="10">
        <v>0</v>
      </c>
      <c r="L789" s="10"/>
      <c r="M789" s="11"/>
      <c r="N789" s="12"/>
      <c r="O789" s="13"/>
      <c r="P789" s="14"/>
    </row>
    <row r="790" spans="1:20" x14ac:dyDescent="0.25">
      <c r="A790" s="6"/>
      <c r="B790" s="7"/>
      <c r="C790" s="8"/>
      <c r="D790" s="8"/>
      <c r="E790" s="9"/>
      <c r="F790" s="9"/>
      <c r="G790" s="17"/>
      <c r="H790" s="17"/>
      <c r="I790" s="9"/>
      <c r="J790" s="9"/>
      <c r="K790" s="10">
        <v>0</v>
      </c>
      <c r="L790" s="10"/>
      <c r="M790" s="11"/>
      <c r="N790" s="12"/>
      <c r="O790" s="13"/>
      <c r="P790" s="14"/>
    </row>
    <row r="791" spans="1:20" x14ac:dyDescent="0.25">
      <c r="A791" s="6"/>
      <c r="B791" s="7"/>
      <c r="C791" s="8"/>
      <c r="D791" s="8"/>
      <c r="E791" s="9"/>
      <c r="F791" s="9"/>
      <c r="G791" s="17"/>
      <c r="H791" s="17"/>
      <c r="I791" s="9"/>
      <c r="J791" s="9"/>
      <c r="K791" s="10">
        <v>0</v>
      </c>
      <c r="L791" s="10"/>
      <c r="M791" s="11"/>
      <c r="N791" s="12"/>
      <c r="O791" s="13"/>
      <c r="P791" s="14"/>
      <c r="T791" s="1">
        <v>-20359</v>
      </c>
    </row>
    <row r="792" spans="1:20" x14ac:dyDescent="0.25">
      <c r="A792" s="6"/>
      <c r="B792" s="7"/>
      <c r="C792" s="8"/>
      <c r="D792" s="8"/>
      <c r="E792" s="9"/>
      <c r="F792" s="9"/>
      <c r="G792" s="17"/>
      <c r="H792" s="17"/>
      <c r="I792" s="9"/>
      <c r="J792" s="9"/>
      <c r="K792" s="10">
        <v>0</v>
      </c>
      <c r="L792" s="10"/>
      <c r="M792" s="11"/>
      <c r="N792" s="12"/>
      <c r="O792" s="13"/>
      <c r="P792" s="14"/>
    </row>
    <row r="793" spans="1:20" x14ac:dyDescent="0.25">
      <c r="A793" s="6"/>
      <c r="B793" s="7"/>
      <c r="C793" s="8"/>
      <c r="D793" s="8"/>
      <c r="E793" s="9"/>
      <c r="F793" s="9"/>
      <c r="G793" s="17"/>
      <c r="H793" s="17"/>
      <c r="I793" s="9"/>
      <c r="J793" s="9"/>
      <c r="K793" s="10">
        <v>0</v>
      </c>
      <c r="L793" s="10"/>
      <c r="M793" s="11"/>
      <c r="N793" s="12"/>
      <c r="O793" s="13"/>
      <c r="P793" s="14"/>
    </row>
    <row r="794" spans="1:20" x14ac:dyDescent="0.25">
      <c r="A794" s="6"/>
      <c r="B794" s="7"/>
      <c r="C794" s="8"/>
      <c r="D794" s="8"/>
      <c r="E794" s="9"/>
      <c r="F794" s="9"/>
      <c r="G794" s="17"/>
      <c r="H794" s="17"/>
      <c r="I794" s="9"/>
      <c r="J794" s="9"/>
      <c r="K794" s="10">
        <v>0</v>
      </c>
      <c r="L794" s="10"/>
      <c r="M794" s="11"/>
      <c r="N794" s="12"/>
      <c r="O794" s="13"/>
      <c r="P794" s="14"/>
    </row>
    <row r="795" spans="1:20" x14ac:dyDescent="0.25">
      <c r="A795" s="6"/>
      <c r="B795" s="7"/>
      <c r="C795" s="8"/>
      <c r="D795" s="8"/>
      <c r="E795" s="9"/>
      <c r="F795" s="9"/>
      <c r="G795" s="17"/>
      <c r="H795" s="17"/>
      <c r="I795" s="9"/>
      <c r="J795" s="9"/>
      <c r="K795" s="10">
        <v>0</v>
      </c>
      <c r="L795" s="10"/>
      <c r="M795" s="11"/>
      <c r="N795" s="12"/>
      <c r="O795" s="13"/>
      <c r="P795" s="14"/>
    </row>
    <row r="796" spans="1:20" x14ac:dyDescent="0.25">
      <c r="A796" s="6"/>
      <c r="B796" s="7"/>
      <c r="C796" s="8"/>
      <c r="D796" s="8"/>
      <c r="E796" s="9"/>
      <c r="F796" s="9"/>
      <c r="G796" s="17"/>
      <c r="H796" s="17"/>
      <c r="I796" s="9"/>
      <c r="J796" s="9"/>
      <c r="K796" s="10">
        <v>0</v>
      </c>
      <c r="L796" s="10"/>
      <c r="M796" s="11"/>
      <c r="N796" s="12"/>
      <c r="O796" s="13"/>
      <c r="P796" s="14"/>
    </row>
    <row r="797" spans="1:20" x14ac:dyDescent="0.25">
      <c r="A797" s="6"/>
      <c r="B797" s="7"/>
      <c r="C797" s="8"/>
      <c r="D797" s="8"/>
      <c r="E797" s="9"/>
      <c r="F797" s="9"/>
      <c r="G797" s="17"/>
      <c r="H797" s="17"/>
      <c r="I797" s="9"/>
      <c r="J797" s="9"/>
      <c r="K797" s="10">
        <v>0</v>
      </c>
      <c r="L797" s="10"/>
      <c r="M797" s="11"/>
      <c r="N797" s="12"/>
      <c r="O797" s="13"/>
      <c r="P797" s="14"/>
    </row>
    <row r="798" spans="1:20" x14ac:dyDescent="0.25">
      <c r="A798" s="6"/>
      <c r="B798" s="7"/>
      <c r="C798" s="8"/>
      <c r="D798" s="8"/>
      <c r="E798" s="9"/>
      <c r="F798" s="9"/>
      <c r="G798" s="17"/>
      <c r="H798" s="17"/>
      <c r="I798" s="9"/>
      <c r="J798" s="9"/>
      <c r="K798" s="10">
        <v>0</v>
      </c>
      <c r="L798" s="10"/>
      <c r="M798" s="11"/>
      <c r="N798" s="12"/>
      <c r="O798" s="13"/>
      <c r="P798" s="14"/>
    </row>
    <row r="799" spans="1:20" x14ac:dyDescent="0.25">
      <c r="A799" s="6"/>
      <c r="B799" s="7"/>
      <c r="C799" s="8"/>
      <c r="D799" s="8"/>
      <c r="E799" s="9"/>
      <c r="F799" s="9"/>
      <c r="G799" s="17"/>
      <c r="H799" s="17"/>
      <c r="I799" s="9"/>
      <c r="J799" s="9"/>
      <c r="K799" s="10">
        <v>0</v>
      </c>
      <c r="L799" s="10"/>
      <c r="M799" s="11"/>
      <c r="N799" s="12"/>
      <c r="O799" s="13"/>
      <c r="P799" s="14"/>
    </row>
    <row r="800" spans="1:20" x14ac:dyDescent="0.25">
      <c r="A800" s="6"/>
      <c r="B800" s="7"/>
      <c r="C800" s="8"/>
      <c r="D800" s="8"/>
      <c r="E800" s="9"/>
      <c r="F800" s="9"/>
      <c r="G800" s="17"/>
      <c r="H800" s="17"/>
      <c r="I800" s="9"/>
      <c r="J800" s="9"/>
      <c r="K800" s="10">
        <v>0</v>
      </c>
      <c r="L800" s="10"/>
      <c r="M800" s="11"/>
      <c r="N800" s="12"/>
      <c r="O800" s="13"/>
      <c r="P800" s="14"/>
    </row>
    <row r="801" spans="1:16" x14ac:dyDescent="0.25">
      <c r="A801" s="6"/>
      <c r="B801" s="7"/>
      <c r="C801" s="8"/>
      <c r="D801" s="8"/>
      <c r="E801" s="9"/>
      <c r="F801" s="9"/>
      <c r="G801" s="17"/>
      <c r="H801" s="17"/>
      <c r="I801" s="9"/>
      <c r="J801" s="9"/>
      <c r="K801" s="10">
        <v>0</v>
      </c>
      <c r="L801" s="10"/>
      <c r="M801" s="11"/>
      <c r="N801" s="12"/>
      <c r="O801" s="13"/>
      <c r="P801" s="14"/>
    </row>
    <row r="802" spans="1:16" x14ac:dyDescent="0.25">
      <c r="A802" s="6"/>
      <c r="B802" s="7"/>
      <c r="C802" s="8"/>
      <c r="D802" s="8"/>
      <c r="E802" s="9"/>
      <c r="F802" s="9"/>
      <c r="G802" s="17"/>
      <c r="H802" s="17"/>
      <c r="I802" s="9"/>
      <c r="J802" s="9"/>
      <c r="K802" s="10">
        <v>0</v>
      </c>
      <c r="L802" s="10"/>
      <c r="M802" s="11"/>
      <c r="N802" s="12"/>
      <c r="O802" s="13"/>
      <c r="P802" s="14"/>
    </row>
    <row r="803" spans="1:16" x14ac:dyDescent="0.25">
      <c r="A803" s="6"/>
      <c r="B803" s="7"/>
      <c r="C803" s="8"/>
      <c r="D803" s="8"/>
      <c r="E803" s="9"/>
      <c r="F803" s="9"/>
      <c r="G803" s="17"/>
      <c r="H803" s="17"/>
      <c r="I803" s="9"/>
      <c r="J803" s="9"/>
      <c r="K803" s="10">
        <v>0</v>
      </c>
      <c r="L803" s="10"/>
      <c r="M803" s="11"/>
      <c r="N803" s="12"/>
      <c r="O803" s="13"/>
      <c r="P803" s="14"/>
    </row>
    <row r="804" spans="1:16" x14ac:dyDescent="0.25">
      <c r="A804" s="6"/>
      <c r="B804" s="7"/>
      <c r="C804" s="8"/>
      <c r="D804" s="8"/>
      <c r="E804" s="9"/>
      <c r="F804" s="9"/>
      <c r="G804" s="17"/>
      <c r="H804" s="17"/>
      <c r="I804" s="9"/>
      <c r="J804" s="9"/>
      <c r="K804" s="10">
        <v>0</v>
      </c>
      <c r="L804" s="10"/>
      <c r="M804" s="11"/>
      <c r="N804" s="12"/>
      <c r="O804" s="13"/>
      <c r="P804" s="14"/>
    </row>
    <row r="805" spans="1:16" x14ac:dyDescent="0.25">
      <c r="A805" s="6"/>
      <c r="B805" s="7"/>
      <c r="C805" s="8"/>
      <c r="D805" s="8"/>
      <c r="E805" s="9"/>
      <c r="F805" s="9"/>
      <c r="G805" s="17"/>
      <c r="H805" s="17"/>
      <c r="I805" s="9"/>
      <c r="J805" s="9"/>
      <c r="K805" s="10">
        <v>0</v>
      </c>
      <c r="L805" s="10"/>
      <c r="M805" s="11"/>
      <c r="N805" s="12"/>
      <c r="O805" s="13"/>
      <c r="P805" s="14"/>
    </row>
    <row r="806" spans="1:16" x14ac:dyDescent="0.25">
      <c r="A806" s="6"/>
      <c r="B806" s="7"/>
      <c r="C806" s="8"/>
      <c r="D806" s="8"/>
      <c r="E806" s="9"/>
      <c r="F806" s="9"/>
      <c r="G806" s="17"/>
      <c r="H806" s="17"/>
      <c r="I806" s="9"/>
      <c r="J806" s="9"/>
      <c r="K806" s="10">
        <v>0</v>
      </c>
      <c r="L806" s="10"/>
      <c r="M806" s="11"/>
      <c r="N806" s="12"/>
      <c r="O806" s="13"/>
      <c r="P806" s="14"/>
    </row>
    <row r="807" spans="1:16" x14ac:dyDescent="0.25">
      <c r="A807" s="6"/>
      <c r="B807" s="7"/>
      <c r="C807" s="8"/>
      <c r="D807" s="8"/>
      <c r="E807" s="9"/>
      <c r="F807" s="9"/>
      <c r="G807" s="17"/>
      <c r="H807" s="17"/>
      <c r="I807" s="9"/>
      <c r="J807" s="9"/>
      <c r="K807" s="10">
        <v>0</v>
      </c>
      <c r="L807" s="10"/>
      <c r="M807" s="11"/>
      <c r="N807" s="12"/>
      <c r="O807" s="13"/>
      <c r="P807" s="14"/>
    </row>
    <row r="808" spans="1:16" x14ac:dyDescent="0.25">
      <c r="A808" s="6"/>
      <c r="B808" s="7"/>
      <c r="C808" s="8"/>
      <c r="D808" s="8"/>
      <c r="E808" s="9"/>
      <c r="F808" s="9"/>
      <c r="G808" s="17"/>
      <c r="H808" s="17"/>
      <c r="I808" s="9"/>
      <c r="J808" s="9"/>
      <c r="K808" s="10">
        <v>0</v>
      </c>
      <c r="L808" s="10"/>
      <c r="M808" s="11"/>
      <c r="N808" s="12"/>
      <c r="O808" s="13"/>
      <c r="P808" s="14"/>
    </row>
    <row r="809" spans="1:16" x14ac:dyDescent="0.25">
      <c r="A809" s="6"/>
      <c r="B809" s="7"/>
      <c r="C809" s="8"/>
      <c r="D809" s="8"/>
      <c r="E809" s="9"/>
      <c r="F809" s="9"/>
      <c r="G809" s="17"/>
      <c r="H809" s="17"/>
      <c r="I809" s="9"/>
      <c r="J809" s="9"/>
      <c r="K809" s="10">
        <v>0</v>
      </c>
      <c r="L809" s="10"/>
      <c r="M809" s="11"/>
      <c r="N809" s="12"/>
      <c r="O809" s="13"/>
      <c r="P809" s="14"/>
    </row>
    <row r="810" spans="1:16" x14ac:dyDescent="0.25">
      <c r="A810" s="6"/>
      <c r="B810" s="7"/>
      <c r="C810" s="8"/>
      <c r="D810" s="8"/>
      <c r="E810" s="9"/>
      <c r="F810" s="9"/>
      <c r="G810" s="17"/>
      <c r="H810" s="17"/>
      <c r="I810" s="9"/>
      <c r="J810" s="9"/>
      <c r="K810" s="10">
        <v>0</v>
      </c>
      <c r="L810" s="10"/>
      <c r="M810" s="11"/>
      <c r="N810" s="12"/>
      <c r="O810" s="13"/>
      <c r="P810" s="14"/>
    </row>
    <row r="811" spans="1:16" x14ac:dyDescent="0.25">
      <c r="A811" s="6"/>
      <c r="B811" s="7"/>
      <c r="C811" s="8"/>
      <c r="D811" s="8"/>
      <c r="E811" s="9"/>
      <c r="F811" s="9"/>
      <c r="G811" s="17"/>
      <c r="H811" s="17"/>
      <c r="I811" s="9"/>
      <c r="J811" s="9"/>
      <c r="K811" s="10">
        <v>0</v>
      </c>
      <c r="L811" s="10"/>
      <c r="M811" s="11"/>
      <c r="N811" s="12"/>
      <c r="O811" s="13"/>
      <c r="P811" s="14"/>
    </row>
    <row r="812" spans="1:16" x14ac:dyDescent="0.25">
      <c r="A812" s="6"/>
      <c r="B812" s="7"/>
      <c r="C812" s="8"/>
      <c r="D812" s="8"/>
      <c r="E812" s="9"/>
      <c r="F812" s="9"/>
      <c r="G812" s="17"/>
      <c r="H812" s="17"/>
      <c r="I812" s="9"/>
      <c r="J812" s="9"/>
      <c r="K812" s="10">
        <v>0</v>
      </c>
      <c r="L812" s="10"/>
      <c r="M812" s="11"/>
      <c r="N812" s="12"/>
      <c r="O812" s="13"/>
      <c r="P812" s="14"/>
    </row>
    <row r="813" spans="1:16" x14ac:dyDescent="0.25">
      <c r="A813" s="6"/>
      <c r="B813" s="7"/>
      <c r="C813" s="8"/>
      <c r="D813" s="8"/>
      <c r="E813" s="9"/>
      <c r="F813" s="9"/>
      <c r="G813" s="17"/>
      <c r="H813" s="17"/>
      <c r="I813" s="9"/>
      <c r="J813" s="9"/>
      <c r="K813" s="10">
        <v>0</v>
      </c>
      <c r="L813" s="10"/>
      <c r="M813" s="11"/>
      <c r="N813" s="12"/>
      <c r="O813" s="13"/>
      <c r="P813" s="14"/>
    </row>
    <row r="814" spans="1:16" x14ac:dyDescent="0.25">
      <c r="B814" s="7"/>
      <c r="C814" s="8"/>
      <c r="D814" s="8"/>
      <c r="E814" s="9"/>
      <c r="F814" s="9"/>
      <c r="G814" s="17"/>
      <c r="H814" s="17"/>
      <c r="I814" s="9"/>
      <c r="J814" s="9"/>
      <c r="K814" s="10">
        <v>0</v>
      </c>
      <c r="L814" s="10"/>
      <c r="M814" s="11"/>
      <c r="N814" s="12"/>
      <c r="O814" s="13"/>
      <c r="P814" s="14"/>
    </row>
    <row r="815" spans="1:16" x14ac:dyDescent="0.25">
      <c r="B815" s="7"/>
      <c r="C815" s="8"/>
      <c r="D815" s="8"/>
      <c r="E815" s="9"/>
      <c r="F815" s="9"/>
      <c r="G815" s="17"/>
      <c r="H815" s="17"/>
      <c r="I815" s="9"/>
      <c r="J815" s="9"/>
      <c r="K815" s="10">
        <v>0</v>
      </c>
      <c r="L815" s="10"/>
      <c r="M815" s="11"/>
      <c r="N815" s="12"/>
      <c r="O815" s="13"/>
      <c r="P815" s="14"/>
    </row>
    <row r="816" spans="1:16" x14ac:dyDescent="0.25">
      <c r="B816" s="7"/>
      <c r="C816" s="8"/>
      <c r="D816" s="8"/>
      <c r="E816" s="9"/>
      <c r="F816" s="9"/>
      <c r="G816" s="17"/>
      <c r="H816" s="17"/>
      <c r="I816" s="9"/>
      <c r="J816" s="9"/>
      <c r="K816" s="10">
        <v>0</v>
      </c>
      <c r="L816" s="10"/>
      <c r="M816" s="11"/>
      <c r="N816" s="12"/>
      <c r="O816" s="13"/>
      <c r="P816" s="14"/>
    </row>
    <row r="817" spans="1:16" x14ac:dyDescent="0.25">
      <c r="B817" s="7"/>
      <c r="C817" s="8"/>
      <c r="D817" s="8"/>
      <c r="E817" s="9"/>
      <c r="F817" s="9"/>
      <c r="G817" s="17"/>
      <c r="H817" s="17"/>
      <c r="I817" s="9"/>
      <c r="J817" s="9"/>
      <c r="K817" s="10">
        <v>0</v>
      </c>
      <c r="L817" s="10"/>
      <c r="M817" s="11"/>
      <c r="N817" s="12"/>
      <c r="O817" s="13"/>
      <c r="P817" s="14"/>
    </row>
    <row r="818" spans="1:16" x14ac:dyDescent="0.25">
      <c r="B818" s="7"/>
      <c r="C818" s="8"/>
      <c r="D818" s="8"/>
      <c r="E818" s="9"/>
      <c r="F818" s="9"/>
      <c r="G818" s="17"/>
      <c r="H818" s="17"/>
      <c r="I818" s="9"/>
      <c r="J818" s="9"/>
      <c r="K818" s="10">
        <v>0</v>
      </c>
      <c r="L818" s="10"/>
      <c r="M818" s="11"/>
      <c r="N818" s="12"/>
      <c r="O818" s="13"/>
      <c r="P818" s="14"/>
    </row>
    <row r="819" spans="1:16" x14ac:dyDescent="0.25">
      <c r="B819" s="7"/>
      <c r="C819" s="8"/>
      <c r="D819" s="8"/>
      <c r="E819" s="9"/>
      <c r="F819" s="9"/>
      <c r="G819" s="17"/>
      <c r="H819" s="17"/>
      <c r="I819" s="9"/>
      <c r="J819" s="9"/>
      <c r="K819" s="10">
        <v>0</v>
      </c>
      <c r="L819" s="10"/>
      <c r="M819" s="11"/>
      <c r="N819" s="12"/>
      <c r="O819" s="13"/>
      <c r="P819" s="14"/>
    </row>
    <row r="820" spans="1:16" x14ac:dyDescent="0.25">
      <c r="B820" s="7"/>
      <c r="C820" s="8"/>
      <c r="D820" s="8"/>
      <c r="E820" s="9"/>
      <c r="F820" s="9"/>
      <c r="G820" s="17"/>
      <c r="H820" s="17"/>
      <c r="I820" s="9"/>
      <c r="J820" s="9"/>
      <c r="K820" s="10">
        <v>0</v>
      </c>
      <c r="L820" s="10"/>
      <c r="M820" s="11"/>
      <c r="N820" s="12"/>
      <c r="O820" s="13"/>
      <c r="P820" s="14"/>
    </row>
    <row r="821" spans="1:16" x14ac:dyDescent="0.25">
      <c r="B821" s="7"/>
      <c r="C821" s="8"/>
      <c r="D821" s="8"/>
      <c r="E821" s="9"/>
      <c r="F821" s="9"/>
      <c r="G821" s="17"/>
      <c r="H821" s="17"/>
      <c r="I821" s="9"/>
      <c r="J821" s="9"/>
      <c r="K821" s="10">
        <v>0</v>
      </c>
      <c r="L821" s="10"/>
      <c r="M821" s="11"/>
      <c r="N821" s="12"/>
      <c r="O821" s="13"/>
      <c r="P821" s="14"/>
    </row>
    <row r="822" spans="1:16" x14ac:dyDescent="0.25">
      <c r="B822" s="7"/>
      <c r="C822" s="8"/>
      <c r="D822" s="8"/>
      <c r="E822" s="9"/>
      <c r="F822" s="9"/>
      <c r="G822" s="17"/>
      <c r="H822" s="17"/>
      <c r="I822" s="9"/>
      <c r="J822" s="9"/>
      <c r="K822" s="10">
        <v>0</v>
      </c>
      <c r="L822" s="10"/>
      <c r="M822" s="11"/>
      <c r="N822" s="12"/>
      <c r="O822" s="13"/>
      <c r="P822" s="14"/>
    </row>
    <row r="823" spans="1:16" x14ac:dyDescent="0.25">
      <c r="B823" s="7"/>
      <c r="C823" s="8"/>
      <c r="D823" s="8"/>
      <c r="E823" s="9"/>
      <c r="F823" s="9"/>
      <c r="G823" s="17"/>
      <c r="H823" s="17"/>
      <c r="I823" s="9"/>
      <c r="J823" s="9"/>
      <c r="K823" s="10">
        <v>0</v>
      </c>
      <c r="L823" s="10"/>
      <c r="M823" s="11"/>
      <c r="N823" s="12"/>
      <c r="O823" s="13"/>
      <c r="P823" s="14"/>
    </row>
    <row r="824" spans="1:16" x14ac:dyDescent="0.25">
      <c r="B824" s="7"/>
      <c r="C824" s="8"/>
      <c r="D824" s="8"/>
      <c r="E824" s="9"/>
      <c r="F824" s="9"/>
      <c r="G824" s="17"/>
      <c r="H824" s="17"/>
      <c r="I824" s="9"/>
      <c r="J824" s="9"/>
      <c r="K824" s="10">
        <v>0</v>
      </c>
      <c r="L824" s="10"/>
      <c r="M824" s="11"/>
      <c r="N824" s="12"/>
      <c r="O824" s="13"/>
      <c r="P824" s="14"/>
    </row>
    <row r="825" spans="1:16" x14ac:dyDescent="0.25">
      <c r="A825" s="7"/>
      <c r="B825" s="7"/>
      <c r="C825" s="8"/>
      <c r="D825" s="8"/>
      <c r="E825" s="9"/>
      <c r="F825" s="9"/>
      <c r="G825" s="17"/>
      <c r="H825" s="17"/>
      <c r="I825" s="9"/>
      <c r="J825" s="9"/>
      <c r="K825" s="10">
        <v>0</v>
      </c>
      <c r="L825" s="10"/>
      <c r="M825" s="11"/>
      <c r="N825" s="12"/>
      <c r="O825" s="13"/>
      <c r="P825" s="14"/>
    </row>
    <row r="826" spans="1:16" x14ac:dyDescent="0.25">
      <c r="A826" s="7"/>
      <c r="B826" s="7"/>
      <c r="C826" s="8"/>
      <c r="D826" s="8"/>
      <c r="E826" s="9"/>
      <c r="F826" s="9"/>
      <c r="G826" s="17"/>
      <c r="H826" s="17"/>
      <c r="I826" s="9"/>
      <c r="J826" s="9"/>
      <c r="K826" s="10">
        <v>0</v>
      </c>
      <c r="L826" s="10"/>
      <c r="M826" s="11"/>
      <c r="N826" s="12"/>
      <c r="O826" s="13"/>
      <c r="P826" s="14"/>
    </row>
    <row r="827" spans="1:16" x14ac:dyDescent="0.25">
      <c r="A827" s="7"/>
      <c r="B827" s="7"/>
      <c r="C827" s="8"/>
      <c r="D827" s="8"/>
      <c r="E827" s="9"/>
      <c r="F827" s="9"/>
      <c r="G827" s="17"/>
      <c r="H827" s="17"/>
      <c r="I827" s="9"/>
      <c r="J827" s="9"/>
      <c r="K827" s="10">
        <v>0</v>
      </c>
      <c r="L827" s="10"/>
      <c r="M827" s="11"/>
      <c r="N827" s="12"/>
      <c r="O827" s="13"/>
      <c r="P827" s="14"/>
    </row>
    <row r="828" spans="1:16" x14ac:dyDescent="0.25">
      <c r="A828" s="7"/>
      <c r="B828" s="7"/>
      <c r="C828" s="8"/>
      <c r="D828" s="8"/>
      <c r="E828" s="9"/>
      <c r="F828" s="9"/>
      <c r="G828" s="17"/>
      <c r="H828" s="17"/>
      <c r="I828" s="9"/>
      <c r="J828" s="9"/>
      <c r="K828" s="10">
        <v>0</v>
      </c>
      <c r="L828" s="10"/>
      <c r="M828" s="11"/>
      <c r="N828" s="12"/>
      <c r="O828" s="13"/>
      <c r="P828" s="14"/>
    </row>
    <row r="829" spans="1:16" x14ac:dyDescent="0.25">
      <c r="A829" s="7"/>
      <c r="B829" s="7"/>
      <c r="C829" s="8"/>
      <c r="D829" s="8"/>
      <c r="E829" s="9"/>
      <c r="F829" s="9"/>
      <c r="G829" s="17"/>
      <c r="H829" s="17"/>
      <c r="I829" s="9"/>
      <c r="J829" s="9"/>
      <c r="K829" s="10">
        <v>0</v>
      </c>
      <c r="L829" s="10"/>
      <c r="M829" s="11"/>
      <c r="N829" s="12"/>
      <c r="O829" s="13"/>
      <c r="P829" s="14"/>
    </row>
    <row r="830" spans="1:16" x14ac:dyDescent="0.25">
      <c r="A830" s="7"/>
      <c r="B830" s="7"/>
      <c r="C830" s="8"/>
      <c r="D830" s="8"/>
      <c r="E830" s="9"/>
      <c r="F830" s="9"/>
      <c r="G830" s="17"/>
      <c r="H830" s="17"/>
      <c r="I830" s="9"/>
      <c r="J830" s="9"/>
      <c r="K830" s="10">
        <v>0</v>
      </c>
      <c r="L830" s="10"/>
      <c r="M830" s="11"/>
      <c r="N830" s="12"/>
      <c r="O830" s="13"/>
      <c r="P830" s="14"/>
    </row>
    <row r="831" spans="1:16" x14ac:dyDescent="0.25">
      <c r="A831" s="7"/>
      <c r="B831" s="7"/>
      <c r="C831" s="8"/>
      <c r="D831" s="8"/>
      <c r="E831" s="9"/>
      <c r="F831" s="9"/>
      <c r="G831" s="17"/>
      <c r="H831" s="17"/>
      <c r="I831" s="9"/>
      <c r="J831" s="9"/>
      <c r="K831" s="10">
        <v>0</v>
      </c>
      <c r="L831" s="10"/>
      <c r="M831" s="11"/>
      <c r="N831" s="12"/>
      <c r="O831" s="13"/>
      <c r="P831" s="14"/>
    </row>
    <row r="832" spans="1:16" x14ac:dyDescent="0.25">
      <c r="A832" s="7"/>
      <c r="B832" s="7"/>
      <c r="C832" s="8"/>
      <c r="D832" s="8"/>
      <c r="E832" s="9"/>
      <c r="F832" s="9"/>
      <c r="G832" s="17"/>
      <c r="H832" s="17"/>
      <c r="I832" s="9"/>
      <c r="J832" s="9"/>
      <c r="K832" s="10">
        <v>0</v>
      </c>
      <c r="L832" s="10"/>
      <c r="M832" s="11"/>
      <c r="N832" s="12"/>
      <c r="O832" s="13"/>
      <c r="P832" s="14"/>
    </row>
    <row r="833" spans="1:16" x14ac:dyDescent="0.25">
      <c r="A833" s="7"/>
      <c r="B833" s="7"/>
      <c r="C833" s="8"/>
      <c r="D833" s="8"/>
      <c r="E833" s="9"/>
      <c r="F833" s="9"/>
      <c r="G833" s="17"/>
      <c r="H833" s="17"/>
      <c r="I833" s="9"/>
      <c r="J833" s="9"/>
      <c r="K833" s="10">
        <v>0</v>
      </c>
      <c r="L833" s="10"/>
      <c r="M833" s="11"/>
      <c r="N833" s="12"/>
      <c r="O833" s="13"/>
      <c r="P833" s="14"/>
    </row>
    <row r="834" spans="1:16" x14ac:dyDescent="0.25">
      <c r="A834" s="7"/>
      <c r="B834" s="7"/>
      <c r="C834" s="8"/>
      <c r="D834" s="8"/>
      <c r="E834" s="9"/>
      <c r="F834" s="9"/>
      <c r="G834" s="17"/>
      <c r="H834" s="17"/>
      <c r="I834" s="9"/>
      <c r="J834" s="9"/>
      <c r="K834" s="10">
        <v>0</v>
      </c>
      <c r="L834" s="10"/>
      <c r="M834" s="11"/>
      <c r="N834" s="12"/>
      <c r="O834" s="13"/>
      <c r="P834" s="14"/>
    </row>
    <row r="835" spans="1:16" x14ac:dyDescent="0.25">
      <c r="A835" s="7"/>
      <c r="B835" s="7"/>
      <c r="C835" s="8"/>
      <c r="D835" s="8"/>
      <c r="E835" s="9"/>
      <c r="F835" s="9"/>
      <c r="G835" s="17"/>
      <c r="H835" s="17"/>
      <c r="I835" s="9"/>
      <c r="J835" s="9"/>
      <c r="K835" s="10">
        <v>0</v>
      </c>
      <c r="L835" s="10"/>
      <c r="M835" s="11"/>
      <c r="N835" s="12"/>
      <c r="O835" s="13"/>
      <c r="P835" s="14"/>
    </row>
    <row r="836" spans="1:16" x14ac:dyDescent="0.25">
      <c r="A836" s="7"/>
      <c r="B836" s="7"/>
      <c r="C836" s="8"/>
      <c r="D836" s="8"/>
      <c r="E836" s="9"/>
      <c r="F836" s="9"/>
      <c r="G836" s="17"/>
      <c r="H836" s="17"/>
      <c r="I836" s="9"/>
      <c r="J836" s="9"/>
      <c r="K836" s="10">
        <v>0</v>
      </c>
      <c r="L836" s="10"/>
      <c r="M836" s="11"/>
      <c r="N836" s="12"/>
      <c r="O836" s="13"/>
      <c r="P836" s="14"/>
    </row>
    <row r="837" spans="1:16" x14ac:dyDescent="0.25">
      <c r="A837" s="7"/>
      <c r="B837" s="7"/>
      <c r="C837" s="8"/>
      <c r="D837" s="8"/>
      <c r="E837" s="9"/>
      <c r="F837" s="9"/>
      <c r="G837" s="17"/>
      <c r="H837" s="17"/>
      <c r="I837" s="9"/>
      <c r="J837" s="9"/>
      <c r="K837" s="10">
        <v>0</v>
      </c>
      <c r="L837" s="10"/>
      <c r="M837" s="11"/>
      <c r="N837" s="12"/>
      <c r="O837" s="13"/>
      <c r="P837" s="14"/>
    </row>
    <row r="838" spans="1:16" x14ac:dyDescent="0.25">
      <c r="A838" s="7"/>
      <c r="B838" s="7"/>
      <c r="C838" s="8"/>
      <c r="D838" s="8"/>
      <c r="E838" s="9"/>
      <c r="F838" s="9"/>
      <c r="G838" s="17"/>
      <c r="H838" s="17"/>
      <c r="I838" s="9"/>
      <c r="J838" s="9"/>
      <c r="K838" s="10">
        <v>0</v>
      </c>
      <c r="L838" s="10"/>
      <c r="M838" s="11"/>
      <c r="N838" s="12"/>
      <c r="O838" s="13"/>
      <c r="P838" s="14"/>
    </row>
    <row r="839" spans="1:16" x14ac:dyDescent="0.25">
      <c r="A839" s="7"/>
      <c r="B839" s="7"/>
      <c r="C839" s="8"/>
      <c r="D839" s="8"/>
      <c r="E839" s="9"/>
      <c r="F839" s="9"/>
      <c r="G839" s="17"/>
      <c r="H839" s="17"/>
      <c r="I839" s="9"/>
      <c r="J839" s="9"/>
      <c r="K839" s="10">
        <v>0</v>
      </c>
      <c r="L839" s="10"/>
      <c r="M839" s="11"/>
      <c r="N839" s="12"/>
      <c r="O839" s="13"/>
      <c r="P839" s="14"/>
    </row>
    <row r="840" spans="1:16" x14ac:dyDescent="0.25">
      <c r="B840" s="7"/>
      <c r="C840" s="8"/>
      <c r="D840" s="8"/>
      <c r="E840" s="9"/>
      <c r="F840" s="9"/>
      <c r="G840" s="17"/>
      <c r="H840" s="17"/>
      <c r="I840" s="9"/>
      <c r="J840" s="9"/>
      <c r="K840" s="10">
        <v>0</v>
      </c>
      <c r="L840" s="10"/>
      <c r="M840" s="11"/>
      <c r="N840" s="12"/>
      <c r="O840" s="13"/>
      <c r="P840" s="14"/>
    </row>
    <row r="841" spans="1:16" x14ac:dyDescent="0.25">
      <c r="B841" s="7"/>
      <c r="C841" s="8"/>
      <c r="D841" s="8"/>
      <c r="E841" s="9"/>
      <c r="F841" s="9"/>
      <c r="G841" s="17"/>
      <c r="H841" s="17"/>
      <c r="I841" s="9"/>
      <c r="J841" s="9"/>
      <c r="K841" s="10">
        <v>0</v>
      </c>
      <c r="L841" s="10"/>
      <c r="M841" s="11"/>
      <c r="N841" s="12"/>
      <c r="O841" s="13"/>
      <c r="P841" s="14"/>
    </row>
    <row r="842" spans="1:16" x14ac:dyDescent="0.25">
      <c r="B842" s="7"/>
      <c r="C842" s="8"/>
      <c r="D842" s="8"/>
      <c r="E842" s="9"/>
      <c r="F842" s="9"/>
      <c r="G842" s="17"/>
      <c r="H842" s="17"/>
      <c r="I842" s="9"/>
      <c r="J842" s="9"/>
      <c r="K842" s="10">
        <v>0</v>
      </c>
      <c r="L842" s="10"/>
      <c r="M842" s="11"/>
      <c r="N842" s="12"/>
      <c r="O842" s="13"/>
      <c r="P842" s="14"/>
    </row>
    <row r="843" spans="1:16" x14ac:dyDescent="0.25">
      <c r="B843" s="7"/>
      <c r="C843" s="8"/>
      <c r="D843" s="8"/>
      <c r="E843" s="9"/>
      <c r="F843" s="9"/>
      <c r="G843" s="17"/>
      <c r="H843" s="17"/>
      <c r="I843" s="9"/>
      <c r="J843" s="9"/>
      <c r="K843" s="10">
        <v>0</v>
      </c>
      <c r="L843" s="10"/>
      <c r="M843" s="11"/>
      <c r="N843" s="12"/>
      <c r="O843" s="13"/>
      <c r="P843" s="14"/>
    </row>
    <row r="844" spans="1:16" x14ac:dyDescent="0.25">
      <c r="B844" s="7"/>
      <c r="C844" s="8"/>
      <c r="D844" s="8"/>
      <c r="E844" s="9"/>
      <c r="F844" s="9"/>
      <c r="G844" s="17"/>
      <c r="H844" s="17"/>
      <c r="I844" s="9"/>
      <c r="J844" s="9"/>
      <c r="K844" s="10">
        <v>0</v>
      </c>
      <c r="L844" s="10"/>
      <c r="M844" s="11"/>
      <c r="N844" s="12"/>
      <c r="O844" s="13"/>
      <c r="P844" s="14"/>
    </row>
    <row r="845" spans="1:16" x14ac:dyDescent="0.25">
      <c r="B845" s="7"/>
      <c r="C845" s="8"/>
      <c r="D845" s="8"/>
      <c r="E845" s="9"/>
      <c r="F845" s="9"/>
      <c r="G845" s="17"/>
      <c r="H845" s="17"/>
      <c r="I845" s="9"/>
      <c r="J845" s="9"/>
      <c r="K845" s="10">
        <v>0</v>
      </c>
      <c r="L845" s="10"/>
      <c r="M845" s="11"/>
      <c r="N845" s="12"/>
      <c r="O845" s="13"/>
      <c r="P845" s="14"/>
    </row>
    <row r="846" spans="1:16" x14ac:dyDescent="0.25">
      <c r="B846" s="7"/>
      <c r="C846" s="8"/>
      <c r="D846" s="8"/>
      <c r="E846" s="9"/>
      <c r="F846" s="9"/>
      <c r="G846" s="17"/>
      <c r="H846" s="17"/>
      <c r="I846" s="9"/>
      <c r="J846" s="9"/>
      <c r="K846" s="10">
        <v>0</v>
      </c>
      <c r="L846" s="10"/>
      <c r="M846" s="11"/>
      <c r="N846" s="12"/>
      <c r="O846" s="13"/>
      <c r="P846" s="14"/>
    </row>
    <row r="847" spans="1:16" x14ac:dyDescent="0.25">
      <c r="B847" s="7"/>
      <c r="C847" s="8"/>
      <c r="D847" s="8"/>
      <c r="E847" s="9"/>
      <c r="F847" s="9"/>
      <c r="G847" s="17"/>
      <c r="H847" s="17"/>
      <c r="I847" s="9"/>
      <c r="J847" s="9"/>
      <c r="K847" s="10">
        <v>0</v>
      </c>
      <c r="L847" s="10"/>
      <c r="M847" s="11"/>
      <c r="N847" s="12"/>
      <c r="O847" s="13"/>
      <c r="P847" s="14"/>
    </row>
    <row r="848" spans="1:16" x14ac:dyDescent="0.25">
      <c r="B848" s="7"/>
      <c r="C848" s="8"/>
      <c r="D848" s="8"/>
      <c r="E848" s="9"/>
      <c r="F848" s="9"/>
      <c r="G848" s="17"/>
      <c r="H848" s="17"/>
      <c r="I848" s="9"/>
      <c r="J848" s="9"/>
      <c r="K848" s="10">
        <v>0</v>
      </c>
      <c r="L848" s="10"/>
      <c r="M848" s="11"/>
      <c r="N848" s="12"/>
      <c r="O848" s="13"/>
      <c r="P848" s="14"/>
    </row>
    <row r="849" spans="2:17" x14ac:dyDescent="0.25">
      <c r="B849" s="7"/>
      <c r="C849" s="8"/>
      <c r="D849" s="8"/>
      <c r="E849" s="9"/>
      <c r="F849" s="9"/>
      <c r="G849" s="17"/>
      <c r="H849" s="17"/>
      <c r="I849" s="9"/>
      <c r="J849" s="9"/>
      <c r="K849" s="10">
        <v>0</v>
      </c>
      <c r="L849" s="10"/>
      <c r="M849" s="11"/>
      <c r="N849" s="12"/>
      <c r="O849" s="13"/>
      <c r="P849" s="14"/>
    </row>
    <row r="850" spans="2:17" x14ac:dyDescent="0.25">
      <c r="B850" s="7"/>
      <c r="C850" s="8"/>
      <c r="D850" s="8"/>
      <c r="E850" s="9"/>
      <c r="F850" s="9"/>
      <c r="G850" s="17"/>
      <c r="H850" s="17"/>
      <c r="I850" s="9"/>
      <c r="J850" s="9"/>
      <c r="K850" s="10">
        <v>0</v>
      </c>
      <c r="L850" s="10"/>
      <c r="M850" s="11"/>
      <c r="N850" s="12"/>
      <c r="O850" s="13"/>
      <c r="P850" s="14"/>
    </row>
    <row r="851" spans="2:17" x14ac:dyDescent="0.25">
      <c r="B851" s="7"/>
      <c r="C851" s="8"/>
      <c r="D851" s="8"/>
      <c r="E851" s="9"/>
      <c r="F851" s="9"/>
      <c r="G851" s="17"/>
      <c r="H851" s="17"/>
      <c r="I851" s="9"/>
      <c r="J851" s="9"/>
      <c r="K851" s="10">
        <v>0</v>
      </c>
      <c r="L851" s="10"/>
      <c r="M851" s="11"/>
      <c r="N851" s="12"/>
      <c r="O851" s="13"/>
      <c r="P851" s="14"/>
    </row>
    <row r="852" spans="2:17" x14ac:dyDescent="0.25">
      <c r="B852" s="7"/>
      <c r="C852" s="8"/>
      <c r="D852" s="8"/>
      <c r="E852" s="9"/>
      <c r="F852" s="9"/>
      <c r="G852" s="17"/>
      <c r="H852" s="17"/>
      <c r="I852" s="9"/>
      <c r="J852" s="9"/>
      <c r="K852" s="10">
        <v>0</v>
      </c>
      <c r="L852" s="10"/>
      <c r="M852" s="11"/>
      <c r="N852" s="12"/>
      <c r="O852" s="13"/>
      <c r="P852" s="14"/>
    </row>
    <row r="853" spans="2:17" x14ac:dyDescent="0.25">
      <c r="B853" s="7"/>
      <c r="C853" s="8"/>
      <c r="D853" s="8"/>
      <c r="E853" s="9"/>
      <c r="F853" s="9"/>
      <c r="G853" s="17"/>
      <c r="H853" s="17"/>
      <c r="I853" s="9"/>
      <c r="J853" s="9"/>
      <c r="K853" s="10">
        <v>0</v>
      </c>
      <c r="L853" s="10"/>
      <c r="M853" s="11"/>
      <c r="N853" s="12"/>
      <c r="O853" s="13"/>
      <c r="P853" s="14"/>
    </row>
    <row r="854" spans="2:17" x14ac:dyDescent="0.25">
      <c r="B854" s="7"/>
      <c r="C854" s="8"/>
      <c r="D854" s="8"/>
      <c r="E854" s="9"/>
      <c r="F854" s="9"/>
      <c r="G854" s="17"/>
      <c r="H854" s="17"/>
      <c r="I854" s="9"/>
      <c r="J854" s="9"/>
      <c r="K854" s="10">
        <v>0</v>
      </c>
      <c r="L854" s="10"/>
      <c r="M854" s="11"/>
      <c r="N854" s="12"/>
      <c r="O854" s="13"/>
      <c r="P854" s="14"/>
    </row>
    <row r="855" spans="2:17" x14ac:dyDescent="0.25">
      <c r="B855" s="7"/>
      <c r="C855" s="8"/>
      <c r="D855" s="8"/>
      <c r="E855" s="9"/>
      <c r="F855" s="9"/>
      <c r="G855" s="17"/>
      <c r="H855" s="17"/>
      <c r="I855" s="9"/>
      <c r="J855" s="9"/>
      <c r="K855" s="10">
        <v>0</v>
      </c>
      <c r="L855" s="10"/>
      <c r="M855" s="11"/>
      <c r="N855" s="12"/>
      <c r="O855" s="13"/>
      <c r="P855" s="14"/>
    </row>
    <row r="856" spans="2:17" x14ac:dyDescent="0.25">
      <c r="B856" s="7"/>
      <c r="C856" s="8"/>
      <c r="D856" s="8"/>
      <c r="E856" s="9"/>
      <c r="F856" s="9"/>
      <c r="G856" s="17"/>
      <c r="H856" s="17"/>
      <c r="I856" s="9"/>
      <c r="J856" s="9"/>
      <c r="K856" s="10">
        <v>0</v>
      </c>
      <c r="L856" s="10"/>
      <c r="M856" s="11"/>
      <c r="N856" s="12"/>
      <c r="O856" s="13"/>
      <c r="P856" s="14"/>
    </row>
    <row r="857" spans="2:17" x14ac:dyDescent="0.25">
      <c r="B857" s="7"/>
      <c r="C857" s="8"/>
      <c r="D857" s="8"/>
      <c r="E857" s="9"/>
      <c r="F857" s="9"/>
      <c r="G857" s="17"/>
      <c r="H857" s="17"/>
      <c r="I857" s="9"/>
      <c r="J857" s="9"/>
      <c r="K857" s="10">
        <v>0</v>
      </c>
      <c r="L857" s="10"/>
      <c r="M857" s="11"/>
      <c r="N857" s="12"/>
      <c r="O857" s="13"/>
      <c r="P857" s="14"/>
    </row>
    <row r="858" spans="2:17" x14ac:dyDescent="0.25">
      <c r="B858" s="7"/>
      <c r="C858" s="8"/>
      <c r="D858" s="8"/>
      <c r="E858" s="9"/>
      <c r="F858" s="9"/>
      <c r="G858" s="17"/>
      <c r="H858" s="17"/>
      <c r="I858" s="9"/>
      <c r="J858" s="9"/>
      <c r="K858" s="10">
        <v>0</v>
      </c>
      <c r="L858" s="10"/>
      <c r="M858" s="11"/>
      <c r="N858" s="12"/>
      <c r="O858" s="13"/>
      <c r="P858" s="14"/>
    </row>
    <row r="859" spans="2:17" x14ac:dyDescent="0.25">
      <c r="B859" s="7"/>
      <c r="C859" s="8"/>
      <c r="D859" s="8"/>
      <c r="E859" s="9"/>
      <c r="F859" s="9"/>
      <c r="G859" s="17"/>
      <c r="H859" s="17"/>
      <c r="I859" s="9"/>
      <c r="J859" s="9"/>
      <c r="K859" s="10">
        <v>0</v>
      </c>
      <c r="L859" s="10"/>
      <c r="M859" s="11"/>
      <c r="N859" s="12"/>
      <c r="O859" s="13"/>
      <c r="P859" s="14"/>
      <c r="Q859" s="2">
        <v>528</v>
      </c>
    </row>
    <row r="860" spans="2:17" x14ac:dyDescent="0.25">
      <c r="B860" s="7"/>
      <c r="C860" s="8"/>
      <c r="D860" s="8"/>
      <c r="E860" s="9"/>
      <c r="F860" s="9"/>
      <c r="G860" s="17"/>
      <c r="H860" s="17"/>
      <c r="I860" s="9"/>
      <c r="J860" s="9"/>
      <c r="K860" s="10">
        <v>0</v>
      </c>
      <c r="L860" s="10"/>
      <c r="M860" s="11"/>
      <c r="N860" s="12"/>
      <c r="O860" s="13"/>
      <c r="P860" s="14"/>
    </row>
    <row r="861" spans="2:17" x14ac:dyDescent="0.25">
      <c r="B861" s="7"/>
      <c r="C861" s="8"/>
      <c r="D861" s="8"/>
      <c r="E861" s="9"/>
      <c r="F861" s="9"/>
      <c r="G861" s="17"/>
      <c r="H861" s="17"/>
      <c r="I861" s="9"/>
      <c r="J861" s="9"/>
      <c r="K861" s="10">
        <v>0</v>
      </c>
      <c r="L861" s="10"/>
      <c r="M861" s="11"/>
      <c r="N861" s="12"/>
      <c r="O861" s="13"/>
      <c r="P861" s="14"/>
    </row>
    <row r="862" spans="2:17" x14ac:dyDescent="0.25">
      <c r="B862" s="7"/>
      <c r="C862" s="8"/>
      <c r="D862" s="8"/>
      <c r="E862" s="9"/>
      <c r="F862" s="9"/>
      <c r="G862" s="17"/>
      <c r="H862" s="17"/>
      <c r="I862" s="9"/>
      <c r="J862" s="9"/>
      <c r="K862" s="10">
        <v>0</v>
      </c>
      <c r="L862" s="10"/>
      <c r="M862" s="11"/>
      <c r="N862" s="12"/>
      <c r="O862" s="13"/>
      <c r="P862" s="14"/>
    </row>
    <row r="863" spans="2:17" x14ac:dyDescent="0.25">
      <c r="B863" s="7"/>
      <c r="C863" s="8"/>
      <c r="D863" s="8"/>
      <c r="E863" s="9"/>
      <c r="F863" s="9"/>
      <c r="G863" s="17"/>
      <c r="H863" s="17"/>
      <c r="I863" s="9"/>
      <c r="J863" s="9"/>
      <c r="K863" s="10">
        <v>0</v>
      </c>
      <c r="L863" s="10"/>
      <c r="M863" s="11"/>
      <c r="N863" s="12"/>
      <c r="O863" s="13"/>
      <c r="P863" s="14"/>
    </row>
    <row r="864" spans="2:17" x14ac:dyDescent="0.25">
      <c r="B864" s="7"/>
      <c r="C864" s="8"/>
      <c r="D864" s="8"/>
      <c r="E864" s="9"/>
      <c r="F864" s="9"/>
      <c r="G864" s="17"/>
      <c r="H864" s="17"/>
      <c r="I864" s="9"/>
      <c r="J864" s="9"/>
      <c r="K864" s="10">
        <v>0</v>
      </c>
      <c r="L864" s="10"/>
      <c r="M864" s="11"/>
      <c r="N864" s="12"/>
      <c r="O864" s="13"/>
      <c r="P864" s="14"/>
    </row>
    <row r="865" spans="2:16" x14ac:dyDescent="0.25">
      <c r="B865" s="7"/>
      <c r="C865" s="8"/>
      <c r="D865" s="8"/>
      <c r="E865" s="9"/>
      <c r="F865" s="9"/>
      <c r="G865" s="17"/>
      <c r="H865" s="17"/>
      <c r="I865" s="9"/>
      <c r="J865" s="9"/>
      <c r="K865" s="10">
        <v>0</v>
      </c>
      <c r="L865" s="10"/>
      <c r="M865" s="11"/>
      <c r="N865" s="12"/>
      <c r="O865" s="13"/>
      <c r="P865" s="14"/>
    </row>
    <row r="866" spans="2:16" x14ac:dyDescent="0.25">
      <c r="B866" s="7"/>
      <c r="C866" s="8"/>
      <c r="D866" s="8"/>
      <c r="E866" s="9"/>
      <c r="F866" s="9"/>
      <c r="G866" s="17"/>
      <c r="H866" s="17"/>
      <c r="I866" s="9"/>
      <c r="J866" s="9"/>
      <c r="K866" s="10">
        <v>0</v>
      </c>
      <c r="L866" s="10"/>
      <c r="M866" s="11"/>
      <c r="N866" s="12"/>
      <c r="O866" s="13"/>
      <c r="P866" s="14"/>
    </row>
    <row r="867" spans="2:16" x14ac:dyDescent="0.25">
      <c r="B867" s="7"/>
      <c r="C867" s="8"/>
      <c r="D867" s="8"/>
      <c r="E867" s="9"/>
      <c r="F867" s="9"/>
      <c r="G867" s="17"/>
      <c r="H867" s="17"/>
      <c r="I867" s="9"/>
      <c r="J867" s="9"/>
      <c r="K867" s="10">
        <v>0</v>
      </c>
      <c r="L867" s="10"/>
      <c r="M867" s="11"/>
      <c r="N867" s="12"/>
      <c r="O867" s="13"/>
      <c r="P867" s="14"/>
    </row>
    <row r="868" spans="2:16" x14ac:dyDescent="0.25">
      <c r="B868" s="7"/>
      <c r="C868" s="8"/>
      <c r="D868" s="8"/>
      <c r="E868" s="9"/>
      <c r="F868" s="9"/>
      <c r="G868" s="17"/>
      <c r="H868" s="17"/>
      <c r="I868" s="9"/>
      <c r="J868" s="9"/>
      <c r="K868" s="10">
        <v>0</v>
      </c>
      <c r="L868" s="10"/>
      <c r="M868" s="11"/>
      <c r="N868" s="12"/>
      <c r="O868" s="13"/>
      <c r="P868" s="14"/>
    </row>
    <row r="869" spans="2:16" x14ac:dyDescent="0.25">
      <c r="B869" s="7"/>
      <c r="C869" s="8"/>
      <c r="D869" s="8"/>
      <c r="E869" s="9"/>
      <c r="F869" s="9"/>
      <c r="G869" s="17"/>
      <c r="H869" s="17"/>
      <c r="I869" s="9"/>
      <c r="J869" s="9"/>
      <c r="K869" s="10">
        <v>0</v>
      </c>
      <c r="L869" s="10"/>
      <c r="M869" s="11"/>
      <c r="N869" s="12"/>
      <c r="O869" s="13"/>
      <c r="P869" s="14"/>
    </row>
    <row r="870" spans="2:16" x14ac:dyDescent="0.25">
      <c r="B870" s="7"/>
      <c r="C870" s="8"/>
      <c r="D870" s="8"/>
      <c r="E870" s="9"/>
      <c r="F870" s="9"/>
      <c r="G870" s="17"/>
      <c r="H870" s="17"/>
      <c r="I870" s="9"/>
      <c r="J870" s="9"/>
      <c r="K870" s="10">
        <v>0</v>
      </c>
      <c r="L870" s="10"/>
      <c r="M870" s="11"/>
      <c r="N870" s="12"/>
      <c r="O870" s="13"/>
      <c r="P870" s="14"/>
    </row>
    <row r="871" spans="2:16" x14ac:dyDescent="0.25">
      <c r="B871" s="7"/>
      <c r="C871" s="8"/>
      <c r="D871" s="8"/>
      <c r="E871" s="9"/>
      <c r="F871" s="9"/>
      <c r="G871" s="17"/>
      <c r="H871" s="17"/>
      <c r="I871" s="9"/>
      <c r="J871" s="9"/>
      <c r="K871" s="10">
        <v>0</v>
      </c>
      <c r="L871" s="10"/>
      <c r="M871" s="11"/>
      <c r="N871" s="12"/>
      <c r="O871" s="13"/>
      <c r="P871" s="14"/>
    </row>
    <row r="872" spans="2:16" x14ac:dyDescent="0.25">
      <c r="B872" s="7"/>
      <c r="C872" s="8"/>
      <c r="D872" s="8"/>
      <c r="E872" s="9"/>
      <c r="F872" s="9"/>
      <c r="G872" s="17"/>
      <c r="H872" s="17"/>
      <c r="I872" s="9"/>
      <c r="J872" s="9"/>
      <c r="K872" s="10">
        <v>0</v>
      </c>
      <c r="L872" s="10"/>
      <c r="M872" s="11"/>
      <c r="N872" s="12"/>
      <c r="O872" s="13"/>
      <c r="P872" s="14"/>
    </row>
    <row r="873" spans="2:16" x14ac:dyDescent="0.25">
      <c r="B873" s="7"/>
      <c r="C873" s="8"/>
      <c r="D873" s="8"/>
      <c r="E873" s="9"/>
      <c r="F873" s="9"/>
      <c r="G873" s="17"/>
      <c r="H873" s="17"/>
      <c r="I873" s="9"/>
      <c r="J873" s="9"/>
      <c r="K873" s="10">
        <v>0</v>
      </c>
      <c r="L873" s="10"/>
      <c r="M873" s="11"/>
      <c r="N873" s="12"/>
      <c r="O873" s="13"/>
      <c r="P873" s="14"/>
    </row>
    <row r="874" spans="2:16" x14ac:dyDescent="0.25">
      <c r="B874" s="7"/>
      <c r="C874" s="8"/>
      <c r="D874" s="8"/>
      <c r="E874" s="9"/>
      <c r="F874" s="9"/>
      <c r="G874" s="17"/>
      <c r="H874" s="17"/>
      <c r="I874" s="9"/>
      <c r="J874" s="9"/>
      <c r="K874" s="10">
        <v>0</v>
      </c>
      <c r="L874" s="10"/>
      <c r="M874" s="11"/>
      <c r="N874" s="12"/>
      <c r="O874" s="13"/>
      <c r="P874" s="14"/>
    </row>
    <row r="875" spans="2:16" x14ac:dyDescent="0.25">
      <c r="B875" s="7"/>
      <c r="C875" s="8"/>
      <c r="D875" s="8"/>
      <c r="E875" s="9"/>
      <c r="F875" s="9"/>
      <c r="G875" s="17"/>
      <c r="H875" s="17"/>
      <c r="I875" s="9"/>
      <c r="J875" s="9"/>
      <c r="K875" s="10">
        <v>0</v>
      </c>
      <c r="L875" s="10"/>
      <c r="M875" s="11"/>
      <c r="N875" s="12"/>
      <c r="O875" s="13"/>
      <c r="P875" s="14"/>
    </row>
    <row r="876" spans="2:16" x14ac:dyDescent="0.25">
      <c r="B876" s="7"/>
      <c r="C876" s="8"/>
      <c r="D876" s="8"/>
      <c r="E876" s="9"/>
      <c r="F876" s="9"/>
      <c r="G876" s="17"/>
      <c r="H876" s="17"/>
      <c r="I876" s="9"/>
      <c r="J876" s="9"/>
      <c r="K876" s="10">
        <v>0</v>
      </c>
      <c r="L876" s="10"/>
      <c r="M876" s="11"/>
      <c r="N876" s="12"/>
      <c r="O876" s="13"/>
      <c r="P876" s="14"/>
    </row>
    <row r="877" spans="2:16" x14ac:dyDescent="0.25">
      <c r="B877" s="7"/>
      <c r="C877" s="8"/>
      <c r="D877" s="8"/>
      <c r="E877" s="9"/>
      <c r="F877" s="9"/>
      <c r="G877" s="17"/>
      <c r="H877" s="17"/>
      <c r="I877" s="9"/>
      <c r="J877" s="9"/>
      <c r="K877" s="10">
        <v>0</v>
      </c>
      <c r="L877" s="10"/>
      <c r="M877" s="11"/>
      <c r="N877" s="12"/>
      <c r="O877" s="13"/>
      <c r="P877" s="14"/>
    </row>
    <row r="878" spans="2:16" x14ac:dyDescent="0.25">
      <c r="B878" s="7"/>
      <c r="C878" s="8"/>
      <c r="D878" s="8"/>
      <c r="E878" s="9"/>
      <c r="F878" s="9"/>
      <c r="G878" s="17"/>
      <c r="H878" s="17"/>
      <c r="I878" s="9"/>
      <c r="J878" s="9"/>
      <c r="K878" s="10">
        <v>0</v>
      </c>
      <c r="L878" s="10"/>
      <c r="M878" s="11"/>
      <c r="N878" s="12"/>
      <c r="O878" s="13"/>
      <c r="P878" s="14"/>
    </row>
    <row r="879" spans="2:16" x14ac:dyDescent="0.25">
      <c r="B879" s="7"/>
      <c r="C879" s="8"/>
      <c r="D879" s="8"/>
      <c r="E879" s="9"/>
      <c r="F879" s="9"/>
      <c r="G879" s="17"/>
      <c r="H879" s="17"/>
      <c r="I879" s="9"/>
      <c r="J879" s="9"/>
      <c r="K879" s="10">
        <v>0</v>
      </c>
      <c r="L879" s="10"/>
      <c r="M879" s="11"/>
      <c r="N879" s="12"/>
      <c r="O879" s="13"/>
      <c r="P879" s="14"/>
    </row>
    <row r="880" spans="2:16" x14ac:dyDescent="0.25">
      <c r="B880" s="7"/>
      <c r="C880" s="8"/>
      <c r="D880" s="8"/>
      <c r="E880" s="9"/>
      <c r="F880" s="9"/>
      <c r="G880" s="17"/>
      <c r="H880" s="17"/>
      <c r="I880" s="9"/>
      <c r="J880" s="9"/>
      <c r="K880" s="10">
        <v>0</v>
      </c>
      <c r="L880" s="10"/>
      <c r="M880" s="11"/>
      <c r="N880" s="12"/>
      <c r="O880" s="13"/>
      <c r="P880" s="14"/>
    </row>
    <row r="881" spans="1:18" x14ac:dyDescent="0.25">
      <c r="B881" s="7"/>
      <c r="C881" s="8"/>
      <c r="D881" s="8"/>
      <c r="E881" s="9"/>
      <c r="F881" s="9"/>
      <c r="G881" s="17"/>
      <c r="H881" s="17"/>
      <c r="I881" s="9"/>
      <c r="J881" s="9"/>
      <c r="K881" s="10">
        <v>0</v>
      </c>
      <c r="L881" s="10"/>
      <c r="M881" s="11"/>
      <c r="N881" s="12"/>
      <c r="O881" s="13"/>
      <c r="P881" s="14"/>
    </row>
    <row r="882" spans="1:18" x14ac:dyDescent="0.25">
      <c r="B882" s="7"/>
      <c r="C882" s="8"/>
      <c r="D882" s="8"/>
      <c r="E882" s="9"/>
      <c r="F882" s="9"/>
      <c r="G882" s="17"/>
      <c r="H882" s="17"/>
      <c r="I882" s="9"/>
      <c r="J882" s="9"/>
      <c r="K882" s="10">
        <v>0</v>
      </c>
      <c r="L882" s="10"/>
      <c r="M882" s="11"/>
      <c r="N882" s="12"/>
      <c r="O882" s="13"/>
      <c r="P882" s="14"/>
    </row>
    <row r="883" spans="1:18" x14ac:dyDescent="0.25">
      <c r="B883" s="7"/>
      <c r="C883" s="8"/>
      <c r="D883" s="8"/>
      <c r="E883" s="9"/>
      <c r="F883" s="9"/>
      <c r="G883" s="17"/>
      <c r="H883" s="17"/>
      <c r="I883" s="9"/>
      <c r="J883" s="9"/>
      <c r="K883" s="10">
        <v>0</v>
      </c>
      <c r="L883" s="10"/>
      <c r="M883" s="11"/>
      <c r="N883" s="12"/>
      <c r="O883" s="13"/>
      <c r="P883" s="14"/>
    </row>
    <row r="884" spans="1:18" x14ac:dyDescent="0.25">
      <c r="A884" s="26"/>
      <c r="B884" s="7"/>
      <c r="C884" s="8"/>
      <c r="D884" s="8"/>
      <c r="E884" s="9"/>
      <c r="F884" s="9"/>
      <c r="G884" s="17"/>
      <c r="H884" s="17"/>
      <c r="I884" s="9"/>
      <c r="J884" s="9"/>
      <c r="K884" s="10">
        <v>0</v>
      </c>
      <c r="L884" s="10"/>
      <c r="M884" s="11"/>
      <c r="N884" s="12"/>
      <c r="O884" s="13"/>
      <c r="P884" s="14"/>
      <c r="Q884" s="26"/>
    </row>
    <row r="885" spans="1:18" x14ac:dyDescent="0.25">
      <c r="B885" s="7"/>
      <c r="C885" s="8"/>
      <c r="D885" s="8"/>
      <c r="E885" s="9"/>
      <c r="F885" s="9"/>
      <c r="G885" s="17"/>
      <c r="H885" s="17"/>
      <c r="I885" s="9"/>
      <c r="J885" s="9"/>
      <c r="K885" s="10">
        <v>0</v>
      </c>
      <c r="L885" s="10"/>
      <c r="M885" s="11"/>
      <c r="N885" s="12"/>
      <c r="O885" s="13"/>
      <c r="P885" s="14"/>
    </row>
    <row r="886" spans="1:18" x14ac:dyDescent="0.25">
      <c r="B886" s="7"/>
      <c r="C886" s="8"/>
      <c r="D886" s="8"/>
      <c r="E886" s="9"/>
      <c r="F886" s="9"/>
      <c r="G886" s="17"/>
      <c r="H886" s="17"/>
      <c r="I886" s="9"/>
      <c r="J886" s="9"/>
      <c r="K886" s="10">
        <v>0</v>
      </c>
      <c r="L886" s="10"/>
      <c r="M886" s="11"/>
      <c r="N886" s="12"/>
      <c r="O886" s="13"/>
      <c r="P886" s="14"/>
    </row>
    <row r="887" spans="1:18" x14ac:dyDescent="0.25">
      <c r="B887" s="7"/>
      <c r="C887" s="8"/>
      <c r="D887" s="8"/>
      <c r="E887" s="9"/>
      <c r="F887" s="9"/>
      <c r="G887" s="17"/>
      <c r="H887" s="17"/>
      <c r="I887" s="9"/>
      <c r="J887" s="9"/>
      <c r="K887" s="10">
        <v>0</v>
      </c>
      <c r="L887" s="10"/>
      <c r="M887" s="11"/>
      <c r="N887" s="12"/>
      <c r="O887" s="13"/>
      <c r="P887" s="14"/>
    </row>
    <row r="888" spans="1:18" x14ac:dyDescent="0.25">
      <c r="B888" s="7"/>
      <c r="C888" s="8"/>
      <c r="D888" s="8"/>
      <c r="E888" s="9"/>
      <c r="F888" s="9"/>
      <c r="G888" s="17"/>
      <c r="H888" s="17"/>
      <c r="I888" s="9"/>
      <c r="J888" s="9"/>
      <c r="K888" s="10">
        <v>0</v>
      </c>
      <c r="L888" s="10"/>
      <c r="M888" s="11"/>
      <c r="N888" s="12"/>
      <c r="O888" s="13"/>
      <c r="P888" s="14"/>
    </row>
    <row r="889" spans="1:18" x14ac:dyDescent="0.25">
      <c r="B889" s="7"/>
      <c r="C889" s="8"/>
      <c r="D889" s="8"/>
      <c r="E889" s="9"/>
      <c r="F889" s="9"/>
      <c r="G889" s="17"/>
      <c r="H889" s="17"/>
      <c r="I889" s="9"/>
      <c r="J889" s="9"/>
      <c r="K889" s="10">
        <v>0</v>
      </c>
      <c r="L889" s="10"/>
      <c r="M889" s="11"/>
      <c r="N889" s="12"/>
      <c r="O889" s="13"/>
      <c r="P889" s="14"/>
    </row>
    <row r="890" spans="1:18" x14ac:dyDescent="0.25">
      <c r="B890" s="7"/>
      <c r="C890" s="8"/>
      <c r="D890" s="8"/>
      <c r="E890" s="9"/>
      <c r="F890" s="9"/>
      <c r="G890" s="17"/>
      <c r="H890" s="17"/>
      <c r="I890" s="9"/>
      <c r="J890" s="9"/>
      <c r="K890" s="10">
        <v>0</v>
      </c>
      <c r="L890" s="10"/>
      <c r="M890" s="11"/>
      <c r="N890" s="12"/>
      <c r="O890" s="13"/>
      <c r="P890" s="14"/>
    </row>
    <row r="891" spans="1:18" x14ac:dyDescent="0.25">
      <c r="B891" s="7"/>
      <c r="C891" s="8"/>
      <c r="D891" s="8"/>
      <c r="E891" s="9"/>
      <c r="F891" s="9"/>
      <c r="G891" s="17"/>
      <c r="H891" s="17"/>
      <c r="I891" s="9"/>
      <c r="J891" s="9"/>
      <c r="K891" s="10">
        <v>0</v>
      </c>
      <c r="L891" s="10"/>
      <c r="M891" s="11"/>
      <c r="N891" s="12"/>
      <c r="O891" s="13"/>
      <c r="P891" s="14"/>
    </row>
    <row r="892" spans="1:18" x14ac:dyDescent="0.25">
      <c r="B892" s="7"/>
      <c r="C892" s="8"/>
      <c r="D892" s="8"/>
      <c r="E892" s="9"/>
      <c r="F892" s="9"/>
      <c r="G892" s="17"/>
      <c r="H892" s="17"/>
      <c r="I892" s="9"/>
      <c r="J892" s="9"/>
      <c r="K892" s="10">
        <v>0</v>
      </c>
      <c r="L892" s="10"/>
      <c r="M892" s="11"/>
      <c r="N892" s="12"/>
      <c r="O892" s="13"/>
      <c r="P892" s="14"/>
    </row>
    <row r="893" spans="1:18" x14ac:dyDescent="0.25">
      <c r="B893" s="7"/>
      <c r="C893" s="8"/>
      <c r="D893" s="8"/>
      <c r="E893" s="9"/>
      <c r="F893" s="9"/>
      <c r="G893" s="17"/>
      <c r="H893" s="17"/>
      <c r="I893" s="9"/>
      <c r="J893" s="9"/>
      <c r="K893" s="10">
        <v>0</v>
      </c>
      <c r="L893" s="10"/>
      <c r="M893" s="11"/>
      <c r="N893" s="12"/>
      <c r="O893" s="13"/>
      <c r="P893" s="14"/>
    </row>
    <row r="894" spans="1:18" x14ac:dyDescent="0.25">
      <c r="B894" s="7"/>
      <c r="C894" s="8"/>
      <c r="D894" s="8"/>
      <c r="E894" s="9"/>
      <c r="F894" s="9"/>
      <c r="G894" s="17"/>
      <c r="H894" s="17"/>
      <c r="I894" s="9"/>
      <c r="J894" s="9"/>
      <c r="K894" s="10">
        <v>0</v>
      </c>
      <c r="L894" s="10"/>
      <c r="M894" s="11"/>
      <c r="N894" s="12"/>
      <c r="O894" s="13"/>
      <c r="P894" s="14"/>
    </row>
    <row r="895" spans="1:18" x14ac:dyDescent="0.25">
      <c r="B895" s="7"/>
      <c r="C895" s="8"/>
      <c r="D895" s="8"/>
      <c r="E895" s="9"/>
      <c r="F895" s="9"/>
      <c r="G895" s="17"/>
      <c r="H895" s="17"/>
      <c r="I895" s="9"/>
      <c r="J895" s="9"/>
      <c r="K895" s="10">
        <v>0</v>
      </c>
      <c r="L895" s="10"/>
      <c r="M895" s="11"/>
      <c r="N895" s="12"/>
      <c r="O895" s="13"/>
      <c r="P895" s="14"/>
      <c r="Q895" s="2">
        <v>45</v>
      </c>
      <c r="R895" s="1">
        <v>3</v>
      </c>
    </row>
    <row r="896" spans="1:18" x14ac:dyDescent="0.25">
      <c r="B896" s="7"/>
      <c r="C896" s="8"/>
      <c r="D896" s="8"/>
      <c r="E896" s="9"/>
      <c r="F896" s="9"/>
      <c r="G896" s="17"/>
      <c r="H896" s="17"/>
      <c r="I896" s="9"/>
      <c r="J896" s="9"/>
      <c r="K896" s="10">
        <v>0</v>
      </c>
      <c r="L896" s="10"/>
      <c r="M896" s="11"/>
      <c r="N896" s="12"/>
      <c r="O896" s="13"/>
      <c r="P896" s="14"/>
      <c r="Q896" s="2">
        <v>15</v>
      </c>
      <c r="R896" s="1">
        <v>5</v>
      </c>
    </row>
    <row r="897" spans="2:21" x14ac:dyDescent="0.25">
      <c r="B897" s="7"/>
      <c r="C897" s="8"/>
      <c r="D897" s="8"/>
      <c r="E897" s="9"/>
      <c r="F897" s="9"/>
      <c r="G897" s="17"/>
      <c r="H897" s="17"/>
      <c r="I897" s="9"/>
      <c r="J897" s="9"/>
      <c r="K897" s="10">
        <v>0</v>
      </c>
      <c r="L897" s="10"/>
      <c r="M897" s="11"/>
      <c r="N897" s="12"/>
      <c r="O897" s="13"/>
      <c r="P897" s="14"/>
      <c r="Q897" s="2">
        <v>0</v>
      </c>
    </row>
    <row r="898" spans="2:21" x14ac:dyDescent="0.25">
      <c r="B898" s="7"/>
      <c r="C898" s="8"/>
      <c r="D898" s="8"/>
      <c r="E898" s="9"/>
      <c r="F898" s="9"/>
      <c r="G898" s="17"/>
      <c r="H898" s="17"/>
      <c r="I898" s="9"/>
      <c r="J898" s="9"/>
      <c r="K898" s="10">
        <v>0</v>
      </c>
      <c r="L898" s="10"/>
      <c r="M898" s="11"/>
      <c r="N898" s="12"/>
      <c r="O898" s="13"/>
      <c r="P898" s="14"/>
    </row>
    <row r="899" spans="2:21" x14ac:dyDescent="0.25">
      <c r="B899" s="7"/>
      <c r="C899" s="8"/>
      <c r="D899" s="8"/>
      <c r="E899" s="9"/>
      <c r="F899" s="9"/>
      <c r="G899" s="17"/>
      <c r="H899" s="17"/>
      <c r="I899" s="9"/>
      <c r="J899" s="9"/>
      <c r="K899" s="10">
        <v>0</v>
      </c>
      <c r="L899" s="10"/>
      <c r="M899" s="11"/>
      <c r="N899" s="12"/>
      <c r="O899" s="13"/>
      <c r="P899" s="14"/>
    </row>
    <row r="900" spans="2:21" x14ac:dyDescent="0.25">
      <c r="B900" s="7"/>
      <c r="C900" s="8"/>
      <c r="D900" s="8"/>
      <c r="E900" s="9"/>
      <c r="F900" s="9"/>
      <c r="G900" s="17"/>
      <c r="H900" s="17"/>
      <c r="I900" s="9"/>
      <c r="J900" s="9"/>
      <c r="K900" s="10">
        <v>0</v>
      </c>
      <c r="L900" s="10"/>
      <c r="M900" s="11"/>
      <c r="N900" s="12"/>
      <c r="O900" s="13"/>
      <c r="P900" s="14"/>
      <c r="R900" s="1">
        <v>8890</v>
      </c>
      <c r="S900" s="1">
        <v>19558</v>
      </c>
      <c r="T900" s="1">
        <v>18358</v>
      </c>
      <c r="U900" s="1" t="s">
        <v>26</v>
      </c>
    </row>
    <row r="901" spans="2:21" x14ac:dyDescent="0.25">
      <c r="B901" s="7"/>
      <c r="C901" s="8"/>
      <c r="D901" s="8"/>
      <c r="E901" s="9"/>
      <c r="F901" s="9"/>
      <c r="G901" s="17"/>
      <c r="H901" s="17"/>
      <c r="I901" s="9"/>
      <c r="J901" s="9"/>
      <c r="K901" s="10">
        <v>0</v>
      </c>
      <c r="L901" s="10"/>
      <c r="M901" s="11"/>
      <c r="N901" s="12"/>
      <c r="O901" s="13"/>
      <c r="P901" s="14"/>
      <c r="T901" s="1">
        <v>1200</v>
      </c>
      <c r="U901" s="1" t="s">
        <v>27</v>
      </c>
    </row>
    <row r="902" spans="2:21" x14ac:dyDescent="0.25">
      <c r="B902" s="7"/>
      <c r="C902" s="8"/>
      <c r="D902" s="8"/>
      <c r="E902" s="9"/>
      <c r="F902" s="9"/>
      <c r="G902" s="17"/>
      <c r="H902" s="17"/>
      <c r="I902" s="9"/>
      <c r="J902" s="9"/>
      <c r="K902" s="10">
        <v>0</v>
      </c>
      <c r="L902" s="10"/>
      <c r="M902" s="11"/>
      <c r="N902" s="12"/>
      <c r="O902" s="13"/>
      <c r="P902" s="14"/>
      <c r="S902" s="1">
        <v>4390</v>
      </c>
      <c r="T902" s="1">
        <v>9658</v>
      </c>
    </row>
    <row r="903" spans="2:21" x14ac:dyDescent="0.25">
      <c r="B903" s="7"/>
      <c r="C903" s="8"/>
      <c r="D903" s="8"/>
      <c r="E903" s="9"/>
      <c r="F903" s="9"/>
      <c r="G903" s="17"/>
      <c r="H903" s="17"/>
      <c r="I903" s="9"/>
      <c r="J903" s="9"/>
      <c r="K903" s="10">
        <v>0</v>
      </c>
      <c r="L903" s="10"/>
      <c r="M903" s="11"/>
      <c r="N903" s="12"/>
      <c r="O903" s="13"/>
      <c r="P903" s="14"/>
      <c r="T903" s="1">
        <v>200</v>
      </c>
    </row>
    <row r="904" spans="2:21" x14ac:dyDescent="0.25">
      <c r="B904" s="7"/>
      <c r="C904" s="8"/>
      <c r="D904" s="8"/>
      <c r="E904" s="9"/>
      <c r="F904" s="9"/>
      <c r="G904" s="17"/>
      <c r="H904" s="17"/>
      <c r="I904" s="9"/>
      <c r="J904" s="9"/>
      <c r="K904" s="10">
        <v>0</v>
      </c>
      <c r="L904" s="10"/>
      <c r="M904" s="11"/>
      <c r="N904" s="12"/>
      <c r="O904" s="13"/>
      <c r="P904" s="14"/>
      <c r="T904" s="1">
        <v>-9458</v>
      </c>
      <c r="U904" s="1">
        <v>9658</v>
      </c>
    </row>
    <row r="905" spans="2:21" x14ac:dyDescent="0.25">
      <c r="B905" s="7"/>
      <c r="C905" s="8"/>
      <c r="D905" s="8"/>
      <c r="E905" s="9"/>
      <c r="F905" s="9"/>
      <c r="G905" s="17"/>
      <c r="H905" s="17"/>
      <c r="I905" s="9"/>
      <c r="J905" s="9"/>
      <c r="K905" s="10">
        <v>0</v>
      </c>
      <c r="L905" s="10"/>
      <c r="M905" s="11"/>
      <c r="N905" s="12"/>
      <c r="O905" s="13"/>
      <c r="P905" s="14"/>
    </row>
    <row r="906" spans="2:21" x14ac:dyDescent="0.25">
      <c r="B906" s="7"/>
      <c r="C906" s="8"/>
      <c r="D906" s="8"/>
      <c r="E906" s="9"/>
      <c r="F906" s="9"/>
      <c r="G906" s="17"/>
      <c r="H906" s="17"/>
      <c r="I906" s="9"/>
      <c r="J906" s="9"/>
      <c r="K906" s="10">
        <v>0</v>
      </c>
      <c r="L906" s="10"/>
      <c r="M906" s="11"/>
      <c r="N906" s="12"/>
      <c r="O906" s="13"/>
      <c r="P906" s="14"/>
      <c r="R906" s="1">
        <v>6080</v>
      </c>
      <c r="S906" s="1">
        <v>13376.000000000002</v>
      </c>
    </row>
    <row r="907" spans="2:21" x14ac:dyDescent="0.25">
      <c r="B907" s="7"/>
      <c r="C907" s="8"/>
      <c r="D907" s="8"/>
      <c r="E907" s="9"/>
      <c r="F907" s="9"/>
      <c r="G907" s="17"/>
      <c r="H907" s="17"/>
      <c r="I907" s="9"/>
      <c r="J907" s="9"/>
      <c r="K907" s="10">
        <v>0</v>
      </c>
      <c r="L907" s="10"/>
      <c r="M907" s="11"/>
      <c r="N907" s="12"/>
      <c r="O907" s="13"/>
      <c r="P907" s="14"/>
      <c r="S907" s="1">
        <v>11076.000000000002</v>
      </c>
    </row>
    <row r="908" spans="2:21" x14ac:dyDescent="0.25">
      <c r="B908" s="7"/>
      <c r="C908" s="8"/>
      <c r="D908" s="8"/>
      <c r="E908" s="9"/>
      <c r="F908" s="9"/>
      <c r="G908" s="17"/>
      <c r="H908" s="17"/>
      <c r="I908" s="9"/>
      <c r="J908" s="9"/>
      <c r="K908" s="10">
        <v>0</v>
      </c>
      <c r="L908" s="10"/>
      <c r="M908" s="11"/>
      <c r="N908" s="12"/>
      <c r="O908" s="13"/>
      <c r="P908" s="14"/>
      <c r="S908" s="1">
        <v>2300</v>
      </c>
    </row>
    <row r="909" spans="2:21" x14ac:dyDescent="0.25">
      <c r="B909" s="7"/>
      <c r="C909" s="8"/>
      <c r="D909" s="8"/>
      <c r="E909" s="9"/>
      <c r="F909" s="9"/>
      <c r="G909" s="17"/>
      <c r="H909" s="17"/>
      <c r="I909" s="9"/>
      <c r="J909" s="9"/>
      <c r="K909" s="10">
        <v>0</v>
      </c>
      <c r="L909" s="10"/>
      <c r="M909" s="11"/>
      <c r="N909" s="12"/>
      <c r="O909" s="13"/>
      <c r="P909" s="14"/>
    </row>
    <row r="910" spans="2:21" x14ac:dyDescent="0.25">
      <c r="B910" s="7"/>
      <c r="C910" s="8"/>
      <c r="D910" s="8"/>
      <c r="E910" s="9"/>
      <c r="F910" s="9"/>
      <c r="G910" s="17"/>
      <c r="H910" s="17"/>
      <c r="I910" s="9"/>
      <c r="J910" s="9"/>
      <c r="K910" s="10">
        <v>0</v>
      </c>
      <c r="L910" s="10"/>
      <c r="M910" s="11"/>
      <c r="N910" s="12"/>
      <c r="O910" s="13"/>
      <c r="P910" s="14"/>
    </row>
    <row r="911" spans="2:21" x14ac:dyDescent="0.25">
      <c r="B911" s="7"/>
      <c r="C911" s="8"/>
      <c r="D911" s="8"/>
      <c r="E911" s="9"/>
      <c r="F911" s="9"/>
      <c r="G911" s="17"/>
      <c r="H911" s="17"/>
      <c r="I911" s="9"/>
      <c r="J911" s="9"/>
      <c r="K911" s="10">
        <v>0</v>
      </c>
      <c r="L911" s="10"/>
      <c r="M911" s="11"/>
      <c r="N911" s="12"/>
      <c r="O911" s="13"/>
      <c r="P911" s="14"/>
      <c r="R911" s="1">
        <v>800</v>
      </c>
    </row>
    <row r="912" spans="2:21" x14ac:dyDescent="0.25">
      <c r="B912" s="7"/>
      <c r="C912" s="8"/>
      <c r="D912" s="8"/>
      <c r="E912" s="9"/>
      <c r="F912" s="9"/>
      <c r="G912" s="17"/>
      <c r="H912" s="17"/>
      <c r="I912" s="9"/>
      <c r="J912" s="9"/>
      <c r="K912" s="10">
        <v>0</v>
      </c>
      <c r="L912" s="10"/>
      <c r="M912" s="11"/>
      <c r="N912" s="12"/>
      <c r="O912" s="13"/>
      <c r="P912" s="14"/>
    </row>
    <row r="913" spans="2:23" x14ac:dyDescent="0.25">
      <c r="B913" s="7"/>
      <c r="C913" s="8"/>
      <c r="D913" s="8"/>
      <c r="E913" s="9"/>
      <c r="F913" s="9"/>
      <c r="G913" s="17"/>
      <c r="H913" s="17"/>
      <c r="I913" s="9"/>
      <c r="J913" s="9"/>
      <c r="K913" s="10">
        <v>0</v>
      </c>
      <c r="L913" s="10"/>
      <c r="M913" s="11"/>
      <c r="N913" s="12"/>
      <c r="O913" s="13"/>
      <c r="P913" s="14"/>
      <c r="R913" s="1">
        <v>2370</v>
      </c>
      <c r="S913" s="1">
        <v>5214</v>
      </c>
      <c r="T913" s="1">
        <v>4414</v>
      </c>
    </row>
    <row r="914" spans="2:23" x14ac:dyDescent="0.25">
      <c r="B914" s="7"/>
      <c r="C914" s="8"/>
      <c r="D914" s="8"/>
      <c r="E914" s="9"/>
      <c r="F914" s="9"/>
      <c r="G914" s="17"/>
      <c r="H914" s="17"/>
      <c r="I914" s="9"/>
      <c r="J914" s="9"/>
      <c r="K914" s="10">
        <v>0</v>
      </c>
      <c r="L914" s="10"/>
      <c r="M914" s="11"/>
      <c r="N914" s="12"/>
      <c r="O914" s="13"/>
      <c r="P914" s="14"/>
    </row>
    <row r="915" spans="2:23" x14ac:dyDescent="0.25">
      <c r="B915" s="7"/>
      <c r="C915" s="8"/>
      <c r="D915" s="8"/>
      <c r="E915" s="9"/>
      <c r="F915" s="9"/>
      <c r="G915" s="17"/>
      <c r="H915" s="17"/>
      <c r="I915" s="9"/>
      <c r="J915" s="9"/>
      <c r="K915" s="10">
        <v>0</v>
      </c>
      <c r="L915" s="10"/>
      <c r="M915" s="11"/>
      <c r="N915" s="12"/>
      <c r="O915" s="13"/>
      <c r="P915" s="14"/>
    </row>
    <row r="916" spans="2:23" x14ac:dyDescent="0.25">
      <c r="B916" s="7"/>
      <c r="C916" s="8"/>
      <c r="D916" s="8"/>
      <c r="E916" s="9"/>
      <c r="F916" s="9"/>
      <c r="G916" s="17"/>
      <c r="H916" s="17"/>
      <c r="I916" s="9"/>
      <c r="J916" s="9"/>
      <c r="K916" s="10">
        <v>0</v>
      </c>
      <c r="L916" s="10"/>
      <c r="M916" s="11"/>
      <c r="N916" s="12"/>
      <c r="O916" s="13"/>
      <c r="P916" s="14"/>
      <c r="R916" s="1">
        <v>5</v>
      </c>
    </row>
    <row r="917" spans="2:23" x14ac:dyDescent="0.25">
      <c r="B917" s="7"/>
      <c r="C917" s="8"/>
      <c r="D917" s="8"/>
      <c r="E917" s="9"/>
      <c r="F917" s="9"/>
      <c r="G917" s="17"/>
      <c r="H917" s="17"/>
      <c r="I917" s="9"/>
      <c r="J917" s="9"/>
      <c r="K917" s="10">
        <v>0</v>
      </c>
      <c r="L917" s="10"/>
      <c r="M917" s="11"/>
      <c r="N917" s="12"/>
      <c r="O917" s="13"/>
      <c r="P917" s="14"/>
    </row>
    <row r="918" spans="2:23" x14ac:dyDescent="0.25">
      <c r="B918" s="7"/>
      <c r="C918" s="8"/>
      <c r="D918" s="8"/>
      <c r="E918" s="9"/>
      <c r="F918" s="9"/>
      <c r="G918" s="17"/>
      <c r="H918" s="17"/>
      <c r="I918" s="9"/>
      <c r="J918" s="9"/>
      <c r="K918" s="10">
        <v>0</v>
      </c>
      <c r="L918" s="10"/>
      <c r="M918" s="11"/>
      <c r="N918" s="12"/>
      <c r="O918" s="13"/>
      <c r="P918" s="14"/>
      <c r="R918" s="1">
        <v>12056.000000000002</v>
      </c>
      <c r="S918" s="1">
        <v>1700</v>
      </c>
      <c r="T918" s="1">
        <v>150</v>
      </c>
      <c r="U918" s="1">
        <v>706</v>
      </c>
      <c r="V918" s="1">
        <v>2556</v>
      </c>
      <c r="W918" s="1">
        <v>-9500.0000000000018</v>
      </c>
    </row>
    <row r="919" spans="2:23" x14ac:dyDescent="0.25">
      <c r="B919" s="7"/>
      <c r="C919" s="8"/>
      <c r="D919" s="8"/>
      <c r="E919" s="9"/>
      <c r="F919" s="9"/>
      <c r="G919" s="17"/>
      <c r="H919" s="17"/>
      <c r="I919" s="9"/>
      <c r="J919" s="9"/>
      <c r="K919" s="10">
        <v>0</v>
      </c>
      <c r="L919" s="10"/>
      <c r="M919" s="11"/>
      <c r="N919" s="12"/>
      <c r="O919" s="13"/>
      <c r="P919" s="14"/>
      <c r="R919" s="1">
        <v>500</v>
      </c>
    </row>
    <row r="920" spans="2:23" x14ac:dyDescent="0.25">
      <c r="B920" s="7"/>
      <c r="C920" s="8"/>
      <c r="D920" s="8"/>
      <c r="E920" s="9"/>
      <c r="F920" s="9"/>
      <c r="G920" s="17"/>
      <c r="H920" s="17"/>
      <c r="I920" s="9"/>
      <c r="J920" s="9"/>
      <c r="K920" s="10">
        <v>0</v>
      </c>
      <c r="L920" s="10"/>
      <c r="M920" s="11"/>
      <c r="N920" s="12"/>
      <c r="O920" s="13"/>
      <c r="P920" s="14"/>
      <c r="T920" s="1">
        <v>3056</v>
      </c>
    </row>
    <row r="921" spans="2:23" x14ac:dyDescent="0.25">
      <c r="B921" s="7"/>
      <c r="C921" s="8"/>
      <c r="D921" s="8"/>
      <c r="E921" s="9"/>
      <c r="F921" s="9"/>
      <c r="G921" s="17"/>
      <c r="H921" s="17"/>
      <c r="I921" s="9"/>
      <c r="J921" s="9"/>
      <c r="K921" s="10">
        <v>0</v>
      </c>
      <c r="L921" s="10"/>
      <c r="M921" s="11"/>
      <c r="N921" s="12"/>
      <c r="O921" s="13"/>
      <c r="P921" s="14"/>
    </row>
    <row r="922" spans="2:23" x14ac:dyDescent="0.25">
      <c r="B922" s="7"/>
      <c r="C922" s="8"/>
      <c r="D922" s="8"/>
      <c r="E922" s="9"/>
      <c r="F922" s="9"/>
      <c r="G922" s="17"/>
      <c r="H922" s="17"/>
      <c r="I922" s="9"/>
      <c r="J922" s="9"/>
      <c r="K922" s="10">
        <v>0</v>
      </c>
      <c r="L922" s="10"/>
      <c r="M922" s="11"/>
      <c r="N922" s="12"/>
      <c r="O922" s="13"/>
      <c r="P922" s="14"/>
      <c r="Q922" s="2">
        <v>9677</v>
      </c>
    </row>
    <row r="923" spans="2:23" x14ac:dyDescent="0.25">
      <c r="B923" s="7"/>
      <c r="C923" s="8"/>
      <c r="D923" s="8"/>
      <c r="E923" s="9"/>
      <c r="F923" s="9"/>
      <c r="G923" s="17"/>
      <c r="H923" s="17"/>
      <c r="I923" s="9"/>
      <c r="J923" s="9"/>
      <c r="K923" s="10">
        <v>0</v>
      </c>
      <c r="L923" s="10"/>
      <c r="M923" s="11"/>
      <c r="N923" s="12"/>
      <c r="O923" s="13"/>
      <c r="P923" s="14"/>
      <c r="Q923" s="2">
        <v>459</v>
      </c>
    </row>
    <row r="924" spans="2:23" x14ac:dyDescent="0.25">
      <c r="B924" s="7"/>
      <c r="C924" s="8"/>
      <c r="D924" s="8"/>
      <c r="E924" s="9"/>
      <c r="F924" s="9"/>
      <c r="G924" s="17"/>
      <c r="H924" s="17"/>
      <c r="I924" s="9"/>
      <c r="J924" s="9"/>
      <c r="K924" s="10">
        <v>0</v>
      </c>
      <c r="L924" s="10"/>
      <c r="M924" s="11"/>
      <c r="N924" s="12"/>
      <c r="O924" s="13"/>
      <c r="P924" s="14"/>
    </row>
    <row r="925" spans="2:23" x14ac:dyDescent="0.25">
      <c r="B925" s="7"/>
      <c r="C925" s="8"/>
      <c r="D925" s="8"/>
      <c r="E925" s="9"/>
      <c r="F925" s="9"/>
      <c r="G925" s="17"/>
      <c r="H925" s="17"/>
      <c r="I925" s="9"/>
      <c r="J925" s="9"/>
      <c r="K925" s="10">
        <v>0</v>
      </c>
      <c r="L925" s="10"/>
      <c r="M925" s="11"/>
      <c r="N925" s="12"/>
      <c r="O925" s="13"/>
      <c r="P925" s="14"/>
    </row>
    <row r="926" spans="2:23" x14ac:dyDescent="0.25">
      <c r="B926" s="7"/>
      <c r="C926" s="8"/>
      <c r="D926" s="8"/>
      <c r="E926" s="9"/>
      <c r="F926" s="9"/>
      <c r="G926" s="17"/>
      <c r="H926" s="17"/>
      <c r="I926" s="9"/>
      <c r="J926" s="9"/>
      <c r="K926" s="10">
        <v>0</v>
      </c>
      <c r="L926" s="10"/>
      <c r="M926" s="11"/>
      <c r="N926" s="12"/>
      <c r="O926" s="13"/>
      <c r="P926" s="14"/>
    </row>
    <row r="927" spans="2:23" x14ac:dyDescent="0.25">
      <c r="B927" s="7"/>
      <c r="C927" s="8"/>
      <c r="D927" s="8"/>
      <c r="E927" s="9"/>
      <c r="F927" s="9"/>
      <c r="G927" s="17"/>
      <c r="H927" s="17"/>
      <c r="I927" s="9"/>
      <c r="J927" s="9"/>
      <c r="K927" s="10">
        <v>0</v>
      </c>
      <c r="L927" s="10"/>
      <c r="M927" s="11"/>
      <c r="N927" s="12"/>
      <c r="O927" s="13"/>
      <c r="P927" s="14"/>
    </row>
    <row r="928" spans="2:23" x14ac:dyDescent="0.25">
      <c r="B928" s="7"/>
      <c r="C928" s="8"/>
      <c r="D928" s="8"/>
      <c r="E928" s="9"/>
      <c r="F928" s="9"/>
      <c r="G928" s="17"/>
      <c r="H928" s="17"/>
      <c r="I928" s="9"/>
      <c r="J928" s="9"/>
      <c r="K928" s="10">
        <v>0</v>
      </c>
      <c r="L928" s="10"/>
      <c r="M928" s="11"/>
      <c r="N928" s="12"/>
      <c r="O928" s="13"/>
      <c r="P928" s="14"/>
    </row>
    <row r="929" spans="2:16" x14ac:dyDescent="0.25">
      <c r="B929" s="7"/>
      <c r="C929" s="8"/>
      <c r="D929" s="8"/>
      <c r="E929" s="9"/>
      <c r="F929" s="9"/>
      <c r="G929" s="17"/>
      <c r="H929" s="17"/>
      <c r="I929" s="9"/>
      <c r="J929" s="9"/>
      <c r="K929" s="10">
        <v>0</v>
      </c>
      <c r="L929" s="10"/>
      <c r="M929" s="11"/>
      <c r="N929" s="12"/>
      <c r="O929" s="13"/>
      <c r="P929" s="14"/>
    </row>
    <row r="930" spans="2:16" x14ac:dyDescent="0.25">
      <c r="B930" s="7"/>
      <c r="C930" s="8"/>
      <c r="D930" s="8"/>
      <c r="E930" s="9"/>
      <c r="F930" s="9"/>
      <c r="G930" s="17"/>
      <c r="H930" s="17"/>
      <c r="I930" s="9"/>
      <c r="J930" s="9"/>
      <c r="K930" s="10">
        <v>0</v>
      </c>
      <c r="L930" s="10"/>
      <c r="M930" s="11"/>
      <c r="N930" s="12"/>
      <c r="O930" s="13"/>
      <c r="P930" s="14"/>
    </row>
    <row r="931" spans="2:16" x14ac:dyDescent="0.25">
      <c r="B931" s="7"/>
      <c r="C931" s="8"/>
      <c r="D931" s="8"/>
      <c r="E931" s="9"/>
      <c r="F931" s="9"/>
      <c r="G931" s="17"/>
      <c r="H931" s="17"/>
      <c r="I931" s="9"/>
      <c r="J931" s="9"/>
      <c r="K931" s="10">
        <v>0</v>
      </c>
      <c r="L931" s="10"/>
      <c r="M931" s="11"/>
      <c r="N931" s="12"/>
      <c r="O931" s="13"/>
      <c r="P931" s="14"/>
    </row>
    <row r="932" spans="2:16" x14ac:dyDescent="0.25">
      <c r="B932" s="7"/>
      <c r="C932" s="8"/>
      <c r="D932" s="8"/>
      <c r="E932" s="9"/>
      <c r="F932" s="9"/>
      <c r="G932" s="17"/>
      <c r="H932" s="17"/>
      <c r="I932" s="9"/>
      <c r="J932" s="9"/>
      <c r="K932" s="10">
        <v>0</v>
      </c>
      <c r="L932" s="10"/>
      <c r="M932" s="11"/>
      <c r="N932" s="12"/>
      <c r="O932" s="13"/>
      <c r="P932" s="14"/>
    </row>
    <row r="933" spans="2:16" x14ac:dyDescent="0.25">
      <c r="B933" s="7"/>
      <c r="C933" s="8"/>
      <c r="D933" s="8"/>
      <c r="E933" s="9"/>
      <c r="F933" s="9"/>
      <c r="G933" s="17"/>
      <c r="H933" s="17"/>
      <c r="I933" s="9"/>
      <c r="J933" s="9"/>
      <c r="K933" s="10">
        <v>0</v>
      </c>
      <c r="L933" s="10"/>
      <c r="M933" s="11"/>
      <c r="N933" s="12"/>
      <c r="O933" s="13"/>
      <c r="P933" s="14"/>
    </row>
    <row r="934" spans="2:16" x14ac:dyDescent="0.25">
      <c r="B934" s="7"/>
      <c r="D934" s="8"/>
      <c r="E934" s="9"/>
      <c r="F934" s="9"/>
      <c r="G934" s="17"/>
      <c r="H934" s="17"/>
      <c r="I934" s="9"/>
      <c r="J934" s="9"/>
      <c r="K934" s="10">
        <v>0</v>
      </c>
      <c r="L934" s="10"/>
      <c r="M934" s="11"/>
      <c r="N934" s="12"/>
      <c r="O934" s="13"/>
      <c r="P934" s="14"/>
    </row>
    <row r="935" spans="2:16" x14ac:dyDescent="0.25">
      <c r="P935" s="14"/>
    </row>
  </sheetData>
  <mergeCells count="15">
    <mergeCell ref="A1:P1"/>
    <mergeCell ref="A2:P2"/>
    <mergeCell ref="A3:P3"/>
    <mergeCell ref="A4:A5"/>
    <mergeCell ref="B4:B5"/>
    <mergeCell ref="C4:C5"/>
    <mergeCell ref="D4:D5"/>
    <mergeCell ref="E4:E5"/>
    <mergeCell ref="F4:H4"/>
    <mergeCell ref="I4:J4"/>
    <mergeCell ref="K4:K5"/>
    <mergeCell ref="L4:L5"/>
    <mergeCell ref="M4:M5"/>
    <mergeCell ref="N4:N5"/>
    <mergeCell ref="P4:P5"/>
  </mergeCells>
  <pageMargins left="0.7" right="0.7" top="0.75" bottom="0.75" header="0.3" footer="0.3"/>
  <pageSetup paperSize="9" orientation="portrait" horizontalDpi="120" verticalDpi="7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28"/>
  <sheetViews>
    <sheetView topLeftCell="B1" zoomScale="64" zoomScaleNormal="64" workbookViewId="0">
      <selection activeCell="G23" sqref="G23"/>
    </sheetView>
  </sheetViews>
  <sheetFormatPr baseColWidth="10" defaultRowHeight="15" x14ac:dyDescent="0.25"/>
  <cols>
    <col min="1" max="1" width="11.42578125" style="1" hidden="1" customWidth="1"/>
    <col min="2" max="2" width="9.28515625" style="1" customWidth="1"/>
    <col min="3" max="3" width="25.5703125" style="1" customWidth="1"/>
    <col min="4" max="4" width="23.5703125" style="1" customWidth="1"/>
    <col min="5" max="5" width="11.42578125" style="1"/>
    <col min="6" max="6" width="15.28515625" style="1" customWidth="1"/>
    <col min="7" max="12" width="11.42578125" style="1"/>
    <col min="13" max="13" width="30.85546875" style="1" customWidth="1"/>
    <col min="14" max="16384" width="11.42578125" style="1"/>
  </cols>
  <sheetData>
    <row r="1" spans="1:22" x14ac:dyDescent="0.25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2"/>
    </row>
    <row r="2" spans="1:22" x14ac:dyDescent="0.25">
      <c r="A2" s="103" t="s">
        <v>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5"/>
    </row>
    <row r="3" spans="1:22" x14ac:dyDescent="0.25">
      <c r="A3" s="106" t="s">
        <v>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8"/>
    </row>
    <row r="4" spans="1:22" x14ac:dyDescent="0.25">
      <c r="A4" s="109" t="s">
        <v>3</v>
      </c>
      <c r="B4" s="109" t="s">
        <v>4</v>
      </c>
      <c r="C4" s="109" t="s">
        <v>5</v>
      </c>
      <c r="D4" s="109" t="s">
        <v>6</v>
      </c>
      <c r="E4" s="109" t="s">
        <v>7</v>
      </c>
      <c r="F4" s="111" t="s">
        <v>8</v>
      </c>
      <c r="G4" s="112"/>
      <c r="H4" s="113"/>
      <c r="I4" s="111" t="s">
        <v>9</v>
      </c>
      <c r="J4" s="113"/>
      <c r="K4" s="109" t="s">
        <v>10</v>
      </c>
      <c r="L4" s="109" t="s">
        <v>11</v>
      </c>
      <c r="M4" s="109" t="s">
        <v>12</v>
      </c>
      <c r="N4" s="109" t="s">
        <v>13</v>
      </c>
      <c r="O4" s="3" t="s">
        <v>14</v>
      </c>
      <c r="P4" s="114"/>
    </row>
    <row r="5" spans="1:22" x14ac:dyDescent="0.25">
      <c r="A5" s="110"/>
      <c r="B5" s="110"/>
      <c r="C5" s="110"/>
      <c r="D5" s="110"/>
      <c r="E5" s="110"/>
      <c r="F5" s="4" t="s">
        <v>15</v>
      </c>
      <c r="G5" s="4" t="s">
        <v>16</v>
      </c>
      <c r="H5" s="4" t="s">
        <v>17</v>
      </c>
      <c r="I5" s="4" t="s">
        <v>16</v>
      </c>
      <c r="J5" s="4" t="s">
        <v>17</v>
      </c>
      <c r="K5" s="110"/>
      <c r="L5" s="110"/>
      <c r="M5" s="110"/>
      <c r="N5" s="110"/>
      <c r="O5" s="5" t="s">
        <v>18</v>
      </c>
      <c r="P5" s="115"/>
    </row>
    <row r="6" spans="1:22" x14ac:dyDescent="0.25">
      <c r="A6" s="6"/>
      <c r="B6" s="7"/>
      <c r="C6" s="8"/>
      <c r="D6" s="8"/>
      <c r="E6" s="9"/>
      <c r="F6" s="9"/>
      <c r="G6" s="17"/>
      <c r="H6" s="17"/>
      <c r="I6" s="9"/>
      <c r="J6" s="9"/>
      <c r="K6" s="10">
        <v>0</v>
      </c>
      <c r="L6" s="10"/>
      <c r="M6" s="11"/>
      <c r="N6" s="12"/>
      <c r="O6" s="13"/>
      <c r="P6" s="14"/>
    </row>
    <row r="7" spans="1:22" x14ac:dyDescent="0.25">
      <c r="A7" s="6"/>
      <c r="B7" s="7"/>
      <c r="C7" s="8"/>
      <c r="D7" s="8"/>
      <c r="E7" s="9"/>
      <c r="F7" s="9"/>
      <c r="G7" s="17"/>
      <c r="H7" s="17"/>
      <c r="I7" s="9"/>
      <c r="J7" s="9"/>
      <c r="K7" s="10">
        <v>0</v>
      </c>
      <c r="L7" s="10"/>
      <c r="M7" s="11"/>
      <c r="N7" s="12"/>
      <c r="O7" s="13"/>
      <c r="P7" s="14"/>
    </row>
    <row r="8" spans="1:22" x14ac:dyDescent="0.25">
      <c r="A8" s="6"/>
      <c r="B8" s="7"/>
      <c r="C8" s="8"/>
      <c r="D8" s="8"/>
      <c r="E8" s="9"/>
      <c r="F8" s="9"/>
      <c r="G8" s="17"/>
      <c r="H8" s="17"/>
      <c r="I8" s="9"/>
      <c r="J8" s="9"/>
      <c r="K8" s="10">
        <v>0</v>
      </c>
      <c r="L8" s="10"/>
      <c r="M8" s="11"/>
      <c r="N8" s="12"/>
      <c r="O8" s="13"/>
      <c r="P8" s="14"/>
    </row>
    <row r="9" spans="1:22" x14ac:dyDescent="0.25">
      <c r="A9" s="6"/>
      <c r="B9" s="7"/>
      <c r="C9" s="8"/>
      <c r="D9" s="8"/>
      <c r="E9" s="9"/>
      <c r="F9" s="9"/>
      <c r="G9" s="17"/>
      <c r="H9" s="17"/>
      <c r="I9" s="9"/>
      <c r="J9" s="9"/>
      <c r="K9" s="10">
        <v>0</v>
      </c>
      <c r="L9" s="10"/>
      <c r="M9" s="11"/>
      <c r="N9" s="12"/>
      <c r="O9" s="13"/>
      <c r="P9" s="14"/>
    </row>
    <row r="10" spans="1:22" x14ac:dyDescent="0.25">
      <c r="A10" s="6"/>
      <c r="B10" s="7"/>
      <c r="C10" s="8"/>
      <c r="D10" s="8"/>
      <c r="E10" s="9"/>
      <c r="F10" s="9"/>
      <c r="G10" s="17"/>
      <c r="H10" s="17"/>
      <c r="I10" s="9"/>
      <c r="J10" s="9"/>
      <c r="K10" s="10">
        <v>0</v>
      </c>
      <c r="L10" s="10"/>
      <c r="M10" s="11"/>
      <c r="N10" s="12"/>
      <c r="O10" s="13"/>
      <c r="P10" s="14"/>
    </row>
    <row r="11" spans="1:22" x14ac:dyDescent="0.25">
      <c r="A11" s="6"/>
      <c r="B11" s="7"/>
      <c r="C11" s="8"/>
      <c r="D11" s="8"/>
      <c r="E11" s="9"/>
      <c r="F11" s="9"/>
      <c r="G11" s="17"/>
      <c r="H11" s="17"/>
      <c r="I11" s="9"/>
      <c r="J11" s="9"/>
      <c r="K11" s="10">
        <v>0</v>
      </c>
      <c r="L11" s="10"/>
      <c r="M11" s="11"/>
      <c r="N11" s="12"/>
      <c r="O11" s="13"/>
      <c r="P11" s="14"/>
    </row>
    <row r="12" spans="1:22" x14ac:dyDescent="0.25">
      <c r="A12" s="6"/>
      <c r="B12" s="7"/>
      <c r="C12" s="8"/>
      <c r="D12" s="8"/>
      <c r="E12" s="9"/>
      <c r="F12" s="9"/>
      <c r="G12" s="17"/>
      <c r="H12" s="17"/>
      <c r="I12" s="9"/>
      <c r="J12" s="9"/>
      <c r="K12" s="10">
        <v>0</v>
      </c>
      <c r="L12" s="10"/>
      <c r="M12" s="11"/>
      <c r="N12" s="12"/>
      <c r="O12" s="13"/>
      <c r="P12" s="14"/>
    </row>
    <row r="13" spans="1:22" x14ac:dyDescent="0.25">
      <c r="A13" s="6"/>
      <c r="B13" s="7"/>
      <c r="C13" s="8"/>
      <c r="D13" s="8"/>
      <c r="E13" s="9"/>
      <c r="F13" s="9"/>
      <c r="G13" s="17"/>
      <c r="H13" s="17"/>
      <c r="I13" s="9"/>
      <c r="J13" s="9"/>
      <c r="K13" s="10">
        <v>0</v>
      </c>
      <c r="L13" s="10"/>
      <c r="M13" s="11"/>
      <c r="N13" s="12"/>
      <c r="O13" s="13"/>
      <c r="P13" s="14"/>
    </row>
    <row r="14" spans="1:22" x14ac:dyDescent="0.25">
      <c r="A14" s="6"/>
      <c r="B14" s="7"/>
      <c r="C14" s="8"/>
      <c r="D14" s="8"/>
      <c r="E14" s="9"/>
      <c r="F14" s="9"/>
      <c r="G14" s="17"/>
      <c r="H14" s="17"/>
      <c r="I14" s="9"/>
      <c r="J14" s="9"/>
      <c r="K14" s="10">
        <v>0</v>
      </c>
      <c r="L14" s="10"/>
      <c r="M14" s="11"/>
      <c r="N14" s="12"/>
      <c r="O14" s="13"/>
      <c r="P14" s="14"/>
    </row>
    <row r="15" spans="1:22" x14ac:dyDescent="0.25">
      <c r="A15" s="6"/>
      <c r="B15" s="7"/>
      <c r="C15" s="8"/>
      <c r="D15" s="8"/>
      <c r="E15" s="9"/>
      <c r="F15" s="9"/>
      <c r="G15" s="17"/>
      <c r="H15" s="17"/>
      <c r="I15" s="9"/>
      <c r="J15" s="9"/>
      <c r="K15" s="10">
        <v>0</v>
      </c>
      <c r="L15" s="10"/>
      <c r="M15" s="11"/>
      <c r="N15" s="12"/>
      <c r="O15" s="13"/>
      <c r="P15" s="14"/>
    </row>
    <row r="16" spans="1:22" x14ac:dyDescent="0.25">
      <c r="A16" s="6"/>
      <c r="B16" s="7"/>
      <c r="C16" s="8"/>
      <c r="D16" s="8"/>
      <c r="E16" s="9"/>
      <c r="F16" s="9"/>
      <c r="G16" s="17"/>
      <c r="H16" s="17"/>
      <c r="I16" s="9"/>
      <c r="J16" s="9"/>
      <c r="K16" s="10">
        <v>0</v>
      </c>
      <c r="L16" s="10"/>
      <c r="M16" s="11"/>
      <c r="N16" s="12"/>
      <c r="O16" s="13"/>
      <c r="P16" s="14"/>
      <c r="Q16" s="2"/>
      <c r="S16" s="18"/>
      <c r="T16" s="18"/>
      <c r="V16" s="23"/>
    </row>
    <row r="17" spans="1:26" x14ac:dyDescent="0.25">
      <c r="A17" s="6"/>
      <c r="B17" s="7"/>
      <c r="C17" s="8"/>
      <c r="D17" s="8"/>
      <c r="E17" s="9"/>
      <c r="F17" s="9"/>
      <c r="G17" s="17"/>
      <c r="H17" s="17"/>
      <c r="I17" s="9"/>
      <c r="J17" s="9"/>
      <c r="K17" s="10">
        <v>0</v>
      </c>
      <c r="L17" s="10"/>
      <c r="M17" s="11"/>
      <c r="N17" s="12"/>
      <c r="O17" s="13"/>
      <c r="P17" s="14"/>
      <c r="T17" s="18"/>
      <c r="V17" s="23"/>
    </row>
    <row r="18" spans="1:26" x14ac:dyDescent="0.25">
      <c r="A18" s="6"/>
      <c r="B18" s="7"/>
      <c r="C18" s="8"/>
      <c r="D18" s="8"/>
      <c r="E18" s="9"/>
      <c r="F18" s="9"/>
      <c r="G18" s="17"/>
      <c r="H18" s="17"/>
      <c r="I18" s="9"/>
      <c r="J18" s="9"/>
      <c r="K18" s="10">
        <v>0</v>
      </c>
      <c r="L18" s="10"/>
      <c r="M18" s="11"/>
      <c r="N18" s="12"/>
      <c r="O18" s="13"/>
      <c r="P18" s="14"/>
      <c r="T18" s="18"/>
      <c r="V18" s="23"/>
    </row>
    <row r="19" spans="1:26" x14ac:dyDescent="0.25">
      <c r="A19" s="6"/>
      <c r="B19" s="7"/>
      <c r="C19" s="8"/>
      <c r="D19" s="8"/>
      <c r="E19" s="9"/>
      <c r="F19" s="9"/>
      <c r="G19" s="17"/>
      <c r="H19" s="17"/>
      <c r="I19" s="9"/>
      <c r="J19" s="9"/>
      <c r="K19" s="10">
        <v>0</v>
      </c>
      <c r="L19" s="10"/>
      <c r="M19" s="11"/>
      <c r="N19" s="12"/>
      <c r="O19" s="13"/>
      <c r="P19" s="14"/>
    </row>
    <row r="20" spans="1:26" x14ac:dyDescent="0.25">
      <c r="A20" s="6"/>
      <c r="B20" s="7"/>
      <c r="C20" s="8"/>
      <c r="D20" s="8"/>
      <c r="E20" s="9"/>
      <c r="F20" s="9"/>
      <c r="G20" s="17"/>
      <c r="H20" s="17"/>
      <c r="I20" s="9"/>
      <c r="J20" s="9"/>
      <c r="K20" s="10">
        <v>0</v>
      </c>
      <c r="L20" s="10"/>
      <c r="M20" s="11"/>
      <c r="N20" s="12"/>
      <c r="O20" s="13"/>
      <c r="P20" s="14"/>
      <c r="Q20" s="2"/>
      <c r="T20" s="18"/>
      <c r="V20" s="23"/>
    </row>
    <row r="21" spans="1:26" x14ac:dyDescent="0.25">
      <c r="A21" s="6"/>
      <c r="B21" s="7"/>
      <c r="C21" s="8"/>
      <c r="D21" s="8"/>
      <c r="E21" s="9"/>
      <c r="F21" s="9"/>
      <c r="G21" s="17"/>
      <c r="H21" s="17"/>
      <c r="I21" s="9"/>
      <c r="J21" s="9"/>
      <c r="K21" s="10">
        <v>0</v>
      </c>
      <c r="L21" s="10"/>
      <c r="M21" s="11"/>
      <c r="N21" s="12"/>
      <c r="O21" s="13"/>
      <c r="P21" s="14"/>
      <c r="Q21" s="2"/>
      <c r="T21" s="18"/>
      <c r="V21" s="23"/>
    </row>
    <row r="22" spans="1:26" x14ac:dyDescent="0.25">
      <c r="A22" s="6"/>
      <c r="B22" s="7"/>
      <c r="C22" s="8"/>
      <c r="D22" s="8"/>
      <c r="E22" s="9"/>
      <c r="F22" s="9"/>
      <c r="G22" s="17"/>
      <c r="H22" s="17"/>
      <c r="I22" s="9"/>
      <c r="J22" s="9"/>
      <c r="K22" s="10">
        <v>0</v>
      </c>
      <c r="L22" s="10"/>
      <c r="M22" s="11"/>
      <c r="N22" s="12"/>
      <c r="O22" s="13"/>
      <c r="P22" s="14"/>
      <c r="T22" s="18"/>
      <c r="V22" s="23"/>
    </row>
    <row r="23" spans="1:26" x14ac:dyDescent="0.25">
      <c r="A23" s="6"/>
      <c r="B23" s="7"/>
      <c r="C23" s="8"/>
      <c r="D23" s="8"/>
      <c r="E23" s="9"/>
      <c r="F23" s="9"/>
      <c r="G23" s="17"/>
      <c r="H23" s="17"/>
      <c r="I23" s="9"/>
      <c r="J23" s="9"/>
      <c r="K23" s="10">
        <v>0</v>
      </c>
      <c r="L23" s="10"/>
      <c r="M23" s="11"/>
      <c r="N23" s="12"/>
      <c r="O23" s="13"/>
      <c r="P23" s="14"/>
    </row>
    <row r="24" spans="1:26" x14ac:dyDescent="0.25">
      <c r="A24" s="6"/>
      <c r="B24" s="7"/>
      <c r="C24" s="8"/>
      <c r="D24" s="8"/>
      <c r="E24" s="9"/>
      <c r="F24" s="9"/>
      <c r="G24" s="17"/>
      <c r="H24" s="17"/>
      <c r="I24" s="9"/>
      <c r="J24" s="9"/>
      <c r="K24" s="10">
        <v>0</v>
      </c>
      <c r="L24" s="10"/>
      <c r="M24" s="11"/>
      <c r="N24" s="12"/>
      <c r="O24" s="13"/>
      <c r="P24" s="14"/>
      <c r="S24" s="18"/>
      <c r="T24" s="18"/>
    </row>
    <row r="25" spans="1:26" x14ac:dyDescent="0.25">
      <c r="A25" s="6"/>
      <c r="B25" s="7"/>
      <c r="C25" s="8"/>
      <c r="D25" s="8"/>
      <c r="E25" s="9"/>
      <c r="F25" s="9"/>
      <c r="G25" s="17"/>
      <c r="H25" s="17"/>
      <c r="I25" s="9"/>
      <c r="J25" s="9"/>
      <c r="K25" s="10">
        <v>0</v>
      </c>
      <c r="L25" s="10"/>
      <c r="M25" s="11"/>
      <c r="N25" s="12"/>
      <c r="O25" s="13"/>
      <c r="P25" s="14"/>
    </row>
    <row r="26" spans="1:26" x14ac:dyDescent="0.25">
      <c r="A26" s="6"/>
      <c r="B26" s="7"/>
      <c r="C26" s="8"/>
      <c r="D26" s="8"/>
      <c r="E26" s="9"/>
      <c r="F26" s="9"/>
      <c r="G26" s="17"/>
      <c r="H26" s="17"/>
      <c r="I26" s="9"/>
      <c r="J26" s="9"/>
      <c r="K26" s="10">
        <v>0</v>
      </c>
      <c r="L26" s="10"/>
      <c r="M26" s="11"/>
      <c r="N26" s="12"/>
      <c r="O26" s="13"/>
      <c r="P26" s="14"/>
    </row>
    <row r="27" spans="1:26" x14ac:dyDescent="0.25">
      <c r="A27" s="6"/>
      <c r="B27" s="7"/>
      <c r="C27" s="8"/>
      <c r="D27" s="8"/>
      <c r="E27" s="9"/>
      <c r="F27" s="9"/>
      <c r="G27" s="17"/>
      <c r="H27" s="17"/>
      <c r="I27" s="9"/>
      <c r="J27" s="9"/>
      <c r="K27" s="10">
        <v>0</v>
      </c>
      <c r="L27" s="10"/>
      <c r="M27" s="11"/>
      <c r="N27" s="12"/>
      <c r="O27" s="13"/>
      <c r="P27" s="14"/>
    </row>
    <row r="28" spans="1:26" x14ac:dyDescent="0.25">
      <c r="A28" s="6"/>
      <c r="B28" s="7"/>
      <c r="C28" s="8"/>
      <c r="D28" s="8"/>
      <c r="E28" s="9"/>
      <c r="F28" s="9"/>
      <c r="G28" s="17"/>
      <c r="H28" s="17"/>
      <c r="I28" s="9"/>
      <c r="J28" s="9"/>
      <c r="K28" s="10">
        <v>0</v>
      </c>
      <c r="L28" s="10"/>
      <c r="M28" s="11"/>
      <c r="N28" s="12"/>
      <c r="O28" s="13"/>
      <c r="P28" s="14"/>
    </row>
    <row r="29" spans="1:26" x14ac:dyDescent="0.25">
      <c r="A29" s="6"/>
      <c r="B29" s="7"/>
      <c r="C29" s="8"/>
      <c r="D29" s="8"/>
      <c r="E29" s="9"/>
      <c r="F29" s="9"/>
      <c r="G29" s="17"/>
      <c r="H29" s="17"/>
      <c r="I29" s="9"/>
      <c r="J29" s="9"/>
      <c r="K29" s="10">
        <v>0</v>
      </c>
      <c r="L29" s="10"/>
      <c r="M29" s="11"/>
      <c r="N29" s="12"/>
      <c r="O29" s="13"/>
      <c r="P29" s="14"/>
    </row>
    <row r="30" spans="1:26" x14ac:dyDescent="0.25">
      <c r="A30" s="6"/>
      <c r="B30" s="7"/>
      <c r="C30" s="8"/>
      <c r="D30" s="8"/>
      <c r="E30" s="9"/>
      <c r="F30" s="9"/>
      <c r="G30" s="17"/>
      <c r="H30" s="17"/>
      <c r="I30" s="9"/>
      <c r="J30" s="9"/>
      <c r="K30" s="10">
        <v>0</v>
      </c>
      <c r="L30" s="10"/>
      <c r="M30" s="11"/>
      <c r="N30" s="12"/>
      <c r="O30" s="13"/>
      <c r="P30" s="14"/>
    </row>
    <row r="31" spans="1:26" x14ac:dyDescent="0.25">
      <c r="A31" s="6"/>
      <c r="B31" s="7"/>
      <c r="C31" s="8"/>
      <c r="D31" s="8"/>
      <c r="E31" s="9"/>
      <c r="F31" s="9"/>
      <c r="G31" s="17"/>
      <c r="H31" s="17"/>
      <c r="I31" s="9"/>
      <c r="J31" s="9"/>
      <c r="K31" s="10">
        <v>0</v>
      </c>
      <c r="L31" s="10"/>
      <c r="M31" s="11"/>
      <c r="N31" s="12"/>
      <c r="O31" s="13"/>
      <c r="P31" s="14"/>
      <c r="Y31" s="1">
        <v>4770</v>
      </c>
      <c r="Z31" s="1">
        <v>0.68240343347639487</v>
      </c>
    </row>
    <row r="32" spans="1:26" x14ac:dyDescent="0.25">
      <c r="A32" s="6"/>
      <c r="B32" s="7"/>
      <c r="C32" s="8"/>
      <c r="D32" s="8"/>
      <c r="E32" s="9"/>
      <c r="F32" s="9"/>
      <c r="G32" s="17"/>
      <c r="H32" s="17"/>
      <c r="I32" s="9"/>
      <c r="J32" s="9"/>
      <c r="K32" s="10">
        <v>0</v>
      </c>
      <c r="L32" s="10"/>
      <c r="M32" s="11"/>
      <c r="N32" s="12"/>
      <c r="O32" s="13"/>
      <c r="P32" s="14"/>
      <c r="Y32" s="1">
        <v>2220</v>
      </c>
      <c r="Z32" s="1">
        <v>0.31759656652360513</v>
      </c>
    </row>
    <row r="33" spans="1:26" x14ac:dyDescent="0.25">
      <c r="A33" s="6"/>
      <c r="B33" s="7"/>
      <c r="C33" s="8"/>
      <c r="D33" s="8"/>
      <c r="E33" s="9"/>
      <c r="F33" s="9"/>
      <c r="G33" s="17"/>
      <c r="H33" s="17"/>
      <c r="I33" s="9"/>
      <c r="J33" s="9"/>
      <c r="K33" s="10">
        <v>0</v>
      </c>
      <c r="L33" s="10"/>
      <c r="M33" s="11"/>
      <c r="N33" s="12"/>
      <c r="O33" s="13"/>
      <c r="P33" s="14"/>
      <c r="Y33" s="1">
        <v>6990</v>
      </c>
      <c r="Z33" s="1">
        <v>-565</v>
      </c>
    </row>
    <row r="34" spans="1:26" x14ac:dyDescent="0.25">
      <c r="A34" s="6"/>
      <c r="B34" s="7"/>
      <c r="C34" s="8"/>
      <c r="D34" s="8"/>
      <c r="E34" s="9"/>
      <c r="F34" s="9"/>
      <c r="G34" s="17"/>
      <c r="H34" s="17"/>
      <c r="I34" s="9"/>
      <c r="J34" s="9"/>
      <c r="K34" s="10">
        <v>0</v>
      </c>
      <c r="L34" s="10"/>
      <c r="M34" s="11"/>
      <c r="N34" s="12"/>
      <c r="O34" s="13"/>
      <c r="P34" s="14"/>
      <c r="Y34" s="1">
        <v>7555</v>
      </c>
    </row>
    <row r="35" spans="1:26" x14ac:dyDescent="0.25">
      <c r="A35" s="6"/>
      <c r="B35" s="7"/>
      <c r="C35" s="8"/>
      <c r="D35" s="8"/>
      <c r="E35" s="9"/>
      <c r="F35" s="9"/>
      <c r="G35" s="17"/>
      <c r="H35" s="17"/>
      <c r="I35" s="9"/>
      <c r="J35" s="9"/>
      <c r="K35" s="10">
        <v>0</v>
      </c>
      <c r="L35" s="10"/>
      <c r="M35" s="11"/>
      <c r="N35" s="12"/>
      <c r="O35" s="13"/>
      <c r="P35" s="14"/>
    </row>
    <row r="36" spans="1:26" x14ac:dyDescent="0.25">
      <c r="A36" s="6"/>
      <c r="B36" s="7"/>
      <c r="C36" s="8"/>
      <c r="D36" s="8"/>
      <c r="E36" s="9"/>
      <c r="F36" s="9"/>
      <c r="G36" s="17"/>
      <c r="H36" s="17"/>
      <c r="I36" s="9"/>
      <c r="J36" s="9"/>
      <c r="K36" s="10">
        <v>0</v>
      </c>
      <c r="L36" s="10"/>
      <c r="M36" s="11"/>
      <c r="N36" s="12"/>
      <c r="O36" s="13"/>
      <c r="P36" s="14"/>
    </row>
    <row r="37" spans="1:26" x14ac:dyDescent="0.25">
      <c r="A37" s="6"/>
      <c r="B37" s="7"/>
      <c r="C37" s="8"/>
      <c r="D37" s="8"/>
      <c r="E37" s="9"/>
      <c r="F37" s="9"/>
      <c r="G37" s="17"/>
      <c r="H37" s="17"/>
      <c r="I37" s="9"/>
      <c r="J37" s="9"/>
      <c r="K37" s="10">
        <v>0</v>
      </c>
      <c r="L37" s="10"/>
      <c r="M37" s="11"/>
      <c r="N37" s="12"/>
      <c r="O37" s="13"/>
      <c r="P37" s="14"/>
    </row>
    <row r="38" spans="1:26" x14ac:dyDescent="0.25">
      <c r="A38" s="6"/>
      <c r="B38" s="7"/>
      <c r="C38" s="8"/>
      <c r="D38" s="8"/>
      <c r="E38" s="9"/>
      <c r="F38" s="9"/>
      <c r="G38" s="17"/>
      <c r="H38" s="17"/>
      <c r="I38" s="9"/>
      <c r="J38" s="9"/>
      <c r="K38" s="10">
        <v>0</v>
      </c>
      <c r="L38" s="10"/>
      <c r="M38" s="11"/>
      <c r="N38" s="12"/>
      <c r="O38" s="13"/>
      <c r="P38" s="14"/>
    </row>
    <row r="39" spans="1:26" x14ac:dyDescent="0.25">
      <c r="A39" s="6"/>
      <c r="B39" s="7"/>
      <c r="C39" s="8"/>
      <c r="D39" s="8"/>
      <c r="E39" s="9"/>
      <c r="F39" s="9"/>
      <c r="G39" s="17"/>
      <c r="H39" s="17"/>
      <c r="I39" s="9"/>
      <c r="J39" s="9"/>
      <c r="K39" s="10">
        <v>0</v>
      </c>
      <c r="L39" s="10"/>
      <c r="M39" s="11"/>
      <c r="N39" s="12"/>
      <c r="O39" s="13"/>
      <c r="P39" s="14"/>
    </row>
    <row r="40" spans="1:26" x14ac:dyDescent="0.25">
      <c r="A40" s="6"/>
      <c r="B40" s="15"/>
      <c r="C40" s="16"/>
      <c r="D40" s="8"/>
      <c r="E40" s="9"/>
      <c r="F40" s="9"/>
      <c r="G40" s="17"/>
      <c r="H40" s="17"/>
      <c r="I40" s="9"/>
      <c r="J40" s="9"/>
      <c r="K40" s="10">
        <v>0</v>
      </c>
      <c r="L40" s="10"/>
      <c r="M40" s="11"/>
      <c r="N40" s="12"/>
      <c r="O40" s="13"/>
      <c r="P40" s="14"/>
    </row>
    <row r="41" spans="1:26" x14ac:dyDescent="0.25">
      <c r="A41" s="6"/>
      <c r="B41" s="7"/>
      <c r="C41" s="8"/>
      <c r="D41" s="8"/>
      <c r="E41" s="9"/>
      <c r="F41" s="9"/>
      <c r="G41" s="17"/>
      <c r="H41" s="17"/>
      <c r="I41" s="9"/>
      <c r="J41" s="9"/>
      <c r="K41" s="10">
        <v>0</v>
      </c>
      <c r="L41" s="10"/>
      <c r="M41" s="11"/>
      <c r="N41" s="12"/>
      <c r="O41" s="13"/>
      <c r="P41" s="14"/>
    </row>
    <row r="42" spans="1:26" x14ac:dyDescent="0.25">
      <c r="A42" s="6"/>
      <c r="B42" s="7"/>
      <c r="C42" s="8"/>
      <c r="D42" s="8"/>
      <c r="E42" s="9"/>
      <c r="F42" s="9"/>
      <c r="G42" s="17"/>
      <c r="H42" s="17"/>
      <c r="I42" s="9"/>
      <c r="J42" s="9"/>
      <c r="K42" s="10">
        <v>0</v>
      </c>
      <c r="L42" s="10"/>
      <c r="M42" s="11"/>
      <c r="N42" s="12"/>
      <c r="O42" s="13"/>
      <c r="P42" s="14"/>
    </row>
    <row r="43" spans="1:26" x14ac:dyDescent="0.25">
      <c r="A43" s="6"/>
      <c r="B43" s="7"/>
      <c r="C43" s="8"/>
      <c r="D43" s="8"/>
      <c r="E43" s="9"/>
      <c r="F43" s="9"/>
      <c r="G43" s="17"/>
      <c r="H43" s="17"/>
      <c r="I43" s="9"/>
      <c r="J43" s="9"/>
      <c r="K43" s="10">
        <v>0</v>
      </c>
      <c r="L43" s="10"/>
      <c r="M43" s="11"/>
      <c r="N43" s="12"/>
      <c r="O43" s="13"/>
      <c r="P43" s="14"/>
    </row>
    <row r="44" spans="1:26" x14ac:dyDescent="0.25">
      <c r="A44" s="6"/>
      <c r="B44" s="7"/>
      <c r="C44" s="8"/>
      <c r="D44" s="8"/>
      <c r="E44" s="9"/>
      <c r="F44" s="9"/>
      <c r="G44" s="17"/>
      <c r="H44" s="17"/>
      <c r="I44" s="9"/>
      <c r="J44" s="9"/>
      <c r="K44" s="10">
        <v>0</v>
      </c>
      <c r="L44" s="10"/>
      <c r="M44" s="11"/>
      <c r="N44" s="12"/>
      <c r="O44" s="13"/>
      <c r="P44" s="14"/>
    </row>
    <row r="45" spans="1:26" x14ac:dyDescent="0.25">
      <c r="A45" s="6"/>
      <c r="B45" s="7"/>
      <c r="C45" s="8"/>
      <c r="D45" s="8"/>
      <c r="E45" s="9"/>
      <c r="F45" s="9"/>
      <c r="G45" s="17"/>
      <c r="H45" s="17"/>
      <c r="I45" s="9"/>
      <c r="J45" s="9"/>
      <c r="K45" s="10">
        <v>0</v>
      </c>
      <c r="L45" s="10"/>
      <c r="M45" s="11"/>
      <c r="N45" s="12"/>
      <c r="O45" s="13"/>
      <c r="P45" s="14"/>
    </row>
    <row r="46" spans="1:26" x14ac:dyDescent="0.25">
      <c r="A46" s="6"/>
      <c r="B46" s="7"/>
      <c r="C46" s="8"/>
      <c r="D46" s="8"/>
      <c r="E46" s="9"/>
      <c r="F46" s="9"/>
      <c r="G46" s="17"/>
      <c r="H46" s="17"/>
      <c r="I46" s="9"/>
      <c r="J46" s="9"/>
      <c r="K46" s="10">
        <v>0</v>
      </c>
      <c r="L46" s="10"/>
      <c r="M46" s="11"/>
      <c r="N46" s="12"/>
      <c r="O46" s="13"/>
      <c r="P46" s="14"/>
    </row>
    <row r="47" spans="1:26" x14ac:dyDescent="0.25">
      <c r="A47" s="6"/>
      <c r="B47" s="7"/>
      <c r="C47" s="8"/>
      <c r="D47" s="8"/>
      <c r="E47" s="9"/>
      <c r="F47" s="9"/>
      <c r="G47" s="17"/>
      <c r="H47" s="17"/>
      <c r="I47" s="9"/>
      <c r="J47" s="9"/>
      <c r="K47" s="10">
        <v>0</v>
      </c>
      <c r="L47" s="10"/>
      <c r="M47" s="11"/>
      <c r="N47" s="12"/>
      <c r="O47" s="13"/>
      <c r="P47" s="14"/>
    </row>
    <row r="48" spans="1:26" x14ac:dyDescent="0.25">
      <c r="A48" s="6"/>
      <c r="B48" s="7"/>
      <c r="C48" s="8"/>
      <c r="D48" s="8"/>
      <c r="E48" s="9"/>
      <c r="F48" s="9"/>
      <c r="G48" s="17"/>
      <c r="H48" s="17"/>
      <c r="I48" s="9"/>
      <c r="J48" s="9"/>
      <c r="K48" s="10">
        <v>0</v>
      </c>
      <c r="L48" s="10"/>
      <c r="M48" s="11"/>
      <c r="N48" s="12"/>
      <c r="O48" s="13"/>
      <c r="P48" s="14"/>
    </row>
    <row r="49" spans="1:17" x14ac:dyDescent="0.25">
      <c r="A49" s="6"/>
      <c r="B49" s="7"/>
      <c r="C49" s="8"/>
      <c r="D49" s="8"/>
      <c r="E49" s="9"/>
      <c r="F49" s="9"/>
      <c r="G49" s="17"/>
      <c r="H49" s="17"/>
      <c r="I49" s="9"/>
      <c r="J49" s="9"/>
      <c r="K49" s="10">
        <v>0</v>
      </c>
      <c r="L49" s="10"/>
      <c r="M49" s="11"/>
      <c r="N49" s="12"/>
      <c r="O49" s="13"/>
      <c r="P49" s="14"/>
    </row>
    <row r="50" spans="1:17" x14ac:dyDescent="0.25">
      <c r="A50" s="6"/>
      <c r="B50" s="7"/>
      <c r="C50" s="8"/>
      <c r="D50" s="8"/>
      <c r="E50" s="9"/>
      <c r="F50" s="9"/>
      <c r="G50" s="17"/>
      <c r="H50" s="17"/>
      <c r="I50" s="9"/>
      <c r="J50" s="9"/>
      <c r="K50" s="10">
        <v>0</v>
      </c>
      <c r="L50" s="10"/>
      <c r="M50" s="11"/>
      <c r="N50" s="12"/>
      <c r="O50" s="13"/>
      <c r="P50" s="14"/>
    </row>
    <row r="51" spans="1:17" x14ac:dyDescent="0.25">
      <c r="A51" s="6"/>
      <c r="B51" s="7"/>
      <c r="C51" s="8"/>
      <c r="D51" s="8"/>
      <c r="E51" s="9"/>
      <c r="F51" s="9"/>
      <c r="G51" s="17"/>
      <c r="H51" s="17"/>
      <c r="I51" s="9"/>
      <c r="J51" s="9"/>
      <c r="K51" s="10">
        <v>0</v>
      </c>
      <c r="L51" s="10"/>
      <c r="M51" s="11"/>
      <c r="N51" s="12"/>
      <c r="O51" s="13"/>
      <c r="P51" s="14"/>
    </row>
    <row r="52" spans="1:17" x14ac:dyDescent="0.25">
      <c r="A52" s="6"/>
      <c r="B52" s="7"/>
      <c r="C52" s="8"/>
      <c r="D52" s="8"/>
      <c r="E52" s="9"/>
      <c r="F52" s="9"/>
      <c r="G52" s="17"/>
      <c r="H52" s="17"/>
      <c r="I52" s="9"/>
      <c r="J52" s="9"/>
      <c r="K52" s="10">
        <v>0</v>
      </c>
      <c r="L52" s="10"/>
      <c r="M52" s="11"/>
      <c r="N52" s="12"/>
      <c r="O52" s="13"/>
      <c r="P52" s="14"/>
    </row>
    <row r="53" spans="1:17" x14ac:dyDescent="0.25">
      <c r="A53" s="6"/>
      <c r="B53" s="7"/>
      <c r="C53" s="8"/>
      <c r="D53" s="8"/>
      <c r="E53" s="9"/>
      <c r="F53" s="9"/>
      <c r="G53" s="17"/>
      <c r="H53" s="17"/>
      <c r="I53" s="9"/>
      <c r="J53" s="9"/>
      <c r="K53" s="10">
        <v>0</v>
      </c>
      <c r="L53" s="10"/>
      <c r="M53" s="11"/>
      <c r="N53" s="12"/>
      <c r="O53" s="13"/>
      <c r="P53" s="14"/>
    </row>
    <row r="54" spans="1:17" x14ac:dyDescent="0.25">
      <c r="A54" s="6"/>
      <c r="B54" s="7"/>
      <c r="C54" s="16"/>
      <c r="D54" s="8"/>
      <c r="E54" s="9"/>
      <c r="F54" s="9"/>
      <c r="G54" s="17"/>
      <c r="H54" s="17"/>
      <c r="I54" s="9"/>
      <c r="J54" s="9"/>
      <c r="K54" s="10">
        <v>0</v>
      </c>
      <c r="L54" s="10"/>
      <c r="M54" s="11"/>
      <c r="N54" s="12"/>
      <c r="O54" s="13"/>
      <c r="P54" s="14"/>
    </row>
    <row r="55" spans="1:17" x14ac:dyDescent="0.25">
      <c r="A55" s="6"/>
      <c r="B55" s="7"/>
      <c r="C55" s="8"/>
      <c r="D55" s="8"/>
      <c r="E55" s="9"/>
      <c r="F55" s="9"/>
      <c r="G55" s="17"/>
      <c r="H55" s="17"/>
      <c r="I55" s="9"/>
      <c r="J55" s="9"/>
      <c r="K55" s="10">
        <v>0</v>
      </c>
      <c r="L55" s="10"/>
      <c r="M55" s="11"/>
      <c r="N55" s="12"/>
      <c r="O55" s="13"/>
      <c r="P55" s="14"/>
    </row>
    <row r="56" spans="1:17" x14ac:dyDescent="0.25">
      <c r="A56" s="6"/>
      <c r="B56" s="7"/>
      <c r="C56" s="8"/>
      <c r="D56" s="8"/>
      <c r="E56" s="9"/>
      <c r="F56" s="9"/>
      <c r="G56" s="17"/>
      <c r="H56" s="17"/>
      <c r="I56" s="9"/>
      <c r="J56" s="9"/>
      <c r="K56" s="10">
        <v>0</v>
      </c>
      <c r="L56" s="10"/>
      <c r="M56" s="11"/>
      <c r="N56" s="12"/>
      <c r="O56" s="13"/>
      <c r="P56" s="14"/>
    </row>
    <row r="57" spans="1:17" x14ac:dyDescent="0.25">
      <c r="A57" s="6"/>
      <c r="B57" s="7"/>
      <c r="C57" s="8"/>
      <c r="D57" s="8"/>
      <c r="E57" s="9"/>
      <c r="F57" s="9"/>
      <c r="G57" s="17"/>
      <c r="H57" s="17"/>
      <c r="I57" s="9"/>
      <c r="J57" s="9"/>
      <c r="K57" s="10">
        <v>0</v>
      </c>
      <c r="L57" s="10"/>
      <c r="M57" s="11"/>
      <c r="N57" s="12"/>
      <c r="O57" s="13"/>
      <c r="P57" s="14"/>
    </row>
    <row r="58" spans="1:17" x14ac:dyDescent="0.25">
      <c r="A58" s="6"/>
      <c r="B58" s="7"/>
      <c r="C58" s="8"/>
      <c r="D58" s="8"/>
      <c r="E58" s="9"/>
      <c r="F58" s="9"/>
      <c r="G58" s="17"/>
      <c r="H58" s="17"/>
      <c r="I58" s="9"/>
      <c r="J58" s="9"/>
      <c r="K58" s="10">
        <v>0</v>
      </c>
      <c r="L58" s="10"/>
      <c r="M58" s="11"/>
      <c r="N58" s="12"/>
      <c r="O58" s="13"/>
      <c r="P58" s="14"/>
    </row>
    <row r="59" spans="1:17" x14ac:dyDescent="0.25">
      <c r="A59" s="6"/>
      <c r="B59" s="7"/>
      <c r="C59" s="8"/>
      <c r="D59" s="8"/>
      <c r="E59" s="9"/>
      <c r="F59" s="9"/>
      <c r="G59" s="17"/>
      <c r="H59" s="17"/>
      <c r="I59" s="9"/>
      <c r="J59" s="9"/>
      <c r="K59" s="10">
        <v>0</v>
      </c>
      <c r="L59" s="10"/>
      <c r="M59" s="11"/>
      <c r="N59" s="12"/>
      <c r="O59" s="13"/>
      <c r="P59" s="14"/>
    </row>
    <row r="60" spans="1:17" x14ac:dyDescent="0.25">
      <c r="A60" s="6"/>
      <c r="B60" s="7"/>
      <c r="C60" s="8"/>
      <c r="D60" s="8"/>
      <c r="E60" s="9"/>
      <c r="F60" s="9"/>
      <c r="G60" s="17"/>
      <c r="H60" s="17"/>
      <c r="I60" s="9"/>
      <c r="J60" s="9"/>
      <c r="K60" s="10">
        <v>0</v>
      </c>
      <c r="L60" s="10"/>
      <c r="M60" s="11"/>
      <c r="N60" s="12"/>
      <c r="O60" s="13"/>
      <c r="P60" s="14"/>
    </row>
    <row r="61" spans="1:17" x14ac:dyDescent="0.25">
      <c r="A61" s="6"/>
      <c r="B61" s="7"/>
      <c r="C61" s="8"/>
      <c r="D61" s="8"/>
      <c r="E61" s="9"/>
      <c r="F61" s="9"/>
      <c r="G61" s="17"/>
      <c r="H61" s="17"/>
      <c r="I61" s="9"/>
      <c r="J61" s="9"/>
      <c r="K61" s="10">
        <v>0</v>
      </c>
      <c r="L61" s="10"/>
      <c r="M61" s="11"/>
      <c r="N61" s="12"/>
      <c r="O61" s="13"/>
      <c r="P61" s="14"/>
    </row>
    <row r="62" spans="1:17" x14ac:dyDescent="0.25">
      <c r="A62" s="6"/>
      <c r="B62" s="7"/>
      <c r="C62" s="8"/>
      <c r="D62" s="8"/>
      <c r="E62" s="9"/>
      <c r="F62" s="9"/>
      <c r="G62" s="17"/>
      <c r="H62" s="17"/>
      <c r="I62" s="9"/>
      <c r="J62" s="9"/>
      <c r="K62" s="10">
        <v>0</v>
      </c>
      <c r="L62" s="10"/>
      <c r="M62" s="11"/>
      <c r="N62" s="12"/>
      <c r="O62" s="13"/>
      <c r="P62" s="14"/>
    </row>
    <row r="63" spans="1:17" x14ac:dyDescent="0.25">
      <c r="A63" s="6"/>
      <c r="B63" s="7"/>
      <c r="C63" s="8"/>
      <c r="D63" s="8"/>
      <c r="E63" s="9"/>
      <c r="F63" s="9"/>
      <c r="G63" s="17"/>
      <c r="H63" s="17"/>
      <c r="I63" s="9"/>
      <c r="J63" s="9"/>
      <c r="K63" s="10">
        <v>0</v>
      </c>
      <c r="L63" s="10"/>
      <c r="M63" s="11"/>
      <c r="N63" s="12"/>
      <c r="O63" s="13"/>
      <c r="P63" s="14"/>
      <c r="Q63" s="2"/>
    </row>
    <row r="64" spans="1:17" x14ac:dyDescent="0.25">
      <c r="A64" s="6"/>
      <c r="B64" s="7"/>
      <c r="C64" s="8"/>
      <c r="D64" s="8"/>
      <c r="E64" s="9"/>
      <c r="F64" s="9"/>
      <c r="G64" s="17"/>
      <c r="H64" s="17"/>
      <c r="I64" s="9"/>
      <c r="J64" s="9"/>
      <c r="K64" s="10">
        <v>0</v>
      </c>
      <c r="L64" s="10"/>
      <c r="M64" s="11"/>
      <c r="N64" s="12"/>
      <c r="O64" s="13"/>
      <c r="P64" s="14"/>
    </row>
    <row r="65" spans="1:18" x14ac:dyDescent="0.25">
      <c r="A65" s="6"/>
      <c r="B65" s="7"/>
      <c r="C65" s="8"/>
      <c r="D65" s="8"/>
      <c r="E65" s="9"/>
      <c r="F65" s="9"/>
      <c r="G65" s="17"/>
      <c r="H65" s="17"/>
      <c r="I65" s="9"/>
      <c r="J65" s="9"/>
      <c r="K65" s="10">
        <v>0</v>
      </c>
      <c r="L65" s="10"/>
      <c r="M65" s="11"/>
      <c r="N65" s="12"/>
      <c r="O65" s="13"/>
      <c r="P65" s="14"/>
    </row>
    <row r="66" spans="1:18" x14ac:dyDescent="0.25">
      <c r="A66" s="6"/>
      <c r="B66" s="7"/>
      <c r="C66" s="8"/>
      <c r="D66" s="8"/>
      <c r="E66" s="9"/>
      <c r="F66" s="9"/>
      <c r="G66" s="17"/>
      <c r="H66" s="17"/>
      <c r="I66" s="9"/>
      <c r="J66" s="9"/>
      <c r="K66" s="10">
        <v>0</v>
      </c>
      <c r="L66" s="10"/>
      <c r="M66" s="11"/>
      <c r="N66" s="12"/>
      <c r="O66" s="13"/>
      <c r="P66" s="14"/>
    </row>
    <row r="67" spans="1:18" x14ac:dyDescent="0.25">
      <c r="A67" s="6"/>
      <c r="B67" s="7"/>
      <c r="C67" s="8"/>
      <c r="D67" s="8"/>
      <c r="E67" s="9"/>
      <c r="F67" s="9"/>
      <c r="G67" s="17"/>
      <c r="H67" s="17"/>
      <c r="I67" s="9"/>
      <c r="J67" s="9"/>
      <c r="K67" s="10">
        <v>0</v>
      </c>
      <c r="L67" s="10"/>
      <c r="M67" s="11"/>
      <c r="N67" s="12"/>
      <c r="O67" s="13"/>
      <c r="P67" s="14"/>
      <c r="Q67" s="2"/>
    </row>
    <row r="68" spans="1:18" x14ac:dyDescent="0.25">
      <c r="A68" s="6"/>
      <c r="B68" s="7"/>
      <c r="C68" s="8"/>
      <c r="D68" s="8"/>
      <c r="E68" s="9"/>
      <c r="F68" s="9"/>
      <c r="G68" s="17"/>
      <c r="H68" s="17"/>
      <c r="I68" s="9"/>
      <c r="J68" s="9"/>
      <c r="K68" s="10">
        <v>0</v>
      </c>
      <c r="L68" s="10"/>
      <c r="M68" s="11"/>
      <c r="N68" s="12"/>
      <c r="O68" s="13"/>
      <c r="P68" s="14"/>
    </row>
    <row r="69" spans="1:18" x14ac:dyDescent="0.25">
      <c r="A69" s="6"/>
      <c r="B69" s="15"/>
      <c r="C69" s="16"/>
      <c r="D69" s="8"/>
      <c r="E69" s="9"/>
      <c r="F69" s="9"/>
      <c r="G69" s="17"/>
      <c r="H69" s="17"/>
      <c r="I69" s="9"/>
      <c r="J69" s="9"/>
      <c r="K69" s="10">
        <v>0</v>
      </c>
      <c r="L69" s="10"/>
      <c r="M69" s="11"/>
      <c r="N69" s="12"/>
      <c r="O69" s="13"/>
      <c r="P69" s="14"/>
    </row>
    <row r="70" spans="1:18" x14ac:dyDescent="0.25">
      <c r="A70" s="6"/>
      <c r="B70" s="7"/>
      <c r="C70" s="8"/>
      <c r="D70" s="8"/>
      <c r="E70" s="9"/>
      <c r="F70" s="9"/>
      <c r="G70" s="17"/>
      <c r="H70" s="17"/>
      <c r="I70" s="9"/>
      <c r="J70" s="9"/>
      <c r="K70" s="10">
        <v>0</v>
      </c>
      <c r="L70" s="10"/>
      <c r="M70" s="11"/>
      <c r="N70" s="12"/>
      <c r="O70" s="13"/>
      <c r="P70" s="14"/>
    </row>
    <row r="71" spans="1:18" x14ac:dyDescent="0.25">
      <c r="A71" s="6"/>
      <c r="B71" s="7"/>
      <c r="C71" s="8"/>
      <c r="D71" s="8"/>
      <c r="E71" s="9"/>
      <c r="F71" s="9"/>
      <c r="G71" s="17"/>
      <c r="H71" s="17"/>
      <c r="I71" s="9"/>
      <c r="J71" s="9"/>
      <c r="K71" s="10">
        <v>0</v>
      </c>
      <c r="L71" s="10"/>
      <c r="M71" s="11"/>
      <c r="N71" s="12"/>
      <c r="O71" s="13"/>
      <c r="P71" s="14"/>
    </row>
    <row r="72" spans="1:18" x14ac:dyDescent="0.25">
      <c r="A72" s="6"/>
      <c r="B72" s="7"/>
      <c r="C72" s="8"/>
      <c r="D72" s="8"/>
      <c r="E72" s="9"/>
      <c r="F72" s="9"/>
      <c r="G72" s="17"/>
      <c r="H72" s="17"/>
      <c r="I72" s="9"/>
      <c r="J72" s="9"/>
      <c r="K72" s="10">
        <v>0</v>
      </c>
      <c r="L72" s="10"/>
      <c r="M72" s="11"/>
      <c r="N72" s="12"/>
      <c r="O72" s="13"/>
      <c r="P72" s="14"/>
    </row>
    <row r="73" spans="1:18" x14ac:dyDescent="0.25">
      <c r="A73" s="6"/>
      <c r="B73" s="7"/>
      <c r="C73" s="8"/>
      <c r="D73" s="8"/>
      <c r="E73" s="9"/>
      <c r="F73" s="9"/>
      <c r="G73" s="17"/>
      <c r="H73" s="17"/>
      <c r="I73" s="9"/>
      <c r="J73" s="9"/>
      <c r="K73" s="10">
        <v>0</v>
      </c>
      <c r="L73" s="10"/>
      <c r="M73" s="11"/>
      <c r="N73" s="12"/>
      <c r="O73" s="13"/>
      <c r="P73" s="14"/>
    </row>
    <row r="74" spans="1:18" x14ac:dyDescent="0.25">
      <c r="A74" s="6"/>
      <c r="B74" s="7"/>
      <c r="C74" s="8"/>
      <c r="D74" s="8"/>
      <c r="E74" s="9"/>
      <c r="F74" s="9"/>
      <c r="G74" s="17"/>
      <c r="H74" s="17"/>
      <c r="I74" s="9"/>
      <c r="J74" s="9"/>
      <c r="K74" s="10">
        <v>0</v>
      </c>
      <c r="L74" s="10"/>
      <c r="M74" s="11"/>
      <c r="N74" s="12"/>
      <c r="O74" s="13"/>
      <c r="P74" s="14"/>
    </row>
    <row r="75" spans="1:18" x14ac:dyDescent="0.25">
      <c r="A75" s="6"/>
      <c r="B75" s="7"/>
      <c r="C75" s="8"/>
      <c r="D75" s="8"/>
      <c r="E75" s="9"/>
      <c r="F75" s="9"/>
      <c r="G75" s="17"/>
      <c r="H75" s="17"/>
      <c r="I75" s="9"/>
      <c r="J75" s="9"/>
      <c r="K75" s="10">
        <v>0</v>
      </c>
      <c r="L75" s="10"/>
      <c r="M75" s="11"/>
      <c r="N75" s="12"/>
      <c r="O75" s="13"/>
      <c r="P75" s="14"/>
    </row>
    <row r="76" spans="1:18" x14ac:dyDescent="0.25">
      <c r="A76" s="6"/>
      <c r="B76" s="7"/>
      <c r="C76" s="8"/>
      <c r="D76" s="8"/>
      <c r="E76" s="9"/>
      <c r="F76" s="9"/>
      <c r="G76" s="17"/>
      <c r="H76" s="17"/>
      <c r="I76" s="9"/>
      <c r="J76" s="9"/>
      <c r="K76" s="10">
        <v>0</v>
      </c>
      <c r="L76" s="10"/>
      <c r="M76" s="11"/>
      <c r="N76" s="12"/>
      <c r="O76" s="13"/>
      <c r="P76" s="14"/>
    </row>
    <row r="77" spans="1:18" x14ac:dyDescent="0.25">
      <c r="A77" s="6"/>
      <c r="B77" s="7"/>
      <c r="C77" s="8"/>
      <c r="D77" s="8"/>
      <c r="E77" s="9"/>
      <c r="F77" s="9"/>
      <c r="G77" s="17"/>
      <c r="H77" s="17"/>
      <c r="I77" s="9"/>
      <c r="J77" s="9"/>
      <c r="K77" s="10">
        <v>0</v>
      </c>
      <c r="L77" s="10"/>
      <c r="M77" s="11"/>
      <c r="N77" s="12"/>
      <c r="O77" s="13"/>
      <c r="P77" s="14"/>
      <c r="R77" s="18"/>
    </row>
    <row r="78" spans="1:18" x14ac:dyDescent="0.25">
      <c r="A78" s="6"/>
      <c r="B78" s="7"/>
      <c r="C78" s="8"/>
      <c r="D78" s="8"/>
      <c r="E78" s="9"/>
      <c r="F78" s="9"/>
      <c r="G78" s="17"/>
      <c r="H78" s="17"/>
      <c r="I78" s="9"/>
      <c r="J78" s="9"/>
      <c r="K78" s="10">
        <v>0</v>
      </c>
      <c r="L78" s="10"/>
      <c r="M78" s="11"/>
      <c r="N78" s="12"/>
      <c r="O78" s="13"/>
      <c r="P78" s="14"/>
    </row>
    <row r="79" spans="1:18" x14ac:dyDescent="0.25">
      <c r="A79" s="6"/>
      <c r="B79" s="7"/>
      <c r="C79" s="8"/>
      <c r="D79" s="8"/>
      <c r="E79" s="9"/>
      <c r="F79" s="9"/>
      <c r="G79" s="17"/>
      <c r="H79" s="17"/>
      <c r="I79" s="9"/>
      <c r="J79" s="9"/>
      <c r="K79" s="10">
        <v>0</v>
      </c>
      <c r="L79" s="10"/>
      <c r="M79" s="11"/>
      <c r="N79" s="12"/>
      <c r="O79" s="13"/>
      <c r="P79" s="14"/>
    </row>
    <row r="80" spans="1:18" x14ac:dyDescent="0.25">
      <c r="A80" s="6"/>
      <c r="B80" s="7"/>
      <c r="C80" s="8"/>
      <c r="D80" s="8"/>
      <c r="E80" s="9"/>
      <c r="F80" s="9"/>
      <c r="G80" s="17"/>
      <c r="H80" s="17"/>
      <c r="I80" s="9"/>
      <c r="J80" s="9"/>
      <c r="K80" s="10">
        <v>0</v>
      </c>
      <c r="L80" s="10"/>
      <c r="M80" s="11"/>
      <c r="N80" s="12"/>
      <c r="O80" s="13"/>
      <c r="P80" s="14"/>
    </row>
    <row r="81" spans="1:17" x14ac:dyDescent="0.25">
      <c r="A81" s="6"/>
      <c r="B81" s="7"/>
      <c r="C81" s="8"/>
      <c r="D81" s="8"/>
      <c r="E81" s="9"/>
      <c r="F81" s="9"/>
      <c r="G81" s="17"/>
      <c r="H81" s="17"/>
      <c r="I81" s="9"/>
      <c r="J81" s="9"/>
      <c r="K81" s="10">
        <v>0</v>
      </c>
      <c r="L81" s="10"/>
      <c r="M81" s="11"/>
      <c r="N81" s="12"/>
      <c r="O81" s="13"/>
      <c r="P81" s="14"/>
    </row>
    <row r="82" spans="1:17" x14ac:dyDescent="0.25">
      <c r="A82" s="6"/>
      <c r="B82" s="7"/>
      <c r="C82" s="8"/>
      <c r="D82" s="8"/>
      <c r="E82" s="9"/>
      <c r="F82" s="9"/>
      <c r="G82" s="17"/>
      <c r="H82" s="17"/>
      <c r="I82" s="9"/>
      <c r="J82" s="9"/>
      <c r="K82" s="10">
        <v>0</v>
      </c>
      <c r="L82" s="10"/>
      <c r="M82" s="11"/>
      <c r="N82" s="12"/>
      <c r="O82" s="13"/>
      <c r="P82" s="14"/>
    </row>
    <row r="83" spans="1:17" x14ac:dyDescent="0.25">
      <c r="A83" s="6"/>
      <c r="B83" s="7"/>
      <c r="C83" s="8"/>
      <c r="D83" s="8"/>
      <c r="E83" s="9"/>
      <c r="F83" s="9"/>
      <c r="G83" s="17"/>
      <c r="H83" s="17"/>
      <c r="I83" s="9"/>
      <c r="J83" s="9"/>
      <c r="K83" s="10">
        <v>0</v>
      </c>
      <c r="L83" s="10"/>
      <c r="M83" s="11"/>
      <c r="N83" s="12"/>
      <c r="O83" s="13"/>
      <c r="P83" s="14"/>
    </row>
    <row r="84" spans="1:17" x14ac:dyDescent="0.25">
      <c r="A84" s="6"/>
      <c r="B84" s="7"/>
      <c r="C84" s="8"/>
      <c r="D84" s="8"/>
      <c r="E84" s="9"/>
      <c r="F84" s="9"/>
      <c r="G84" s="17"/>
      <c r="H84" s="17"/>
      <c r="I84" s="9"/>
      <c r="J84" s="9"/>
      <c r="K84" s="10">
        <v>0</v>
      </c>
      <c r="L84" s="10"/>
      <c r="M84" s="11"/>
      <c r="N84" s="12"/>
      <c r="O84" s="13"/>
      <c r="P84" s="14"/>
    </row>
    <row r="85" spans="1:17" x14ac:dyDescent="0.25">
      <c r="A85" s="6"/>
      <c r="B85" s="7"/>
      <c r="C85" s="8"/>
      <c r="D85" s="8"/>
      <c r="E85" s="9"/>
      <c r="F85" s="9"/>
      <c r="G85" s="17"/>
      <c r="H85" s="17"/>
      <c r="I85" s="9"/>
      <c r="J85" s="9"/>
      <c r="K85" s="10">
        <v>0</v>
      </c>
      <c r="L85" s="10"/>
      <c r="M85" s="11"/>
      <c r="N85" s="12"/>
      <c r="O85" s="13"/>
      <c r="P85" s="14"/>
    </row>
    <row r="86" spans="1:17" x14ac:dyDescent="0.25">
      <c r="A86" s="6"/>
      <c r="B86" s="7"/>
      <c r="C86" s="8"/>
      <c r="D86" s="8"/>
      <c r="E86" s="9"/>
      <c r="F86" s="9"/>
      <c r="G86" s="17"/>
      <c r="H86" s="17"/>
      <c r="I86" s="9"/>
      <c r="J86" s="9"/>
      <c r="K86" s="10">
        <v>0</v>
      </c>
      <c r="L86" s="10"/>
      <c r="M86" s="11"/>
      <c r="N86" s="12"/>
      <c r="O86" s="13"/>
      <c r="P86" s="14"/>
    </row>
    <row r="87" spans="1:17" x14ac:dyDescent="0.25">
      <c r="A87" s="6"/>
      <c r="B87" s="7"/>
      <c r="C87" s="8"/>
      <c r="D87" s="8"/>
      <c r="E87" s="9"/>
      <c r="F87" s="9"/>
      <c r="G87" s="17"/>
      <c r="H87" s="17"/>
      <c r="I87" s="9"/>
      <c r="J87" s="9"/>
      <c r="K87" s="10">
        <v>0</v>
      </c>
      <c r="L87" s="10"/>
      <c r="M87" s="11"/>
      <c r="N87" s="12"/>
      <c r="O87" s="13"/>
      <c r="P87" s="14"/>
    </row>
    <row r="88" spans="1:17" x14ac:dyDescent="0.25">
      <c r="A88" s="6"/>
      <c r="B88" s="7"/>
      <c r="C88" s="8"/>
      <c r="D88" s="8"/>
      <c r="E88" s="9"/>
      <c r="F88" s="9"/>
      <c r="G88" s="17"/>
      <c r="H88" s="17"/>
      <c r="I88" s="9"/>
      <c r="J88" s="9"/>
      <c r="K88" s="10">
        <v>0</v>
      </c>
      <c r="L88" s="10"/>
      <c r="M88" s="11"/>
      <c r="N88" s="12"/>
      <c r="O88" s="13"/>
      <c r="P88" s="14"/>
      <c r="Q88" s="2"/>
    </row>
    <row r="89" spans="1:17" x14ac:dyDescent="0.25">
      <c r="A89" s="6"/>
      <c r="B89" s="7"/>
      <c r="C89" s="8"/>
      <c r="D89" s="8"/>
      <c r="E89" s="9"/>
      <c r="F89" s="9"/>
      <c r="G89" s="17"/>
      <c r="H89" s="17"/>
      <c r="I89" s="9"/>
      <c r="J89" s="9"/>
      <c r="K89" s="10">
        <v>0</v>
      </c>
      <c r="L89" s="10"/>
      <c r="M89" s="11"/>
      <c r="N89" s="12"/>
      <c r="O89" s="13"/>
      <c r="P89" s="14"/>
    </row>
    <row r="90" spans="1:17" x14ac:dyDescent="0.25">
      <c r="A90" s="6"/>
      <c r="B90" s="7"/>
      <c r="C90" s="8"/>
      <c r="D90" s="8"/>
      <c r="E90" s="9"/>
      <c r="F90" s="9"/>
      <c r="G90" s="17"/>
      <c r="H90" s="17"/>
      <c r="I90" s="9"/>
      <c r="J90" s="9"/>
      <c r="K90" s="10">
        <v>0</v>
      </c>
      <c r="L90" s="10"/>
      <c r="M90" s="11"/>
      <c r="N90" s="12"/>
      <c r="O90" s="13"/>
      <c r="P90" s="14"/>
    </row>
    <row r="91" spans="1:17" x14ac:dyDescent="0.25">
      <c r="A91" s="6"/>
      <c r="B91" s="7"/>
      <c r="C91" s="8"/>
      <c r="D91" s="8"/>
      <c r="E91" s="9"/>
      <c r="F91" s="9"/>
      <c r="G91" s="17"/>
      <c r="H91" s="17"/>
      <c r="I91" s="9"/>
      <c r="J91" s="9"/>
      <c r="K91" s="10">
        <v>0</v>
      </c>
      <c r="L91" s="10"/>
      <c r="M91" s="11"/>
      <c r="N91" s="12"/>
      <c r="O91" s="13"/>
      <c r="P91" s="14"/>
    </row>
    <row r="92" spans="1:17" x14ac:dyDescent="0.25">
      <c r="A92" s="6"/>
      <c r="B92" s="7"/>
      <c r="C92" s="8"/>
      <c r="D92" s="8"/>
      <c r="E92" s="9"/>
      <c r="F92" s="9"/>
      <c r="G92" s="17"/>
      <c r="H92" s="17"/>
      <c r="I92" s="9"/>
      <c r="J92" s="9"/>
      <c r="K92" s="10">
        <v>0</v>
      </c>
      <c r="L92" s="10"/>
      <c r="M92" s="11"/>
      <c r="N92" s="12"/>
      <c r="O92" s="13"/>
      <c r="P92" s="14"/>
    </row>
    <row r="93" spans="1:17" x14ac:dyDescent="0.25">
      <c r="A93" s="6"/>
      <c r="B93" s="7"/>
      <c r="C93" s="8"/>
      <c r="D93" s="8"/>
      <c r="E93" s="9"/>
      <c r="F93" s="9"/>
      <c r="G93" s="17"/>
      <c r="H93" s="17"/>
      <c r="I93" s="9"/>
      <c r="J93" s="9"/>
      <c r="K93" s="10">
        <v>0</v>
      </c>
      <c r="L93" s="10"/>
      <c r="M93" s="11"/>
      <c r="N93" s="12"/>
      <c r="O93" s="13"/>
      <c r="P93" s="14"/>
    </row>
    <row r="94" spans="1:17" x14ac:dyDescent="0.25">
      <c r="A94" s="6"/>
      <c r="B94" s="7"/>
      <c r="C94" s="8"/>
      <c r="D94" s="8"/>
      <c r="E94" s="9"/>
      <c r="F94" s="9"/>
      <c r="G94" s="17"/>
      <c r="H94" s="17"/>
      <c r="I94" s="9"/>
      <c r="J94" s="9"/>
      <c r="K94" s="10">
        <v>0</v>
      </c>
      <c r="L94" s="10"/>
      <c r="M94" s="11"/>
      <c r="N94" s="12"/>
      <c r="O94" s="13"/>
      <c r="P94" s="14"/>
    </row>
    <row r="95" spans="1:17" x14ac:dyDescent="0.25">
      <c r="A95" s="6"/>
      <c r="B95" s="7"/>
      <c r="C95" s="8"/>
      <c r="D95" s="8"/>
      <c r="E95" s="9"/>
      <c r="F95" s="9"/>
      <c r="G95" s="17"/>
      <c r="H95" s="17"/>
      <c r="I95" s="9"/>
      <c r="J95" s="9"/>
      <c r="K95" s="10">
        <v>0</v>
      </c>
      <c r="L95" s="10"/>
      <c r="M95" s="11"/>
      <c r="N95" s="12"/>
      <c r="O95" s="13"/>
      <c r="P95" s="14"/>
    </row>
    <row r="96" spans="1:17" x14ac:dyDescent="0.25">
      <c r="A96" s="6"/>
      <c r="B96" s="7"/>
      <c r="C96" s="8"/>
      <c r="D96" s="8"/>
      <c r="E96" s="9"/>
      <c r="F96" s="9"/>
      <c r="G96" s="17"/>
      <c r="H96" s="17"/>
      <c r="I96" s="9"/>
      <c r="J96" s="9"/>
      <c r="K96" s="10">
        <v>0</v>
      </c>
      <c r="L96" s="10"/>
      <c r="M96" s="11"/>
      <c r="N96" s="12"/>
      <c r="O96" s="13"/>
      <c r="P96" s="14"/>
    </row>
    <row r="97" spans="1:21" x14ac:dyDescent="0.25">
      <c r="A97" s="6"/>
      <c r="B97" s="7"/>
      <c r="C97" s="8"/>
      <c r="D97" s="8"/>
      <c r="E97" s="9"/>
      <c r="F97" s="9"/>
      <c r="G97" s="17"/>
      <c r="H97" s="17"/>
      <c r="I97" s="9"/>
      <c r="J97" s="9"/>
      <c r="K97" s="10">
        <v>0</v>
      </c>
      <c r="L97" s="10"/>
      <c r="M97" s="11"/>
      <c r="N97" s="12"/>
      <c r="O97" s="13"/>
      <c r="P97" s="14"/>
      <c r="Q97" s="20"/>
    </row>
    <row r="98" spans="1:21" x14ac:dyDescent="0.25">
      <c r="A98" s="6"/>
      <c r="B98" s="7"/>
      <c r="C98" s="8"/>
      <c r="D98" s="8"/>
      <c r="E98" s="9"/>
      <c r="F98" s="9"/>
      <c r="G98" s="17"/>
      <c r="H98" s="17"/>
      <c r="I98" s="9"/>
      <c r="J98" s="9"/>
      <c r="K98" s="10">
        <v>0</v>
      </c>
      <c r="L98" s="10"/>
      <c r="M98" s="11"/>
      <c r="N98" s="12"/>
      <c r="O98" s="13"/>
      <c r="P98" s="14"/>
      <c r="U98" s="1" t="e">
        <v>#VALUE!</v>
      </c>
    </row>
    <row r="99" spans="1:21" x14ac:dyDescent="0.25">
      <c r="A99" s="6"/>
      <c r="B99" s="7"/>
      <c r="C99" s="8"/>
      <c r="D99" s="8"/>
      <c r="E99" s="9"/>
      <c r="F99" s="9"/>
      <c r="G99" s="17"/>
      <c r="H99" s="17"/>
      <c r="I99" s="9"/>
      <c r="J99" s="9"/>
      <c r="K99" s="10">
        <v>0</v>
      </c>
      <c r="L99" s="10"/>
      <c r="M99" s="11"/>
      <c r="N99" s="12"/>
      <c r="O99" s="13"/>
      <c r="P99" s="14"/>
    </row>
    <row r="100" spans="1:21" x14ac:dyDescent="0.25">
      <c r="A100" s="6"/>
      <c r="B100" s="7"/>
      <c r="C100" s="8"/>
      <c r="D100" s="8"/>
      <c r="E100" s="9"/>
      <c r="F100" s="9"/>
      <c r="G100" s="17"/>
      <c r="H100" s="17"/>
      <c r="I100" s="9"/>
      <c r="J100" s="9"/>
      <c r="K100" s="10">
        <v>0</v>
      </c>
      <c r="L100" s="10"/>
      <c r="M100" s="11"/>
      <c r="N100" s="12"/>
      <c r="O100" s="13"/>
      <c r="P100" s="14"/>
    </row>
    <row r="101" spans="1:21" x14ac:dyDescent="0.25">
      <c r="A101" s="6"/>
      <c r="B101" s="7"/>
      <c r="C101" s="8"/>
      <c r="D101" s="8"/>
      <c r="E101" s="9"/>
      <c r="F101" s="9"/>
      <c r="G101" s="17"/>
      <c r="H101" s="17"/>
      <c r="I101" s="9"/>
      <c r="J101" s="9"/>
      <c r="K101" s="10">
        <v>0</v>
      </c>
      <c r="L101" s="10"/>
      <c r="M101" s="11"/>
      <c r="N101" s="12"/>
      <c r="O101" s="13"/>
      <c r="P101" s="14"/>
    </row>
    <row r="102" spans="1:21" x14ac:dyDescent="0.25">
      <c r="A102" s="6"/>
      <c r="B102" s="7"/>
      <c r="C102" s="8"/>
      <c r="D102" s="8"/>
      <c r="E102" s="9"/>
      <c r="F102" s="9"/>
      <c r="G102" s="17"/>
      <c r="H102" s="17"/>
      <c r="I102" s="9"/>
      <c r="J102" s="9"/>
      <c r="K102" s="10">
        <v>0</v>
      </c>
      <c r="L102" s="10"/>
      <c r="M102" s="11"/>
      <c r="N102" s="12"/>
      <c r="O102" s="13"/>
      <c r="P102" s="14"/>
    </row>
    <row r="103" spans="1:21" x14ac:dyDescent="0.25">
      <c r="A103" s="6"/>
      <c r="B103" s="7"/>
      <c r="C103" s="8"/>
      <c r="D103" s="8"/>
      <c r="E103" s="9"/>
      <c r="F103" s="9"/>
      <c r="G103" s="17"/>
      <c r="H103" s="17"/>
      <c r="I103" s="9"/>
      <c r="J103" s="9"/>
      <c r="K103" s="10">
        <v>0</v>
      </c>
      <c r="L103" s="10"/>
      <c r="M103" s="11"/>
      <c r="N103" s="12"/>
      <c r="O103" s="13"/>
      <c r="P103" s="14"/>
    </row>
    <row r="104" spans="1:21" x14ac:dyDescent="0.25">
      <c r="A104" s="6"/>
      <c r="B104" s="7"/>
      <c r="C104" s="8"/>
      <c r="D104" s="8"/>
      <c r="E104" s="9"/>
      <c r="F104" s="9"/>
      <c r="G104" s="17"/>
      <c r="H104" s="17"/>
      <c r="I104" s="9"/>
      <c r="J104" s="9"/>
      <c r="K104" s="10">
        <v>0</v>
      </c>
      <c r="L104" s="10"/>
      <c r="M104" s="11"/>
      <c r="N104" s="12"/>
      <c r="O104" s="13"/>
      <c r="P104" s="14"/>
    </row>
    <row r="105" spans="1:21" x14ac:dyDescent="0.25">
      <c r="A105" s="6"/>
      <c r="B105" s="7"/>
      <c r="C105" s="8"/>
      <c r="D105" s="8"/>
      <c r="E105" s="9"/>
      <c r="F105" s="9"/>
      <c r="G105" s="17"/>
      <c r="H105" s="17"/>
      <c r="I105" s="9"/>
      <c r="J105" s="9"/>
      <c r="K105" s="10">
        <v>0</v>
      </c>
      <c r="L105" s="10"/>
      <c r="M105" s="11"/>
      <c r="N105" s="12"/>
      <c r="O105" s="13"/>
      <c r="P105" s="14"/>
    </row>
    <row r="106" spans="1:21" x14ac:dyDescent="0.25">
      <c r="A106" s="6"/>
      <c r="B106" s="7"/>
      <c r="C106" s="8"/>
      <c r="D106" s="8"/>
      <c r="E106" s="9"/>
      <c r="F106" s="9"/>
      <c r="G106" s="17"/>
      <c r="H106" s="17"/>
      <c r="I106" s="9"/>
      <c r="J106" s="9"/>
      <c r="K106" s="10">
        <v>0</v>
      </c>
      <c r="L106" s="10"/>
      <c r="M106" s="11"/>
      <c r="N106" s="12"/>
      <c r="O106" s="13"/>
      <c r="P106" s="14"/>
    </row>
    <row r="107" spans="1:21" x14ac:dyDescent="0.25">
      <c r="A107" s="6"/>
      <c r="B107" s="7"/>
      <c r="C107" s="8"/>
      <c r="D107" s="8"/>
      <c r="E107" s="9"/>
      <c r="F107" s="9"/>
      <c r="G107" s="17"/>
      <c r="H107" s="17"/>
      <c r="I107" s="9"/>
      <c r="J107" s="9"/>
      <c r="K107" s="10">
        <v>0</v>
      </c>
      <c r="L107" s="10"/>
      <c r="M107" s="11"/>
      <c r="N107" s="12"/>
      <c r="O107" s="13"/>
      <c r="P107" s="14"/>
    </row>
    <row r="108" spans="1:21" x14ac:dyDescent="0.25">
      <c r="A108" s="6"/>
      <c r="B108" s="7"/>
      <c r="C108" s="8"/>
      <c r="D108" s="8"/>
      <c r="E108" s="9"/>
      <c r="F108" s="9"/>
      <c r="G108" s="17"/>
      <c r="H108" s="17"/>
      <c r="I108" s="9"/>
      <c r="J108" s="9"/>
      <c r="K108" s="10">
        <v>0</v>
      </c>
      <c r="L108" s="10"/>
      <c r="M108" s="11"/>
      <c r="N108" s="12"/>
      <c r="O108" s="13"/>
      <c r="P108" s="14"/>
    </row>
    <row r="109" spans="1:21" x14ac:dyDescent="0.25">
      <c r="A109" s="6"/>
      <c r="B109" s="7"/>
      <c r="C109" s="8"/>
      <c r="D109" s="8"/>
      <c r="E109" s="9"/>
      <c r="F109" s="9"/>
      <c r="G109" s="17"/>
      <c r="H109" s="17"/>
      <c r="I109" s="9"/>
      <c r="J109" s="9"/>
      <c r="K109" s="10">
        <v>0</v>
      </c>
      <c r="L109" s="10"/>
      <c r="M109" s="11"/>
      <c r="N109" s="12"/>
      <c r="O109" s="13"/>
      <c r="P109" s="14"/>
    </row>
    <row r="110" spans="1:21" x14ac:dyDescent="0.25">
      <c r="A110" s="6"/>
      <c r="B110" s="7"/>
      <c r="C110" s="8"/>
      <c r="D110" s="8"/>
      <c r="E110" s="9"/>
      <c r="F110" s="9"/>
      <c r="G110" s="17"/>
      <c r="H110" s="17"/>
      <c r="I110" s="9"/>
      <c r="J110" s="9"/>
      <c r="K110" s="10">
        <v>0</v>
      </c>
      <c r="L110" s="10"/>
      <c r="M110" s="11"/>
      <c r="N110" s="12"/>
      <c r="O110" s="13"/>
      <c r="P110" s="14"/>
    </row>
    <row r="111" spans="1:21" x14ac:dyDescent="0.25">
      <c r="A111" s="6"/>
      <c r="B111" s="7"/>
      <c r="C111" s="8"/>
      <c r="D111" s="8"/>
      <c r="E111" s="9"/>
      <c r="F111" s="9"/>
      <c r="G111" s="17"/>
      <c r="H111" s="17"/>
      <c r="I111" s="9"/>
      <c r="J111" s="9"/>
      <c r="K111" s="10">
        <v>0</v>
      </c>
      <c r="L111" s="10"/>
      <c r="M111" s="11"/>
      <c r="N111" s="12"/>
      <c r="O111" s="13"/>
      <c r="P111" s="14"/>
    </row>
    <row r="112" spans="1:21" x14ac:dyDescent="0.25">
      <c r="A112" s="6"/>
      <c r="B112" s="15"/>
      <c r="C112" s="16"/>
      <c r="D112" s="8"/>
      <c r="E112" s="9"/>
      <c r="F112" s="9"/>
      <c r="G112" s="17"/>
      <c r="H112" s="17"/>
      <c r="I112" s="9"/>
      <c r="J112" s="9"/>
      <c r="K112" s="10">
        <v>0</v>
      </c>
      <c r="L112" s="10"/>
      <c r="M112" s="11"/>
      <c r="N112" s="12"/>
      <c r="O112" s="13"/>
      <c r="P112" s="14"/>
    </row>
    <row r="113" spans="1:20" x14ac:dyDescent="0.25">
      <c r="A113" s="6"/>
      <c r="B113" s="7"/>
      <c r="C113" s="8"/>
      <c r="D113" s="8"/>
      <c r="E113" s="9"/>
      <c r="F113" s="9"/>
      <c r="G113" s="17"/>
      <c r="H113" s="17"/>
      <c r="I113" s="9"/>
      <c r="J113" s="9"/>
      <c r="K113" s="10">
        <v>0</v>
      </c>
      <c r="L113" s="10"/>
      <c r="M113" s="11"/>
      <c r="N113" s="12"/>
      <c r="O113" s="13"/>
      <c r="P113" s="14"/>
    </row>
    <row r="114" spans="1:20" x14ac:dyDescent="0.25">
      <c r="A114" s="6"/>
      <c r="B114" s="7"/>
      <c r="C114" s="8"/>
      <c r="D114" s="8"/>
      <c r="E114" s="9"/>
      <c r="F114" s="9"/>
      <c r="G114" s="17"/>
      <c r="H114" s="17"/>
      <c r="I114" s="9"/>
      <c r="J114" s="9"/>
      <c r="K114" s="10">
        <v>0</v>
      </c>
      <c r="L114" s="10"/>
      <c r="M114" s="11"/>
      <c r="N114" s="12"/>
      <c r="O114" s="13"/>
      <c r="P114" s="14"/>
    </row>
    <row r="115" spans="1:20" x14ac:dyDescent="0.25">
      <c r="A115" s="6"/>
      <c r="B115" s="7"/>
      <c r="C115" s="8"/>
      <c r="D115" s="8"/>
      <c r="E115" s="9"/>
      <c r="F115" s="9"/>
      <c r="G115" s="17"/>
      <c r="H115" s="17"/>
      <c r="I115" s="9"/>
      <c r="J115" s="9"/>
      <c r="K115" s="10">
        <v>0</v>
      </c>
      <c r="L115" s="10"/>
      <c r="M115" s="11"/>
      <c r="N115" s="12"/>
      <c r="O115" s="13"/>
      <c r="P115" s="14"/>
    </row>
    <row r="116" spans="1:20" x14ac:dyDescent="0.25">
      <c r="A116" s="6"/>
      <c r="B116" s="7"/>
      <c r="C116" s="8"/>
      <c r="D116" s="8"/>
      <c r="E116" s="9"/>
      <c r="F116" s="9"/>
      <c r="G116" s="17"/>
      <c r="H116" s="17"/>
      <c r="I116" s="9"/>
      <c r="J116" s="9"/>
      <c r="K116" s="10">
        <v>0</v>
      </c>
      <c r="L116" s="10"/>
      <c r="M116" s="11"/>
      <c r="N116" s="12"/>
      <c r="O116" s="13"/>
      <c r="P116" s="14"/>
    </row>
    <row r="117" spans="1:20" x14ac:dyDescent="0.25">
      <c r="A117" s="6"/>
      <c r="B117" s="7"/>
      <c r="C117" s="8"/>
      <c r="D117" s="8"/>
      <c r="E117" s="9"/>
      <c r="F117" s="9"/>
      <c r="G117" s="17"/>
      <c r="H117" s="17"/>
      <c r="I117" s="9"/>
      <c r="J117" s="9"/>
      <c r="K117" s="10">
        <v>0</v>
      </c>
      <c r="L117" s="10"/>
      <c r="M117" s="11"/>
      <c r="N117" s="12"/>
      <c r="O117" s="13"/>
      <c r="P117" s="14"/>
    </row>
    <row r="118" spans="1:20" x14ac:dyDescent="0.25">
      <c r="A118" s="6"/>
      <c r="B118" s="7"/>
      <c r="C118" s="8"/>
      <c r="D118" s="8"/>
      <c r="E118" s="9"/>
      <c r="F118" s="9"/>
      <c r="G118" s="17"/>
      <c r="H118" s="17"/>
      <c r="I118" s="9"/>
      <c r="J118" s="9"/>
      <c r="K118" s="10">
        <v>0</v>
      </c>
      <c r="L118" s="10"/>
      <c r="M118" s="11"/>
      <c r="N118" s="12"/>
      <c r="O118" s="13"/>
      <c r="P118" s="14"/>
    </row>
    <row r="119" spans="1:20" x14ac:dyDescent="0.25">
      <c r="A119" s="6"/>
      <c r="B119" s="7"/>
      <c r="C119" s="8"/>
      <c r="D119" s="8"/>
      <c r="E119" s="9"/>
      <c r="F119" s="9"/>
      <c r="G119" s="17"/>
      <c r="H119" s="17"/>
      <c r="I119" s="9"/>
      <c r="J119" s="9"/>
      <c r="K119" s="10">
        <v>0</v>
      </c>
      <c r="L119" s="10"/>
      <c r="M119" s="11"/>
      <c r="N119" s="12"/>
      <c r="O119" s="13"/>
      <c r="P119" s="14"/>
      <c r="T119" s="24"/>
    </row>
    <row r="120" spans="1:20" x14ac:dyDescent="0.25">
      <c r="A120" s="6"/>
      <c r="B120" s="7"/>
      <c r="C120" s="8"/>
      <c r="D120" s="8"/>
      <c r="E120" s="9"/>
      <c r="F120" s="9"/>
      <c r="G120" s="17"/>
      <c r="H120" s="17"/>
      <c r="I120" s="9"/>
      <c r="J120" s="9"/>
      <c r="K120" s="10">
        <v>0</v>
      </c>
      <c r="L120" s="10"/>
      <c r="M120" s="11"/>
      <c r="N120" s="12"/>
      <c r="O120" s="13"/>
      <c r="P120" s="14"/>
    </row>
    <row r="121" spans="1:20" x14ac:dyDescent="0.25">
      <c r="A121" s="6"/>
      <c r="B121" s="7"/>
      <c r="C121" s="8"/>
      <c r="D121" s="8"/>
      <c r="E121" s="9"/>
      <c r="F121" s="9"/>
      <c r="G121" s="17"/>
      <c r="H121" s="17"/>
      <c r="I121" s="9"/>
      <c r="J121" s="9"/>
      <c r="K121" s="10">
        <v>0</v>
      </c>
      <c r="L121" s="10"/>
      <c r="M121" s="11"/>
      <c r="N121" s="12"/>
      <c r="O121" s="13"/>
      <c r="P121" s="14"/>
    </row>
    <row r="122" spans="1:20" x14ac:dyDescent="0.25">
      <c r="A122" s="6"/>
      <c r="B122" s="7"/>
      <c r="C122" s="8"/>
      <c r="D122" s="8"/>
      <c r="E122" s="9"/>
      <c r="F122" s="9"/>
      <c r="G122" s="17"/>
      <c r="H122" s="17"/>
      <c r="I122" s="9"/>
      <c r="J122" s="9"/>
      <c r="K122" s="10">
        <v>0</v>
      </c>
      <c r="L122" s="10"/>
      <c r="M122" s="11"/>
      <c r="N122" s="12"/>
      <c r="O122" s="13"/>
      <c r="P122" s="14"/>
    </row>
    <row r="123" spans="1:20" x14ac:dyDescent="0.25">
      <c r="A123" s="6"/>
      <c r="B123" s="7"/>
      <c r="C123" s="8"/>
      <c r="D123" s="8"/>
      <c r="E123" s="9"/>
      <c r="F123" s="9"/>
      <c r="G123" s="17"/>
      <c r="H123" s="17"/>
      <c r="I123" s="9"/>
      <c r="J123" s="9"/>
      <c r="K123" s="10">
        <v>0</v>
      </c>
      <c r="L123" s="10"/>
      <c r="M123" s="11"/>
      <c r="N123" s="12"/>
      <c r="O123" s="13"/>
      <c r="P123" s="14"/>
    </row>
    <row r="124" spans="1:20" x14ac:dyDescent="0.25">
      <c r="A124" s="6"/>
      <c r="B124" s="7"/>
      <c r="C124" s="8"/>
      <c r="D124" s="8"/>
      <c r="E124" s="9"/>
      <c r="F124" s="9"/>
      <c r="G124" s="17"/>
      <c r="H124" s="17"/>
      <c r="I124" s="9"/>
      <c r="J124" s="9"/>
      <c r="K124" s="10">
        <v>0</v>
      </c>
      <c r="L124" s="10"/>
      <c r="M124" s="11"/>
      <c r="N124" s="12"/>
      <c r="O124" s="13"/>
      <c r="P124" s="14"/>
    </row>
    <row r="125" spans="1:20" x14ac:dyDescent="0.25">
      <c r="A125" s="6"/>
      <c r="B125" s="7"/>
      <c r="C125" s="8"/>
      <c r="D125" s="8"/>
      <c r="E125" s="9"/>
      <c r="F125" s="9"/>
      <c r="G125" s="17"/>
      <c r="H125" s="17"/>
      <c r="I125" s="9"/>
      <c r="J125" s="9"/>
      <c r="K125" s="10">
        <v>0</v>
      </c>
      <c r="L125" s="10"/>
      <c r="M125" s="11"/>
      <c r="N125" s="12"/>
      <c r="O125" s="13"/>
      <c r="P125" s="14"/>
    </row>
    <row r="126" spans="1:20" x14ac:dyDescent="0.25">
      <c r="A126" s="6"/>
      <c r="B126" s="7"/>
      <c r="C126" s="8"/>
      <c r="D126" s="8"/>
      <c r="E126" s="9"/>
      <c r="F126" s="9"/>
      <c r="G126" s="17"/>
      <c r="H126" s="17"/>
      <c r="I126" s="9"/>
      <c r="J126" s="9"/>
      <c r="K126" s="10">
        <v>0</v>
      </c>
      <c r="L126" s="10"/>
      <c r="M126" s="11"/>
      <c r="N126" s="12"/>
      <c r="O126" s="13"/>
      <c r="P126" s="14"/>
    </row>
    <row r="127" spans="1:20" x14ac:dyDescent="0.25">
      <c r="A127" s="6"/>
      <c r="B127" s="7"/>
      <c r="C127" s="8"/>
      <c r="D127" s="8"/>
      <c r="E127" s="9"/>
      <c r="F127" s="9"/>
      <c r="G127" s="17"/>
      <c r="H127" s="17"/>
      <c r="I127" s="9"/>
      <c r="J127" s="9"/>
      <c r="K127" s="10">
        <v>0</v>
      </c>
      <c r="L127" s="10"/>
      <c r="M127" s="11"/>
      <c r="N127" s="12"/>
      <c r="O127" s="13"/>
      <c r="P127" s="14"/>
    </row>
    <row r="128" spans="1:20" x14ac:dyDescent="0.25">
      <c r="A128" s="6"/>
      <c r="B128" s="7"/>
      <c r="C128" s="8"/>
      <c r="D128" s="8"/>
      <c r="E128" s="9"/>
      <c r="F128" s="9"/>
      <c r="G128" s="17"/>
      <c r="H128" s="17"/>
      <c r="I128" s="9"/>
      <c r="J128" s="9"/>
      <c r="K128" s="10">
        <v>0</v>
      </c>
      <c r="L128" s="10"/>
      <c r="M128" s="11"/>
      <c r="N128" s="12"/>
      <c r="O128" s="13"/>
      <c r="P128" s="14"/>
    </row>
    <row r="129" spans="1:17" x14ac:dyDescent="0.25">
      <c r="A129" s="6"/>
      <c r="B129" s="7"/>
      <c r="C129" s="8"/>
      <c r="D129" s="8"/>
      <c r="E129" s="9"/>
      <c r="F129" s="9"/>
      <c r="G129" s="17"/>
      <c r="H129" s="17"/>
      <c r="I129" s="9"/>
      <c r="J129" s="9"/>
      <c r="K129" s="10">
        <v>0</v>
      </c>
      <c r="L129" s="10"/>
      <c r="M129" s="11"/>
      <c r="N129" s="12"/>
      <c r="O129" s="13"/>
      <c r="P129" s="14"/>
    </row>
    <row r="130" spans="1:17" x14ac:dyDescent="0.25">
      <c r="A130" s="6"/>
      <c r="B130" s="7"/>
      <c r="C130" s="8"/>
      <c r="D130" s="8"/>
      <c r="E130" s="9"/>
      <c r="F130" s="9"/>
      <c r="G130" s="17"/>
      <c r="H130" s="17"/>
      <c r="I130" s="9"/>
      <c r="J130" s="9"/>
      <c r="K130" s="10">
        <v>0</v>
      </c>
      <c r="L130" s="10"/>
      <c r="M130" s="11"/>
      <c r="N130" s="12"/>
      <c r="O130" s="13"/>
      <c r="P130" s="14"/>
    </row>
    <row r="131" spans="1:17" x14ac:dyDescent="0.25">
      <c r="A131" s="6"/>
      <c r="B131" s="7"/>
      <c r="C131" s="8"/>
      <c r="D131" s="8"/>
      <c r="E131" s="9"/>
      <c r="F131" s="9"/>
      <c r="G131" s="17"/>
      <c r="H131" s="17"/>
      <c r="I131" s="9"/>
      <c r="J131" s="9"/>
      <c r="K131" s="10">
        <v>0</v>
      </c>
      <c r="L131" s="10"/>
      <c r="M131" s="11"/>
      <c r="N131" s="12"/>
      <c r="O131" s="13"/>
      <c r="P131" s="14"/>
    </row>
    <row r="132" spans="1:17" x14ac:dyDescent="0.25">
      <c r="A132" s="6"/>
      <c r="B132" s="7"/>
      <c r="C132" s="8"/>
      <c r="D132" s="8"/>
      <c r="E132" s="9"/>
      <c r="F132" s="9"/>
      <c r="G132" s="17"/>
      <c r="H132" s="17"/>
      <c r="I132" s="9"/>
      <c r="J132" s="9"/>
      <c r="K132" s="10">
        <v>0</v>
      </c>
      <c r="L132" s="10"/>
      <c r="M132" s="11"/>
      <c r="N132" s="12"/>
      <c r="O132" s="13"/>
      <c r="P132" s="14"/>
    </row>
    <row r="133" spans="1:17" x14ac:dyDescent="0.25">
      <c r="A133" s="6"/>
      <c r="B133" s="7"/>
      <c r="C133" s="8"/>
      <c r="D133" s="8"/>
      <c r="E133" s="9"/>
      <c r="F133" s="9"/>
      <c r="G133" s="17"/>
      <c r="H133" s="17"/>
      <c r="I133" s="9"/>
      <c r="J133" s="9"/>
      <c r="K133" s="10">
        <v>0</v>
      </c>
      <c r="L133" s="10"/>
      <c r="M133" s="11"/>
      <c r="N133" s="12"/>
      <c r="O133" s="13"/>
      <c r="P133" s="14"/>
    </row>
    <row r="134" spans="1:17" x14ac:dyDescent="0.25">
      <c r="A134" s="6"/>
      <c r="B134" s="7"/>
      <c r="C134" s="8"/>
      <c r="D134" s="8"/>
      <c r="E134" s="9"/>
      <c r="F134" s="9"/>
      <c r="G134" s="17"/>
      <c r="H134" s="17"/>
      <c r="I134" s="9"/>
      <c r="J134" s="9"/>
      <c r="K134" s="10">
        <v>0</v>
      </c>
      <c r="L134" s="10"/>
      <c r="M134" s="11"/>
      <c r="N134" s="12"/>
      <c r="O134" s="13"/>
      <c r="P134" s="14"/>
    </row>
    <row r="135" spans="1:17" x14ac:dyDescent="0.25">
      <c r="A135" s="6"/>
      <c r="B135" s="7"/>
      <c r="C135" s="8"/>
      <c r="D135" s="8"/>
      <c r="E135" s="9"/>
      <c r="F135" s="9"/>
      <c r="G135" s="17"/>
      <c r="H135" s="17"/>
      <c r="I135" s="9"/>
      <c r="J135" s="9"/>
      <c r="K135" s="10">
        <v>0</v>
      </c>
      <c r="L135" s="10"/>
      <c r="M135" s="11"/>
      <c r="N135" s="12"/>
      <c r="O135" s="13"/>
      <c r="P135" s="14"/>
    </row>
    <row r="136" spans="1:17" x14ac:dyDescent="0.25">
      <c r="A136" s="6"/>
      <c r="B136" s="7"/>
      <c r="C136" s="8"/>
      <c r="D136" s="8"/>
      <c r="E136" s="9"/>
      <c r="F136" s="9"/>
      <c r="G136" s="17"/>
      <c r="H136" s="17"/>
      <c r="I136" s="9"/>
      <c r="J136" s="9"/>
      <c r="K136" s="10">
        <v>0</v>
      </c>
      <c r="L136" s="10"/>
      <c r="M136" s="11"/>
      <c r="N136" s="12"/>
      <c r="O136" s="13"/>
      <c r="P136" s="14"/>
      <c r="Q136" s="19"/>
    </row>
    <row r="137" spans="1:17" x14ac:dyDescent="0.25">
      <c r="A137" s="6"/>
      <c r="B137" s="7"/>
      <c r="C137" s="8"/>
      <c r="D137" s="8"/>
      <c r="E137" s="9"/>
      <c r="F137" s="9"/>
      <c r="G137" s="17"/>
      <c r="H137" s="17"/>
      <c r="I137" s="9"/>
      <c r="J137" s="9"/>
      <c r="K137" s="10">
        <v>0</v>
      </c>
      <c r="L137" s="10"/>
      <c r="M137" s="11"/>
      <c r="N137" s="12"/>
      <c r="O137" s="13"/>
      <c r="P137" s="14"/>
    </row>
    <row r="138" spans="1:17" x14ac:dyDescent="0.25">
      <c r="A138" s="6"/>
      <c r="B138" s="7"/>
      <c r="C138" s="8"/>
      <c r="D138" s="8"/>
      <c r="E138" s="9"/>
      <c r="F138" s="9"/>
      <c r="G138" s="17"/>
      <c r="H138" s="17"/>
      <c r="I138" s="9"/>
      <c r="J138" s="9"/>
      <c r="K138" s="10">
        <v>0</v>
      </c>
      <c r="L138" s="10"/>
      <c r="M138" s="11"/>
      <c r="N138" s="12"/>
      <c r="O138" s="13"/>
      <c r="P138" s="14"/>
    </row>
    <row r="139" spans="1:17" x14ac:dyDescent="0.25">
      <c r="A139" s="6"/>
      <c r="B139" s="7"/>
      <c r="C139" s="8"/>
      <c r="D139" s="8"/>
      <c r="E139" s="9"/>
      <c r="F139" s="9"/>
      <c r="G139" s="17"/>
      <c r="H139" s="17"/>
      <c r="I139" s="9"/>
      <c r="J139" s="9"/>
      <c r="K139" s="10">
        <v>0</v>
      </c>
      <c r="L139" s="10"/>
      <c r="M139" s="11"/>
      <c r="N139" s="12"/>
      <c r="O139" s="13"/>
      <c r="P139" s="14"/>
    </row>
    <row r="140" spans="1:17" x14ac:dyDescent="0.25">
      <c r="A140" s="6"/>
      <c r="B140" s="7"/>
      <c r="C140" s="8"/>
      <c r="D140" s="8"/>
      <c r="E140" s="9"/>
      <c r="F140" s="9"/>
      <c r="G140" s="17"/>
      <c r="H140" s="17"/>
      <c r="I140" s="9"/>
      <c r="J140" s="9"/>
      <c r="K140" s="10">
        <v>0</v>
      </c>
      <c r="L140" s="10"/>
      <c r="M140" s="11"/>
      <c r="N140" s="12"/>
      <c r="O140" s="13"/>
      <c r="P140" s="14"/>
    </row>
    <row r="141" spans="1:17" x14ac:dyDescent="0.25">
      <c r="A141" s="6"/>
      <c r="B141" s="7"/>
      <c r="C141" s="8"/>
      <c r="D141" s="8"/>
      <c r="E141" s="9"/>
      <c r="F141" s="9"/>
      <c r="G141" s="17"/>
      <c r="H141" s="17"/>
      <c r="I141" s="9"/>
      <c r="J141" s="9"/>
      <c r="K141" s="10">
        <v>0</v>
      </c>
      <c r="L141" s="10"/>
      <c r="M141" s="11"/>
      <c r="N141" s="12"/>
      <c r="O141" s="13"/>
      <c r="P141" s="14"/>
    </row>
    <row r="142" spans="1:17" x14ac:dyDescent="0.25">
      <c r="A142" s="6"/>
      <c r="B142" s="7"/>
      <c r="C142" s="8"/>
      <c r="D142" s="8"/>
      <c r="E142" s="9"/>
      <c r="F142" s="9"/>
      <c r="G142" s="17"/>
      <c r="H142" s="17"/>
      <c r="I142" s="9"/>
      <c r="J142" s="9"/>
      <c r="K142" s="10">
        <v>0</v>
      </c>
      <c r="L142" s="10"/>
      <c r="M142" s="11"/>
      <c r="N142" s="12"/>
      <c r="O142" s="13"/>
      <c r="P142" s="14"/>
    </row>
    <row r="143" spans="1:17" x14ac:dyDescent="0.25">
      <c r="A143" s="6"/>
      <c r="B143" s="7"/>
      <c r="C143" s="8"/>
      <c r="D143" s="8"/>
      <c r="E143" s="9"/>
      <c r="F143" s="9"/>
      <c r="G143" s="17"/>
      <c r="H143" s="17"/>
      <c r="I143" s="9"/>
      <c r="J143" s="9"/>
      <c r="K143" s="10">
        <v>0</v>
      </c>
      <c r="L143" s="10"/>
      <c r="M143" s="11"/>
      <c r="N143" s="12"/>
      <c r="O143" s="13"/>
      <c r="P143" s="14"/>
    </row>
    <row r="144" spans="1:17" x14ac:dyDescent="0.25">
      <c r="A144" s="6"/>
      <c r="B144" s="7"/>
      <c r="C144" s="8"/>
      <c r="D144" s="8"/>
      <c r="E144" s="9"/>
      <c r="F144" s="9"/>
      <c r="G144" s="17"/>
      <c r="H144" s="17"/>
      <c r="I144" s="9"/>
      <c r="J144" s="9"/>
      <c r="K144" s="10">
        <v>0</v>
      </c>
      <c r="L144" s="10"/>
      <c r="M144" s="11"/>
      <c r="N144" s="12"/>
      <c r="O144" s="13"/>
      <c r="P144" s="14"/>
    </row>
    <row r="145" spans="1:16" x14ac:dyDescent="0.25">
      <c r="A145" s="6"/>
      <c r="B145" s="15"/>
      <c r="C145" s="8"/>
      <c r="D145" s="8"/>
      <c r="E145" s="9"/>
      <c r="F145" s="9"/>
      <c r="G145" s="17"/>
      <c r="H145" s="17"/>
      <c r="I145" s="9"/>
      <c r="J145" s="9"/>
      <c r="K145" s="10">
        <v>0</v>
      </c>
      <c r="L145" s="10"/>
      <c r="M145" s="11"/>
      <c r="N145" s="12"/>
      <c r="O145" s="13"/>
      <c r="P145" s="14"/>
    </row>
    <row r="146" spans="1:16" x14ac:dyDescent="0.25">
      <c r="A146" s="6"/>
      <c r="B146" s="7"/>
      <c r="C146" s="8"/>
      <c r="D146" s="8"/>
      <c r="E146" s="9"/>
      <c r="F146" s="9"/>
      <c r="G146" s="17"/>
      <c r="H146" s="17"/>
      <c r="I146" s="9"/>
      <c r="J146" s="9"/>
      <c r="K146" s="10">
        <v>0</v>
      </c>
      <c r="L146" s="10"/>
      <c r="M146" s="11"/>
      <c r="N146" s="12"/>
      <c r="O146" s="13"/>
      <c r="P146" s="14"/>
    </row>
    <row r="147" spans="1:16" x14ac:dyDescent="0.25">
      <c r="A147" s="6"/>
      <c r="B147" s="7"/>
      <c r="C147" s="8"/>
      <c r="D147" s="8"/>
      <c r="E147" s="9"/>
      <c r="F147" s="9"/>
      <c r="G147" s="17"/>
      <c r="H147" s="17"/>
      <c r="I147" s="9"/>
      <c r="J147" s="9"/>
      <c r="K147" s="10">
        <v>0</v>
      </c>
      <c r="L147" s="10"/>
      <c r="M147" s="11"/>
      <c r="N147" s="12"/>
      <c r="O147" s="13"/>
      <c r="P147" s="14"/>
    </row>
    <row r="148" spans="1:16" x14ac:dyDescent="0.25">
      <c r="A148" s="6"/>
      <c r="B148" s="7"/>
      <c r="C148" s="8"/>
      <c r="D148" s="8"/>
      <c r="E148" s="9"/>
      <c r="F148" s="9"/>
      <c r="G148" s="17"/>
      <c r="H148" s="17"/>
      <c r="I148" s="9"/>
      <c r="J148" s="9"/>
      <c r="K148" s="10">
        <v>0</v>
      </c>
      <c r="L148" s="10"/>
      <c r="M148" s="11"/>
      <c r="N148" s="12"/>
      <c r="O148" s="13"/>
      <c r="P148" s="14"/>
    </row>
    <row r="149" spans="1:16" x14ac:dyDescent="0.25">
      <c r="A149" s="6"/>
      <c r="B149" s="7"/>
      <c r="C149" s="8"/>
      <c r="D149" s="8"/>
      <c r="E149" s="9"/>
      <c r="F149" s="9"/>
      <c r="G149" s="17"/>
      <c r="H149" s="17"/>
      <c r="I149" s="9"/>
      <c r="J149" s="9"/>
      <c r="K149" s="10">
        <v>0</v>
      </c>
      <c r="L149" s="10"/>
      <c r="M149" s="11"/>
      <c r="N149" s="12"/>
      <c r="O149" s="13"/>
      <c r="P149" s="14"/>
    </row>
    <row r="150" spans="1:16" x14ac:dyDescent="0.25">
      <c r="A150" s="6"/>
      <c r="B150" s="7"/>
      <c r="C150" s="8"/>
      <c r="D150" s="8"/>
      <c r="E150" s="9"/>
      <c r="F150" s="9"/>
      <c r="G150" s="17"/>
      <c r="H150" s="17"/>
      <c r="I150" s="9"/>
      <c r="J150" s="9"/>
      <c r="K150" s="10">
        <v>0</v>
      </c>
      <c r="L150" s="10"/>
      <c r="M150" s="11"/>
      <c r="N150" s="12"/>
      <c r="O150" s="13"/>
      <c r="P150" s="14"/>
    </row>
    <row r="151" spans="1:16" x14ac:dyDescent="0.25">
      <c r="A151" s="6"/>
      <c r="B151" s="7"/>
      <c r="C151" s="8"/>
      <c r="D151" s="8"/>
      <c r="E151" s="9"/>
      <c r="F151" s="9"/>
      <c r="G151" s="17"/>
      <c r="H151" s="17"/>
      <c r="I151" s="9"/>
      <c r="J151" s="9"/>
      <c r="K151" s="10">
        <v>0</v>
      </c>
      <c r="L151" s="10"/>
      <c r="M151" s="11"/>
      <c r="N151" s="12"/>
      <c r="O151" s="13"/>
      <c r="P151" s="14"/>
    </row>
    <row r="152" spans="1:16" x14ac:dyDescent="0.25">
      <c r="A152" s="6"/>
      <c r="B152" s="7"/>
      <c r="C152" s="8"/>
      <c r="D152" s="8"/>
      <c r="E152" s="9"/>
      <c r="F152" s="9"/>
      <c r="G152" s="17"/>
      <c r="H152" s="17"/>
      <c r="I152" s="9"/>
      <c r="J152" s="9"/>
      <c r="K152" s="10">
        <v>0</v>
      </c>
      <c r="L152" s="10"/>
      <c r="M152" s="11"/>
      <c r="N152" s="12"/>
      <c r="O152" s="13"/>
      <c r="P152" s="14"/>
    </row>
    <row r="153" spans="1:16" x14ac:dyDescent="0.25">
      <c r="A153" s="6"/>
      <c r="B153" s="7"/>
      <c r="C153" s="8"/>
      <c r="D153" s="8"/>
      <c r="E153" s="9"/>
      <c r="F153" s="9"/>
      <c r="G153" s="17"/>
      <c r="H153" s="17"/>
      <c r="I153" s="9"/>
      <c r="J153" s="9"/>
      <c r="K153" s="10">
        <v>0</v>
      </c>
      <c r="L153" s="10"/>
      <c r="M153" s="11"/>
      <c r="N153" s="12"/>
      <c r="O153" s="13"/>
      <c r="P153" s="14"/>
    </row>
    <row r="154" spans="1:16" x14ac:dyDescent="0.25">
      <c r="A154" s="6"/>
      <c r="B154" s="7"/>
      <c r="C154" s="8"/>
      <c r="D154" s="8"/>
      <c r="E154" s="9"/>
      <c r="F154" s="9"/>
      <c r="G154" s="17"/>
      <c r="H154" s="17"/>
      <c r="I154" s="9"/>
      <c r="J154" s="9"/>
      <c r="K154" s="10">
        <v>0</v>
      </c>
      <c r="L154" s="10"/>
      <c r="M154" s="11"/>
      <c r="N154" s="12"/>
      <c r="O154" s="13"/>
      <c r="P154" s="14"/>
    </row>
    <row r="155" spans="1:16" x14ac:dyDescent="0.25">
      <c r="A155" s="6"/>
      <c r="B155" s="7"/>
      <c r="C155" s="8"/>
      <c r="D155" s="8"/>
      <c r="E155" s="9"/>
      <c r="F155" s="9"/>
      <c r="G155" s="17"/>
      <c r="H155" s="17"/>
      <c r="I155" s="9"/>
      <c r="J155" s="9"/>
      <c r="K155" s="10">
        <v>0</v>
      </c>
      <c r="L155" s="10"/>
      <c r="M155" s="11"/>
      <c r="N155" s="12"/>
      <c r="O155" s="13"/>
      <c r="P155" s="14"/>
    </row>
    <row r="156" spans="1:16" x14ac:dyDescent="0.25">
      <c r="A156" s="6"/>
      <c r="B156" s="7"/>
      <c r="C156" s="8"/>
      <c r="D156" s="8"/>
      <c r="E156" s="9"/>
      <c r="F156" s="9"/>
      <c r="G156" s="17"/>
      <c r="H156" s="17"/>
      <c r="I156" s="9"/>
      <c r="J156" s="9"/>
      <c r="K156" s="10">
        <v>0</v>
      </c>
      <c r="L156" s="10"/>
      <c r="M156" s="11"/>
      <c r="N156" s="12"/>
      <c r="O156" s="13"/>
      <c r="P156" s="14"/>
    </row>
    <row r="157" spans="1:16" x14ac:dyDescent="0.25">
      <c r="A157" s="6"/>
      <c r="B157" s="7"/>
      <c r="C157" s="8"/>
      <c r="D157" s="8"/>
      <c r="E157" s="9"/>
      <c r="F157" s="9"/>
      <c r="G157" s="17"/>
      <c r="H157" s="17"/>
      <c r="I157" s="9"/>
      <c r="J157" s="9"/>
      <c r="K157" s="10">
        <v>0</v>
      </c>
      <c r="L157" s="10"/>
      <c r="M157" s="11"/>
      <c r="N157" s="12"/>
      <c r="O157" s="13"/>
      <c r="P157" s="14"/>
    </row>
    <row r="158" spans="1:16" x14ac:dyDescent="0.25">
      <c r="A158" s="6"/>
      <c r="B158" s="7"/>
      <c r="C158" s="8"/>
      <c r="D158" s="8"/>
      <c r="E158" s="9"/>
      <c r="F158" s="9"/>
      <c r="G158" s="17"/>
      <c r="H158" s="17"/>
      <c r="I158" s="9"/>
      <c r="J158" s="9"/>
      <c r="K158" s="10">
        <v>0</v>
      </c>
      <c r="L158" s="10"/>
      <c r="M158" s="11"/>
      <c r="N158" s="12"/>
      <c r="O158" s="13"/>
      <c r="P158" s="14"/>
    </row>
    <row r="159" spans="1:16" x14ac:dyDescent="0.25">
      <c r="A159" s="6"/>
      <c r="B159" s="7"/>
      <c r="C159" s="8"/>
      <c r="D159" s="8"/>
      <c r="E159" s="9"/>
      <c r="F159" s="9"/>
      <c r="G159" s="17"/>
      <c r="H159" s="17"/>
      <c r="I159" s="9"/>
      <c r="J159" s="9"/>
      <c r="K159" s="10">
        <v>0</v>
      </c>
      <c r="L159" s="10"/>
      <c r="M159" s="11"/>
      <c r="N159" s="12"/>
      <c r="O159" s="13"/>
      <c r="P159" s="14"/>
    </row>
    <row r="160" spans="1:16" x14ac:dyDescent="0.25">
      <c r="A160" s="6"/>
      <c r="B160" s="7"/>
      <c r="C160" s="8"/>
      <c r="D160" s="8"/>
      <c r="E160" s="9"/>
      <c r="F160" s="9"/>
      <c r="G160" s="17"/>
      <c r="H160" s="17"/>
      <c r="I160" s="9"/>
      <c r="J160" s="9"/>
      <c r="K160" s="10">
        <v>0</v>
      </c>
      <c r="L160" s="10"/>
      <c r="M160" s="11"/>
      <c r="N160" s="12"/>
      <c r="O160" s="13"/>
      <c r="P160" s="14"/>
    </row>
    <row r="161" spans="1:21" x14ac:dyDescent="0.25">
      <c r="A161" s="6"/>
      <c r="B161" s="7"/>
      <c r="C161" s="8"/>
      <c r="D161" s="8"/>
      <c r="E161" s="9"/>
      <c r="F161" s="9"/>
      <c r="G161" s="17"/>
      <c r="H161" s="17"/>
      <c r="I161" s="9"/>
      <c r="J161" s="9"/>
      <c r="K161" s="10">
        <v>0</v>
      </c>
      <c r="L161" s="10"/>
      <c r="M161" s="11"/>
      <c r="N161" s="12"/>
      <c r="O161" s="13"/>
      <c r="P161" s="14"/>
    </row>
    <row r="162" spans="1:21" x14ac:dyDescent="0.25">
      <c r="A162" s="6"/>
      <c r="B162" s="7"/>
      <c r="C162" s="8"/>
      <c r="D162" s="8"/>
      <c r="E162" s="9"/>
      <c r="F162" s="9"/>
      <c r="G162" s="17"/>
      <c r="H162" s="17"/>
      <c r="I162" s="9"/>
      <c r="J162" s="9"/>
      <c r="K162" s="10">
        <v>0</v>
      </c>
      <c r="L162" s="10"/>
      <c r="M162" s="11"/>
      <c r="N162" s="12"/>
      <c r="O162" s="13"/>
      <c r="P162" s="14"/>
      <c r="Q162" s="2"/>
    </row>
    <row r="163" spans="1:21" x14ac:dyDescent="0.25">
      <c r="A163" s="6"/>
      <c r="B163" s="7"/>
      <c r="C163" s="8"/>
      <c r="D163" s="8"/>
      <c r="E163" s="9"/>
      <c r="F163" s="9"/>
      <c r="G163" s="17"/>
      <c r="H163" s="17"/>
      <c r="I163" s="9"/>
      <c r="J163" s="9"/>
      <c r="K163" s="10">
        <v>0</v>
      </c>
      <c r="L163" s="10"/>
      <c r="M163" s="11"/>
      <c r="N163" s="12"/>
      <c r="O163" s="13"/>
      <c r="P163" s="14"/>
    </row>
    <row r="164" spans="1:21" x14ac:dyDescent="0.25">
      <c r="A164" s="6"/>
      <c r="B164" s="7"/>
      <c r="C164" s="8"/>
      <c r="D164" s="8"/>
      <c r="E164" s="9"/>
      <c r="F164" s="9"/>
      <c r="G164" s="17"/>
      <c r="H164" s="17"/>
      <c r="I164" s="9"/>
      <c r="J164" s="9"/>
      <c r="K164" s="10">
        <v>0</v>
      </c>
      <c r="L164" s="10"/>
      <c r="M164" s="11"/>
      <c r="N164" s="12"/>
      <c r="O164" s="13"/>
      <c r="P164" s="14"/>
    </row>
    <row r="165" spans="1:21" x14ac:dyDescent="0.25">
      <c r="A165" s="6"/>
      <c r="B165" s="7"/>
      <c r="C165" s="8"/>
      <c r="D165" s="8"/>
      <c r="E165" s="9"/>
      <c r="F165" s="9"/>
      <c r="G165" s="17"/>
      <c r="H165" s="17"/>
      <c r="I165" s="9"/>
      <c r="J165" s="9"/>
      <c r="K165" s="10">
        <v>0</v>
      </c>
      <c r="L165" s="10"/>
      <c r="M165" s="11"/>
      <c r="N165" s="12"/>
      <c r="O165" s="13"/>
      <c r="P165" s="14"/>
      <c r="U165" s="23"/>
    </row>
    <row r="166" spans="1:21" x14ac:dyDescent="0.25">
      <c r="A166" s="6"/>
      <c r="B166" s="7"/>
      <c r="C166" s="8"/>
      <c r="D166" s="8"/>
      <c r="E166" s="9"/>
      <c r="F166" s="9"/>
      <c r="G166" s="17"/>
      <c r="H166" s="17"/>
      <c r="I166" s="9"/>
      <c r="J166" s="9"/>
      <c r="K166" s="10">
        <v>0</v>
      </c>
      <c r="L166" s="10"/>
      <c r="M166" s="11"/>
      <c r="N166" s="12"/>
      <c r="O166" s="13"/>
      <c r="P166" s="14"/>
    </row>
    <row r="167" spans="1:21" x14ac:dyDescent="0.25">
      <c r="A167" s="6"/>
      <c r="B167" s="7"/>
      <c r="C167" s="8"/>
      <c r="D167" s="8"/>
      <c r="E167" s="9"/>
      <c r="F167" s="9"/>
      <c r="G167" s="17"/>
      <c r="H167" s="17"/>
      <c r="I167" s="9"/>
      <c r="J167" s="9"/>
      <c r="K167" s="10">
        <v>0</v>
      </c>
      <c r="L167" s="10"/>
      <c r="M167" s="11"/>
      <c r="N167" s="12"/>
      <c r="O167" s="13"/>
      <c r="P167" s="14"/>
    </row>
    <row r="168" spans="1:21" x14ac:dyDescent="0.25">
      <c r="A168" s="6"/>
      <c r="B168" s="15"/>
      <c r="C168" s="8"/>
      <c r="D168" s="8"/>
      <c r="E168" s="9"/>
      <c r="F168" s="9"/>
      <c r="G168" s="17"/>
      <c r="H168" s="17"/>
      <c r="I168" s="9"/>
      <c r="J168" s="9"/>
      <c r="K168" s="10">
        <v>0</v>
      </c>
      <c r="L168" s="10"/>
      <c r="M168" s="11"/>
      <c r="N168" s="12"/>
      <c r="O168" s="13"/>
      <c r="P168" s="14"/>
    </row>
    <row r="169" spans="1:21" x14ac:dyDescent="0.25">
      <c r="A169" s="6"/>
      <c r="B169" s="7"/>
      <c r="C169" s="8"/>
      <c r="D169" s="8"/>
      <c r="E169" s="9"/>
      <c r="F169" s="9"/>
      <c r="G169" s="17"/>
      <c r="H169" s="17"/>
      <c r="I169" s="9"/>
      <c r="J169" s="9"/>
      <c r="K169" s="10">
        <v>0</v>
      </c>
      <c r="L169" s="10"/>
      <c r="M169" s="11"/>
      <c r="N169" s="12"/>
      <c r="O169" s="13"/>
      <c r="P169" s="14"/>
    </row>
    <row r="170" spans="1:21" x14ac:dyDescent="0.25">
      <c r="A170" s="6"/>
      <c r="B170" s="7"/>
      <c r="C170" s="8"/>
      <c r="D170" s="8"/>
      <c r="E170" s="9"/>
      <c r="F170" s="9"/>
      <c r="G170" s="17"/>
      <c r="H170" s="17"/>
      <c r="I170" s="9"/>
      <c r="J170" s="9"/>
      <c r="K170" s="10">
        <v>0</v>
      </c>
      <c r="L170" s="10"/>
      <c r="M170" s="11"/>
      <c r="N170" s="12"/>
      <c r="O170" s="13"/>
      <c r="P170" s="14"/>
    </row>
    <row r="171" spans="1:21" x14ac:dyDescent="0.25">
      <c r="A171" s="6"/>
      <c r="B171" s="7"/>
      <c r="C171" s="8"/>
      <c r="D171" s="8"/>
      <c r="E171" s="9"/>
      <c r="F171" s="9"/>
      <c r="G171" s="17"/>
      <c r="H171" s="17"/>
      <c r="I171" s="9"/>
      <c r="J171" s="9"/>
      <c r="K171" s="10">
        <v>0</v>
      </c>
      <c r="L171" s="10"/>
      <c r="M171" s="11"/>
      <c r="N171" s="12"/>
      <c r="O171" s="13"/>
      <c r="P171" s="14"/>
    </row>
    <row r="172" spans="1:21" x14ac:dyDescent="0.25">
      <c r="A172" s="6"/>
      <c r="B172" s="7"/>
      <c r="C172" s="8"/>
      <c r="D172" s="8"/>
      <c r="E172" s="9"/>
      <c r="F172" s="9"/>
      <c r="G172" s="17"/>
      <c r="H172" s="17"/>
      <c r="I172" s="9"/>
      <c r="J172" s="9"/>
      <c r="K172" s="10">
        <v>0</v>
      </c>
      <c r="L172" s="10"/>
      <c r="M172" s="11"/>
      <c r="N172" s="12"/>
      <c r="O172" s="13"/>
      <c r="P172" s="14"/>
    </row>
    <row r="173" spans="1:21" x14ac:dyDescent="0.25">
      <c r="A173" s="6"/>
      <c r="B173" s="7"/>
      <c r="C173" s="8"/>
      <c r="D173" s="8"/>
      <c r="E173" s="9"/>
      <c r="F173" s="9"/>
      <c r="G173" s="17"/>
      <c r="H173" s="17"/>
      <c r="I173" s="9"/>
      <c r="J173" s="9"/>
      <c r="K173" s="10">
        <v>0</v>
      </c>
      <c r="L173" s="10"/>
      <c r="M173" s="11"/>
      <c r="N173" s="12"/>
      <c r="O173" s="13"/>
      <c r="P173" s="14"/>
      <c r="Q173" s="2"/>
    </row>
    <row r="174" spans="1:21" x14ac:dyDescent="0.25">
      <c r="A174" s="6"/>
      <c r="B174" s="7"/>
      <c r="C174" s="8"/>
      <c r="D174" s="8"/>
      <c r="E174" s="9"/>
      <c r="F174" s="9"/>
      <c r="G174" s="17"/>
      <c r="H174" s="17"/>
      <c r="I174" s="9"/>
      <c r="J174" s="9"/>
      <c r="K174" s="10">
        <v>0</v>
      </c>
      <c r="L174" s="10"/>
      <c r="M174" s="11"/>
      <c r="N174" s="12"/>
      <c r="O174" s="13"/>
      <c r="P174" s="14"/>
    </row>
    <row r="175" spans="1:21" x14ac:dyDescent="0.25">
      <c r="A175" s="6"/>
      <c r="B175" s="7"/>
      <c r="C175" s="8"/>
      <c r="D175" s="8"/>
      <c r="E175" s="9"/>
      <c r="F175" s="9"/>
      <c r="G175" s="17"/>
      <c r="H175" s="17"/>
      <c r="I175" s="9"/>
      <c r="J175" s="9"/>
      <c r="K175" s="10">
        <v>0</v>
      </c>
      <c r="L175" s="10"/>
      <c r="M175" s="11"/>
      <c r="N175" s="12"/>
      <c r="O175" s="13"/>
      <c r="P175" s="14"/>
    </row>
    <row r="176" spans="1:21" x14ac:dyDescent="0.25">
      <c r="A176" s="6"/>
      <c r="B176" s="7"/>
      <c r="C176" s="8"/>
      <c r="D176" s="8"/>
      <c r="E176" s="9"/>
      <c r="F176" s="9"/>
      <c r="G176" s="17"/>
      <c r="H176" s="17"/>
      <c r="I176" s="9"/>
      <c r="J176" s="9"/>
      <c r="K176" s="10">
        <v>0</v>
      </c>
      <c r="L176" s="10"/>
      <c r="M176" s="11"/>
      <c r="N176" s="12"/>
      <c r="O176" s="13"/>
      <c r="P176" s="14"/>
    </row>
    <row r="177" spans="1:16" x14ac:dyDescent="0.25">
      <c r="A177" s="6"/>
      <c r="B177" s="7"/>
      <c r="C177" s="8"/>
      <c r="D177" s="8"/>
      <c r="E177" s="9"/>
      <c r="F177" s="9"/>
      <c r="G177" s="17"/>
      <c r="H177" s="17"/>
      <c r="I177" s="9"/>
      <c r="J177" s="9"/>
      <c r="K177" s="10">
        <v>0</v>
      </c>
      <c r="L177" s="10"/>
      <c r="M177" s="11"/>
      <c r="N177" s="12"/>
      <c r="O177" s="13"/>
      <c r="P177" s="14"/>
    </row>
    <row r="178" spans="1:16" x14ac:dyDescent="0.25">
      <c r="A178" s="6"/>
      <c r="B178" s="7"/>
      <c r="C178" s="8"/>
      <c r="D178" s="8"/>
      <c r="E178" s="9"/>
      <c r="F178" s="9"/>
      <c r="G178" s="17"/>
      <c r="H178" s="17"/>
      <c r="I178" s="9"/>
      <c r="J178" s="9"/>
      <c r="K178" s="10">
        <v>0</v>
      </c>
      <c r="L178" s="10"/>
      <c r="M178" s="11"/>
      <c r="N178" s="12"/>
      <c r="O178" s="13"/>
      <c r="P178" s="14"/>
    </row>
    <row r="179" spans="1:16" x14ac:dyDescent="0.25">
      <c r="A179" s="6"/>
      <c r="B179" s="7"/>
      <c r="C179" s="8"/>
      <c r="D179" s="8"/>
      <c r="E179" s="9"/>
      <c r="F179" s="9"/>
      <c r="G179" s="17"/>
      <c r="H179" s="17"/>
      <c r="I179" s="9"/>
      <c r="J179" s="9"/>
      <c r="K179" s="10">
        <v>0</v>
      </c>
      <c r="L179" s="10"/>
      <c r="M179" s="11"/>
      <c r="N179" s="12"/>
      <c r="O179" s="13"/>
      <c r="P179" s="14"/>
    </row>
    <row r="180" spans="1:16" x14ac:dyDescent="0.25">
      <c r="A180" s="6"/>
      <c r="B180" s="7"/>
      <c r="C180" s="8"/>
      <c r="D180" s="8"/>
      <c r="E180" s="9"/>
      <c r="F180" s="9"/>
      <c r="G180" s="17"/>
      <c r="H180" s="17"/>
      <c r="I180" s="9"/>
      <c r="J180" s="9"/>
      <c r="K180" s="10">
        <v>0</v>
      </c>
      <c r="L180" s="10"/>
      <c r="M180" s="11"/>
      <c r="N180" s="12"/>
      <c r="O180" s="13"/>
      <c r="P180" s="14"/>
    </row>
    <row r="181" spans="1:16" x14ac:dyDescent="0.25">
      <c r="A181" s="6"/>
      <c r="B181" s="7"/>
      <c r="C181" s="8"/>
      <c r="D181" s="8"/>
      <c r="E181" s="9"/>
      <c r="F181" s="9"/>
      <c r="G181" s="17"/>
      <c r="H181" s="17"/>
      <c r="I181" s="9"/>
      <c r="J181" s="9"/>
      <c r="K181" s="10">
        <v>0</v>
      </c>
      <c r="L181" s="10"/>
      <c r="M181" s="11"/>
      <c r="N181" s="12"/>
      <c r="O181" s="13"/>
      <c r="P181" s="14"/>
    </row>
    <row r="182" spans="1:16" x14ac:dyDescent="0.25">
      <c r="A182" s="6"/>
      <c r="B182" s="7"/>
      <c r="C182" s="8"/>
      <c r="D182" s="8"/>
      <c r="E182" s="9"/>
      <c r="F182" s="9"/>
      <c r="G182" s="17"/>
      <c r="H182" s="17"/>
      <c r="I182" s="9"/>
      <c r="J182" s="9"/>
      <c r="K182" s="10">
        <v>0</v>
      </c>
      <c r="L182" s="10"/>
      <c r="M182" s="11"/>
      <c r="N182" s="12"/>
      <c r="O182" s="13"/>
      <c r="P182" s="14"/>
    </row>
    <row r="183" spans="1:16" x14ac:dyDescent="0.25">
      <c r="A183" s="6"/>
      <c r="B183" s="7"/>
      <c r="C183" s="8"/>
      <c r="D183" s="8"/>
      <c r="E183" s="9"/>
      <c r="F183" s="9"/>
      <c r="G183" s="17"/>
      <c r="H183" s="17"/>
      <c r="I183" s="9"/>
      <c r="J183" s="9"/>
      <c r="K183" s="10">
        <v>0</v>
      </c>
      <c r="L183" s="10"/>
      <c r="M183" s="11"/>
      <c r="N183" s="12"/>
      <c r="O183" s="13"/>
      <c r="P183" s="14"/>
    </row>
    <row r="184" spans="1:16" x14ac:dyDescent="0.25">
      <c r="A184" s="6"/>
      <c r="B184" s="7"/>
      <c r="C184" s="8"/>
      <c r="D184" s="8"/>
      <c r="E184" s="9"/>
      <c r="F184" s="9"/>
      <c r="G184" s="17"/>
      <c r="H184" s="17"/>
      <c r="I184" s="9"/>
      <c r="J184" s="9"/>
      <c r="K184" s="10">
        <v>0</v>
      </c>
      <c r="L184" s="10"/>
      <c r="M184" s="11"/>
      <c r="N184" s="12"/>
      <c r="O184" s="13"/>
      <c r="P184" s="14"/>
    </row>
    <row r="185" spans="1:16" x14ac:dyDescent="0.25">
      <c r="A185" s="6"/>
      <c r="B185" s="7"/>
      <c r="C185" s="8"/>
      <c r="D185" s="8"/>
      <c r="E185" s="9"/>
      <c r="F185" s="9"/>
      <c r="G185" s="17"/>
      <c r="H185" s="17"/>
      <c r="I185" s="9"/>
      <c r="J185" s="9"/>
      <c r="K185" s="10">
        <v>0</v>
      </c>
      <c r="L185" s="10"/>
      <c r="M185" s="11"/>
      <c r="N185" s="12"/>
      <c r="O185" s="13"/>
      <c r="P185" s="14"/>
    </row>
    <row r="186" spans="1:16" x14ac:dyDescent="0.25">
      <c r="A186" s="6"/>
      <c r="B186" s="7"/>
      <c r="C186" s="8"/>
      <c r="D186" s="8"/>
      <c r="E186" s="9"/>
      <c r="F186" s="9"/>
      <c r="G186" s="17"/>
      <c r="H186" s="17"/>
      <c r="I186" s="9"/>
      <c r="J186" s="9"/>
      <c r="K186" s="10">
        <v>0</v>
      </c>
      <c r="L186" s="10"/>
      <c r="M186" s="11"/>
      <c r="N186" s="12"/>
      <c r="O186" s="13"/>
      <c r="P186" s="14"/>
    </row>
    <row r="187" spans="1:16" x14ac:dyDescent="0.25">
      <c r="A187" s="6"/>
      <c r="B187" s="7"/>
      <c r="C187" s="8"/>
      <c r="D187" s="8"/>
      <c r="E187" s="9"/>
      <c r="F187" s="9"/>
      <c r="G187" s="17"/>
      <c r="H187" s="17"/>
      <c r="I187" s="9"/>
      <c r="J187" s="9"/>
      <c r="K187" s="10">
        <v>0</v>
      </c>
      <c r="L187" s="10"/>
      <c r="M187" s="11"/>
      <c r="N187" s="12"/>
      <c r="O187" s="13"/>
      <c r="P187" s="14"/>
    </row>
    <row r="188" spans="1:16" x14ac:dyDescent="0.25">
      <c r="A188" s="6"/>
      <c r="B188" s="7"/>
      <c r="C188" s="8"/>
      <c r="D188" s="8"/>
      <c r="E188" s="9"/>
      <c r="F188" s="9"/>
      <c r="G188" s="17"/>
      <c r="H188" s="17"/>
      <c r="I188" s="9"/>
      <c r="J188" s="9"/>
      <c r="K188" s="10">
        <v>0</v>
      </c>
      <c r="L188" s="10"/>
      <c r="M188" s="11"/>
      <c r="N188" s="12"/>
      <c r="O188" s="13"/>
      <c r="P188" s="14"/>
    </row>
    <row r="189" spans="1:16" x14ac:dyDescent="0.25">
      <c r="A189" s="6"/>
      <c r="B189" s="7"/>
      <c r="C189" s="8"/>
      <c r="D189" s="8"/>
      <c r="E189" s="9"/>
      <c r="F189" s="9"/>
      <c r="G189" s="17"/>
      <c r="H189" s="17"/>
      <c r="I189" s="9"/>
      <c r="J189" s="9"/>
      <c r="K189" s="10">
        <v>0</v>
      </c>
      <c r="L189" s="10"/>
      <c r="M189" s="11"/>
      <c r="N189" s="12"/>
      <c r="O189" s="13"/>
      <c r="P189" s="14"/>
    </row>
    <row r="190" spans="1:16" x14ac:dyDescent="0.25">
      <c r="A190" s="6"/>
      <c r="B190" s="7"/>
      <c r="C190" s="8"/>
      <c r="D190" s="8"/>
      <c r="E190" s="9"/>
      <c r="F190" s="9"/>
      <c r="G190" s="17"/>
      <c r="H190" s="17"/>
      <c r="I190" s="9"/>
      <c r="J190" s="9"/>
      <c r="K190" s="10">
        <v>0</v>
      </c>
      <c r="L190" s="10"/>
      <c r="M190" s="11"/>
      <c r="N190" s="12"/>
      <c r="O190" s="13"/>
      <c r="P190" s="14"/>
    </row>
    <row r="191" spans="1:16" x14ac:dyDescent="0.25">
      <c r="A191" s="6"/>
      <c r="B191" s="7"/>
      <c r="C191" s="8"/>
      <c r="D191" s="8"/>
      <c r="E191" s="9"/>
      <c r="F191" s="9"/>
      <c r="G191" s="17"/>
      <c r="H191" s="17"/>
      <c r="I191" s="9"/>
      <c r="J191" s="9"/>
      <c r="K191" s="10">
        <v>0</v>
      </c>
      <c r="L191" s="10"/>
      <c r="M191" s="11"/>
      <c r="N191" s="12"/>
      <c r="O191" s="13"/>
      <c r="P191" s="14"/>
    </row>
    <row r="192" spans="1:16" x14ac:dyDescent="0.25">
      <c r="A192" s="6"/>
      <c r="B192" s="7"/>
      <c r="C192" s="8"/>
      <c r="D192" s="8"/>
      <c r="E192" s="9"/>
      <c r="F192" s="9"/>
      <c r="G192" s="17"/>
      <c r="H192" s="17"/>
      <c r="I192" s="9"/>
      <c r="J192" s="9"/>
      <c r="K192" s="10">
        <v>0</v>
      </c>
      <c r="L192" s="10"/>
      <c r="M192" s="11"/>
      <c r="N192" s="12"/>
      <c r="O192" s="13"/>
      <c r="P192" s="14"/>
    </row>
    <row r="193" spans="1:17" x14ac:dyDescent="0.25">
      <c r="A193" s="6"/>
      <c r="B193" s="7"/>
      <c r="C193" s="8"/>
      <c r="D193" s="8"/>
      <c r="E193" s="9"/>
      <c r="F193" s="9"/>
      <c r="G193" s="17"/>
      <c r="H193" s="17"/>
      <c r="I193" s="9"/>
      <c r="J193" s="9"/>
      <c r="K193" s="10">
        <v>0</v>
      </c>
      <c r="L193" s="10"/>
      <c r="M193" s="11"/>
      <c r="N193" s="12"/>
      <c r="O193" s="13"/>
      <c r="P193" s="14"/>
    </row>
    <row r="194" spans="1:17" x14ac:dyDescent="0.25">
      <c r="A194" s="6"/>
      <c r="B194" s="7"/>
      <c r="C194" s="8"/>
      <c r="D194" s="8"/>
      <c r="E194" s="9"/>
      <c r="F194" s="9"/>
      <c r="G194" s="17"/>
      <c r="H194" s="17"/>
      <c r="I194" s="9"/>
      <c r="J194" s="9"/>
      <c r="K194" s="10">
        <v>0</v>
      </c>
      <c r="L194" s="10"/>
      <c r="M194" s="11"/>
      <c r="N194" s="12"/>
      <c r="O194" s="13"/>
      <c r="P194" s="14"/>
    </row>
    <row r="195" spans="1:17" x14ac:dyDescent="0.25">
      <c r="A195" s="6"/>
      <c r="B195" s="7"/>
      <c r="C195" s="8"/>
      <c r="D195" s="8"/>
      <c r="E195" s="9"/>
      <c r="F195" s="9"/>
      <c r="G195" s="17"/>
      <c r="H195" s="17"/>
      <c r="I195" s="9"/>
      <c r="J195" s="9"/>
      <c r="K195" s="10">
        <v>0</v>
      </c>
      <c r="L195" s="10"/>
      <c r="M195" s="11"/>
      <c r="N195" s="12"/>
      <c r="O195" s="13"/>
      <c r="P195" s="14"/>
    </row>
    <row r="196" spans="1:17" x14ac:dyDescent="0.25">
      <c r="A196" s="6"/>
      <c r="B196" s="7"/>
      <c r="C196" s="8"/>
      <c r="D196" s="8"/>
      <c r="E196" s="9"/>
      <c r="F196" s="9"/>
      <c r="G196" s="17"/>
      <c r="H196" s="17"/>
      <c r="I196" s="9"/>
      <c r="J196" s="9"/>
      <c r="K196" s="10">
        <v>0</v>
      </c>
      <c r="L196" s="10"/>
      <c r="M196" s="11"/>
      <c r="N196" s="12"/>
      <c r="O196" s="13"/>
      <c r="P196" s="14"/>
    </row>
    <row r="197" spans="1:17" x14ac:dyDescent="0.25">
      <c r="A197" s="6"/>
      <c r="B197" s="7"/>
      <c r="C197" s="8"/>
      <c r="D197" s="8"/>
      <c r="E197" s="9"/>
      <c r="F197" s="9"/>
      <c r="G197" s="17"/>
      <c r="H197" s="17"/>
      <c r="I197" s="9"/>
      <c r="J197" s="9"/>
      <c r="K197" s="10">
        <v>0</v>
      </c>
      <c r="L197" s="10"/>
      <c r="M197" s="11"/>
      <c r="N197" s="12"/>
      <c r="O197" s="13"/>
      <c r="P197" s="14"/>
    </row>
    <row r="198" spans="1:17" x14ac:dyDescent="0.25">
      <c r="A198" s="6"/>
      <c r="B198" s="7"/>
      <c r="C198" s="8"/>
      <c r="D198" s="8"/>
      <c r="E198" s="9"/>
      <c r="F198" s="9"/>
      <c r="G198" s="17"/>
      <c r="H198" s="17"/>
      <c r="I198" s="9"/>
      <c r="J198" s="9"/>
      <c r="K198" s="10">
        <v>0</v>
      </c>
      <c r="L198" s="10"/>
      <c r="M198" s="11"/>
      <c r="N198" s="12"/>
      <c r="O198" s="13"/>
      <c r="P198" s="14"/>
    </row>
    <row r="199" spans="1:17" x14ac:dyDescent="0.25">
      <c r="A199" s="6"/>
      <c r="B199" s="7"/>
      <c r="C199" s="8"/>
      <c r="D199" s="8"/>
      <c r="E199" s="9"/>
      <c r="F199" s="9"/>
      <c r="G199" s="17"/>
      <c r="H199" s="17"/>
      <c r="I199" s="9"/>
      <c r="J199" s="9"/>
      <c r="K199" s="10">
        <v>0</v>
      </c>
      <c r="L199" s="10"/>
      <c r="M199" s="11"/>
      <c r="N199" s="12"/>
      <c r="O199" s="13"/>
      <c r="P199" s="14"/>
    </row>
    <row r="200" spans="1:17" x14ac:dyDescent="0.25">
      <c r="A200" s="6"/>
      <c r="B200" s="7"/>
      <c r="C200" s="8"/>
      <c r="D200" s="8"/>
      <c r="E200" s="9"/>
      <c r="F200" s="9"/>
      <c r="G200" s="17"/>
      <c r="H200" s="17"/>
      <c r="I200" s="9"/>
      <c r="J200" s="9"/>
      <c r="K200" s="10">
        <v>0</v>
      </c>
      <c r="L200" s="10"/>
      <c r="M200" s="11"/>
      <c r="N200" s="12"/>
      <c r="O200" s="13"/>
      <c r="P200" s="14"/>
      <c r="Q200" s="2"/>
    </row>
    <row r="201" spans="1:17" x14ac:dyDescent="0.25">
      <c r="A201" s="6"/>
      <c r="B201" s="7"/>
      <c r="C201" s="8"/>
      <c r="D201" s="8"/>
      <c r="E201" s="9"/>
      <c r="F201" s="9"/>
      <c r="G201" s="17"/>
      <c r="H201" s="17"/>
      <c r="I201" s="9"/>
      <c r="J201" s="9"/>
      <c r="K201" s="10">
        <v>0</v>
      </c>
      <c r="L201" s="10"/>
      <c r="M201" s="11"/>
      <c r="N201" s="12"/>
      <c r="O201" s="13"/>
      <c r="P201" s="14"/>
    </row>
    <row r="202" spans="1:17" x14ac:dyDescent="0.25">
      <c r="A202" s="6"/>
      <c r="B202" s="7"/>
      <c r="C202" s="8"/>
      <c r="D202" s="8"/>
      <c r="E202" s="9"/>
      <c r="F202" s="9"/>
      <c r="G202" s="17"/>
      <c r="H202" s="17"/>
      <c r="I202" s="9"/>
      <c r="J202" s="9"/>
      <c r="K202" s="10">
        <v>0</v>
      </c>
      <c r="L202" s="10"/>
      <c r="M202" s="11"/>
      <c r="N202" s="12"/>
      <c r="O202" s="13"/>
      <c r="P202" s="14"/>
    </row>
    <row r="203" spans="1:17" x14ac:dyDescent="0.25">
      <c r="A203" s="6"/>
      <c r="B203" s="7"/>
      <c r="C203" s="8"/>
      <c r="D203" s="8"/>
      <c r="E203" s="9"/>
      <c r="F203" s="9"/>
      <c r="G203" s="17"/>
      <c r="H203" s="17"/>
      <c r="I203" s="9"/>
      <c r="J203" s="9"/>
      <c r="K203" s="10">
        <v>0</v>
      </c>
      <c r="L203" s="10"/>
      <c r="M203" s="11"/>
      <c r="N203" s="12"/>
      <c r="O203" s="13"/>
      <c r="P203" s="14"/>
    </row>
    <row r="204" spans="1:17" x14ac:dyDescent="0.25">
      <c r="A204" s="6"/>
      <c r="B204" s="7"/>
      <c r="C204" s="8"/>
      <c r="D204" s="8"/>
      <c r="E204" s="9"/>
      <c r="F204" s="9"/>
      <c r="G204" s="17"/>
      <c r="H204" s="17"/>
      <c r="I204" s="9"/>
      <c r="J204" s="21"/>
      <c r="K204" s="10">
        <v>0</v>
      </c>
      <c r="L204" s="10"/>
      <c r="M204" s="11"/>
      <c r="N204" s="12"/>
      <c r="O204" s="13"/>
      <c r="P204" s="14"/>
    </row>
    <row r="205" spans="1:17" x14ac:dyDescent="0.25">
      <c r="A205" s="6"/>
      <c r="B205" s="7"/>
      <c r="C205" s="8"/>
      <c r="D205" s="8"/>
      <c r="E205" s="9"/>
      <c r="F205" s="9"/>
      <c r="G205" s="17"/>
      <c r="H205" s="17"/>
      <c r="I205" s="9"/>
      <c r="J205" s="9"/>
      <c r="K205" s="10">
        <v>0</v>
      </c>
      <c r="L205" s="10"/>
      <c r="M205" s="11"/>
      <c r="N205" s="12"/>
      <c r="O205" s="13"/>
      <c r="P205" s="14"/>
    </row>
    <row r="206" spans="1:17" x14ac:dyDescent="0.25">
      <c r="A206" s="6"/>
      <c r="B206" s="7"/>
      <c r="C206" s="8"/>
      <c r="D206" s="8"/>
      <c r="E206" s="9"/>
      <c r="F206" s="9"/>
      <c r="G206" s="17"/>
      <c r="H206" s="17"/>
      <c r="I206" s="9"/>
      <c r="J206" s="21"/>
      <c r="K206" s="10">
        <v>0</v>
      </c>
      <c r="L206" s="10"/>
      <c r="M206" s="11"/>
      <c r="N206" s="12"/>
      <c r="O206" s="13"/>
      <c r="P206" s="14"/>
    </row>
    <row r="207" spans="1:17" x14ac:dyDescent="0.25">
      <c r="A207" s="6"/>
      <c r="B207" s="7"/>
      <c r="C207" s="8"/>
      <c r="D207" s="8"/>
      <c r="E207" s="9"/>
      <c r="F207" s="9"/>
      <c r="G207" s="17"/>
      <c r="H207" s="17"/>
      <c r="I207" s="9"/>
      <c r="J207" s="9"/>
      <c r="K207" s="10">
        <v>0</v>
      </c>
      <c r="L207" s="10"/>
      <c r="M207" s="11"/>
      <c r="N207" s="12"/>
      <c r="O207" s="13"/>
      <c r="P207" s="14"/>
    </row>
    <row r="208" spans="1:17" x14ac:dyDescent="0.25">
      <c r="A208" s="6"/>
      <c r="B208" s="15"/>
      <c r="C208" s="8"/>
      <c r="D208" s="8"/>
      <c r="E208" s="9"/>
      <c r="F208" s="9"/>
      <c r="G208" s="17"/>
      <c r="H208" s="17"/>
      <c r="I208" s="9"/>
      <c r="J208" s="9"/>
      <c r="K208" s="10">
        <v>0</v>
      </c>
      <c r="L208" s="10"/>
      <c r="M208" s="11"/>
      <c r="N208" s="12"/>
      <c r="O208" s="13"/>
      <c r="P208" s="14"/>
    </row>
    <row r="209" spans="1:17" x14ac:dyDescent="0.25">
      <c r="A209" s="6"/>
      <c r="B209" s="7"/>
      <c r="C209" s="8"/>
      <c r="D209" s="8"/>
      <c r="E209" s="9"/>
      <c r="F209" s="9"/>
      <c r="G209" s="17"/>
      <c r="H209" s="17"/>
      <c r="I209" s="9"/>
      <c r="J209" s="9"/>
      <c r="K209" s="10">
        <v>0</v>
      </c>
      <c r="L209" s="10"/>
      <c r="M209" s="11"/>
      <c r="N209" s="12"/>
      <c r="O209" s="13"/>
      <c r="P209" s="14"/>
    </row>
    <row r="210" spans="1:17" x14ac:dyDescent="0.25">
      <c r="A210" s="6"/>
      <c r="B210" s="7"/>
      <c r="C210" s="8"/>
      <c r="D210" s="8"/>
      <c r="E210" s="9"/>
      <c r="F210" s="9"/>
      <c r="G210" s="17"/>
      <c r="H210" s="17"/>
      <c r="I210" s="9"/>
      <c r="J210" s="9"/>
      <c r="K210" s="10">
        <v>0</v>
      </c>
      <c r="L210" s="10"/>
      <c r="M210" s="11"/>
      <c r="N210" s="12"/>
      <c r="O210" s="13"/>
      <c r="P210" s="14"/>
    </row>
    <row r="211" spans="1:17" x14ac:dyDescent="0.25">
      <c r="A211" s="6"/>
      <c r="B211" s="7"/>
      <c r="C211" s="8"/>
      <c r="D211" s="8"/>
      <c r="E211" s="9"/>
      <c r="F211" s="9"/>
      <c r="G211" s="17"/>
      <c r="H211" s="17"/>
      <c r="I211" s="9"/>
      <c r="J211" s="9"/>
      <c r="K211" s="10">
        <v>0</v>
      </c>
      <c r="L211" s="10"/>
      <c r="M211" s="11"/>
      <c r="N211" s="12"/>
      <c r="O211" s="13"/>
      <c r="P211" s="14"/>
    </row>
    <row r="212" spans="1:17" x14ac:dyDescent="0.25">
      <c r="A212" s="6"/>
      <c r="B212" s="7"/>
      <c r="C212" s="8"/>
      <c r="D212" s="8"/>
      <c r="E212" s="9"/>
      <c r="F212" s="9"/>
      <c r="G212" s="17"/>
      <c r="H212" s="17"/>
      <c r="I212" s="9"/>
      <c r="J212" s="9"/>
      <c r="K212" s="10">
        <v>0</v>
      </c>
      <c r="L212" s="10"/>
      <c r="M212" s="11"/>
      <c r="N212" s="12"/>
      <c r="O212" s="13"/>
      <c r="P212" s="14"/>
    </row>
    <row r="213" spans="1:17" x14ac:dyDescent="0.25">
      <c r="A213" s="6"/>
      <c r="B213" s="7"/>
      <c r="C213" s="8"/>
      <c r="D213" s="8"/>
      <c r="E213" s="9"/>
      <c r="F213" s="9"/>
      <c r="G213" s="17"/>
      <c r="H213" s="17"/>
      <c r="I213" s="9"/>
      <c r="J213" s="9"/>
      <c r="K213" s="10">
        <v>0</v>
      </c>
      <c r="L213" s="10"/>
      <c r="M213" s="11"/>
      <c r="N213" s="12"/>
      <c r="O213" s="13"/>
      <c r="P213" s="14"/>
    </row>
    <row r="214" spans="1:17" x14ac:dyDescent="0.25">
      <c r="A214" s="6"/>
      <c r="B214" s="7"/>
      <c r="C214" s="8"/>
      <c r="D214" s="8"/>
      <c r="E214" s="9"/>
      <c r="F214" s="9"/>
      <c r="G214" s="17"/>
      <c r="H214" s="17"/>
      <c r="I214" s="9"/>
      <c r="J214" s="9"/>
      <c r="K214" s="10">
        <v>0</v>
      </c>
      <c r="L214" s="10"/>
      <c r="M214" s="11"/>
      <c r="N214" s="12"/>
      <c r="O214" s="13"/>
      <c r="P214" s="14"/>
    </row>
    <row r="215" spans="1:17" x14ac:dyDescent="0.25">
      <c r="A215" s="6"/>
      <c r="B215" s="7"/>
      <c r="C215" s="8"/>
      <c r="D215" s="8"/>
      <c r="E215" s="9"/>
      <c r="F215" s="9"/>
      <c r="G215" s="17"/>
      <c r="H215" s="17"/>
      <c r="I215" s="9"/>
      <c r="J215" s="9"/>
      <c r="K215" s="10">
        <v>0</v>
      </c>
      <c r="L215" s="10"/>
      <c r="M215" s="11"/>
      <c r="N215" s="12"/>
      <c r="O215" s="13"/>
      <c r="P215" s="14"/>
    </row>
    <row r="216" spans="1:17" x14ac:dyDescent="0.25">
      <c r="A216" s="6"/>
      <c r="B216" s="7"/>
      <c r="C216" s="8"/>
      <c r="D216" s="8"/>
      <c r="E216" s="9"/>
      <c r="F216" s="9"/>
      <c r="G216" s="17"/>
      <c r="H216" s="17"/>
      <c r="I216" s="9"/>
      <c r="J216" s="9"/>
      <c r="K216" s="10">
        <v>0</v>
      </c>
      <c r="L216" s="10"/>
      <c r="M216" s="11"/>
      <c r="N216" s="12"/>
      <c r="O216" s="13"/>
      <c r="P216" s="14"/>
    </row>
    <row r="217" spans="1:17" x14ac:dyDescent="0.25">
      <c r="A217" s="6"/>
      <c r="B217" s="7"/>
      <c r="C217" s="8"/>
      <c r="D217" s="8"/>
      <c r="E217" s="9"/>
      <c r="F217" s="9"/>
      <c r="G217" s="17"/>
      <c r="H217" s="17"/>
      <c r="I217" s="9"/>
      <c r="J217" s="9"/>
      <c r="K217" s="10">
        <v>0</v>
      </c>
      <c r="L217" s="10"/>
      <c r="M217" s="11"/>
      <c r="N217" s="12"/>
      <c r="O217" s="13"/>
      <c r="P217" s="14"/>
    </row>
    <row r="218" spans="1:17" x14ac:dyDescent="0.25">
      <c r="A218" s="6"/>
      <c r="B218" s="7"/>
      <c r="C218" s="8"/>
      <c r="D218" s="8"/>
      <c r="E218" s="9"/>
      <c r="F218" s="9"/>
      <c r="G218" s="17"/>
      <c r="H218" s="17"/>
      <c r="I218" s="9"/>
      <c r="J218" s="9"/>
      <c r="K218" s="10">
        <v>0</v>
      </c>
      <c r="L218" s="10"/>
      <c r="M218" s="11"/>
      <c r="N218" s="12"/>
      <c r="O218" s="13"/>
      <c r="P218" s="14"/>
    </row>
    <row r="219" spans="1:17" x14ac:dyDescent="0.25">
      <c r="A219" s="6"/>
      <c r="B219" s="7"/>
      <c r="C219" s="8"/>
      <c r="D219" s="8"/>
      <c r="E219" s="9"/>
      <c r="F219" s="9"/>
      <c r="G219" s="17"/>
      <c r="H219" s="17"/>
      <c r="I219" s="9"/>
      <c r="J219" s="9"/>
      <c r="K219" s="10">
        <v>0</v>
      </c>
      <c r="L219" s="10"/>
      <c r="M219" s="11"/>
      <c r="N219" s="12"/>
      <c r="O219" s="13"/>
      <c r="P219" s="14"/>
      <c r="Q219" s="2"/>
    </row>
    <row r="220" spans="1:17" x14ac:dyDescent="0.25">
      <c r="A220" s="6"/>
      <c r="B220" s="7"/>
      <c r="C220" s="8"/>
      <c r="D220" s="8"/>
      <c r="E220" s="9"/>
      <c r="F220" s="9"/>
      <c r="G220" s="17"/>
      <c r="H220" s="17"/>
      <c r="I220" s="9"/>
      <c r="J220" s="9"/>
      <c r="K220" s="10">
        <v>0</v>
      </c>
      <c r="L220" s="10"/>
      <c r="M220" s="11"/>
      <c r="N220" s="12"/>
      <c r="O220" s="13"/>
      <c r="P220" s="14"/>
    </row>
    <row r="221" spans="1:17" x14ac:dyDescent="0.25">
      <c r="A221" s="6"/>
      <c r="B221" s="7"/>
      <c r="C221" s="8"/>
      <c r="D221" s="8"/>
      <c r="E221" s="9"/>
      <c r="F221" s="9"/>
      <c r="G221" s="17"/>
      <c r="H221" s="17"/>
      <c r="I221" s="9"/>
      <c r="J221" s="9"/>
      <c r="K221" s="10">
        <v>0</v>
      </c>
      <c r="L221" s="10"/>
      <c r="M221" s="11"/>
      <c r="N221" s="12"/>
      <c r="O221" s="13"/>
      <c r="P221" s="14"/>
    </row>
    <row r="222" spans="1:17" x14ac:dyDescent="0.25">
      <c r="A222" s="6"/>
      <c r="B222" s="7"/>
      <c r="C222" s="8"/>
      <c r="D222" s="8"/>
      <c r="E222" s="9"/>
      <c r="F222" s="9"/>
      <c r="G222" s="17"/>
      <c r="H222" s="17"/>
      <c r="I222" s="9"/>
      <c r="J222" s="9"/>
      <c r="K222" s="10">
        <v>0</v>
      </c>
      <c r="L222" s="10"/>
      <c r="M222" s="11"/>
      <c r="N222" s="12"/>
      <c r="O222" s="13"/>
      <c r="P222" s="14"/>
    </row>
    <row r="223" spans="1:17" x14ac:dyDescent="0.25">
      <c r="A223" s="6"/>
      <c r="B223" s="7"/>
      <c r="C223" s="8"/>
      <c r="D223" s="8"/>
      <c r="E223" s="9"/>
      <c r="F223" s="9"/>
      <c r="G223" s="17"/>
      <c r="H223" s="17"/>
      <c r="I223" s="9"/>
      <c r="J223" s="9"/>
      <c r="K223" s="10">
        <v>0</v>
      </c>
      <c r="L223" s="10"/>
      <c r="M223" s="11"/>
      <c r="N223" s="12"/>
      <c r="O223" s="13"/>
      <c r="P223" s="14"/>
    </row>
    <row r="224" spans="1:17" x14ac:dyDescent="0.25">
      <c r="A224" s="6"/>
      <c r="B224" s="7"/>
      <c r="C224" s="8"/>
      <c r="D224" s="8"/>
      <c r="E224" s="9"/>
      <c r="F224" s="9"/>
      <c r="G224" s="17"/>
      <c r="H224" s="17"/>
      <c r="I224" s="9"/>
      <c r="J224" s="9"/>
      <c r="K224" s="10">
        <v>0</v>
      </c>
      <c r="L224" s="10"/>
      <c r="M224" s="11"/>
      <c r="N224" s="12"/>
      <c r="O224" s="13"/>
      <c r="P224" s="14"/>
    </row>
    <row r="225" spans="1:16" x14ac:dyDescent="0.25">
      <c r="A225" s="6"/>
      <c r="B225" s="7"/>
      <c r="C225" s="8"/>
      <c r="D225" s="8"/>
      <c r="E225" s="9"/>
      <c r="F225" s="9"/>
      <c r="G225" s="17"/>
      <c r="H225" s="17"/>
      <c r="I225" s="9"/>
      <c r="J225" s="9"/>
      <c r="K225" s="10">
        <v>0</v>
      </c>
      <c r="L225" s="10"/>
      <c r="M225" s="11"/>
      <c r="N225" s="12"/>
      <c r="O225" s="13"/>
      <c r="P225" s="14"/>
    </row>
    <row r="226" spans="1:16" x14ac:dyDescent="0.25">
      <c r="A226" s="6"/>
      <c r="B226" s="15"/>
      <c r="C226" s="16"/>
      <c r="D226" s="8"/>
      <c r="E226" s="9"/>
      <c r="F226" s="9"/>
      <c r="G226" s="17"/>
      <c r="H226" s="17"/>
      <c r="I226" s="9"/>
      <c r="J226" s="9"/>
      <c r="K226" s="10">
        <v>0</v>
      </c>
      <c r="L226" s="10"/>
      <c r="M226" s="11"/>
      <c r="N226" s="12"/>
      <c r="O226" s="13"/>
      <c r="P226" s="14"/>
    </row>
    <row r="227" spans="1:16" x14ac:dyDescent="0.25">
      <c r="A227" s="6"/>
      <c r="B227" s="7"/>
      <c r="C227" s="8"/>
      <c r="D227" s="8"/>
      <c r="E227" s="9"/>
      <c r="F227" s="9"/>
      <c r="G227" s="17"/>
      <c r="H227" s="17"/>
      <c r="I227" s="9"/>
      <c r="J227" s="9"/>
      <c r="K227" s="10">
        <v>0</v>
      </c>
      <c r="L227" s="10"/>
      <c r="M227" s="11"/>
      <c r="N227" s="12"/>
      <c r="O227" s="13"/>
      <c r="P227" s="14"/>
    </row>
    <row r="228" spans="1:16" x14ac:dyDescent="0.25">
      <c r="A228" s="6"/>
      <c r="B228" s="7"/>
      <c r="C228" s="8"/>
      <c r="D228" s="8"/>
      <c r="E228" s="9"/>
      <c r="F228" s="9"/>
      <c r="G228" s="17"/>
      <c r="H228" s="17"/>
      <c r="I228" s="9"/>
      <c r="J228" s="9"/>
      <c r="K228" s="10">
        <v>0</v>
      </c>
      <c r="L228" s="10"/>
      <c r="M228" s="11"/>
      <c r="N228" s="12"/>
      <c r="O228" s="13"/>
      <c r="P228" s="14"/>
    </row>
    <row r="229" spans="1:16" x14ac:dyDescent="0.25">
      <c r="A229" s="6"/>
      <c r="B229" s="7"/>
      <c r="C229" s="8"/>
      <c r="D229" s="8"/>
      <c r="E229" s="9"/>
      <c r="F229" s="9"/>
      <c r="G229" s="17"/>
      <c r="H229" s="17"/>
      <c r="I229" s="9"/>
      <c r="J229" s="9"/>
      <c r="K229" s="10">
        <v>0</v>
      </c>
      <c r="L229" s="10"/>
      <c r="M229" s="11"/>
      <c r="N229" s="12"/>
      <c r="O229" s="13"/>
      <c r="P229" s="14"/>
    </row>
    <row r="230" spans="1:16" x14ac:dyDescent="0.25">
      <c r="A230" s="6"/>
      <c r="B230" s="7"/>
      <c r="C230" s="8"/>
      <c r="D230" s="8"/>
      <c r="E230" s="9"/>
      <c r="F230" s="9"/>
      <c r="G230" s="17"/>
      <c r="H230" s="17"/>
      <c r="I230" s="9"/>
      <c r="J230" s="9"/>
      <c r="K230" s="10">
        <v>0</v>
      </c>
      <c r="L230" s="10"/>
      <c r="M230" s="11"/>
      <c r="N230" s="12"/>
      <c r="O230" s="13"/>
      <c r="P230" s="14"/>
    </row>
    <row r="231" spans="1:16" x14ac:dyDescent="0.25">
      <c r="A231" s="6"/>
      <c r="B231" s="7"/>
      <c r="C231" s="8"/>
      <c r="D231" s="8"/>
      <c r="E231" s="9"/>
      <c r="F231" s="9"/>
      <c r="G231" s="17"/>
      <c r="H231" s="17"/>
      <c r="I231" s="9"/>
      <c r="J231" s="9"/>
      <c r="K231" s="10">
        <v>0</v>
      </c>
      <c r="L231" s="10"/>
      <c r="M231" s="11"/>
      <c r="N231" s="12"/>
      <c r="O231" s="13"/>
      <c r="P231" s="14"/>
    </row>
    <row r="232" spans="1:16" x14ac:dyDescent="0.25">
      <c r="A232" s="6"/>
      <c r="B232" s="7"/>
      <c r="C232" s="8"/>
      <c r="D232" s="8"/>
      <c r="E232" s="9"/>
      <c r="F232" s="9"/>
      <c r="G232" s="17"/>
      <c r="H232" s="17"/>
      <c r="I232" s="9"/>
      <c r="J232" s="9"/>
      <c r="K232" s="10">
        <v>0</v>
      </c>
      <c r="L232" s="10"/>
      <c r="M232" s="11"/>
      <c r="N232" s="12"/>
      <c r="O232" s="13"/>
      <c r="P232" s="14"/>
    </row>
    <row r="233" spans="1:16" x14ac:dyDescent="0.25">
      <c r="A233" s="6"/>
      <c r="B233" s="7"/>
      <c r="C233" s="8"/>
      <c r="D233" s="8"/>
      <c r="E233" s="9"/>
      <c r="F233" s="9"/>
      <c r="G233" s="17"/>
      <c r="H233" s="17"/>
      <c r="I233" s="9"/>
      <c r="J233" s="9"/>
      <c r="K233" s="10">
        <v>0</v>
      </c>
      <c r="L233" s="10"/>
      <c r="M233" s="11"/>
      <c r="N233" s="12"/>
      <c r="O233" s="13"/>
      <c r="P233" s="14"/>
    </row>
    <row r="234" spans="1:16" x14ac:dyDescent="0.25">
      <c r="A234" s="6"/>
      <c r="B234" s="7"/>
      <c r="C234" s="8"/>
      <c r="D234" s="8"/>
      <c r="E234" s="9"/>
      <c r="F234" s="9"/>
      <c r="G234" s="17"/>
      <c r="H234" s="17"/>
      <c r="I234" s="9"/>
      <c r="J234" s="9"/>
      <c r="K234" s="10">
        <v>0</v>
      </c>
      <c r="L234" s="10"/>
      <c r="M234" s="11"/>
      <c r="N234" s="12"/>
      <c r="O234" s="13"/>
      <c r="P234" s="14"/>
    </row>
    <row r="235" spans="1:16" x14ac:dyDescent="0.25">
      <c r="A235" s="6"/>
      <c r="B235" s="7"/>
      <c r="C235" s="8"/>
      <c r="D235" s="8"/>
      <c r="E235" s="9"/>
      <c r="F235" s="9"/>
      <c r="G235" s="17"/>
      <c r="H235" s="17"/>
      <c r="I235" s="9"/>
      <c r="J235" s="9"/>
      <c r="K235" s="10">
        <v>0</v>
      </c>
      <c r="L235" s="10"/>
      <c r="M235" s="11"/>
      <c r="N235" s="12"/>
      <c r="O235" s="13"/>
      <c r="P235" s="14"/>
    </row>
    <row r="236" spans="1:16" x14ac:dyDescent="0.25">
      <c r="A236" s="6"/>
      <c r="B236" s="7"/>
      <c r="C236" s="8"/>
      <c r="D236" s="8"/>
      <c r="E236" s="9"/>
      <c r="F236" s="9"/>
      <c r="G236" s="17"/>
      <c r="H236" s="17"/>
      <c r="I236" s="9"/>
      <c r="J236" s="9"/>
      <c r="K236" s="10">
        <v>0</v>
      </c>
      <c r="L236" s="10"/>
      <c r="M236" s="11"/>
      <c r="N236" s="12"/>
      <c r="O236" s="13"/>
      <c r="P236" s="14"/>
    </row>
    <row r="237" spans="1:16" x14ac:dyDescent="0.25">
      <c r="A237" s="6"/>
      <c r="B237" s="7"/>
      <c r="C237" s="8"/>
      <c r="D237" s="8"/>
      <c r="E237" s="9"/>
      <c r="F237" s="9"/>
      <c r="G237" s="17"/>
      <c r="H237" s="17"/>
      <c r="I237" s="9"/>
      <c r="J237" s="9"/>
      <c r="K237" s="10">
        <v>0</v>
      </c>
      <c r="L237" s="10"/>
      <c r="M237" s="11"/>
      <c r="N237" s="12"/>
      <c r="O237" s="13"/>
      <c r="P237" s="14"/>
    </row>
    <row r="238" spans="1:16" x14ac:dyDescent="0.25">
      <c r="A238" s="6"/>
      <c r="B238" s="7"/>
      <c r="C238" s="8"/>
      <c r="D238" s="8"/>
      <c r="E238" s="9"/>
      <c r="F238" s="9"/>
      <c r="G238" s="17"/>
      <c r="H238" s="17"/>
      <c r="I238" s="9"/>
      <c r="J238" s="9"/>
      <c r="K238" s="10">
        <v>0</v>
      </c>
      <c r="L238" s="10"/>
      <c r="M238" s="11"/>
      <c r="N238" s="12"/>
      <c r="O238" s="13"/>
      <c r="P238" s="14"/>
    </row>
    <row r="239" spans="1:16" x14ac:dyDescent="0.25">
      <c r="A239" s="6"/>
      <c r="B239" s="7"/>
      <c r="C239" s="8"/>
      <c r="D239" s="8"/>
      <c r="E239" s="9"/>
      <c r="F239" s="9"/>
      <c r="G239" s="17"/>
      <c r="H239" s="17"/>
      <c r="I239" s="9"/>
      <c r="J239" s="9"/>
      <c r="K239" s="10">
        <v>0</v>
      </c>
      <c r="L239" s="10"/>
      <c r="M239" s="11"/>
      <c r="N239" s="12"/>
      <c r="O239" s="13"/>
      <c r="P239" s="14"/>
    </row>
    <row r="240" spans="1:16" x14ac:dyDescent="0.25">
      <c r="A240" s="6"/>
      <c r="B240" s="7"/>
      <c r="C240" s="8"/>
      <c r="D240" s="8"/>
      <c r="E240" s="9"/>
      <c r="F240" s="9"/>
      <c r="G240" s="17"/>
      <c r="H240" s="17"/>
      <c r="I240" s="9"/>
      <c r="J240" s="9"/>
      <c r="K240" s="10">
        <v>0</v>
      </c>
      <c r="L240" s="10"/>
      <c r="M240" s="11"/>
      <c r="N240" s="12"/>
      <c r="O240" s="13"/>
      <c r="P240" s="14"/>
    </row>
    <row r="241" spans="1:21" x14ac:dyDescent="0.25">
      <c r="A241" s="6"/>
      <c r="B241" s="7"/>
      <c r="C241" s="8"/>
      <c r="D241" s="8"/>
      <c r="E241" s="9"/>
      <c r="F241" s="9"/>
      <c r="G241" s="17"/>
      <c r="H241" s="17"/>
      <c r="I241" s="9"/>
      <c r="J241" s="9"/>
      <c r="K241" s="10">
        <v>0</v>
      </c>
      <c r="L241" s="10"/>
      <c r="M241" s="11"/>
      <c r="N241" s="12"/>
      <c r="O241" s="13"/>
      <c r="P241" s="14"/>
    </row>
    <row r="242" spans="1:21" x14ac:dyDescent="0.25">
      <c r="A242" s="6"/>
      <c r="B242" s="7"/>
      <c r="C242" s="8"/>
      <c r="D242" s="8"/>
      <c r="E242" s="9"/>
      <c r="F242" s="9"/>
      <c r="G242" s="17"/>
      <c r="H242" s="17"/>
      <c r="I242" s="9"/>
      <c r="J242" s="9"/>
      <c r="K242" s="10">
        <v>0</v>
      </c>
      <c r="L242" s="10"/>
      <c r="M242" s="11"/>
      <c r="N242" s="12"/>
      <c r="O242" s="13"/>
      <c r="P242" s="14"/>
    </row>
    <row r="243" spans="1:21" x14ac:dyDescent="0.25">
      <c r="A243" s="6"/>
      <c r="B243" s="7"/>
      <c r="C243" s="8"/>
      <c r="D243" s="8"/>
      <c r="E243" s="9"/>
      <c r="F243" s="9"/>
      <c r="G243" s="17"/>
      <c r="H243" s="17"/>
      <c r="I243" s="9"/>
      <c r="J243" s="9"/>
      <c r="K243" s="10">
        <v>0</v>
      </c>
      <c r="L243" s="10"/>
      <c r="M243" s="11"/>
      <c r="N243" s="12"/>
      <c r="O243" s="13"/>
      <c r="P243" s="14"/>
    </row>
    <row r="244" spans="1:21" x14ac:dyDescent="0.25">
      <c r="A244" s="6"/>
      <c r="B244" s="7"/>
      <c r="C244" s="8"/>
      <c r="D244" s="8"/>
      <c r="E244" s="9"/>
      <c r="F244" s="9"/>
      <c r="G244" s="17"/>
      <c r="H244" s="17"/>
      <c r="I244" s="9"/>
      <c r="J244" s="9"/>
      <c r="K244" s="10">
        <v>0</v>
      </c>
      <c r="L244" s="10"/>
      <c r="M244" s="11"/>
      <c r="N244" s="12"/>
      <c r="O244" s="13"/>
      <c r="P244" s="14"/>
    </row>
    <row r="245" spans="1:21" x14ac:dyDescent="0.25">
      <c r="A245" s="6"/>
      <c r="B245" s="7"/>
      <c r="C245" s="8"/>
      <c r="D245" s="8"/>
      <c r="E245" s="9"/>
      <c r="F245" s="9"/>
      <c r="G245" s="17"/>
      <c r="H245" s="17"/>
      <c r="I245" s="9"/>
      <c r="J245" s="9"/>
      <c r="K245" s="10">
        <v>0</v>
      </c>
      <c r="L245" s="10"/>
      <c r="M245" s="11"/>
      <c r="N245" s="12"/>
      <c r="O245" s="13"/>
      <c r="P245" s="14"/>
    </row>
    <row r="246" spans="1:21" x14ac:dyDescent="0.25">
      <c r="A246" s="6"/>
      <c r="B246" s="7"/>
      <c r="C246" s="8"/>
      <c r="D246" s="8"/>
      <c r="E246" s="9"/>
      <c r="F246" s="9"/>
      <c r="G246" s="17"/>
      <c r="H246" s="17"/>
      <c r="I246" s="9"/>
      <c r="J246" s="9"/>
      <c r="K246" s="10">
        <v>0</v>
      </c>
      <c r="L246" s="10"/>
      <c r="M246" s="11"/>
      <c r="N246" s="12"/>
      <c r="O246" s="13"/>
      <c r="P246" s="14"/>
    </row>
    <row r="247" spans="1:21" x14ac:dyDescent="0.25">
      <c r="A247" s="6"/>
      <c r="B247" s="7"/>
      <c r="C247" s="8"/>
      <c r="D247" s="8"/>
      <c r="E247" s="9"/>
      <c r="F247" s="9"/>
      <c r="G247" s="17"/>
      <c r="H247" s="17"/>
      <c r="I247" s="9"/>
      <c r="J247" s="9"/>
      <c r="K247" s="10">
        <v>0</v>
      </c>
      <c r="L247" s="10"/>
      <c r="M247" s="11"/>
      <c r="N247" s="12"/>
      <c r="O247" s="13"/>
      <c r="P247" s="14"/>
    </row>
    <row r="248" spans="1:21" x14ac:dyDescent="0.25">
      <c r="A248" s="6"/>
      <c r="B248" s="7"/>
      <c r="C248" s="8"/>
      <c r="D248" s="8"/>
      <c r="E248" s="9"/>
      <c r="F248" s="9"/>
      <c r="G248" s="17"/>
      <c r="H248" s="17"/>
      <c r="I248" s="9"/>
      <c r="J248" s="9"/>
      <c r="K248" s="10">
        <v>0</v>
      </c>
      <c r="L248" s="10"/>
      <c r="M248" s="11"/>
      <c r="N248" s="12"/>
      <c r="O248" s="13"/>
      <c r="P248" s="14"/>
    </row>
    <row r="249" spans="1:21" x14ac:dyDescent="0.25">
      <c r="A249" s="6"/>
      <c r="B249" s="7"/>
      <c r="C249" s="8"/>
      <c r="D249" s="8"/>
      <c r="E249" s="9"/>
      <c r="F249" s="9"/>
      <c r="G249" s="17"/>
      <c r="H249" s="17"/>
      <c r="I249" s="9"/>
      <c r="J249" s="9"/>
      <c r="K249" s="10">
        <v>0</v>
      </c>
      <c r="L249" s="10"/>
      <c r="M249" s="11"/>
      <c r="N249" s="12"/>
      <c r="O249" s="13"/>
      <c r="P249" s="14"/>
    </row>
    <row r="250" spans="1:21" x14ac:dyDescent="0.25">
      <c r="A250" s="6"/>
      <c r="B250" s="7"/>
      <c r="C250" s="8"/>
      <c r="D250" s="8"/>
      <c r="E250" s="9"/>
      <c r="F250" s="9"/>
      <c r="G250" s="17"/>
      <c r="H250" s="17"/>
      <c r="I250" s="9"/>
      <c r="J250" s="9"/>
      <c r="K250" s="10">
        <v>0</v>
      </c>
      <c r="L250" s="10"/>
      <c r="M250" s="11"/>
      <c r="N250" s="12"/>
      <c r="O250" s="13"/>
      <c r="P250" s="14"/>
    </row>
    <row r="251" spans="1:21" x14ac:dyDescent="0.25">
      <c r="A251" s="6"/>
      <c r="B251" s="7"/>
      <c r="C251" s="8"/>
      <c r="D251" s="8"/>
      <c r="E251" s="9"/>
      <c r="F251" s="9"/>
      <c r="G251" s="17"/>
      <c r="H251" s="17"/>
      <c r="I251" s="9"/>
      <c r="J251" s="9"/>
      <c r="K251" s="10">
        <v>0</v>
      </c>
      <c r="L251" s="10"/>
      <c r="M251" s="11"/>
      <c r="N251" s="12"/>
      <c r="O251" s="13"/>
      <c r="P251" s="14"/>
      <c r="Q251" s="2"/>
    </row>
    <row r="252" spans="1:21" x14ac:dyDescent="0.25">
      <c r="A252" s="6"/>
      <c r="B252" s="7"/>
      <c r="C252" s="8"/>
      <c r="D252" s="8"/>
      <c r="E252" s="9"/>
      <c r="F252" s="9"/>
      <c r="G252" s="17"/>
      <c r="H252" s="17"/>
      <c r="I252" s="9"/>
      <c r="J252" s="9"/>
      <c r="K252" s="10">
        <v>0</v>
      </c>
      <c r="L252" s="10"/>
      <c r="M252" s="11"/>
      <c r="N252" s="12"/>
      <c r="O252" s="13"/>
      <c r="P252" s="14"/>
      <c r="Q252" s="2"/>
    </row>
    <row r="253" spans="1:21" x14ac:dyDescent="0.25">
      <c r="A253" s="6"/>
      <c r="B253" s="7"/>
      <c r="C253" s="8"/>
      <c r="D253" s="8"/>
      <c r="E253" s="9"/>
      <c r="F253" s="9"/>
      <c r="G253" s="17"/>
      <c r="H253" s="17"/>
      <c r="I253" s="9"/>
      <c r="J253" s="9"/>
      <c r="K253" s="10">
        <v>0</v>
      </c>
      <c r="L253" s="10"/>
      <c r="M253" s="11"/>
      <c r="N253" s="12"/>
      <c r="O253" s="13"/>
      <c r="P253" s="14"/>
      <c r="Q253" s="2"/>
    </row>
    <row r="254" spans="1:21" x14ac:dyDescent="0.25">
      <c r="A254" s="6"/>
      <c r="B254" s="7"/>
      <c r="C254" s="8"/>
      <c r="D254" s="8"/>
      <c r="E254" s="9"/>
      <c r="F254" s="9"/>
      <c r="G254" s="17"/>
      <c r="H254" s="17"/>
      <c r="I254" s="9"/>
      <c r="J254" s="9"/>
      <c r="K254" s="10">
        <v>0</v>
      </c>
      <c r="L254" s="10"/>
      <c r="M254" s="11"/>
      <c r="N254" s="12"/>
      <c r="O254" s="13"/>
      <c r="P254" s="14"/>
      <c r="Q254" s="2"/>
    </row>
    <row r="255" spans="1:21" x14ac:dyDescent="0.25">
      <c r="A255" s="6"/>
      <c r="B255" s="7"/>
      <c r="C255" s="8"/>
      <c r="D255" s="8"/>
      <c r="E255" s="9"/>
      <c r="F255" s="9"/>
      <c r="G255" s="17"/>
      <c r="H255" s="17"/>
      <c r="I255" s="9"/>
      <c r="J255" s="9"/>
      <c r="K255" s="10">
        <v>0</v>
      </c>
      <c r="L255" s="10"/>
      <c r="M255" s="11"/>
      <c r="N255" s="12"/>
      <c r="O255" s="13"/>
      <c r="P255" s="14"/>
      <c r="Q255" s="2"/>
    </row>
    <row r="256" spans="1:21" x14ac:dyDescent="0.25">
      <c r="A256" s="6"/>
      <c r="B256" s="7"/>
      <c r="C256" s="8"/>
      <c r="D256" s="8"/>
      <c r="E256" s="9"/>
      <c r="F256" s="9"/>
      <c r="G256" s="17"/>
      <c r="H256" s="17"/>
      <c r="I256" s="9"/>
      <c r="J256" s="9"/>
      <c r="K256" s="10">
        <v>0</v>
      </c>
      <c r="L256" s="10"/>
      <c r="M256" s="11"/>
      <c r="N256" s="12"/>
      <c r="O256" s="13"/>
      <c r="P256" s="14"/>
      <c r="Q256" s="2"/>
      <c r="U256" s="27"/>
    </row>
    <row r="257" spans="1:23" x14ac:dyDescent="0.25">
      <c r="A257" s="6"/>
      <c r="B257" s="7"/>
      <c r="C257" s="8"/>
      <c r="D257" s="8"/>
      <c r="E257" s="9"/>
      <c r="F257" s="9"/>
      <c r="G257" s="17"/>
      <c r="H257" s="17"/>
      <c r="I257" s="9"/>
      <c r="J257" s="9"/>
      <c r="K257" s="10">
        <v>0</v>
      </c>
      <c r="L257" s="10"/>
      <c r="M257" s="11"/>
      <c r="N257" s="12"/>
      <c r="O257" s="13"/>
      <c r="P257" s="14"/>
      <c r="Q257" s="2"/>
      <c r="U257" s="27"/>
    </row>
    <row r="258" spans="1:23" x14ac:dyDescent="0.25">
      <c r="A258" s="6"/>
      <c r="B258" s="7"/>
      <c r="C258" s="8"/>
      <c r="D258" s="8"/>
      <c r="E258" s="9"/>
      <c r="F258" s="9"/>
      <c r="G258" s="17"/>
      <c r="H258" s="17"/>
      <c r="I258" s="9"/>
      <c r="J258" s="9"/>
      <c r="K258" s="10">
        <v>0</v>
      </c>
      <c r="L258" s="10"/>
      <c r="M258" s="11"/>
      <c r="N258" s="12"/>
      <c r="O258" s="13"/>
      <c r="P258" s="14"/>
      <c r="Q258" s="2"/>
      <c r="U258" s="27"/>
    </row>
    <row r="259" spans="1:23" x14ac:dyDescent="0.25">
      <c r="A259" s="6"/>
      <c r="B259" s="7"/>
      <c r="C259" s="8"/>
      <c r="D259" s="8"/>
      <c r="E259" s="9"/>
      <c r="F259" s="9"/>
      <c r="G259" s="17"/>
      <c r="H259" s="17"/>
      <c r="I259" s="9"/>
      <c r="J259" s="9"/>
      <c r="K259" s="10">
        <v>0</v>
      </c>
      <c r="L259" s="10"/>
      <c r="M259" s="11"/>
      <c r="N259" s="12"/>
      <c r="O259" s="13"/>
      <c r="P259" s="14"/>
      <c r="Q259" s="2"/>
      <c r="U259" s="27"/>
    </row>
    <row r="260" spans="1:23" x14ac:dyDescent="0.25">
      <c r="A260" s="6"/>
      <c r="B260" s="7"/>
      <c r="C260" s="8"/>
      <c r="D260" s="8"/>
      <c r="E260" s="9"/>
      <c r="F260" s="9"/>
      <c r="G260" s="17"/>
      <c r="H260" s="17"/>
      <c r="I260" s="9"/>
      <c r="J260" s="9"/>
      <c r="K260" s="10">
        <v>0</v>
      </c>
      <c r="L260" s="10"/>
      <c r="M260" s="11"/>
      <c r="N260" s="12"/>
      <c r="O260" s="13"/>
      <c r="P260" s="14"/>
      <c r="Q260" s="2"/>
      <c r="U260" s="27"/>
    </row>
    <row r="261" spans="1:23" x14ac:dyDescent="0.25">
      <c r="A261" s="6"/>
      <c r="B261" s="7"/>
      <c r="C261" s="8"/>
      <c r="D261" s="8"/>
      <c r="E261" s="9"/>
      <c r="F261" s="9"/>
      <c r="G261" s="17"/>
      <c r="H261" s="17"/>
      <c r="I261" s="9"/>
      <c r="J261" s="9"/>
      <c r="K261" s="10">
        <v>0</v>
      </c>
      <c r="L261" s="10"/>
      <c r="M261" s="11"/>
      <c r="N261" s="12"/>
      <c r="O261" s="13"/>
      <c r="P261" s="14"/>
      <c r="Q261" s="2"/>
      <c r="W261" s="1" t="s">
        <v>19</v>
      </c>
    </row>
    <row r="262" spans="1:23" x14ac:dyDescent="0.25">
      <c r="A262" s="6"/>
      <c r="B262" s="7"/>
      <c r="C262" s="8"/>
      <c r="D262" s="8"/>
      <c r="E262" s="9"/>
      <c r="F262" s="9"/>
      <c r="G262" s="17"/>
      <c r="H262" s="17"/>
      <c r="I262" s="9"/>
      <c r="J262" s="9"/>
      <c r="K262" s="10">
        <v>0</v>
      </c>
      <c r="L262" s="10"/>
      <c r="M262" s="11"/>
      <c r="N262" s="12"/>
      <c r="O262" s="13"/>
      <c r="P262" s="14"/>
      <c r="Q262" s="2"/>
      <c r="W262" s="1" t="s">
        <v>20</v>
      </c>
    </row>
    <row r="263" spans="1:23" x14ac:dyDescent="0.25">
      <c r="A263" s="6"/>
      <c r="B263" s="7"/>
      <c r="C263" s="8"/>
      <c r="D263" s="8"/>
      <c r="E263" s="9"/>
      <c r="F263" s="9"/>
      <c r="G263" s="17"/>
      <c r="H263" s="17"/>
      <c r="I263" s="9"/>
      <c r="J263" s="9"/>
      <c r="K263" s="10">
        <v>0</v>
      </c>
      <c r="L263" s="10"/>
      <c r="M263" s="11"/>
      <c r="N263" s="12"/>
      <c r="O263" s="13"/>
      <c r="P263" s="14"/>
      <c r="Q263" s="2"/>
      <c r="W263" s="1" t="s">
        <v>21</v>
      </c>
    </row>
    <row r="264" spans="1:23" x14ac:dyDescent="0.25">
      <c r="A264" s="6"/>
      <c r="B264" s="7"/>
      <c r="C264" s="8"/>
      <c r="D264" s="8"/>
      <c r="E264" s="9"/>
      <c r="F264" s="9"/>
      <c r="G264" s="17"/>
      <c r="H264" s="17"/>
      <c r="I264" s="9"/>
      <c r="J264" s="9"/>
      <c r="K264" s="10">
        <v>0</v>
      </c>
      <c r="L264" s="10"/>
      <c r="M264" s="11"/>
      <c r="N264" s="12"/>
      <c r="O264" s="13"/>
      <c r="P264" s="14"/>
      <c r="Q264" s="2"/>
    </row>
    <row r="265" spans="1:23" x14ac:dyDescent="0.25">
      <c r="A265" s="6"/>
      <c r="B265" s="7"/>
      <c r="C265" s="8"/>
      <c r="D265" s="8"/>
      <c r="E265" s="9"/>
      <c r="F265" s="9"/>
      <c r="G265" s="17"/>
      <c r="H265" s="17"/>
      <c r="I265" s="9"/>
      <c r="J265" s="9"/>
      <c r="K265" s="10">
        <v>0</v>
      </c>
      <c r="L265" s="10"/>
      <c r="M265" s="11"/>
      <c r="N265" s="12"/>
      <c r="O265" s="13"/>
      <c r="P265" s="14"/>
      <c r="Q265" s="2"/>
    </row>
    <row r="266" spans="1:23" x14ac:dyDescent="0.25">
      <c r="A266" s="6"/>
      <c r="B266" s="7"/>
      <c r="C266" s="8"/>
      <c r="D266" s="8"/>
      <c r="E266" s="9"/>
      <c r="F266" s="9"/>
      <c r="G266" s="17"/>
      <c r="H266" s="17"/>
      <c r="I266" s="9"/>
      <c r="J266" s="9"/>
      <c r="K266" s="10">
        <v>0</v>
      </c>
      <c r="L266" s="10"/>
      <c r="M266" s="11"/>
      <c r="N266" s="12"/>
      <c r="O266" s="13"/>
      <c r="P266" s="14"/>
      <c r="Q266" s="2"/>
    </row>
    <row r="267" spans="1:23" x14ac:dyDescent="0.25">
      <c r="A267" s="6"/>
      <c r="B267" s="7"/>
      <c r="C267" s="8"/>
      <c r="D267" s="8"/>
      <c r="E267" s="9"/>
      <c r="F267" s="9"/>
      <c r="G267" s="17"/>
      <c r="H267" s="17"/>
      <c r="I267" s="9"/>
      <c r="J267" s="9"/>
      <c r="K267" s="10">
        <v>0</v>
      </c>
      <c r="L267" s="10"/>
      <c r="M267" s="11"/>
      <c r="N267" s="12"/>
      <c r="O267" s="13"/>
      <c r="P267" s="14"/>
      <c r="Q267" s="2"/>
    </row>
    <row r="268" spans="1:23" x14ac:dyDescent="0.25">
      <c r="A268" s="6"/>
      <c r="B268" s="7"/>
      <c r="C268" s="8"/>
      <c r="D268" s="8"/>
      <c r="E268" s="9"/>
      <c r="F268" s="9"/>
      <c r="G268" s="17"/>
      <c r="H268" s="17"/>
      <c r="I268" s="9"/>
      <c r="J268" s="9"/>
      <c r="K268" s="10">
        <v>0</v>
      </c>
      <c r="L268" s="10"/>
      <c r="M268" s="11"/>
      <c r="N268" s="12"/>
      <c r="O268" s="13"/>
      <c r="P268" s="14"/>
      <c r="Q268" s="2"/>
    </row>
    <row r="269" spans="1:23" x14ac:dyDescent="0.25">
      <c r="A269" s="6"/>
      <c r="B269" s="7"/>
      <c r="C269" s="8"/>
      <c r="D269" s="8"/>
      <c r="E269" s="9"/>
      <c r="F269" s="9"/>
      <c r="G269" s="17"/>
      <c r="H269" s="17"/>
      <c r="I269" s="9"/>
      <c r="J269" s="9"/>
      <c r="K269" s="10">
        <v>0</v>
      </c>
      <c r="L269" s="10"/>
      <c r="M269" s="11"/>
      <c r="N269" s="12"/>
      <c r="O269" s="13"/>
      <c r="P269" s="14"/>
      <c r="Q269" s="2"/>
    </row>
    <row r="270" spans="1:23" x14ac:dyDescent="0.25">
      <c r="A270" s="6"/>
      <c r="B270" s="7"/>
      <c r="C270" s="8"/>
      <c r="D270" s="8"/>
      <c r="E270" s="9"/>
      <c r="F270" s="9"/>
      <c r="G270" s="17"/>
      <c r="H270" s="17"/>
      <c r="I270" s="9"/>
      <c r="J270" s="9"/>
      <c r="K270" s="10">
        <v>0</v>
      </c>
      <c r="L270" s="10"/>
      <c r="M270" s="11"/>
      <c r="N270" s="12"/>
      <c r="O270" s="13"/>
      <c r="P270" s="14"/>
      <c r="Q270" s="2"/>
    </row>
    <row r="271" spans="1:23" x14ac:dyDescent="0.25">
      <c r="A271" s="6"/>
      <c r="B271" s="7"/>
      <c r="C271" s="8"/>
      <c r="D271" s="8"/>
      <c r="E271" s="9"/>
      <c r="F271" s="9"/>
      <c r="G271" s="17"/>
      <c r="H271" s="17"/>
      <c r="I271" s="9"/>
      <c r="J271" s="9"/>
      <c r="K271" s="10">
        <v>0</v>
      </c>
      <c r="L271" s="10"/>
      <c r="M271" s="11"/>
      <c r="N271" s="12"/>
      <c r="O271" s="13"/>
      <c r="P271" s="14"/>
      <c r="Q271" s="2"/>
    </row>
    <row r="272" spans="1:23" x14ac:dyDescent="0.25">
      <c r="A272" s="6"/>
      <c r="B272" s="7"/>
      <c r="C272" s="8"/>
      <c r="D272" s="8"/>
      <c r="E272" s="9"/>
      <c r="F272" s="9"/>
      <c r="G272" s="17"/>
      <c r="H272" s="17"/>
      <c r="I272" s="9"/>
      <c r="J272" s="9"/>
      <c r="K272" s="10">
        <v>0</v>
      </c>
      <c r="L272" s="10"/>
      <c r="M272" s="11"/>
      <c r="N272" s="12"/>
      <c r="O272" s="13"/>
      <c r="P272" s="14"/>
      <c r="Q272" s="2"/>
    </row>
    <row r="273" spans="1:16" x14ac:dyDescent="0.25">
      <c r="A273" s="6"/>
      <c r="B273" s="7"/>
      <c r="C273" s="8"/>
      <c r="D273" s="8"/>
      <c r="E273" s="9"/>
      <c r="F273" s="9"/>
      <c r="G273" s="17"/>
      <c r="H273" s="17"/>
      <c r="I273" s="9"/>
      <c r="J273" s="9"/>
      <c r="K273" s="10">
        <v>0</v>
      </c>
      <c r="L273" s="10"/>
      <c r="M273" s="11"/>
      <c r="N273" s="12"/>
      <c r="O273" s="13"/>
      <c r="P273" s="14"/>
    </row>
    <row r="274" spans="1:16" x14ac:dyDescent="0.25">
      <c r="A274" s="6"/>
      <c r="B274" s="7"/>
      <c r="C274" s="8"/>
      <c r="D274" s="8"/>
      <c r="E274" s="9"/>
      <c r="F274" s="9"/>
      <c r="G274" s="17"/>
      <c r="H274" s="17"/>
      <c r="I274" s="9"/>
      <c r="J274" s="9"/>
      <c r="K274" s="10">
        <v>0</v>
      </c>
      <c r="L274" s="10"/>
      <c r="M274" s="11"/>
      <c r="N274" s="12"/>
      <c r="O274" s="13"/>
      <c r="P274" s="14"/>
    </row>
    <row r="275" spans="1:16" x14ac:dyDescent="0.25">
      <c r="A275" s="6"/>
      <c r="B275" s="7"/>
      <c r="C275" s="8"/>
      <c r="D275" s="8"/>
      <c r="E275" s="9"/>
      <c r="F275" s="9"/>
      <c r="G275" s="17"/>
      <c r="H275" s="17"/>
      <c r="I275" s="9"/>
      <c r="J275" s="9"/>
      <c r="K275" s="10">
        <v>0</v>
      </c>
      <c r="L275" s="10"/>
      <c r="M275" s="11"/>
      <c r="N275" s="12"/>
      <c r="O275" s="13"/>
      <c r="P275" s="14"/>
    </row>
    <row r="276" spans="1:16" x14ac:dyDescent="0.25">
      <c r="A276" s="6"/>
      <c r="B276" s="7"/>
      <c r="C276" s="8"/>
      <c r="D276" s="8"/>
      <c r="E276" s="9"/>
      <c r="F276" s="9"/>
      <c r="G276" s="17"/>
      <c r="H276" s="17"/>
      <c r="I276" s="9"/>
      <c r="J276" s="9"/>
      <c r="K276" s="10">
        <v>0</v>
      </c>
      <c r="L276" s="10"/>
      <c r="M276" s="11"/>
      <c r="N276" s="12"/>
      <c r="O276" s="13"/>
      <c r="P276" s="14"/>
    </row>
    <row r="277" spans="1:16" x14ac:dyDescent="0.25">
      <c r="A277" s="6"/>
      <c r="B277" s="7"/>
      <c r="C277" s="8"/>
      <c r="D277" s="8"/>
      <c r="E277" s="9"/>
      <c r="F277" s="9"/>
      <c r="G277" s="17"/>
      <c r="H277" s="17"/>
      <c r="I277" s="9"/>
      <c r="J277" s="9"/>
      <c r="K277" s="10">
        <v>0</v>
      </c>
      <c r="L277" s="10"/>
      <c r="M277" s="11"/>
      <c r="N277" s="12"/>
      <c r="O277" s="13"/>
      <c r="P277" s="14"/>
    </row>
    <row r="278" spans="1:16" x14ac:dyDescent="0.25">
      <c r="A278" s="6"/>
      <c r="B278" s="7"/>
      <c r="C278" s="8"/>
      <c r="D278" s="8"/>
      <c r="E278" s="9"/>
      <c r="F278" s="9"/>
      <c r="G278" s="17"/>
      <c r="H278" s="17"/>
      <c r="I278" s="9"/>
      <c r="J278" s="9"/>
      <c r="K278" s="10">
        <v>0</v>
      </c>
      <c r="L278" s="10"/>
      <c r="M278" s="11"/>
      <c r="N278" s="12"/>
      <c r="O278" s="13"/>
      <c r="P278" s="14"/>
    </row>
    <row r="279" spans="1:16" x14ac:dyDescent="0.25">
      <c r="A279" s="6"/>
      <c r="B279" s="7"/>
      <c r="C279" s="8"/>
      <c r="D279" s="8"/>
      <c r="E279" s="9"/>
      <c r="F279" s="9"/>
      <c r="G279" s="17"/>
      <c r="H279" s="17"/>
      <c r="I279" s="9"/>
      <c r="J279" s="9"/>
      <c r="K279" s="10">
        <v>0</v>
      </c>
      <c r="L279" s="10"/>
      <c r="M279" s="11"/>
      <c r="N279" s="12"/>
      <c r="O279" s="13"/>
      <c r="P279" s="14"/>
    </row>
    <row r="280" spans="1:16" x14ac:dyDescent="0.25">
      <c r="A280" s="6"/>
      <c r="B280" s="7"/>
      <c r="C280" s="8"/>
      <c r="D280" s="8"/>
      <c r="E280" s="9"/>
      <c r="F280" s="9"/>
      <c r="G280" s="17"/>
      <c r="H280" s="17"/>
      <c r="I280" s="9"/>
      <c r="J280" s="9"/>
      <c r="K280" s="10">
        <v>0</v>
      </c>
      <c r="L280" s="10"/>
      <c r="M280" s="11"/>
      <c r="N280" s="12"/>
      <c r="O280" s="13"/>
      <c r="P280" s="14"/>
    </row>
    <row r="281" spans="1:16" x14ac:dyDescent="0.25">
      <c r="A281" s="6"/>
      <c r="B281" s="7"/>
      <c r="C281" s="8"/>
      <c r="D281" s="8"/>
      <c r="E281" s="9"/>
      <c r="F281" s="9"/>
      <c r="G281" s="17"/>
      <c r="H281" s="17"/>
      <c r="I281" s="9"/>
      <c r="J281" s="9"/>
      <c r="K281" s="10">
        <v>0</v>
      </c>
      <c r="L281" s="10"/>
      <c r="M281" s="11"/>
      <c r="N281" s="12"/>
      <c r="O281" s="13"/>
      <c r="P281" s="14"/>
    </row>
    <row r="282" spans="1:16" x14ac:dyDescent="0.25">
      <c r="A282" s="6"/>
      <c r="B282" s="7"/>
      <c r="C282" s="8"/>
      <c r="D282" s="8"/>
      <c r="E282" s="9"/>
      <c r="F282" s="9"/>
      <c r="G282" s="17"/>
      <c r="H282" s="17"/>
      <c r="I282" s="9"/>
      <c r="J282" s="9"/>
      <c r="K282" s="10">
        <v>0</v>
      </c>
      <c r="L282" s="10"/>
      <c r="M282" s="11"/>
      <c r="N282" s="12"/>
      <c r="O282" s="13"/>
      <c r="P282" s="14"/>
    </row>
    <row r="283" spans="1:16" x14ac:dyDescent="0.25">
      <c r="A283" s="6"/>
      <c r="B283" s="7"/>
      <c r="C283" s="8"/>
      <c r="D283" s="8"/>
      <c r="E283" s="9"/>
      <c r="F283" s="9"/>
      <c r="G283" s="17"/>
      <c r="H283" s="17"/>
      <c r="I283" s="9"/>
      <c r="J283" s="9"/>
      <c r="K283" s="10">
        <v>0</v>
      </c>
      <c r="L283" s="10"/>
      <c r="M283" s="11"/>
      <c r="N283" s="12"/>
      <c r="O283" s="13"/>
      <c r="P283" s="14"/>
    </row>
    <row r="284" spans="1:16" x14ac:dyDescent="0.25">
      <c r="A284" s="6"/>
      <c r="B284" s="7"/>
      <c r="C284" s="8"/>
      <c r="D284" s="8"/>
      <c r="E284" s="9"/>
      <c r="F284" s="9"/>
      <c r="G284" s="17"/>
      <c r="H284" s="17"/>
      <c r="I284" s="9"/>
      <c r="J284" s="9"/>
      <c r="K284" s="10">
        <v>0</v>
      </c>
      <c r="L284" s="10"/>
      <c r="M284" s="11"/>
      <c r="N284" s="12"/>
      <c r="O284" s="13"/>
      <c r="P284" s="14"/>
    </row>
    <row r="285" spans="1:16" x14ac:dyDescent="0.25">
      <c r="A285" s="6"/>
      <c r="B285" s="7"/>
      <c r="C285" s="8"/>
      <c r="D285" s="8"/>
      <c r="E285" s="9"/>
      <c r="F285" s="9"/>
      <c r="G285" s="17"/>
      <c r="H285" s="17"/>
      <c r="I285" s="9"/>
      <c r="J285" s="9"/>
      <c r="K285" s="10">
        <v>0</v>
      </c>
      <c r="L285" s="10"/>
      <c r="M285" s="11"/>
      <c r="N285" s="12"/>
      <c r="O285" s="13"/>
      <c r="P285" s="14"/>
    </row>
    <row r="286" spans="1:16" x14ac:dyDescent="0.25">
      <c r="A286" s="6"/>
      <c r="B286" s="7"/>
      <c r="C286" s="8"/>
      <c r="D286" s="8"/>
      <c r="E286" s="9"/>
      <c r="F286" s="9"/>
      <c r="G286" s="17"/>
      <c r="H286" s="17"/>
      <c r="I286" s="9"/>
      <c r="J286" s="9"/>
      <c r="K286" s="10">
        <v>0</v>
      </c>
      <c r="L286" s="10"/>
      <c r="M286" s="11"/>
      <c r="N286" s="12"/>
      <c r="O286" s="13"/>
      <c r="P286" s="14"/>
    </row>
    <row r="287" spans="1:16" x14ac:dyDescent="0.25">
      <c r="A287" s="6"/>
      <c r="B287" s="7"/>
      <c r="C287" s="8"/>
      <c r="D287" s="8"/>
      <c r="E287" s="9"/>
      <c r="F287" s="9"/>
      <c r="G287" s="17"/>
      <c r="H287" s="17"/>
      <c r="I287" s="9"/>
      <c r="J287" s="9"/>
      <c r="K287" s="10">
        <v>0</v>
      </c>
      <c r="L287" s="10"/>
      <c r="M287" s="11"/>
      <c r="N287" s="12"/>
      <c r="O287" s="13"/>
      <c r="P287" s="14"/>
    </row>
    <row r="288" spans="1:16" x14ac:dyDescent="0.25">
      <c r="A288" s="6"/>
      <c r="B288" s="7"/>
      <c r="C288" s="8"/>
      <c r="D288" s="8"/>
      <c r="E288" s="9"/>
      <c r="F288" s="9"/>
      <c r="G288" s="17"/>
      <c r="H288" s="17"/>
      <c r="I288" s="9"/>
      <c r="J288" s="9"/>
      <c r="K288" s="10">
        <v>0</v>
      </c>
      <c r="L288" s="10"/>
      <c r="M288" s="11"/>
      <c r="N288" s="12"/>
      <c r="O288" s="13"/>
      <c r="P288" s="14"/>
    </row>
    <row r="289" spans="1:16" x14ac:dyDescent="0.25">
      <c r="A289" s="6"/>
      <c r="B289" s="7"/>
      <c r="C289" s="8"/>
      <c r="D289" s="8"/>
      <c r="E289" s="9"/>
      <c r="F289" s="9"/>
      <c r="G289" s="17"/>
      <c r="H289" s="17"/>
      <c r="I289" s="9"/>
      <c r="J289" s="9"/>
      <c r="K289" s="10">
        <v>0</v>
      </c>
      <c r="L289" s="10"/>
      <c r="M289" s="11"/>
      <c r="N289" s="12"/>
      <c r="O289" s="13"/>
      <c r="P289" s="14"/>
    </row>
    <row r="290" spans="1:16" x14ac:dyDescent="0.25">
      <c r="A290" s="6"/>
      <c r="B290" s="7"/>
      <c r="C290" s="8"/>
      <c r="D290" s="8"/>
      <c r="E290" s="9"/>
      <c r="F290" s="9"/>
      <c r="G290" s="17"/>
      <c r="H290" s="17"/>
      <c r="I290" s="9"/>
      <c r="J290" s="9"/>
      <c r="K290" s="10">
        <v>0</v>
      </c>
      <c r="L290" s="10"/>
      <c r="M290" s="11"/>
      <c r="N290" s="12"/>
      <c r="O290" s="13"/>
      <c r="P290" s="14"/>
    </row>
    <row r="291" spans="1:16" x14ac:dyDescent="0.25">
      <c r="A291" s="6"/>
      <c r="B291" s="7"/>
      <c r="C291" s="8"/>
      <c r="D291" s="8"/>
      <c r="E291" s="9"/>
      <c r="F291" s="9"/>
      <c r="G291" s="17"/>
      <c r="H291" s="17"/>
      <c r="I291" s="9"/>
      <c r="J291" s="9"/>
      <c r="K291" s="10">
        <v>0</v>
      </c>
      <c r="L291" s="10"/>
      <c r="M291" s="11"/>
      <c r="N291" s="12"/>
      <c r="O291" s="13"/>
      <c r="P291" s="14"/>
    </row>
    <row r="292" spans="1:16" x14ac:dyDescent="0.25">
      <c r="A292" s="6"/>
      <c r="B292" s="7"/>
      <c r="C292" s="8"/>
      <c r="D292" s="8"/>
      <c r="E292" s="9"/>
      <c r="F292" s="9"/>
      <c r="G292" s="17"/>
      <c r="H292" s="17"/>
      <c r="I292" s="9"/>
      <c r="J292" s="9"/>
      <c r="K292" s="10">
        <v>0</v>
      </c>
      <c r="L292" s="10"/>
      <c r="M292" s="11"/>
      <c r="N292" s="12"/>
      <c r="O292" s="13"/>
      <c r="P292" s="14"/>
    </row>
    <row r="293" spans="1:16" x14ac:dyDescent="0.25">
      <c r="A293" s="6"/>
      <c r="B293" s="7"/>
      <c r="C293" s="8"/>
      <c r="D293" s="8"/>
      <c r="E293" s="9"/>
      <c r="F293" s="9"/>
      <c r="G293" s="17"/>
      <c r="H293" s="17"/>
      <c r="I293" s="9"/>
      <c r="J293" s="9"/>
      <c r="K293" s="10">
        <v>0</v>
      </c>
      <c r="L293" s="10"/>
      <c r="M293" s="11"/>
      <c r="N293" s="12"/>
      <c r="O293" s="13"/>
      <c r="P293" s="14"/>
    </row>
    <row r="294" spans="1:16" x14ac:dyDescent="0.25">
      <c r="A294" s="6"/>
      <c r="B294" s="7"/>
      <c r="C294" s="8"/>
      <c r="D294" s="8"/>
      <c r="E294" s="9"/>
      <c r="F294" s="9"/>
      <c r="G294" s="17"/>
      <c r="H294" s="17"/>
      <c r="I294" s="9"/>
      <c r="J294" s="9"/>
      <c r="K294" s="10">
        <v>0</v>
      </c>
      <c r="L294" s="10"/>
      <c r="M294" s="11"/>
      <c r="N294" s="12"/>
      <c r="O294" s="13"/>
      <c r="P294" s="14"/>
    </row>
    <row r="295" spans="1:16" x14ac:dyDescent="0.25">
      <c r="A295" s="6"/>
      <c r="B295" s="7"/>
      <c r="C295" s="8"/>
      <c r="D295" s="8"/>
      <c r="E295" s="9"/>
      <c r="F295" s="9"/>
      <c r="G295" s="17"/>
      <c r="H295" s="17"/>
      <c r="I295" s="9"/>
      <c r="J295" s="9"/>
      <c r="K295" s="10">
        <v>0</v>
      </c>
      <c r="L295" s="10"/>
      <c r="M295" s="11"/>
      <c r="N295" s="12"/>
      <c r="O295" s="13"/>
      <c r="P295" s="14"/>
    </row>
    <row r="296" spans="1:16" x14ac:dyDescent="0.25">
      <c r="A296" s="6"/>
      <c r="B296" s="7"/>
      <c r="C296" s="8"/>
      <c r="D296" s="8"/>
      <c r="E296" s="9"/>
      <c r="F296" s="9"/>
      <c r="G296" s="17"/>
      <c r="H296" s="17"/>
      <c r="I296" s="9"/>
      <c r="J296" s="9"/>
      <c r="K296" s="10">
        <v>0</v>
      </c>
      <c r="L296" s="10"/>
      <c r="M296" s="11"/>
      <c r="N296" s="12"/>
      <c r="O296" s="13"/>
      <c r="P296" s="14"/>
    </row>
    <row r="297" spans="1:16" x14ac:dyDescent="0.25">
      <c r="A297" s="6"/>
      <c r="B297" s="7"/>
      <c r="C297" s="8"/>
      <c r="D297" s="8"/>
      <c r="E297" s="9"/>
      <c r="F297" s="9"/>
      <c r="G297" s="17"/>
      <c r="H297" s="17"/>
      <c r="I297" s="9"/>
      <c r="J297" s="9"/>
      <c r="K297" s="10">
        <v>0</v>
      </c>
      <c r="L297" s="10"/>
      <c r="M297" s="11"/>
      <c r="N297" s="12"/>
      <c r="O297" s="13"/>
      <c r="P297" s="14"/>
    </row>
    <row r="298" spans="1:16" x14ac:dyDescent="0.25">
      <c r="A298" s="6"/>
      <c r="B298" s="7"/>
      <c r="C298" s="8"/>
      <c r="D298" s="8"/>
      <c r="E298" s="9"/>
      <c r="F298" s="9"/>
      <c r="G298" s="17"/>
      <c r="H298" s="17"/>
      <c r="I298" s="9"/>
      <c r="J298" s="9"/>
      <c r="K298" s="10">
        <v>0</v>
      </c>
      <c r="L298" s="10"/>
      <c r="M298" s="11"/>
      <c r="N298" s="12"/>
      <c r="O298" s="13"/>
      <c r="P298" s="14"/>
    </row>
    <row r="299" spans="1:16" x14ac:dyDescent="0.25">
      <c r="A299" s="6"/>
      <c r="B299" s="7"/>
      <c r="C299" s="8"/>
      <c r="D299" s="8"/>
      <c r="E299" s="9"/>
      <c r="F299" s="9"/>
      <c r="G299" s="17"/>
      <c r="H299" s="17"/>
      <c r="I299" s="9"/>
      <c r="J299" s="9"/>
      <c r="K299" s="10">
        <v>0</v>
      </c>
      <c r="L299" s="10"/>
      <c r="M299" s="11"/>
      <c r="N299" s="12"/>
      <c r="O299" s="13"/>
      <c r="P299" s="14"/>
    </row>
    <row r="300" spans="1:16" x14ac:dyDescent="0.25">
      <c r="A300" s="6"/>
      <c r="B300" s="7"/>
      <c r="C300" s="8"/>
      <c r="D300" s="8"/>
      <c r="E300" s="9"/>
      <c r="F300" s="9"/>
      <c r="G300" s="17"/>
      <c r="H300" s="17"/>
      <c r="I300" s="9"/>
      <c r="J300" s="9"/>
      <c r="K300" s="10">
        <v>0</v>
      </c>
      <c r="L300" s="10"/>
      <c r="M300" s="11"/>
      <c r="N300" s="12"/>
      <c r="O300" s="13"/>
      <c r="P300" s="14"/>
    </row>
    <row r="301" spans="1:16" x14ac:dyDescent="0.25">
      <c r="A301" s="6"/>
      <c r="B301" s="7"/>
      <c r="C301" s="8"/>
      <c r="D301" s="8"/>
      <c r="E301" s="9"/>
      <c r="F301" s="9"/>
      <c r="G301" s="17"/>
      <c r="H301" s="17"/>
      <c r="I301" s="9"/>
      <c r="J301" s="9"/>
      <c r="K301" s="10">
        <v>0</v>
      </c>
      <c r="L301" s="10"/>
      <c r="M301" s="11"/>
      <c r="N301" s="12"/>
      <c r="O301" s="13"/>
      <c r="P301" s="14"/>
    </row>
    <row r="302" spans="1:16" x14ac:dyDescent="0.25">
      <c r="A302" s="6"/>
      <c r="B302" s="7"/>
      <c r="C302" s="8"/>
      <c r="D302" s="8"/>
      <c r="E302" s="9"/>
      <c r="F302" s="9"/>
      <c r="G302" s="17"/>
      <c r="H302" s="17"/>
      <c r="I302" s="9"/>
      <c r="J302" s="9"/>
      <c r="K302" s="10">
        <v>0</v>
      </c>
      <c r="L302" s="10"/>
      <c r="M302" s="11"/>
      <c r="N302" s="12"/>
      <c r="O302" s="13"/>
      <c r="P302" s="14"/>
    </row>
    <row r="303" spans="1:16" x14ac:dyDescent="0.25">
      <c r="A303" s="6"/>
      <c r="B303" s="7"/>
      <c r="C303" s="8"/>
      <c r="D303" s="8"/>
      <c r="E303" s="9"/>
      <c r="F303" s="9"/>
      <c r="G303" s="17"/>
      <c r="H303" s="17"/>
      <c r="I303" s="9"/>
      <c r="J303" s="9"/>
      <c r="K303" s="10">
        <v>0</v>
      </c>
      <c r="L303" s="10"/>
      <c r="M303" s="11"/>
      <c r="N303" s="12"/>
      <c r="O303" s="13"/>
      <c r="P303" s="14"/>
    </row>
    <row r="304" spans="1:16" x14ac:dyDescent="0.25">
      <c r="A304" s="6"/>
      <c r="B304" s="7"/>
      <c r="C304" s="8"/>
      <c r="D304" s="8"/>
      <c r="E304" s="9"/>
      <c r="F304" s="9"/>
      <c r="G304" s="17"/>
      <c r="H304" s="17"/>
      <c r="I304" s="9"/>
      <c r="J304" s="9"/>
      <c r="K304" s="10">
        <v>0</v>
      </c>
      <c r="L304" s="10"/>
      <c r="M304" s="11"/>
      <c r="N304" s="12"/>
      <c r="O304" s="13"/>
      <c r="P304" s="14"/>
    </row>
    <row r="305" spans="1:16" x14ac:dyDescent="0.25">
      <c r="A305" s="6"/>
      <c r="B305" s="7"/>
      <c r="C305" s="8"/>
      <c r="D305" s="8"/>
      <c r="E305" s="9"/>
      <c r="F305" s="9"/>
      <c r="G305" s="17"/>
      <c r="H305" s="17"/>
      <c r="I305" s="9"/>
      <c r="J305" s="9"/>
      <c r="K305" s="10">
        <v>0</v>
      </c>
      <c r="L305" s="10"/>
      <c r="M305" s="11"/>
      <c r="N305" s="12"/>
      <c r="O305" s="13"/>
      <c r="P305" s="14"/>
    </row>
    <row r="306" spans="1:16" x14ac:dyDescent="0.25">
      <c r="A306" s="6"/>
      <c r="B306" s="7"/>
      <c r="C306" s="8"/>
      <c r="D306" s="8"/>
      <c r="E306" s="9"/>
      <c r="F306" s="9"/>
      <c r="G306" s="17"/>
      <c r="H306" s="17"/>
      <c r="I306" s="9"/>
      <c r="J306" s="9"/>
      <c r="K306" s="10">
        <v>0</v>
      </c>
      <c r="L306" s="10"/>
      <c r="M306" s="11"/>
      <c r="N306" s="12"/>
      <c r="O306" s="13"/>
      <c r="P306" s="14"/>
    </row>
    <row r="307" spans="1:16" x14ac:dyDescent="0.25">
      <c r="A307" s="6"/>
      <c r="B307" s="15"/>
      <c r="C307" s="8"/>
      <c r="D307" s="8"/>
      <c r="E307" s="9"/>
      <c r="F307" s="9"/>
      <c r="G307" s="17"/>
      <c r="H307" s="17"/>
      <c r="I307" s="9"/>
      <c r="J307" s="9"/>
      <c r="K307" s="10">
        <v>0</v>
      </c>
      <c r="L307" s="10"/>
      <c r="M307" s="11"/>
      <c r="N307" s="12"/>
      <c r="O307" s="13"/>
      <c r="P307" s="14"/>
    </row>
    <row r="308" spans="1:16" x14ac:dyDescent="0.25">
      <c r="A308" s="6"/>
      <c r="B308" s="7"/>
      <c r="C308" s="8"/>
      <c r="D308" s="8"/>
      <c r="E308" s="9"/>
      <c r="F308" s="9"/>
      <c r="G308" s="17"/>
      <c r="H308" s="17"/>
      <c r="I308" s="9"/>
      <c r="J308" s="9"/>
      <c r="K308" s="10">
        <v>0</v>
      </c>
      <c r="L308" s="10"/>
      <c r="M308" s="11"/>
      <c r="N308" s="12"/>
      <c r="O308" s="13"/>
      <c r="P308" s="14"/>
    </row>
    <row r="309" spans="1:16" x14ac:dyDescent="0.25">
      <c r="A309" s="6"/>
      <c r="B309" s="7"/>
      <c r="C309" s="8"/>
      <c r="D309" s="8"/>
      <c r="E309" s="9"/>
      <c r="F309" s="9"/>
      <c r="G309" s="17"/>
      <c r="H309" s="17"/>
      <c r="I309" s="9"/>
      <c r="J309" s="9"/>
      <c r="K309" s="10">
        <v>0</v>
      </c>
      <c r="L309" s="10"/>
      <c r="M309" s="11"/>
      <c r="N309" s="12"/>
      <c r="O309" s="13"/>
      <c r="P309" s="14"/>
    </row>
    <row r="310" spans="1:16" x14ac:dyDescent="0.25">
      <c r="A310" s="6"/>
      <c r="B310" s="7"/>
      <c r="C310" s="8"/>
      <c r="D310" s="8"/>
      <c r="E310" s="9"/>
      <c r="F310" s="9"/>
      <c r="G310" s="17"/>
      <c r="H310" s="17"/>
      <c r="I310" s="9"/>
      <c r="J310" s="9"/>
      <c r="K310" s="10">
        <v>0</v>
      </c>
      <c r="L310" s="10"/>
      <c r="M310" s="11"/>
      <c r="N310" s="12"/>
      <c r="O310" s="13"/>
      <c r="P310" s="14"/>
    </row>
    <row r="311" spans="1:16" x14ac:dyDescent="0.25">
      <c r="A311" s="6"/>
      <c r="B311" s="7"/>
      <c r="C311" s="8"/>
      <c r="D311" s="8"/>
      <c r="E311" s="9"/>
      <c r="F311" s="9"/>
      <c r="G311" s="17"/>
      <c r="H311" s="17"/>
      <c r="I311" s="9"/>
      <c r="J311" s="9"/>
      <c r="K311" s="10">
        <v>0</v>
      </c>
      <c r="L311" s="10"/>
      <c r="M311" s="11"/>
      <c r="N311" s="12"/>
      <c r="O311" s="13"/>
      <c r="P311" s="14"/>
    </row>
    <row r="312" spans="1:16" x14ac:dyDescent="0.25">
      <c r="A312" s="6"/>
      <c r="B312" s="7"/>
      <c r="C312" s="8"/>
      <c r="D312" s="8"/>
      <c r="E312" s="9"/>
      <c r="F312" s="9"/>
      <c r="G312" s="17"/>
      <c r="H312" s="17"/>
      <c r="I312" s="9"/>
      <c r="J312" s="9"/>
      <c r="K312" s="10">
        <v>0</v>
      </c>
      <c r="L312" s="10"/>
      <c r="M312" s="11"/>
      <c r="N312" s="12"/>
      <c r="O312" s="13"/>
      <c r="P312" s="14"/>
    </row>
    <row r="313" spans="1:16" x14ac:dyDescent="0.25">
      <c r="A313" s="6"/>
      <c r="B313" s="7"/>
      <c r="C313" s="8"/>
      <c r="D313" s="8"/>
      <c r="E313" s="9"/>
      <c r="F313" s="9"/>
      <c r="G313" s="17"/>
      <c r="H313" s="17"/>
      <c r="I313" s="9"/>
      <c r="J313" s="9"/>
      <c r="K313" s="10">
        <v>0</v>
      </c>
      <c r="L313" s="10"/>
      <c r="M313" s="11"/>
      <c r="N313" s="12"/>
      <c r="O313" s="13"/>
      <c r="P313" s="14"/>
    </row>
    <row r="314" spans="1:16" x14ac:dyDescent="0.25">
      <c r="A314" s="6"/>
      <c r="B314" s="7"/>
      <c r="C314" s="8"/>
      <c r="D314" s="8"/>
      <c r="E314" s="9"/>
      <c r="F314" s="9"/>
      <c r="G314" s="17"/>
      <c r="H314" s="17"/>
      <c r="I314" s="9"/>
      <c r="J314" s="9"/>
      <c r="K314" s="10">
        <v>0</v>
      </c>
      <c r="L314" s="10"/>
      <c r="M314" s="11"/>
      <c r="N314" s="12"/>
      <c r="O314" s="13"/>
      <c r="P314" s="14"/>
    </row>
    <row r="315" spans="1:16" x14ac:dyDescent="0.25">
      <c r="A315" s="6"/>
      <c r="B315" s="7"/>
      <c r="C315" s="8"/>
      <c r="D315" s="8"/>
      <c r="E315" s="9"/>
      <c r="F315" s="9"/>
      <c r="G315" s="17"/>
      <c r="H315" s="17"/>
      <c r="I315" s="9"/>
      <c r="J315" s="9"/>
      <c r="K315" s="10">
        <v>0</v>
      </c>
      <c r="L315" s="10"/>
      <c r="M315" s="11"/>
      <c r="N315" s="12"/>
      <c r="O315" s="13"/>
      <c r="P315" s="14"/>
    </row>
    <row r="316" spans="1:16" x14ac:dyDescent="0.25">
      <c r="A316" s="6"/>
      <c r="B316" s="7"/>
      <c r="C316" s="8"/>
      <c r="D316" s="8"/>
      <c r="E316" s="9"/>
      <c r="F316" s="9"/>
      <c r="G316" s="17"/>
      <c r="H316" s="17"/>
      <c r="I316" s="9"/>
      <c r="J316" s="9"/>
      <c r="K316" s="10">
        <v>0</v>
      </c>
      <c r="L316" s="10"/>
      <c r="M316" s="11"/>
      <c r="N316" s="12"/>
      <c r="O316" s="13"/>
      <c r="P316" s="14"/>
    </row>
    <row r="317" spans="1:16" x14ac:dyDescent="0.25">
      <c r="A317" s="6"/>
      <c r="B317" s="7"/>
      <c r="C317" s="8"/>
      <c r="D317" s="8"/>
      <c r="E317" s="9"/>
      <c r="F317" s="9"/>
      <c r="G317" s="17"/>
      <c r="H317" s="17"/>
      <c r="I317" s="9"/>
      <c r="J317" s="9"/>
      <c r="K317" s="10">
        <v>0</v>
      </c>
      <c r="L317" s="10"/>
      <c r="M317" s="11"/>
      <c r="N317" s="12"/>
      <c r="O317" s="13"/>
      <c r="P317" s="14"/>
    </row>
    <row r="318" spans="1:16" x14ac:dyDescent="0.25">
      <c r="A318" s="6"/>
      <c r="B318" s="7"/>
      <c r="C318" s="8"/>
      <c r="D318" s="8"/>
      <c r="E318" s="9"/>
      <c r="F318" s="9"/>
      <c r="G318" s="17"/>
      <c r="H318" s="17"/>
      <c r="I318" s="9"/>
      <c r="J318" s="9"/>
      <c r="K318" s="10">
        <v>0</v>
      </c>
      <c r="L318" s="10"/>
      <c r="M318" s="11"/>
      <c r="N318" s="12"/>
      <c r="O318" s="13"/>
      <c r="P318" s="14"/>
    </row>
    <row r="319" spans="1:16" x14ac:dyDescent="0.25">
      <c r="A319" s="6"/>
      <c r="B319" s="7"/>
      <c r="C319" s="8"/>
      <c r="D319" s="8"/>
      <c r="E319" s="9"/>
      <c r="F319" s="9"/>
      <c r="G319" s="17"/>
      <c r="H319" s="17"/>
      <c r="I319" s="9"/>
      <c r="J319" s="9"/>
      <c r="K319" s="10">
        <v>0</v>
      </c>
      <c r="L319" s="10"/>
      <c r="M319" s="11"/>
      <c r="N319" s="12"/>
      <c r="O319" s="13"/>
      <c r="P319" s="14"/>
    </row>
    <row r="320" spans="1:16" x14ac:dyDescent="0.25">
      <c r="A320" s="6"/>
      <c r="B320" s="7"/>
      <c r="C320" s="8"/>
      <c r="D320" s="8"/>
      <c r="E320" s="9"/>
      <c r="F320" s="9"/>
      <c r="G320" s="17"/>
      <c r="H320" s="17"/>
      <c r="I320" s="9"/>
      <c r="J320" s="9"/>
      <c r="K320" s="10">
        <v>0</v>
      </c>
      <c r="L320" s="10"/>
      <c r="M320" s="11"/>
      <c r="N320" s="12"/>
      <c r="O320" s="13"/>
      <c r="P320" s="14"/>
    </row>
    <row r="321" spans="1:16" x14ac:dyDescent="0.25">
      <c r="A321" s="6"/>
      <c r="B321" s="7"/>
      <c r="C321" s="8"/>
      <c r="D321" s="8"/>
      <c r="E321" s="9"/>
      <c r="F321" s="9"/>
      <c r="G321" s="17"/>
      <c r="H321" s="17"/>
      <c r="I321" s="9"/>
      <c r="J321" s="9"/>
      <c r="K321" s="10">
        <v>0</v>
      </c>
      <c r="L321" s="10"/>
      <c r="M321" s="11"/>
      <c r="N321" s="12"/>
      <c r="O321" s="13"/>
      <c r="P321" s="14"/>
    </row>
    <row r="322" spans="1:16" x14ac:dyDescent="0.25">
      <c r="A322" s="6"/>
      <c r="B322" s="7"/>
      <c r="C322" s="8"/>
      <c r="D322" s="8"/>
      <c r="E322" s="9"/>
      <c r="F322" s="9"/>
      <c r="G322" s="17"/>
      <c r="H322" s="17"/>
      <c r="I322" s="9"/>
      <c r="J322" s="9"/>
      <c r="K322" s="10">
        <v>0</v>
      </c>
      <c r="L322" s="10"/>
      <c r="M322" s="11"/>
      <c r="N322" s="12"/>
      <c r="O322" s="13"/>
      <c r="P322" s="14"/>
    </row>
    <row r="323" spans="1:16" x14ac:dyDescent="0.25">
      <c r="A323" s="6"/>
      <c r="B323" s="7"/>
      <c r="C323" s="8"/>
      <c r="D323" s="8"/>
      <c r="E323" s="9"/>
      <c r="F323" s="9"/>
      <c r="G323" s="17"/>
      <c r="H323" s="17"/>
      <c r="I323" s="9"/>
      <c r="J323" s="9"/>
      <c r="K323" s="10">
        <v>0</v>
      </c>
      <c r="L323" s="10"/>
      <c r="M323" s="11"/>
      <c r="N323" s="12"/>
      <c r="O323" s="13"/>
      <c r="P323" s="14"/>
    </row>
    <row r="324" spans="1:16" x14ac:dyDescent="0.25">
      <c r="A324" s="6"/>
      <c r="B324" s="7"/>
      <c r="C324" s="8"/>
      <c r="D324" s="8"/>
      <c r="E324" s="9"/>
      <c r="F324" s="9"/>
      <c r="G324" s="17"/>
      <c r="H324" s="17"/>
      <c r="I324" s="9"/>
      <c r="J324" s="9"/>
      <c r="K324" s="10">
        <v>0</v>
      </c>
      <c r="L324" s="10"/>
      <c r="M324" s="11"/>
      <c r="N324" s="12"/>
      <c r="O324" s="13"/>
      <c r="P324" s="14"/>
    </row>
    <row r="325" spans="1:16" x14ac:dyDescent="0.25">
      <c r="A325" s="6"/>
      <c r="B325" s="7"/>
      <c r="C325" s="8"/>
      <c r="D325" s="8"/>
      <c r="E325" s="9"/>
      <c r="F325" s="9"/>
      <c r="G325" s="17"/>
      <c r="H325" s="17"/>
      <c r="I325" s="9"/>
      <c r="J325" s="9"/>
      <c r="K325" s="10">
        <v>0</v>
      </c>
      <c r="L325" s="10"/>
      <c r="M325" s="11"/>
      <c r="N325" s="12"/>
      <c r="O325" s="13"/>
      <c r="P325" s="14"/>
    </row>
    <row r="326" spans="1:16" x14ac:dyDescent="0.25">
      <c r="A326" s="6"/>
      <c r="B326" s="7"/>
      <c r="C326" s="8"/>
      <c r="D326" s="8"/>
      <c r="E326" s="9"/>
      <c r="F326" s="9"/>
      <c r="G326" s="17"/>
      <c r="H326" s="17"/>
      <c r="I326" s="9"/>
      <c r="J326" s="9"/>
      <c r="K326" s="10">
        <v>0</v>
      </c>
      <c r="L326" s="10"/>
      <c r="M326" s="11"/>
      <c r="N326" s="12"/>
      <c r="O326" s="13"/>
      <c r="P326" s="14"/>
    </row>
    <row r="327" spans="1:16" x14ac:dyDescent="0.25">
      <c r="A327" s="6"/>
      <c r="B327" s="7"/>
      <c r="C327" s="8"/>
      <c r="D327" s="8"/>
      <c r="E327" s="9"/>
      <c r="F327" s="9"/>
      <c r="G327" s="17"/>
      <c r="H327" s="17"/>
      <c r="I327" s="9"/>
      <c r="J327" s="9"/>
      <c r="K327" s="10">
        <v>0</v>
      </c>
      <c r="L327" s="10"/>
      <c r="M327" s="11"/>
      <c r="N327" s="12"/>
      <c r="O327" s="13"/>
      <c r="P327" s="14"/>
    </row>
    <row r="328" spans="1:16" x14ac:dyDescent="0.25">
      <c r="A328" s="6"/>
      <c r="B328" s="7"/>
      <c r="C328" s="8"/>
      <c r="D328" s="8"/>
      <c r="E328" s="9"/>
      <c r="F328" s="9"/>
      <c r="G328" s="17"/>
      <c r="H328" s="17"/>
      <c r="I328" s="9"/>
      <c r="J328" s="9"/>
      <c r="K328" s="10">
        <v>0</v>
      </c>
      <c r="L328" s="10"/>
      <c r="M328" s="11"/>
      <c r="N328" s="12"/>
      <c r="O328" s="13"/>
      <c r="P328" s="14"/>
    </row>
    <row r="329" spans="1:16" x14ac:dyDescent="0.25">
      <c r="A329" s="6"/>
      <c r="B329" s="7"/>
      <c r="C329" s="8"/>
      <c r="D329" s="8"/>
      <c r="E329" s="9"/>
      <c r="F329" s="9"/>
      <c r="G329" s="17"/>
      <c r="H329" s="17"/>
      <c r="I329" s="9"/>
      <c r="J329" s="9"/>
      <c r="K329" s="10">
        <v>0</v>
      </c>
      <c r="L329" s="10"/>
      <c r="M329" s="11"/>
      <c r="N329" s="12"/>
      <c r="O329" s="13"/>
      <c r="P329" s="14"/>
    </row>
    <row r="330" spans="1:16" x14ac:dyDescent="0.25">
      <c r="A330" s="6"/>
      <c r="B330" s="7"/>
      <c r="C330" s="8"/>
      <c r="D330" s="8"/>
      <c r="E330" s="9"/>
      <c r="F330" s="9"/>
      <c r="G330" s="17"/>
      <c r="H330" s="17"/>
      <c r="I330" s="9"/>
      <c r="J330" s="9"/>
      <c r="K330" s="10">
        <v>0</v>
      </c>
      <c r="L330" s="10"/>
      <c r="M330" s="11"/>
      <c r="N330" s="12"/>
      <c r="O330" s="13"/>
      <c r="P330" s="14"/>
    </row>
    <row r="331" spans="1:16" x14ac:dyDescent="0.25">
      <c r="A331" s="6"/>
      <c r="B331" s="15"/>
      <c r="C331" s="8"/>
      <c r="D331" s="8"/>
      <c r="E331" s="9"/>
      <c r="F331" s="9"/>
      <c r="G331" s="17"/>
      <c r="H331" s="17"/>
      <c r="I331" s="9"/>
      <c r="J331" s="9"/>
      <c r="K331" s="10">
        <v>0</v>
      </c>
      <c r="L331" s="10"/>
      <c r="M331" s="11"/>
      <c r="N331" s="12"/>
      <c r="O331" s="13"/>
      <c r="P331" s="14"/>
    </row>
    <row r="332" spans="1:16" x14ac:dyDescent="0.25">
      <c r="A332" s="6"/>
      <c r="B332" s="7"/>
      <c r="C332" s="8"/>
      <c r="D332" s="8"/>
      <c r="E332" s="9"/>
      <c r="F332" s="9"/>
      <c r="G332" s="17"/>
      <c r="H332" s="17"/>
      <c r="I332" s="9"/>
      <c r="J332" s="9"/>
      <c r="K332" s="10">
        <v>0</v>
      </c>
      <c r="L332" s="10"/>
      <c r="M332" s="11"/>
      <c r="N332" s="12"/>
      <c r="O332" s="13"/>
      <c r="P332" s="14"/>
    </row>
    <row r="333" spans="1:16" x14ac:dyDescent="0.25">
      <c r="A333" s="6"/>
      <c r="B333" s="7"/>
      <c r="C333" s="8"/>
      <c r="D333" s="8"/>
      <c r="E333" s="9"/>
      <c r="F333" s="9"/>
      <c r="G333" s="17"/>
      <c r="H333" s="17"/>
      <c r="I333" s="9"/>
      <c r="J333" s="9"/>
      <c r="K333" s="10">
        <v>0</v>
      </c>
      <c r="L333" s="10"/>
      <c r="M333" s="11"/>
      <c r="N333" s="12"/>
      <c r="O333" s="13"/>
      <c r="P333" s="14"/>
    </row>
    <row r="334" spans="1:16" x14ac:dyDescent="0.25">
      <c r="A334" s="6"/>
      <c r="B334" s="7"/>
      <c r="C334" s="8"/>
      <c r="D334" s="8"/>
      <c r="E334" s="9"/>
      <c r="F334" s="9"/>
      <c r="G334" s="17"/>
      <c r="H334" s="17"/>
      <c r="I334" s="9"/>
      <c r="J334" s="9"/>
      <c r="K334" s="10">
        <v>0</v>
      </c>
      <c r="L334" s="10"/>
      <c r="M334" s="11"/>
      <c r="N334" s="12"/>
      <c r="O334" s="13"/>
      <c r="P334" s="14"/>
    </row>
    <row r="335" spans="1:16" x14ac:dyDescent="0.25">
      <c r="A335" s="6"/>
      <c r="B335" s="7"/>
      <c r="C335" s="8"/>
      <c r="D335" s="8"/>
      <c r="E335" s="9"/>
      <c r="F335" s="9"/>
      <c r="G335" s="17"/>
      <c r="H335" s="17"/>
      <c r="I335" s="9"/>
      <c r="J335" s="9"/>
      <c r="K335" s="10">
        <v>0</v>
      </c>
      <c r="L335" s="10"/>
      <c r="M335" s="11"/>
      <c r="N335" s="12"/>
      <c r="O335" s="13"/>
      <c r="P335" s="14"/>
    </row>
    <row r="336" spans="1:16" x14ac:dyDescent="0.25">
      <c r="A336" s="6"/>
      <c r="B336" s="7"/>
      <c r="C336" s="8"/>
      <c r="D336" s="8"/>
      <c r="E336" s="9"/>
      <c r="F336" s="9"/>
      <c r="G336" s="17"/>
      <c r="H336" s="17"/>
      <c r="I336" s="9"/>
      <c r="J336" s="9"/>
      <c r="K336" s="10">
        <v>0</v>
      </c>
      <c r="L336" s="10"/>
      <c r="M336" s="11"/>
      <c r="N336" s="12"/>
      <c r="O336" s="13"/>
      <c r="P336" s="14"/>
    </row>
    <row r="337" spans="1:16" x14ac:dyDescent="0.25">
      <c r="A337" s="6"/>
      <c r="B337" s="7"/>
      <c r="C337" s="8"/>
      <c r="D337" s="8"/>
      <c r="E337" s="9"/>
      <c r="F337" s="9"/>
      <c r="G337" s="17"/>
      <c r="H337" s="17"/>
      <c r="I337" s="9"/>
      <c r="J337" s="9"/>
      <c r="K337" s="10">
        <v>0</v>
      </c>
      <c r="L337" s="10"/>
      <c r="M337" s="11"/>
      <c r="N337" s="12"/>
      <c r="O337" s="13"/>
      <c r="P337" s="14"/>
    </row>
    <row r="338" spans="1:16" x14ac:dyDescent="0.25">
      <c r="A338" s="6"/>
      <c r="B338" s="7"/>
      <c r="C338" s="8"/>
      <c r="D338" s="8"/>
      <c r="E338" s="9"/>
      <c r="F338" s="9"/>
      <c r="G338" s="17"/>
      <c r="H338" s="17"/>
      <c r="I338" s="9"/>
      <c r="J338" s="9"/>
      <c r="K338" s="10">
        <v>0</v>
      </c>
      <c r="L338" s="10"/>
      <c r="M338" s="11"/>
      <c r="N338" s="12"/>
      <c r="O338" s="13"/>
      <c r="P338" s="14"/>
    </row>
    <row r="339" spans="1:16" x14ac:dyDescent="0.25">
      <c r="A339" s="6"/>
      <c r="B339" s="7"/>
      <c r="C339" s="8"/>
      <c r="D339" s="8"/>
      <c r="E339" s="9"/>
      <c r="F339" s="9"/>
      <c r="G339" s="17"/>
      <c r="H339" s="17"/>
      <c r="I339" s="9"/>
      <c r="J339" s="9"/>
      <c r="K339" s="10">
        <v>0</v>
      </c>
      <c r="L339" s="10"/>
      <c r="M339" s="11"/>
      <c r="N339" s="12"/>
      <c r="O339" s="13"/>
      <c r="P339" s="14"/>
    </row>
    <row r="340" spans="1:16" x14ac:dyDescent="0.25">
      <c r="A340" s="6"/>
      <c r="B340" s="7"/>
      <c r="C340" s="8"/>
      <c r="D340" s="8"/>
      <c r="E340" s="9"/>
      <c r="F340" s="9"/>
      <c r="G340" s="17"/>
      <c r="H340" s="17"/>
      <c r="I340" s="9"/>
      <c r="J340" s="9"/>
      <c r="K340" s="10">
        <v>0</v>
      </c>
      <c r="L340" s="10"/>
      <c r="M340" s="11"/>
      <c r="N340" s="12"/>
      <c r="O340" s="13"/>
      <c r="P340" s="14"/>
    </row>
    <row r="341" spans="1:16" x14ac:dyDescent="0.25">
      <c r="A341" s="6"/>
      <c r="B341" s="7"/>
      <c r="C341" s="8"/>
      <c r="D341" s="8"/>
      <c r="E341" s="9"/>
      <c r="F341" s="9"/>
      <c r="G341" s="17"/>
      <c r="H341" s="17"/>
      <c r="I341" s="9"/>
      <c r="J341" s="9"/>
      <c r="K341" s="10">
        <v>0</v>
      </c>
      <c r="L341" s="10"/>
      <c r="M341" s="11"/>
      <c r="N341" s="12"/>
      <c r="O341" s="13"/>
      <c r="P341" s="14"/>
    </row>
    <row r="342" spans="1:16" x14ac:dyDescent="0.25">
      <c r="A342" s="6"/>
      <c r="B342" s="7"/>
      <c r="C342" s="8"/>
      <c r="D342" s="8"/>
      <c r="E342" s="9"/>
      <c r="F342" s="9"/>
      <c r="G342" s="17"/>
      <c r="H342" s="17"/>
      <c r="I342" s="9"/>
      <c r="J342" s="9"/>
      <c r="K342" s="10">
        <v>0</v>
      </c>
      <c r="L342" s="10"/>
      <c r="M342" s="11"/>
      <c r="N342" s="12"/>
      <c r="O342" s="13"/>
      <c r="P342" s="14"/>
    </row>
    <row r="343" spans="1:16" x14ac:dyDescent="0.25">
      <c r="A343" s="6"/>
      <c r="B343" s="7"/>
      <c r="C343" s="8"/>
      <c r="D343" s="8"/>
      <c r="E343" s="9"/>
      <c r="F343" s="9"/>
      <c r="G343" s="17"/>
      <c r="H343" s="17"/>
      <c r="I343" s="9"/>
      <c r="J343" s="9"/>
      <c r="K343" s="10">
        <v>0</v>
      </c>
      <c r="L343" s="10"/>
      <c r="M343" s="11"/>
      <c r="N343" s="12"/>
      <c r="O343" s="13"/>
      <c r="P343" s="14"/>
    </row>
    <row r="344" spans="1:16" x14ac:dyDescent="0.25">
      <c r="A344" s="6"/>
      <c r="B344" s="7"/>
      <c r="C344" s="8"/>
      <c r="D344" s="8"/>
      <c r="E344" s="9"/>
      <c r="F344" s="9"/>
      <c r="G344" s="17"/>
      <c r="H344" s="17"/>
      <c r="I344" s="9"/>
      <c r="J344" s="9"/>
      <c r="K344" s="10">
        <v>0</v>
      </c>
      <c r="L344" s="10"/>
      <c r="M344" s="11"/>
      <c r="N344" s="12"/>
      <c r="O344" s="13"/>
      <c r="P344" s="14"/>
    </row>
    <row r="345" spans="1:16" x14ac:dyDescent="0.25">
      <c r="A345" s="6"/>
      <c r="B345" s="7"/>
      <c r="C345" s="8"/>
      <c r="D345" s="8"/>
      <c r="E345" s="9"/>
      <c r="F345" s="9"/>
      <c r="G345" s="17"/>
      <c r="H345" s="17"/>
      <c r="I345" s="9"/>
      <c r="J345" s="9"/>
      <c r="K345" s="10">
        <v>0</v>
      </c>
      <c r="L345" s="10"/>
      <c r="M345" s="11"/>
      <c r="N345" s="12"/>
      <c r="O345" s="13"/>
      <c r="P345" s="14"/>
    </row>
    <row r="346" spans="1:16" x14ac:dyDescent="0.25">
      <c r="A346" s="6"/>
      <c r="B346" s="7"/>
      <c r="C346" s="8"/>
      <c r="D346" s="8"/>
      <c r="E346" s="9"/>
      <c r="F346" s="9"/>
      <c r="G346" s="17"/>
      <c r="H346" s="17"/>
      <c r="I346" s="9"/>
      <c r="J346" s="9"/>
      <c r="K346" s="10">
        <v>0</v>
      </c>
      <c r="L346" s="10"/>
      <c r="M346" s="11"/>
      <c r="N346" s="12"/>
      <c r="O346" s="13"/>
      <c r="P346" s="14"/>
    </row>
    <row r="347" spans="1:16" x14ac:dyDescent="0.25">
      <c r="A347" s="6"/>
      <c r="B347" s="7"/>
      <c r="C347" s="8"/>
      <c r="D347" s="8"/>
      <c r="E347" s="9"/>
      <c r="F347" s="9"/>
      <c r="G347" s="17"/>
      <c r="H347" s="17"/>
      <c r="I347" s="9"/>
      <c r="J347" s="9"/>
      <c r="K347" s="10">
        <v>0</v>
      </c>
      <c r="L347" s="10"/>
      <c r="M347" s="11"/>
      <c r="N347" s="12"/>
      <c r="O347" s="13"/>
      <c r="P347" s="14"/>
    </row>
    <row r="348" spans="1:16" x14ac:dyDescent="0.25">
      <c r="A348" s="6"/>
      <c r="B348" s="7"/>
      <c r="C348" s="8"/>
      <c r="D348" s="8"/>
      <c r="E348" s="9"/>
      <c r="F348" s="9"/>
      <c r="G348" s="17"/>
      <c r="H348" s="17"/>
      <c r="I348" s="9"/>
      <c r="J348" s="9"/>
      <c r="K348" s="10">
        <v>0</v>
      </c>
      <c r="L348" s="10"/>
      <c r="M348" s="11"/>
      <c r="N348" s="12"/>
      <c r="O348" s="13"/>
      <c r="P348" s="14"/>
    </row>
    <row r="349" spans="1:16" x14ac:dyDescent="0.25">
      <c r="A349" s="6"/>
      <c r="B349" s="7"/>
      <c r="C349" s="8"/>
      <c r="D349" s="8"/>
      <c r="E349" s="9"/>
      <c r="F349" s="9"/>
      <c r="G349" s="17"/>
      <c r="H349" s="17"/>
      <c r="I349" s="9"/>
      <c r="J349" s="9"/>
      <c r="K349" s="10">
        <v>0</v>
      </c>
      <c r="L349" s="10"/>
      <c r="M349" s="11"/>
      <c r="N349" s="12"/>
      <c r="O349" s="13"/>
      <c r="P349" s="14"/>
    </row>
    <row r="350" spans="1:16" x14ac:dyDescent="0.25">
      <c r="A350" s="6"/>
      <c r="B350" s="7"/>
      <c r="C350" s="8"/>
      <c r="D350" s="8"/>
      <c r="E350" s="9"/>
      <c r="F350" s="9"/>
      <c r="G350" s="17"/>
      <c r="H350" s="17"/>
      <c r="I350" s="9"/>
      <c r="J350" s="9"/>
      <c r="K350" s="10">
        <v>0</v>
      </c>
      <c r="L350" s="10"/>
      <c r="M350" s="11"/>
      <c r="N350" s="12"/>
      <c r="O350" s="13"/>
      <c r="P350" s="14"/>
    </row>
    <row r="351" spans="1:16" x14ac:dyDescent="0.25">
      <c r="A351" s="6"/>
      <c r="B351" s="7"/>
      <c r="C351" s="8"/>
      <c r="D351" s="8"/>
      <c r="E351" s="9"/>
      <c r="F351" s="9"/>
      <c r="G351" s="17"/>
      <c r="H351" s="17"/>
      <c r="I351" s="9"/>
      <c r="J351" s="9"/>
      <c r="K351" s="10">
        <v>0</v>
      </c>
      <c r="L351" s="10"/>
      <c r="M351" s="11"/>
      <c r="N351" s="12"/>
      <c r="O351" s="13"/>
      <c r="P351" s="14"/>
    </row>
    <row r="352" spans="1:16" x14ac:dyDescent="0.25">
      <c r="A352" s="6"/>
      <c r="B352" s="7"/>
      <c r="C352" s="8"/>
      <c r="D352" s="8"/>
      <c r="E352" s="9"/>
      <c r="F352" s="9"/>
      <c r="G352" s="17"/>
      <c r="H352" s="17"/>
      <c r="I352" s="9"/>
      <c r="J352" s="9"/>
      <c r="K352" s="10">
        <v>0</v>
      </c>
      <c r="L352" s="10"/>
      <c r="M352" s="11"/>
      <c r="N352" s="12"/>
      <c r="O352" s="13"/>
      <c r="P352" s="14"/>
    </row>
    <row r="353" spans="1:16" x14ac:dyDescent="0.25">
      <c r="A353" s="6"/>
      <c r="B353" s="7"/>
      <c r="C353" s="8"/>
      <c r="D353" s="8"/>
      <c r="E353" s="9"/>
      <c r="F353" s="9"/>
      <c r="G353" s="17"/>
      <c r="H353" s="17"/>
      <c r="I353" s="9"/>
      <c r="J353" s="9"/>
      <c r="K353" s="10">
        <v>0</v>
      </c>
      <c r="L353" s="10"/>
      <c r="M353" s="11"/>
      <c r="N353" s="12"/>
      <c r="O353" s="13"/>
      <c r="P353" s="14"/>
    </row>
    <row r="354" spans="1:16" x14ac:dyDescent="0.25">
      <c r="A354" s="6"/>
      <c r="B354" s="7"/>
      <c r="C354" s="8"/>
      <c r="D354" s="8"/>
      <c r="E354" s="9"/>
      <c r="F354" s="9"/>
      <c r="G354" s="17"/>
      <c r="H354" s="17"/>
      <c r="I354" s="9"/>
      <c r="J354" s="9"/>
      <c r="K354" s="10">
        <v>0</v>
      </c>
      <c r="L354" s="10"/>
      <c r="M354" s="11"/>
      <c r="N354" s="12"/>
      <c r="O354" s="13"/>
      <c r="P354" s="14"/>
    </row>
    <row r="355" spans="1:16" x14ac:dyDescent="0.25">
      <c r="A355" s="6"/>
      <c r="B355" s="7"/>
      <c r="C355" s="8"/>
      <c r="D355" s="8"/>
      <c r="E355" s="9"/>
      <c r="F355" s="9"/>
      <c r="G355" s="17"/>
      <c r="H355" s="17"/>
      <c r="I355" s="9"/>
      <c r="J355" s="9"/>
      <c r="K355" s="10">
        <v>0</v>
      </c>
      <c r="L355" s="10"/>
      <c r="M355" s="11"/>
      <c r="N355" s="12"/>
      <c r="O355" s="13"/>
      <c r="P355" s="14"/>
    </row>
    <row r="356" spans="1:16" x14ac:dyDescent="0.25">
      <c r="A356" s="6"/>
      <c r="B356" s="7"/>
      <c r="C356" s="8"/>
      <c r="D356" s="8"/>
      <c r="E356" s="9"/>
      <c r="F356" s="9"/>
      <c r="G356" s="17"/>
      <c r="H356" s="17"/>
      <c r="I356" s="9"/>
      <c r="J356" s="9"/>
      <c r="K356" s="10">
        <v>0</v>
      </c>
      <c r="L356" s="10"/>
      <c r="M356" s="11"/>
      <c r="N356" s="12"/>
      <c r="O356" s="13"/>
      <c r="P356" s="14"/>
    </row>
    <row r="357" spans="1:16" x14ac:dyDescent="0.25">
      <c r="A357" s="6"/>
      <c r="B357" s="7"/>
      <c r="C357" s="8"/>
      <c r="D357" s="8"/>
      <c r="E357" s="9"/>
      <c r="F357" s="9"/>
      <c r="G357" s="17"/>
      <c r="H357" s="17"/>
      <c r="I357" s="9"/>
      <c r="J357" s="9"/>
      <c r="K357" s="10">
        <v>0</v>
      </c>
      <c r="L357" s="10"/>
      <c r="M357" s="11"/>
      <c r="N357" s="12"/>
      <c r="O357" s="13"/>
      <c r="P357" s="14"/>
    </row>
    <row r="358" spans="1:16" x14ac:dyDescent="0.25">
      <c r="A358" s="6"/>
      <c r="B358" s="7"/>
      <c r="C358" s="8"/>
      <c r="D358" s="8"/>
      <c r="E358" s="9"/>
      <c r="F358" s="9"/>
      <c r="G358" s="17"/>
      <c r="H358" s="17"/>
      <c r="I358" s="9"/>
      <c r="J358" s="9"/>
      <c r="K358" s="10">
        <v>0</v>
      </c>
      <c r="L358" s="10"/>
      <c r="M358" s="11"/>
      <c r="N358" s="12"/>
      <c r="O358" s="13"/>
      <c r="P358" s="14"/>
    </row>
    <row r="359" spans="1:16" x14ac:dyDescent="0.25">
      <c r="A359" s="6"/>
      <c r="B359" s="7"/>
      <c r="C359" s="8"/>
      <c r="D359" s="8"/>
      <c r="E359" s="9"/>
      <c r="F359" s="9"/>
      <c r="G359" s="17"/>
      <c r="H359" s="17"/>
      <c r="I359" s="9"/>
      <c r="J359" s="9"/>
      <c r="K359" s="10">
        <v>0</v>
      </c>
      <c r="L359" s="10"/>
      <c r="M359" s="11"/>
      <c r="N359" s="12"/>
      <c r="O359" s="13"/>
      <c r="P359" s="14"/>
    </row>
    <row r="360" spans="1:16" x14ac:dyDescent="0.25">
      <c r="A360" s="6"/>
      <c r="B360" s="7"/>
      <c r="C360" s="8"/>
      <c r="D360" s="8"/>
      <c r="E360" s="9"/>
      <c r="F360" s="9"/>
      <c r="G360" s="17"/>
      <c r="H360" s="17"/>
      <c r="I360" s="9"/>
      <c r="J360" s="9"/>
      <c r="K360" s="10">
        <v>0</v>
      </c>
      <c r="L360" s="10"/>
      <c r="M360" s="11"/>
      <c r="N360" s="12"/>
      <c r="O360" s="13"/>
      <c r="P360" s="14"/>
    </row>
    <row r="361" spans="1:16" x14ac:dyDescent="0.25">
      <c r="A361" s="6"/>
      <c r="B361" s="7"/>
      <c r="C361" s="8"/>
      <c r="D361" s="8"/>
      <c r="E361" s="9"/>
      <c r="F361" s="9"/>
      <c r="G361" s="17"/>
      <c r="H361" s="17"/>
      <c r="I361" s="9"/>
      <c r="J361" s="9"/>
      <c r="K361" s="10">
        <v>0</v>
      </c>
      <c r="L361" s="10"/>
      <c r="M361" s="11"/>
      <c r="N361" s="12"/>
      <c r="O361" s="13"/>
      <c r="P361" s="14"/>
    </row>
    <row r="362" spans="1:16" x14ac:dyDescent="0.25">
      <c r="A362" s="6"/>
      <c r="B362" s="7"/>
      <c r="C362" s="8"/>
      <c r="D362" s="8"/>
      <c r="E362" s="9"/>
      <c r="F362" s="9"/>
      <c r="G362" s="17"/>
      <c r="H362" s="17"/>
      <c r="I362" s="9"/>
      <c r="J362" s="9"/>
      <c r="K362" s="10">
        <v>0</v>
      </c>
      <c r="L362" s="10"/>
      <c r="M362" s="11"/>
      <c r="N362" s="12"/>
      <c r="O362" s="13"/>
      <c r="P362" s="14"/>
    </row>
    <row r="363" spans="1:16" x14ac:dyDescent="0.25">
      <c r="A363" s="6"/>
      <c r="B363" s="7"/>
      <c r="C363" s="8"/>
      <c r="D363" s="8"/>
      <c r="E363" s="9"/>
      <c r="F363" s="9"/>
      <c r="G363" s="17"/>
      <c r="H363" s="17"/>
      <c r="I363" s="9"/>
      <c r="J363" s="9"/>
      <c r="K363" s="10">
        <v>0</v>
      </c>
      <c r="L363" s="10"/>
      <c r="M363" s="11"/>
      <c r="N363" s="12"/>
      <c r="O363" s="13"/>
      <c r="P363" s="14"/>
    </row>
    <row r="364" spans="1:16" x14ac:dyDescent="0.25">
      <c r="A364" s="6"/>
      <c r="B364" s="7"/>
      <c r="C364" s="8"/>
      <c r="D364" s="8"/>
      <c r="E364" s="9"/>
      <c r="F364" s="9"/>
      <c r="G364" s="17"/>
      <c r="H364" s="17"/>
      <c r="I364" s="9"/>
      <c r="J364" s="9"/>
      <c r="K364" s="10">
        <v>0</v>
      </c>
      <c r="L364" s="10"/>
      <c r="M364" s="11"/>
      <c r="N364" s="12"/>
      <c r="O364" s="13"/>
      <c r="P364" s="14"/>
    </row>
    <row r="365" spans="1:16" x14ac:dyDescent="0.25">
      <c r="A365" s="6"/>
      <c r="B365" s="7"/>
      <c r="C365" s="8"/>
      <c r="D365" s="8"/>
      <c r="E365" s="9"/>
      <c r="F365" s="9"/>
      <c r="G365" s="17"/>
      <c r="H365" s="17"/>
      <c r="I365" s="9"/>
      <c r="J365" s="9"/>
      <c r="K365" s="10">
        <v>0</v>
      </c>
      <c r="L365" s="10"/>
      <c r="M365" s="11"/>
      <c r="N365" s="12"/>
      <c r="O365" s="13"/>
      <c r="P365" s="14"/>
    </row>
    <row r="366" spans="1:16" x14ac:dyDescent="0.25">
      <c r="A366" s="6"/>
      <c r="B366" s="7"/>
      <c r="C366" s="8"/>
      <c r="D366" s="8"/>
      <c r="E366" s="9"/>
      <c r="F366" s="9"/>
      <c r="G366" s="17"/>
      <c r="H366" s="17"/>
      <c r="I366" s="9"/>
      <c r="J366" s="9"/>
      <c r="K366" s="10">
        <v>0</v>
      </c>
      <c r="L366" s="10"/>
      <c r="M366" s="11"/>
      <c r="N366" s="12"/>
      <c r="O366" s="13"/>
      <c r="P366" s="14"/>
    </row>
    <row r="367" spans="1:16" x14ac:dyDescent="0.25">
      <c r="A367" s="6"/>
      <c r="B367" s="7"/>
      <c r="C367" s="8"/>
      <c r="D367" s="8"/>
      <c r="E367" s="9"/>
      <c r="F367" s="9"/>
      <c r="G367" s="17"/>
      <c r="H367" s="17"/>
      <c r="I367" s="9"/>
      <c r="J367" s="9"/>
      <c r="K367" s="10">
        <v>0</v>
      </c>
      <c r="L367" s="10"/>
      <c r="M367" s="11"/>
      <c r="N367" s="12"/>
      <c r="O367" s="13"/>
      <c r="P367" s="14"/>
    </row>
    <row r="368" spans="1:16" x14ac:dyDescent="0.25">
      <c r="A368" s="6"/>
      <c r="B368" s="7"/>
      <c r="C368" s="8"/>
      <c r="D368" s="8"/>
      <c r="E368" s="9"/>
      <c r="F368" s="9"/>
      <c r="G368" s="17"/>
      <c r="H368" s="17"/>
      <c r="I368" s="9"/>
      <c r="J368" s="9"/>
      <c r="K368" s="10">
        <v>0</v>
      </c>
      <c r="L368" s="10"/>
      <c r="M368" s="11"/>
      <c r="N368" s="12"/>
      <c r="O368" s="13"/>
      <c r="P368" s="14"/>
    </row>
    <row r="369" spans="1:16" x14ac:dyDescent="0.25">
      <c r="A369" s="6"/>
      <c r="B369" s="7"/>
      <c r="C369" s="8"/>
      <c r="D369" s="8"/>
      <c r="E369" s="9"/>
      <c r="F369" s="9"/>
      <c r="G369" s="17"/>
      <c r="H369" s="17"/>
      <c r="I369" s="9"/>
      <c r="J369" s="9"/>
      <c r="K369" s="10">
        <v>0</v>
      </c>
      <c r="L369" s="10"/>
      <c r="M369" s="11"/>
      <c r="N369" s="12"/>
      <c r="O369" s="13"/>
      <c r="P369" s="14"/>
    </row>
    <row r="370" spans="1:16" x14ac:dyDescent="0.25">
      <c r="A370" s="6"/>
      <c r="B370" s="7"/>
      <c r="C370" s="8"/>
      <c r="D370" s="8"/>
      <c r="E370" s="9"/>
      <c r="F370" s="9"/>
      <c r="G370" s="17"/>
      <c r="H370" s="17"/>
      <c r="I370" s="9"/>
      <c r="J370" s="9"/>
      <c r="K370" s="10">
        <v>0</v>
      </c>
      <c r="L370" s="10"/>
      <c r="M370" s="11"/>
      <c r="N370" s="12"/>
      <c r="O370" s="13"/>
      <c r="P370" s="14"/>
    </row>
    <row r="371" spans="1:16" x14ac:dyDescent="0.25">
      <c r="A371" s="6"/>
      <c r="B371" s="15"/>
      <c r="C371" s="16"/>
      <c r="D371" s="8"/>
      <c r="E371" s="9"/>
      <c r="F371" s="9"/>
      <c r="G371" s="17"/>
      <c r="H371" s="17"/>
      <c r="I371" s="9"/>
      <c r="J371" s="9"/>
      <c r="K371" s="10">
        <v>0</v>
      </c>
      <c r="L371" s="10"/>
      <c r="M371" s="11"/>
      <c r="N371" s="12"/>
      <c r="O371" s="13"/>
      <c r="P371" s="14"/>
    </row>
    <row r="372" spans="1:16" x14ac:dyDescent="0.25">
      <c r="A372" s="6"/>
      <c r="B372" s="7"/>
      <c r="C372" s="8"/>
      <c r="D372" s="8"/>
      <c r="E372" s="9"/>
      <c r="F372" s="9"/>
      <c r="G372" s="17"/>
      <c r="H372" s="17"/>
      <c r="I372" s="9"/>
      <c r="J372" s="9"/>
      <c r="K372" s="10">
        <v>0</v>
      </c>
      <c r="L372" s="10"/>
      <c r="M372" s="11"/>
      <c r="N372" s="12"/>
      <c r="O372" s="13"/>
      <c r="P372" s="14"/>
    </row>
    <row r="373" spans="1:16" x14ac:dyDescent="0.25">
      <c r="A373" s="6"/>
      <c r="B373" s="7"/>
      <c r="C373" s="8"/>
      <c r="D373" s="8"/>
      <c r="E373" s="9"/>
      <c r="F373" s="9"/>
      <c r="G373" s="17"/>
      <c r="H373" s="17"/>
      <c r="I373" s="9"/>
      <c r="J373" s="9"/>
      <c r="K373" s="10">
        <v>0</v>
      </c>
      <c r="L373" s="10"/>
      <c r="M373" s="11"/>
      <c r="N373" s="12"/>
      <c r="O373" s="13"/>
      <c r="P373" s="14"/>
    </row>
    <row r="374" spans="1:16" x14ac:dyDescent="0.25">
      <c r="A374" s="6"/>
      <c r="B374" s="7"/>
      <c r="C374" s="8"/>
      <c r="D374" s="8"/>
      <c r="E374" s="9"/>
      <c r="F374" s="9"/>
      <c r="G374" s="17"/>
      <c r="H374" s="17"/>
      <c r="I374" s="9"/>
      <c r="J374" s="9"/>
      <c r="K374" s="10">
        <v>0</v>
      </c>
      <c r="L374" s="10"/>
      <c r="M374" s="11"/>
      <c r="N374" s="12"/>
      <c r="O374" s="13"/>
      <c r="P374" s="14"/>
    </row>
    <row r="375" spans="1:16" x14ac:dyDescent="0.25">
      <c r="A375" s="6"/>
      <c r="B375" s="7"/>
      <c r="C375" s="8"/>
      <c r="D375" s="8"/>
      <c r="E375" s="9"/>
      <c r="F375" s="9"/>
      <c r="G375" s="17"/>
      <c r="H375" s="17"/>
      <c r="I375" s="9"/>
      <c r="J375" s="9"/>
      <c r="K375" s="10">
        <v>0</v>
      </c>
      <c r="L375" s="10"/>
      <c r="M375" s="11"/>
      <c r="N375" s="12"/>
      <c r="O375" s="13"/>
      <c r="P375" s="14"/>
    </row>
    <row r="376" spans="1:16" x14ac:dyDescent="0.25">
      <c r="A376" s="6"/>
      <c r="B376" s="7"/>
      <c r="C376" s="8"/>
      <c r="D376" s="8"/>
      <c r="E376" s="9"/>
      <c r="F376" s="9"/>
      <c r="G376" s="17"/>
      <c r="H376" s="17"/>
      <c r="I376" s="9"/>
      <c r="J376" s="9"/>
      <c r="K376" s="10">
        <v>0</v>
      </c>
      <c r="L376" s="10"/>
      <c r="M376" s="11"/>
      <c r="N376" s="12"/>
      <c r="O376" s="13"/>
      <c r="P376" s="14"/>
    </row>
    <row r="377" spans="1:16" x14ac:dyDescent="0.25">
      <c r="A377" s="6"/>
      <c r="B377" s="7"/>
      <c r="C377" s="8"/>
      <c r="D377" s="8"/>
      <c r="E377" s="9"/>
      <c r="F377" s="9"/>
      <c r="G377" s="17"/>
      <c r="H377" s="17"/>
      <c r="I377" s="9"/>
      <c r="J377" s="9"/>
      <c r="K377" s="10">
        <v>0</v>
      </c>
      <c r="L377" s="10"/>
      <c r="M377" s="11"/>
      <c r="N377" s="12"/>
      <c r="O377" s="13"/>
      <c r="P377" s="14"/>
    </row>
    <row r="378" spans="1:16" x14ac:dyDescent="0.25">
      <c r="A378" s="6"/>
      <c r="B378" s="7"/>
      <c r="C378" s="8"/>
      <c r="D378" s="8"/>
      <c r="E378" s="9"/>
      <c r="F378" s="9"/>
      <c r="G378" s="17"/>
      <c r="H378" s="17"/>
      <c r="I378" s="9"/>
      <c r="J378" s="9"/>
      <c r="K378" s="10">
        <v>0</v>
      </c>
      <c r="L378" s="10"/>
      <c r="M378" s="11"/>
      <c r="N378" s="12"/>
      <c r="O378" s="13"/>
      <c r="P378" s="14"/>
    </row>
    <row r="379" spans="1:16" x14ac:dyDescent="0.25">
      <c r="A379" s="6"/>
      <c r="B379" s="7"/>
      <c r="C379" s="8"/>
      <c r="D379" s="8"/>
      <c r="E379" s="9"/>
      <c r="F379" s="9"/>
      <c r="G379" s="17"/>
      <c r="H379" s="17"/>
      <c r="I379" s="9"/>
      <c r="J379" s="9"/>
      <c r="K379" s="10">
        <v>0</v>
      </c>
      <c r="L379" s="10"/>
      <c r="M379" s="11"/>
      <c r="N379" s="12"/>
      <c r="O379" s="13"/>
      <c r="P379" s="14"/>
    </row>
    <row r="380" spans="1:16" x14ac:dyDescent="0.25">
      <c r="A380" s="6"/>
      <c r="B380" s="7"/>
      <c r="C380" s="8"/>
      <c r="D380" s="8"/>
      <c r="E380" s="9"/>
      <c r="F380" s="9"/>
      <c r="G380" s="17"/>
      <c r="H380" s="17"/>
      <c r="I380" s="9"/>
      <c r="J380" s="9"/>
      <c r="K380" s="10">
        <v>0</v>
      </c>
      <c r="L380" s="10"/>
      <c r="M380" s="11"/>
      <c r="N380" s="12"/>
      <c r="O380" s="13"/>
      <c r="P380" s="14"/>
    </row>
    <row r="381" spans="1:16" x14ac:dyDescent="0.25">
      <c r="A381" s="6"/>
      <c r="B381" s="7"/>
      <c r="C381" s="8"/>
      <c r="D381" s="8"/>
      <c r="E381" s="9"/>
      <c r="F381" s="9"/>
      <c r="G381" s="17"/>
      <c r="H381" s="17"/>
      <c r="I381" s="9"/>
      <c r="J381" s="9"/>
      <c r="K381" s="10">
        <v>0</v>
      </c>
      <c r="L381" s="10"/>
      <c r="M381" s="11"/>
      <c r="N381" s="12"/>
      <c r="O381" s="13"/>
      <c r="P381" s="14"/>
    </row>
    <row r="382" spans="1:16" x14ac:dyDescent="0.25">
      <c r="A382" s="6"/>
      <c r="B382" s="15"/>
      <c r="C382" s="16"/>
      <c r="D382" s="8"/>
      <c r="E382" s="9"/>
      <c r="F382" s="9"/>
      <c r="G382" s="17"/>
      <c r="H382" s="17"/>
      <c r="I382" s="9"/>
      <c r="J382" s="9"/>
      <c r="K382" s="10">
        <v>0</v>
      </c>
      <c r="L382" s="10"/>
      <c r="M382" s="11"/>
      <c r="N382" s="12"/>
      <c r="O382" s="13"/>
      <c r="P382" s="14"/>
    </row>
    <row r="383" spans="1:16" x14ac:dyDescent="0.25">
      <c r="A383" s="6"/>
      <c r="B383" s="7"/>
      <c r="C383" s="8"/>
      <c r="D383" s="8"/>
      <c r="E383" s="9"/>
      <c r="F383" s="9"/>
      <c r="G383" s="17"/>
      <c r="H383" s="17"/>
      <c r="I383" s="9"/>
      <c r="J383" s="9"/>
      <c r="K383" s="10">
        <v>0</v>
      </c>
      <c r="L383" s="10"/>
      <c r="M383" s="11"/>
      <c r="N383" s="12"/>
      <c r="O383" s="28"/>
      <c r="P383" s="14"/>
    </row>
    <row r="384" spans="1:16" x14ac:dyDescent="0.25">
      <c r="A384" s="6"/>
      <c r="B384" s="7"/>
      <c r="C384" s="8"/>
      <c r="D384" s="8"/>
      <c r="E384" s="9"/>
      <c r="F384" s="9"/>
      <c r="G384" s="17"/>
      <c r="H384" s="17"/>
      <c r="I384" s="9"/>
      <c r="J384" s="9"/>
      <c r="K384" s="10">
        <v>0</v>
      </c>
      <c r="L384" s="10"/>
      <c r="M384" s="11"/>
      <c r="N384" s="12"/>
      <c r="O384" s="13"/>
      <c r="P384" s="14"/>
    </row>
    <row r="385" spans="1:17" x14ac:dyDescent="0.25">
      <c r="A385" s="6"/>
      <c r="B385" s="7"/>
      <c r="C385" s="8"/>
      <c r="D385" s="8"/>
      <c r="E385" s="9"/>
      <c r="F385" s="9"/>
      <c r="G385" s="17"/>
      <c r="H385" s="17"/>
      <c r="I385" s="9"/>
      <c r="J385" s="9"/>
      <c r="K385" s="10">
        <v>0</v>
      </c>
      <c r="L385" s="10"/>
      <c r="M385" s="11"/>
      <c r="N385" s="12"/>
      <c r="O385" s="13"/>
      <c r="P385" s="14"/>
    </row>
    <row r="386" spans="1:17" x14ac:dyDescent="0.25">
      <c r="A386" s="6"/>
      <c r="B386" s="7"/>
      <c r="C386" s="8"/>
      <c r="D386" s="8"/>
      <c r="E386" s="9"/>
      <c r="F386" s="9"/>
      <c r="G386" s="17"/>
      <c r="H386" s="17"/>
      <c r="I386" s="9"/>
      <c r="J386" s="9"/>
      <c r="K386" s="10">
        <v>0</v>
      </c>
      <c r="L386" s="10"/>
      <c r="M386" s="11"/>
      <c r="N386" s="12"/>
      <c r="O386" s="13"/>
      <c r="P386" s="14"/>
    </row>
    <row r="387" spans="1:17" x14ac:dyDescent="0.25">
      <c r="A387" s="6"/>
      <c r="B387" s="7"/>
      <c r="C387" s="8"/>
      <c r="D387" s="8"/>
      <c r="E387" s="9"/>
      <c r="F387" s="9"/>
      <c r="G387" s="17"/>
      <c r="H387" s="17"/>
      <c r="I387" s="9"/>
      <c r="J387" s="9"/>
      <c r="K387" s="10">
        <v>0</v>
      </c>
      <c r="L387" s="10"/>
      <c r="M387" s="11"/>
      <c r="N387" s="12"/>
      <c r="O387" s="13"/>
      <c r="P387" s="14"/>
    </row>
    <row r="388" spans="1:17" x14ac:dyDescent="0.25">
      <c r="A388" s="6"/>
      <c r="B388" s="7"/>
      <c r="C388" s="8"/>
      <c r="D388" s="8"/>
      <c r="E388" s="9"/>
      <c r="F388" s="9"/>
      <c r="G388" s="17"/>
      <c r="H388" s="17"/>
      <c r="I388" s="9"/>
      <c r="J388" s="9"/>
      <c r="K388" s="10">
        <v>0</v>
      </c>
      <c r="L388" s="10"/>
      <c r="M388" s="11"/>
      <c r="N388" s="12"/>
      <c r="O388" s="13"/>
      <c r="P388" s="14"/>
    </row>
    <row r="389" spans="1:17" x14ac:dyDescent="0.25">
      <c r="A389" s="6"/>
      <c r="B389" s="7"/>
      <c r="C389" s="8"/>
      <c r="D389" s="8"/>
      <c r="E389" s="9"/>
      <c r="F389" s="9"/>
      <c r="G389" s="17"/>
      <c r="H389" s="17"/>
      <c r="I389" s="9"/>
      <c r="J389" s="9"/>
      <c r="K389" s="10">
        <v>0</v>
      </c>
      <c r="L389" s="10"/>
      <c r="M389" s="11"/>
      <c r="N389" s="12"/>
      <c r="O389" s="13"/>
      <c r="P389" s="14"/>
    </row>
    <row r="390" spans="1:17" x14ac:dyDescent="0.25">
      <c r="A390" s="6"/>
      <c r="B390" s="7"/>
      <c r="C390" s="8"/>
      <c r="D390" s="8"/>
      <c r="E390" s="9"/>
      <c r="F390" s="9"/>
      <c r="G390" s="17"/>
      <c r="H390" s="17"/>
      <c r="I390" s="9"/>
      <c r="J390" s="9"/>
      <c r="K390" s="10">
        <v>0</v>
      </c>
      <c r="L390" s="10"/>
      <c r="M390" s="11"/>
      <c r="N390" s="12"/>
      <c r="O390" s="13"/>
      <c r="P390" s="14"/>
    </row>
    <row r="391" spans="1:17" x14ac:dyDescent="0.25">
      <c r="A391" s="6"/>
      <c r="B391" s="7"/>
      <c r="C391" s="8"/>
      <c r="D391" s="8"/>
      <c r="E391" s="9"/>
      <c r="F391" s="9"/>
      <c r="G391" s="17"/>
      <c r="H391" s="17"/>
      <c r="I391" s="9"/>
      <c r="J391" s="9"/>
      <c r="K391" s="10">
        <v>0</v>
      </c>
      <c r="L391" s="10"/>
      <c r="M391" s="11"/>
      <c r="N391" s="12"/>
      <c r="O391" s="13"/>
      <c r="P391" s="14"/>
      <c r="Q391" s="2"/>
    </row>
    <row r="392" spans="1:17" x14ac:dyDescent="0.25">
      <c r="A392" s="6"/>
      <c r="B392" s="7"/>
      <c r="C392" s="8"/>
      <c r="D392" s="8"/>
      <c r="E392" s="9"/>
      <c r="F392" s="9"/>
      <c r="G392" s="17"/>
      <c r="H392" s="17"/>
      <c r="I392" s="9"/>
      <c r="J392" s="9"/>
      <c r="K392" s="10">
        <v>0</v>
      </c>
      <c r="L392" s="10"/>
      <c r="M392" s="11"/>
      <c r="N392" s="12"/>
      <c r="O392" s="13"/>
      <c r="P392" s="14"/>
    </row>
    <row r="393" spans="1:17" x14ac:dyDescent="0.25">
      <c r="A393" s="6"/>
      <c r="B393" s="7"/>
      <c r="C393" s="8"/>
      <c r="D393" s="8"/>
      <c r="E393" s="9"/>
      <c r="F393" s="9"/>
      <c r="G393" s="17"/>
      <c r="H393" s="17"/>
      <c r="I393" s="9"/>
      <c r="J393" s="9"/>
      <c r="K393" s="10">
        <v>0</v>
      </c>
      <c r="L393" s="10"/>
      <c r="M393" s="11"/>
      <c r="N393" s="12"/>
      <c r="O393" s="13"/>
      <c r="P393" s="14"/>
    </row>
    <row r="394" spans="1:17" x14ac:dyDescent="0.25">
      <c r="A394" s="6"/>
      <c r="B394" s="7"/>
      <c r="C394" s="8"/>
      <c r="D394" s="8"/>
      <c r="E394" s="9"/>
      <c r="F394" s="9"/>
      <c r="G394" s="17"/>
      <c r="H394" s="17"/>
      <c r="I394" s="9"/>
      <c r="J394" s="9"/>
      <c r="K394" s="10">
        <v>0</v>
      </c>
      <c r="L394" s="10"/>
      <c r="M394" s="11"/>
      <c r="N394" s="12"/>
      <c r="O394" s="13"/>
      <c r="P394" s="14"/>
    </row>
    <row r="395" spans="1:17" x14ac:dyDescent="0.25">
      <c r="A395" s="6"/>
      <c r="B395" s="7"/>
      <c r="C395" s="8"/>
      <c r="D395" s="8"/>
      <c r="E395" s="9"/>
      <c r="F395" s="9"/>
      <c r="G395" s="17"/>
      <c r="H395" s="17"/>
      <c r="I395" s="9"/>
      <c r="J395" s="9"/>
      <c r="K395" s="10">
        <v>0</v>
      </c>
      <c r="L395" s="10"/>
      <c r="M395" s="11"/>
      <c r="N395" s="12"/>
      <c r="O395" s="13"/>
      <c r="P395" s="14"/>
    </row>
    <row r="396" spans="1:17" x14ac:dyDescent="0.25">
      <c r="A396" s="6"/>
      <c r="B396" s="7"/>
      <c r="C396" s="8"/>
      <c r="D396" s="8"/>
      <c r="E396" s="9"/>
      <c r="F396" s="9"/>
      <c r="G396" s="17"/>
      <c r="H396" s="17"/>
      <c r="I396" s="9"/>
      <c r="J396" s="9"/>
      <c r="K396" s="10">
        <v>0</v>
      </c>
      <c r="L396" s="10"/>
      <c r="M396" s="11"/>
      <c r="N396" s="12"/>
      <c r="O396" s="13"/>
      <c r="P396" s="14"/>
      <c r="Q396" s="2"/>
    </row>
    <row r="397" spans="1:17" x14ac:dyDescent="0.25">
      <c r="A397" s="6"/>
      <c r="B397" s="7"/>
      <c r="C397" s="8"/>
      <c r="D397" s="8"/>
      <c r="E397" s="9"/>
      <c r="F397" s="9"/>
      <c r="G397" s="17"/>
      <c r="H397" s="17"/>
      <c r="I397" s="9"/>
      <c r="J397" s="9"/>
      <c r="K397" s="10">
        <v>0</v>
      </c>
      <c r="L397" s="10"/>
      <c r="M397" s="11"/>
      <c r="N397" s="12"/>
      <c r="O397" s="13"/>
      <c r="P397" s="14"/>
    </row>
    <row r="398" spans="1:17" x14ac:dyDescent="0.25">
      <c r="A398" s="6"/>
      <c r="B398" s="7"/>
      <c r="C398" s="8"/>
      <c r="D398" s="8"/>
      <c r="E398" s="9"/>
      <c r="F398" s="9"/>
      <c r="G398" s="17"/>
      <c r="H398" s="17"/>
      <c r="I398" s="9"/>
      <c r="J398" s="9"/>
      <c r="K398" s="10">
        <v>0</v>
      </c>
      <c r="L398" s="10"/>
      <c r="M398" s="11"/>
      <c r="N398" s="12"/>
      <c r="O398" s="13"/>
      <c r="P398" s="14"/>
    </row>
    <row r="399" spans="1:17" x14ac:dyDescent="0.25">
      <c r="A399" s="6"/>
      <c r="B399" s="7"/>
      <c r="C399" s="8"/>
      <c r="D399" s="8"/>
      <c r="E399" s="9"/>
      <c r="F399" s="9"/>
      <c r="G399" s="17"/>
      <c r="H399" s="17"/>
      <c r="I399" s="9"/>
      <c r="J399" s="9"/>
      <c r="K399" s="10">
        <v>0</v>
      </c>
      <c r="L399" s="10"/>
      <c r="M399" s="11"/>
      <c r="N399" s="12"/>
      <c r="O399" s="13"/>
      <c r="P399" s="14"/>
    </row>
    <row r="400" spans="1:17" x14ac:dyDescent="0.25">
      <c r="A400" s="6"/>
      <c r="B400" s="7"/>
      <c r="C400" s="8"/>
      <c r="D400" s="8"/>
      <c r="E400" s="9"/>
      <c r="F400" s="9"/>
      <c r="G400" s="17"/>
      <c r="H400" s="17"/>
      <c r="I400" s="9"/>
      <c r="J400" s="9"/>
      <c r="K400" s="10">
        <v>0</v>
      </c>
      <c r="L400" s="10"/>
      <c r="M400" s="11"/>
      <c r="N400" s="12"/>
      <c r="O400" s="13"/>
      <c r="P400" s="14"/>
    </row>
    <row r="401" spans="1:17" x14ac:dyDescent="0.25">
      <c r="A401" s="6"/>
      <c r="B401" s="7"/>
      <c r="C401" s="8"/>
      <c r="D401" s="8"/>
      <c r="E401" s="9"/>
      <c r="F401" s="9"/>
      <c r="G401" s="17"/>
      <c r="H401" s="17"/>
      <c r="I401" s="9"/>
      <c r="J401" s="9"/>
      <c r="K401" s="10">
        <v>0</v>
      </c>
      <c r="L401" s="10"/>
      <c r="M401" s="11"/>
      <c r="N401" s="12"/>
      <c r="O401" s="13"/>
      <c r="P401" s="14"/>
    </row>
    <row r="402" spans="1:17" x14ac:dyDescent="0.25">
      <c r="A402" s="6"/>
      <c r="B402" s="7"/>
      <c r="C402" s="8"/>
      <c r="D402" s="8"/>
      <c r="E402" s="9"/>
      <c r="F402" s="9"/>
      <c r="G402" s="17"/>
      <c r="H402" s="17"/>
      <c r="I402" s="9"/>
      <c r="J402" s="9"/>
      <c r="K402" s="10">
        <v>0</v>
      </c>
      <c r="L402" s="10"/>
      <c r="M402" s="11"/>
      <c r="N402" s="12"/>
      <c r="O402" s="13"/>
      <c r="P402" s="14"/>
    </row>
    <row r="403" spans="1:17" x14ac:dyDescent="0.25">
      <c r="A403" s="6"/>
      <c r="B403" s="7"/>
      <c r="C403" s="8"/>
      <c r="D403" s="8"/>
      <c r="E403" s="9"/>
      <c r="F403" s="9"/>
      <c r="G403" s="17"/>
      <c r="H403" s="17"/>
      <c r="I403" s="9"/>
      <c r="J403" s="9"/>
      <c r="K403" s="10">
        <v>0</v>
      </c>
      <c r="L403" s="10"/>
      <c r="M403" s="11"/>
      <c r="N403" s="12"/>
      <c r="O403" s="13"/>
      <c r="P403" s="14"/>
    </row>
    <row r="404" spans="1:17" x14ac:dyDescent="0.25">
      <c r="A404" s="6"/>
      <c r="B404" s="7"/>
      <c r="C404" s="8"/>
      <c r="D404" s="8"/>
      <c r="E404" s="9"/>
      <c r="F404" s="9"/>
      <c r="G404" s="17"/>
      <c r="H404" s="17"/>
      <c r="I404" s="9"/>
      <c r="J404" s="9"/>
      <c r="K404" s="10">
        <v>0</v>
      </c>
      <c r="L404" s="10"/>
      <c r="M404" s="11"/>
      <c r="N404" s="12"/>
      <c r="O404" s="13"/>
      <c r="P404" s="14"/>
    </row>
    <row r="405" spans="1:17" x14ac:dyDescent="0.25">
      <c r="A405" s="6"/>
      <c r="B405" s="7"/>
      <c r="C405" s="8"/>
      <c r="D405" s="8"/>
      <c r="E405" s="9"/>
      <c r="F405" s="9"/>
      <c r="G405" s="17"/>
      <c r="H405" s="17"/>
      <c r="I405" s="9"/>
      <c r="J405" s="9"/>
      <c r="K405" s="10">
        <v>0</v>
      </c>
      <c r="L405" s="10"/>
      <c r="M405" s="11"/>
      <c r="N405" s="12"/>
      <c r="O405" s="13"/>
      <c r="P405" s="14"/>
    </row>
    <row r="406" spans="1:17" x14ac:dyDescent="0.25">
      <c r="A406" s="6"/>
      <c r="B406" s="7"/>
      <c r="C406" s="8"/>
      <c r="D406" s="8"/>
      <c r="E406" s="9"/>
      <c r="F406" s="9"/>
      <c r="G406" s="17"/>
      <c r="H406" s="17"/>
      <c r="I406" s="9"/>
      <c r="J406" s="9"/>
      <c r="K406" s="10">
        <v>0</v>
      </c>
      <c r="L406" s="10"/>
      <c r="M406" s="11"/>
      <c r="N406" s="12"/>
      <c r="O406" s="13"/>
      <c r="P406" s="14"/>
    </row>
    <row r="407" spans="1:17" x14ac:dyDescent="0.25">
      <c r="A407" s="6"/>
      <c r="B407" s="7"/>
      <c r="C407" s="8"/>
      <c r="D407" s="8"/>
      <c r="E407" s="9"/>
      <c r="F407" s="9"/>
      <c r="G407" s="17"/>
      <c r="H407" s="17"/>
      <c r="I407" s="9"/>
      <c r="J407" s="9"/>
      <c r="K407" s="10">
        <v>0</v>
      </c>
      <c r="L407" s="10"/>
      <c r="M407" s="11"/>
      <c r="N407" s="12"/>
      <c r="O407" s="13"/>
      <c r="P407" s="14"/>
    </row>
    <row r="408" spans="1:17" x14ac:dyDescent="0.25">
      <c r="A408" s="6"/>
      <c r="B408" s="7"/>
      <c r="C408" s="8"/>
      <c r="D408" s="8"/>
      <c r="E408" s="9"/>
      <c r="F408" s="9"/>
      <c r="G408" s="17"/>
      <c r="H408" s="17"/>
      <c r="I408" s="9"/>
      <c r="J408" s="9"/>
      <c r="K408" s="10">
        <v>0</v>
      </c>
      <c r="L408" s="10"/>
      <c r="M408" s="11"/>
      <c r="N408" s="12"/>
      <c r="O408" s="13"/>
      <c r="P408" s="14"/>
      <c r="Q408" s="2"/>
    </row>
    <row r="409" spans="1:17" x14ac:dyDescent="0.25">
      <c r="A409" s="6"/>
      <c r="B409" s="7"/>
      <c r="C409" s="8"/>
      <c r="D409" s="8"/>
      <c r="E409" s="9"/>
      <c r="F409" s="9"/>
      <c r="G409" s="17"/>
      <c r="H409" s="17"/>
      <c r="I409" s="9"/>
      <c r="J409" s="9"/>
      <c r="K409" s="10">
        <v>0</v>
      </c>
      <c r="L409" s="10"/>
      <c r="M409" s="11"/>
      <c r="N409" s="12"/>
      <c r="O409" s="13"/>
      <c r="P409" s="14"/>
    </row>
    <row r="410" spans="1:17" x14ac:dyDescent="0.25">
      <c r="A410" s="6"/>
      <c r="B410" s="7"/>
      <c r="C410" s="8"/>
      <c r="D410" s="8"/>
      <c r="E410" s="9"/>
      <c r="F410" s="9"/>
      <c r="G410" s="17"/>
      <c r="H410" s="17"/>
      <c r="I410" s="9"/>
      <c r="J410" s="9"/>
      <c r="K410" s="10">
        <v>0</v>
      </c>
      <c r="L410" s="10"/>
      <c r="M410" s="11"/>
      <c r="N410" s="12"/>
      <c r="O410" s="13"/>
      <c r="P410" s="14"/>
    </row>
    <row r="411" spans="1:17" x14ac:dyDescent="0.25">
      <c r="A411" s="6"/>
      <c r="B411" s="7"/>
      <c r="C411" s="8"/>
      <c r="D411" s="8"/>
      <c r="E411" s="9"/>
      <c r="F411" s="9"/>
      <c r="G411" s="17"/>
      <c r="H411" s="17"/>
      <c r="I411" s="9"/>
      <c r="J411" s="9"/>
      <c r="K411" s="10">
        <v>0</v>
      </c>
      <c r="L411" s="10"/>
      <c r="M411" s="11"/>
      <c r="N411" s="12"/>
      <c r="O411" s="13"/>
      <c r="P411" s="14"/>
    </row>
    <row r="412" spans="1:17" x14ac:dyDescent="0.25">
      <c r="A412" s="6"/>
      <c r="B412" s="7"/>
      <c r="C412" s="8"/>
      <c r="D412" s="8"/>
      <c r="E412" s="9"/>
      <c r="F412" s="9"/>
      <c r="G412" s="17"/>
      <c r="H412" s="17"/>
      <c r="I412" s="9"/>
      <c r="J412" s="9"/>
      <c r="K412" s="10">
        <v>0</v>
      </c>
      <c r="L412" s="10"/>
      <c r="M412" s="11"/>
      <c r="N412" s="12"/>
      <c r="O412" s="13"/>
      <c r="P412" s="14"/>
    </row>
    <row r="413" spans="1:17" x14ac:dyDescent="0.25">
      <c r="A413" s="6"/>
      <c r="B413" s="7"/>
      <c r="C413" s="8"/>
      <c r="D413" s="8"/>
      <c r="E413" s="9"/>
      <c r="F413" s="9"/>
      <c r="G413" s="17"/>
      <c r="H413" s="17"/>
      <c r="I413" s="9"/>
      <c r="J413" s="9"/>
      <c r="K413" s="10">
        <v>0</v>
      </c>
      <c r="L413" s="10"/>
      <c r="M413" s="11"/>
      <c r="N413" s="12"/>
      <c r="O413" s="13"/>
      <c r="P413" s="14"/>
    </row>
    <row r="414" spans="1:17" x14ac:dyDescent="0.25">
      <c r="A414" s="6"/>
      <c r="B414" s="7"/>
      <c r="C414" s="8"/>
      <c r="D414" s="8"/>
      <c r="E414" s="9"/>
      <c r="F414" s="9"/>
      <c r="G414" s="17"/>
      <c r="H414" s="17"/>
      <c r="I414" s="9"/>
      <c r="J414" s="9"/>
      <c r="K414" s="10">
        <v>0</v>
      </c>
      <c r="L414" s="10"/>
      <c r="M414" s="11"/>
      <c r="N414" s="12"/>
      <c r="O414" s="13"/>
      <c r="P414" s="14"/>
    </row>
    <row r="415" spans="1:17" x14ac:dyDescent="0.25">
      <c r="A415" s="6"/>
      <c r="B415" s="7"/>
      <c r="C415" s="8"/>
      <c r="D415" s="8"/>
      <c r="E415" s="9"/>
      <c r="F415" s="9"/>
      <c r="G415" s="17"/>
      <c r="H415" s="17"/>
      <c r="I415" s="9"/>
      <c r="J415" s="9"/>
      <c r="K415" s="10">
        <v>0</v>
      </c>
      <c r="L415" s="10"/>
      <c r="M415" s="11"/>
      <c r="N415" s="12"/>
      <c r="O415" s="13"/>
      <c r="P415" s="14"/>
    </row>
    <row r="416" spans="1:17" x14ac:dyDescent="0.25">
      <c r="A416" s="6"/>
      <c r="B416" s="7"/>
      <c r="C416" s="8"/>
      <c r="D416" s="8"/>
      <c r="E416" s="9"/>
      <c r="F416" s="9"/>
      <c r="G416" s="17"/>
      <c r="H416" s="17"/>
      <c r="I416" s="9"/>
      <c r="J416" s="9"/>
      <c r="K416" s="10">
        <v>0</v>
      </c>
      <c r="L416" s="10"/>
      <c r="M416" s="11"/>
      <c r="N416" s="12"/>
      <c r="O416" s="13"/>
      <c r="P416" s="14"/>
    </row>
    <row r="417" spans="1:16" x14ac:dyDescent="0.25">
      <c r="A417" s="6"/>
      <c r="B417" s="7"/>
      <c r="C417" s="8"/>
      <c r="D417" s="8"/>
      <c r="E417" s="9"/>
      <c r="F417" s="9"/>
      <c r="G417" s="17"/>
      <c r="H417" s="17"/>
      <c r="I417" s="9"/>
      <c r="J417" s="9"/>
      <c r="K417" s="10">
        <v>0</v>
      </c>
      <c r="L417" s="10"/>
      <c r="M417" s="11"/>
      <c r="N417" s="12"/>
      <c r="O417" s="13"/>
      <c r="P417" s="14"/>
    </row>
    <row r="418" spans="1:16" x14ac:dyDescent="0.25">
      <c r="A418" s="6"/>
      <c r="B418" s="7"/>
      <c r="C418" s="8"/>
      <c r="D418" s="8"/>
      <c r="E418" s="9"/>
      <c r="F418" s="9"/>
      <c r="G418" s="17"/>
      <c r="H418" s="17"/>
      <c r="I418" s="9"/>
      <c r="J418" s="9"/>
      <c r="K418" s="10">
        <v>0</v>
      </c>
      <c r="L418" s="10"/>
      <c r="M418" s="11"/>
      <c r="N418" s="12"/>
      <c r="O418" s="13"/>
      <c r="P418" s="14"/>
    </row>
    <row r="419" spans="1:16" x14ac:dyDescent="0.25">
      <c r="A419" s="6"/>
      <c r="B419" s="7"/>
      <c r="C419" s="8"/>
      <c r="D419" s="8"/>
      <c r="E419" s="9"/>
      <c r="F419" s="9"/>
      <c r="G419" s="17"/>
      <c r="H419" s="17"/>
      <c r="I419" s="9"/>
      <c r="J419" s="9"/>
      <c r="K419" s="10">
        <v>0</v>
      </c>
      <c r="L419" s="10"/>
      <c r="M419" s="11"/>
      <c r="N419" s="12"/>
      <c r="O419" s="13"/>
      <c r="P419" s="14"/>
    </row>
    <row r="420" spans="1:16" x14ac:dyDescent="0.25">
      <c r="A420" s="6"/>
      <c r="B420" s="7"/>
      <c r="C420" s="8"/>
      <c r="D420" s="8"/>
      <c r="E420" s="9"/>
      <c r="F420" s="9"/>
      <c r="G420" s="17"/>
      <c r="H420" s="17"/>
      <c r="I420" s="9"/>
      <c r="J420" s="9"/>
      <c r="K420" s="10">
        <v>0</v>
      </c>
      <c r="L420" s="10"/>
      <c r="M420" s="11"/>
      <c r="N420" s="12"/>
      <c r="O420" s="13"/>
      <c r="P420" s="14"/>
    </row>
    <row r="421" spans="1:16" x14ac:dyDescent="0.25">
      <c r="A421" s="6"/>
      <c r="B421" s="7"/>
      <c r="C421" s="8"/>
      <c r="D421" s="8"/>
      <c r="E421" s="9"/>
      <c r="F421" s="9"/>
      <c r="G421" s="17"/>
      <c r="H421" s="17"/>
      <c r="I421" s="9"/>
      <c r="J421" s="9"/>
      <c r="K421" s="10">
        <v>0</v>
      </c>
      <c r="L421" s="10"/>
      <c r="M421" s="11"/>
      <c r="N421" s="12"/>
      <c r="O421" s="13"/>
      <c r="P421" s="14"/>
    </row>
    <row r="422" spans="1:16" x14ac:dyDescent="0.25">
      <c r="A422" s="6"/>
      <c r="B422" s="7"/>
      <c r="C422" s="8"/>
      <c r="D422" s="8"/>
      <c r="E422" s="9"/>
      <c r="F422" s="9"/>
      <c r="G422" s="17"/>
      <c r="H422" s="17"/>
      <c r="I422" s="9"/>
      <c r="J422" s="9"/>
      <c r="K422" s="10">
        <v>0</v>
      </c>
      <c r="L422" s="10"/>
      <c r="M422" s="11"/>
      <c r="N422" s="12"/>
      <c r="O422" s="13"/>
      <c r="P422" s="14"/>
    </row>
    <row r="423" spans="1:16" x14ac:dyDescent="0.25">
      <c r="A423" s="6"/>
      <c r="B423" s="7"/>
      <c r="C423" s="8"/>
      <c r="D423" s="8"/>
      <c r="E423" s="9"/>
      <c r="F423" s="9"/>
      <c r="G423" s="17"/>
      <c r="H423" s="17"/>
      <c r="I423" s="9"/>
      <c r="J423" s="9"/>
      <c r="K423" s="10">
        <v>0</v>
      </c>
      <c r="L423" s="10"/>
      <c r="M423" s="11"/>
      <c r="N423" s="12"/>
      <c r="O423" s="13"/>
      <c r="P423" s="14"/>
    </row>
    <row r="424" spans="1:16" x14ac:dyDescent="0.25">
      <c r="A424" s="6"/>
      <c r="B424" s="7"/>
      <c r="C424" s="8"/>
      <c r="D424" s="8"/>
      <c r="E424" s="9"/>
      <c r="F424" s="9"/>
      <c r="G424" s="17"/>
      <c r="H424" s="17"/>
      <c r="I424" s="9"/>
      <c r="J424" s="9"/>
      <c r="K424" s="10">
        <v>0</v>
      </c>
      <c r="L424" s="10"/>
      <c r="M424" s="11"/>
      <c r="N424" s="12"/>
      <c r="O424" s="13"/>
      <c r="P424" s="14"/>
    </row>
    <row r="425" spans="1:16" x14ac:dyDescent="0.25">
      <c r="A425" s="6"/>
      <c r="B425" s="7"/>
      <c r="C425" s="8"/>
      <c r="D425" s="8"/>
      <c r="E425" s="9"/>
      <c r="F425" s="9"/>
      <c r="G425" s="17"/>
      <c r="H425" s="17"/>
      <c r="I425" s="9"/>
      <c r="J425" s="9"/>
      <c r="K425" s="10">
        <v>0</v>
      </c>
      <c r="L425" s="10"/>
      <c r="M425" s="11"/>
      <c r="N425" s="12"/>
      <c r="O425" s="13"/>
      <c r="P425" s="14"/>
    </row>
    <row r="426" spans="1:16" x14ac:dyDescent="0.25">
      <c r="A426" s="6"/>
      <c r="B426" s="7"/>
      <c r="C426" s="8"/>
      <c r="D426" s="8"/>
      <c r="E426" s="9"/>
      <c r="F426" s="9"/>
      <c r="G426" s="17"/>
      <c r="H426" s="17"/>
      <c r="I426" s="9"/>
      <c r="J426" s="9"/>
      <c r="K426" s="10">
        <v>0</v>
      </c>
      <c r="L426" s="10"/>
      <c r="M426" s="11"/>
      <c r="N426" s="12"/>
      <c r="O426" s="13"/>
      <c r="P426" s="14"/>
    </row>
    <row r="427" spans="1:16" x14ac:dyDescent="0.25">
      <c r="A427" s="6"/>
      <c r="B427" s="7"/>
      <c r="C427" s="8"/>
      <c r="D427" s="8"/>
      <c r="E427" s="9"/>
      <c r="F427" s="9"/>
      <c r="G427" s="17"/>
      <c r="H427" s="17"/>
      <c r="I427" s="9"/>
      <c r="J427" s="9"/>
      <c r="K427" s="10">
        <v>0</v>
      </c>
      <c r="L427" s="10"/>
      <c r="M427" s="11"/>
      <c r="N427" s="12"/>
      <c r="O427" s="13"/>
      <c r="P427" s="14"/>
    </row>
    <row r="428" spans="1:16" x14ac:dyDescent="0.25">
      <c r="A428" s="6"/>
      <c r="B428" s="7"/>
      <c r="C428" s="8"/>
      <c r="D428" s="8"/>
      <c r="E428" s="9"/>
      <c r="F428" s="9"/>
      <c r="G428" s="17"/>
      <c r="H428" s="17"/>
      <c r="I428" s="9"/>
      <c r="J428" s="9"/>
      <c r="K428" s="10">
        <v>0</v>
      </c>
      <c r="L428" s="10"/>
      <c r="M428" s="11"/>
      <c r="N428" s="12"/>
      <c r="O428" s="13"/>
      <c r="P428" s="14"/>
    </row>
    <row r="429" spans="1:16" x14ac:dyDescent="0.25">
      <c r="A429" s="6"/>
      <c r="B429" s="7"/>
      <c r="C429" s="8"/>
      <c r="D429" s="8"/>
      <c r="E429" s="9"/>
      <c r="F429" s="9"/>
      <c r="G429" s="17"/>
      <c r="H429" s="17"/>
      <c r="I429" s="9"/>
      <c r="J429" s="9"/>
      <c r="K429" s="10">
        <v>0</v>
      </c>
      <c r="L429" s="10"/>
      <c r="M429" s="11"/>
      <c r="N429" s="12"/>
      <c r="O429" s="13"/>
      <c r="P429" s="14"/>
    </row>
    <row r="430" spans="1:16" x14ac:dyDescent="0.25">
      <c r="A430" s="6"/>
      <c r="B430" s="7"/>
      <c r="C430" s="8"/>
      <c r="D430" s="8"/>
      <c r="E430" s="9"/>
      <c r="F430" s="9"/>
      <c r="G430" s="17"/>
      <c r="H430" s="17"/>
      <c r="I430" s="9"/>
      <c r="J430" s="9"/>
      <c r="K430" s="10">
        <v>0</v>
      </c>
      <c r="L430" s="10"/>
      <c r="M430" s="11"/>
      <c r="N430" s="12"/>
      <c r="O430" s="13"/>
      <c r="P430" s="14"/>
    </row>
    <row r="431" spans="1:16" x14ac:dyDescent="0.25">
      <c r="A431" s="6"/>
      <c r="B431" s="7"/>
      <c r="C431" s="8"/>
      <c r="D431" s="8"/>
      <c r="E431" s="9"/>
      <c r="F431" s="9"/>
      <c r="G431" s="17"/>
      <c r="H431" s="17"/>
      <c r="I431" s="9"/>
      <c r="J431" s="9"/>
      <c r="K431" s="10">
        <v>0</v>
      </c>
      <c r="L431" s="10"/>
      <c r="M431" s="11"/>
      <c r="N431" s="12"/>
      <c r="O431" s="13"/>
      <c r="P431" s="14"/>
    </row>
    <row r="432" spans="1:16" x14ac:dyDescent="0.25">
      <c r="A432" s="6"/>
      <c r="B432" s="15"/>
      <c r="C432" s="16"/>
      <c r="D432" s="8"/>
      <c r="E432" s="9"/>
      <c r="F432" s="9"/>
      <c r="G432" s="17"/>
      <c r="H432" s="17"/>
      <c r="I432" s="9"/>
      <c r="J432" s="9"/>
      <c r="K432" s="10">
        <v>0</v>
      </c>
      <c r="L432" s="10"/>
      <c r="M432" s="11"/>
      <c r="N432" s="12"/>
      <c r="O432" s="13"/>
      <c r="P432" s="14"/>
    </row>
    <row r="433" spans="1:16" x14ac:dyDescent="0.25">
      <c r="A433" s="6"/>
      <c r="B433" s="7"/>
      <c r="C433" s="8"/>
      <c r="D433" s="8"/>
      <c r="E433" s="9"/>
      <c r="F433" s="9"/>
      <c r="G433" s="17"/>
      <c r="H433" s="17"/>
      <c r="I433" s="9"/>
      <c r="J433" s="9"/>
      <c r="K433" s="10">
        <v>0</v>
      </c>
      <c r="L433" s="10"/>
      <c r="M433" s="11"/>
      <c r="N433" s="12"/>
      <c r="O433" s="13"/>
      <c r="P433" s="14"/>
    </row>
    <row r="434" spans="1:16" x14ac:dyDescent="0.25">
      <c r="A434" s="6"/>
      <c r="B434" s="7"/>
      <c r="C434" s="8"/>
      <c r="D434" s="8"/>
      <c r="E434" s="9"/>
      <c r="F434" s="9"/>
      <c r="G434" s="17"/>
      <c r="H434" s="17"/>
      <c r="I434" s="9"/>
      <c r="J434" s="9"/>
      <c r="K434" s="10">
        <v>0</v>
      </c>
      <c r="L434" s="10"/>
      <c r="M434" s="11"/>
      <c r="N434" s="12"/>
      <c r="O434" s="13"/>
      <c r="P434" s="14"/>
    </row>
    <row r="435" spans="1:16" x14ac:dyDescent="0.25">
      <c r="A435" s="6"/>
      <c r="B435" s="7"/>
      <c r="C435" s="8"/>
      <c r="D435" s="8"/>
      <c r="E435" s="9"/>
      <c r="F435" s="9"/>
      <c r="G435" s="17"/>
      <c r="H435" s="17"/>
      <c r="I435" s="9"/>
      <c r="J435" s="9"/>
      <c r="K435" s="10">
        <v>0</v>
      </c>
      <c r="L435" s="10"/>
      <c r="M435" s="11"/>
      <c r="N435" s="12"/>
      <c r="O435" s="13"/>
      <c r="P435" s="14"/>
    </row>
    <row r="436" spans="1:16" x14ac:dyDescent="0.25">
      <c r="A436" s="6"/>
      <c r="B436" s="7"/>
      <c r="C436" s="8"/>
      <c r="D436" s="8"/>
      <c r="E436" s="9"/>
      <c r="F436" s="9"/>
      <c r="G436" s="17"/>
      <c r="H436" s="17"/>
      <c r="I436" s="9"/>
      <c r="J436" s="9"/>
      <c r="K436" s="10">
        <v>0</v>
      </c>
      <c r="L436" s="10"/>
      <c r="M436" s="11"/>
      <c r="N436" s="12"/>
      <c r="O436" s="13"/>
      <c r="P436" s="14"/>
    </row>
    <row r="437" spans="1:16" x14ac:dyDescent="0.25">
      <c r="A437" s="6"/>
      <c r="B437" s="7"/>
      <c r="C437" s="8"/>
      <c r="D437" s="8"/>
      <c r="E437" s="9"/>
      <c r="F437" s="9"/>
      <c r="G437" s="17"/>
      <c r="H437" s="17"/>
      <c r="I437" s="9"/>
      <c r="J437" s="9"/>
      <c r="K437" s="10">
        <v>0</v>
      </c>
      <c r="L437" s="10"/>
      <c r="M437" s="11"/>
      <c r="N437" s="12"/>
      <c r="O437" s="13"/>
      <c r="P437" s="14"/>
    </row>
    <row r="438" spans="1:16" x14ac:dyDescent="0.25">
      <c r="A438" s="6"/>
      <c r="B438" s="7"/>
      <c r="C438" s="8"/>
      <c r="D438" s="8"/>
      <c r="E438" s="9"/>
      <c r="F438" s="9"/>
      <c r="G438" s="17"/>
      <c r="H438" s="17"/>
      <c r="I438" s="9"/>
      <c r="J438" s="9"/>
      <c r="K438" s="10">
        <v>0</v>
      </c>
      <c r="L438" s="10"/>
      <c r="M438" s="11"/>
      <c r="N438" s="12"/>
      <c r="O438" s="13"/>
      <c r="P438" s="14"/>
    </row>
    <row r="439" spans="1:16" x14ac:dyDescent="0.25">
      <c r="A439" s="6"/>
      <c r="B439" s="7"/>
      <c r="C439" s="8"/>
      <c r="D439" s="8"/>
      <c r="E439" s="9"/>
      <c r="F439" s="9"/>
      <c r="G439" s="17"/>
      <c r="H439" s="17"/>
      <c r="I439" s="9"/>
      <c r="J439" s="9"/>
      <c r="K439" s="10">
        <v>0</v>
      </c>
      <c r="L439" s="10"/>
      <c r="M439" s="11"/>
      <c r="N439" s="12"/>
      <c r="O439" s="13"/>
      <c r="P439" s="14"/>
    </row>
    <row r="440" spans="1:16" x14ac:dyDescent="0.25">
      <c r="A440" s="6"/>
      <c r="B440" s="7"/>
      <c r="C440" s="8"/>
      <c r="D440" s="8"/>
      <c r="E440" s="9"/>
      <c r="F440" s="9"/>
      <c r="G440" s="17"/>
      <c r="H440" s="17"/>
      <c r="I440" s="9"/>
      <c r="J440" s="9"/>
      <c r="K440" s="10">
        <v>0</v>
      </c>
      <c r="L440" s="10"/>
      <c r="M440" s="11"/>
      <c r="N440" s="12"/>
      <c r="O440" s="13"/>
      <c r="P440" s="14"/>
    </row>
    <row r="441" spans="1:16" x14ac:dyDescent="0.25">
      <c r="A441" s="6"/>
      <c r="B441" s="7"/>
      <c r="C441" s="8"/>
      <c r="D441" s="8"/>
      <c r="E441" s="9"/>
      <c r="F441" s="9"/>
      <c r="G441" s="17"/>
      <c r="H441" s="17"/>
      <c r="I441" s="9"/>
      <c r="J441" s="9"/>
      <c r="K441" s="10">
        <v>0</v>
      </c>
      <c r="L441" s="10"/>
      <c r="M441" s="11"/>
      <c r="N441" s="12"/>
      <c r="O441" s="13"/>
      <c r="P441" s="14"/>
    </row>
    <row r="442" spans="1:16" x14ac:dyDescent="0.25">
      <c r="A442" s="6"/>
      <c r="B442" s="7"/>
      <c r="C442" s="8"/>
      <c r="D442" s="8"/>
      <c r="E442" s="9"/>
      <c r="F442" s="9"/>
      <c r="G442" s="17"/>
      <c r="H442" s="17"/>
      <c r="I442" s="9"/>
      <c r="J442" s="9"/>
      <c r="K442" s="10">
        <v>0</v>
      </c>
      <c r="L442" s="10"/>
      <c r="M442" s="11"/>
      <c r="N442" s="12"/>
      <c r="O442" s="13"/>
      <c r="P442" s="14"/>
    </row>
    <row r="443" spans="1:16" x14ac:dyDescent="0.25">
      <c r="A443" s="6"/>
      <c r="B443" s="7"/>
      <c r="C443" s="8"/>
      <c r="D443" s="8"/>
      <c r="E443" s="9"/>
      <c r="F443" s="9"/>
      <c r="G443" s="17"/>
      <c r="H443" s="17"/>
      <c r="I443" s="9"/>
      <c r="J443" s="9"/>
      <c r="K443" s="10">
        <v>0</v>
      </c>
      <c r="L443" s="10"/>
      <c r="M443" s="11"/>
      <c r="N443" s="12"/>
      <c r="O443" s="13"/>
      <c r="P443" s="14"/>
    </row>
    <row r="444" spans="1:16" x14ac:dyDescent="0.25">
      <c r="A444" s="6"/>
      <c r="B444" s="7"/>
      <c r="C444" s="8"/>
      <c r="D444" s="8"/>
      <c r="E444" s="9"/>
      <c r="F444" s="9"/>
      <c r="G444" s="17"/>
      <c r="H444" s="17"/>
      <c r="I444" s="9"/>
      <c r="J444" s="9"/>
      <c r="K444" s="10">
        <v>0</v>
      </c>
      <c r="L444" s="10"/>
      <c r="M444" s="11"/>
      <c r="N444" s="12"/>
      <c r="O444" s="13"/>
      <c r="P444" s="14"/>
    </row>
    <row r="445" spans="1:16" x14ac:dyDescent="0.25">
      <c r="A445" s="6"/>
      <c r="B445" s="7"/>
      <c r="C445" s="8"/>
      <c r="D445" s="8"/>
      <c r="E445" s="9"/>
      <c r="F445" s="9"/>
      <c r="G445" s="17"/>
      <c r="H445" s="17"/>
      <c r="I445" s="9"/>
      <c r="J445" s="9"/>
      <c r="K445" s="10">
        <v>0</v>
      </c>
      <c r="L445" s="10"/>
      <c r="M445" s="11"/>
      <c r="N445" s="12"/>
      <c r="O445" s="13"/>
      <c r="P445" s="14"/>
    </row>
    <row r="446" spans="1:16" x14ac:dyDescent="0.25">
      <c r="A446" s="6"/>
      <c r="B446" s="7"/>
      <c r="C446" s="8"/>
      <c r="D446" s="8"/>
      <c r="E446" s="9"/>
      <c r="F446" s="9"/>
      <c r="G446" s="17"/>
      <c r="H446" s="17"/>
      <c r="I446" s="9"/>
      <c r="J446" s="9"/>
      <c r="K446" s="10">
        <v>0</v>
      </c>
      <c r="L446" s="10"/>
      <c r="M446" s="11"/>
      <c r="N446" s="12"/>
      <c r="O446" s="13"/>
      <c r="P446" s="14"/>
    </row>
    <row r="447" spans="1:16" x14ac:dyDescent="0.25">
      <c r="A447" s="6"/>
      <c r="B447" s="7"/>
      <c r="C447" s="8"/>
      <c r="D447" s="8"/>
      <c r="E447" s="9"/>
      <c r="F447" s="9"/>
      <c r="G447" s="17"/>
      <c r="H447" s="17"/>
      <c r="I447" s="9"/>
      <c r="J447" s="9"/>
      <c r="K447" s="10">
        <v>0</v>
      </c>
      <c r="L447" s="10"/>
      <c r="M447" s="11"/>
      <c r="N447" s="12"/>
      <c r="O447" s="13"/>
      <c r="P447" s="22"/>
    </row>
    <row r="448" spans="1:16" x14ac:dyDescent="0.25">
      <c r="A448" s="6"/>
      <c r="B448" s="7"/>
      <c r="C448" s="8"/>
      <c r="D448" s="8"/>
      <c r="E448" s="9"/>
      <c r="F448" s="9"/>
      <c r="G448" s="17"/>
      <c r="H448" s="17"/>
      <c r="I448" s="9"/>
      <c r="J448" s="9"/>
      <c r="K448" s="10">
        <v>0</v>
      </c>
      <c r="L448" s="10"/>
      <c r="M448" s="11"/>
      <c r="N448" s="12"/>
      <c r="O448" s="13"/>
      <c r="P448" s="14"/>
    </row>
    <row r="449" spans="1:16" x14ac:dyDescent="0.25">
      <c r="A449" s="6"/>
      <c r="B449" s="7"/>
      <c r="C449" s="8"/>
      <c r="D449" s="8"/>
      <c r="E449" s="9"/>
      <c r="F449" s="9"/>
      <c r="G449" s="17"/>
      <c r="H449" s="17"/>
      <c r="I449" s="9"/>
      <c r="J449" s="9"/>
      <c r="K449" s="10">
        <v>0</v>
      </c>
      <c r="L449" s="10"/>
      <c r="M449" s="11"/>
      <c r="N449" s="12"/>
      <c r="O449" s="13"/>
      <c r="P449" s="14"/>
    </row>
    <row r="450" spans="1:16" x14ac:dyDescent="0.25">
      <c r="A450" s="6"/>
      <c r="B450" s="7"/>
      <c r="C450" s="8"/>
      <c r="D450" s="8"/>
      <c r="E450" s="9"/>
      <c r="F450" s="9"/>
      <c r="G450" s="17"/>
      <c r="H450" s="17"/>
      <c r="I450" s="9"/>
      <c r="J450" s="9"/>
      <c r="K450" s="10">
        <v>0</v>
      </c>
      <c r="L450" s="10"/>
      <c r="M450" s="11"/>
      <c r="N450" s="12"/>
      <c r="O450" s="13"/>
      <c r="P450" s="14"/>
    </row>
    <row r="451" spans="1:16" x14ac:dyDescent="0.25">
      <c r="A451" s="6"/>
      <c r="B451" s="7"/>
      <c r="C451" s="8"/>
      <c r="D451" s="8"/>
      <c r="E451" s="9"/>
      <c r="F451" s="9"/>
      <c r="G451" s="17"/>
      <c r="H451" s="17"/>
      <c r="I451" s="9"/>
      <c r="J451" s="9"/>
      <c r="K451" s="10">
        <v>0</v>
      </c>
      <c r="L451" s="10"/>
      <c r="M451" s="11"/>
      <c r="N451" s="12"/>
      <c r="O451" s="13"/>
      <c r="P451" s="14"/>
    </row>
    <row r="452" spans="1:16" x14ac:dyDescent="0.25">
      <c r="A452" s="6"/>
      <c r="B452" s="7"/>
      <c r="C452" s="8"/>
      <c r="D452" s="8"/>
      <c r="E452" s="9"/>
      <c r="F452" s="9"/>
      <c r="G452" s="17"/>
      <c r="H452" s="17"/>
      <c r="I452" s="9"/>
      <c r="J452" s="9"/>
      <c r="K452" s="10">
        <v>0</v>
      </c>
      <c r="L452" s="10"/>
      <c r="M452" s="11"/>
      <c r="N452" s="12"/>
      <c r="O452" s="13"/>
      <c r="P452" s="14"/>
    </row>
    <row r="453" spans="1:16" x14ac:dyDescent="0.25">
      <c r="A453" s="6"/>
      <c r="B453" s="7"/>
      <c r="C453" s="8"/>
      <c r="D453" s="8"/>
      <c r="E453" s="9"/>
      <c r="F453" s="9"/>
      <c r="G453" s="17"/>
      <c r="H453" s="17"/>
      <c r="I453" s="9"/>
      <c r="J453" s="9"/>
      <c r="K453" s="10">
        <v>0</v>
      </c>
      <c r="L453" s="10"/>
      <c r="M453" s="11"/>
      <c r="N453" s="12"/>
      <c r="O453" s="13"/>
      <c r="P453" s="14"/>
    </row>
    <row r="454" spans="1:16" x14ac:dyDescent="0.25">
      <c r="A454" s="6"/>
      <c r="B454" s="7"/>
      <c r="C454" s="8"/>
      <c r="D454" s="8"/>
      <c r="E454" s="9"/>
      <c r="F454" s="9"/>
      <c r="G454" s="17"/>
      <c r="H454" s="17"/>
      <c r="I454" s="9"/>
      <c r="J454" s="9"/>
      <c r="K454" s="10">
        <v>0</v>
      </c>
      <c r="L454" s="10"/>
      <c r="M454" s="11"/>
      <c r="N454" s="12"/>
      <c r="O454" s="13"/>
      <c r="P454" s="14"/>
    </row>
    <row r="455" spans="1:16" x14ac:dyDescent="0.25">
      <c r="A455" s="6"/>
      <c r="B455" s="7"/>
      <c r="C455" s="8"/>
      <c r="D455" s="8"/>
      <c r="E455" s="9"/>
      <c r="F455" s="9"/>
      <c r="G455" s="17"/>
      <c r="H455" s="17"/>
      <c r="I455" s="9"/>
      <c r="J455" s="9"/>
      <c r="K455" s="10">
        <v>0</v>
      </c>
      <c r="L455" s="10"/>
      <c r="M455" s="11"/>
      <c r="N455" s="12"/>
      <c r="O455" s="13"/>
      <c r="P455" s="14"/>
    </row>
    <row r="456" spans="1:16" x14ac:dyDescent="0.25">
      <c r="A456" s="6"/>
      <c r="B456" s="7"/>
      <c r="C456" s="8"/>
      <c r="D456" s="8"/>
      <c r="E456" s="9"/>
      <c r="F456" s="9"/>
      <c r="G456" s="17"/>
      <c r="H456" s="17"/>
      <c r="I456" s="9"/>
      <c r="J456" s="9"/>
      <c r="K456" s="10">
        <v>0</v>
      </c>
      <c r="L456" s="10"/>
      <c r="M456" s="11"/>
      <c r="N456" s="12"/>
      <c r="O456" s="13"/>
      <c r="P456" s="14"/>
    </row>
    <row r="457" spans="1:16" x14ac:dyDescent="0.25">
      <c r="A457" s="6"/>
      <c r="B457" s="7"/>
      <c r="C457" s="8"/>
      <c r="D457" s="8"/>
      <c r="E457" s="9"/>
      <c r="F457" s="9"/>
      <c r="G457" s="17"/>
      <c r="H457" s="17"/>
      <c r="I457" s="9"/>
      <c r="J457" s="9"/>
      <c r="K457" s="10">
        <v>0</v>
      </c>
      <c r="L457" s="10"/>
      <c r="M457" s="11"/>
      <c r="N457" s="12"/>
      <c r="O457" s="13"/>
      <c r="P457" s="14"/>
    </row>
    <row r="458" spans="1:16" x14ac:dyDescent="0.25">
      <c r="A458" s="6"/>
      <c r="B458" s="7"/>
      <c r="C458" s="8"/>
      <c r="D458" s="8"/>
      <c r="E458" s="9"/>
      <c r="F458" s="9"/>
      <c r="G458" s="17"/>
      <c r="H458" s="17"/>
      <c r="I458" s="9"/>
      <c r="J458" s="9"/>
      <c r="K458" s="10">
        <v>0</v>
      </c>
      <c r="L458" s="10"/>
      <c r="M458" s="11"/>
      <c r="N458" s="12"/>
      <c r="O458" s="13"/>
      <c r="P458" s="14"/>
    </row>
    <row r="459" spans="1:16" x14ac:dyDescent="0.25">
      <c r="A459" s="6"/>
      <c r="B459" s="7"/>
      <c r="C459" s="8"/>
      <c r="D459" s="8"/>
      <c r="E459" s="9"/>
      <c r="F459" s="9"/>
      <c r="G459" s="17"/>
      <c r="H459" s="17"/>
      <c r="I459" s="9"/>
      <c r="J459" s="9"/>
      <c r="K459" s="10">
        <v>0</v>
      </c>
      <c r="L459" s="10"/>
      <c r="M459" s="11"/>
      <c r="N459" s="12"/>
      <c r="O459" s="13"/>
      <c r="P459" s="14"/>
    </row>
    <row r="460" spans="1:16" x14ac:dyDescent="0.25">
      <c r="A460" s="6"/>
      <c r="B460" s="7"/>
      <c r="C460" s="8"/>
      <c r="D460" s="8"/>
      <c r="E460" s="9"/>
      <c r="F460" s="9"/>
      <c r="G460" s="17"/>
      <c r="H460" s="17"/>
      <c r="I460" s="9"/>
      <c r="J460" s="9"/>
      <c r="K460" s="10">
        <v>0</v>
      </c>
      <c r="L460" s="10"/>
      <c r="M460" s="11"/>
      <c r="N460" s="12"/>
      <c r="O460" s="13"/>
      <c r="P460" s="14"/>
    </row>
    <row r="461" spans="1:16" x14ac:dyDescent="0.25">
      <c r="A461" s="6"/>
      <c r="B461" s="15"/>
      <c r="C461" s="16"/>
      <c r="D461" s="8"/>
      <c r="E461" s="9"/>
      <c r="F461" s="9"/>
      <c r="G461" s="17"/>
      <c r="H461" s="17"/>
      <c r="I461" s="9"/>
      <c r="J461" s="9"/>
      <c r="K461" s="10">
        <v>0</v>
      </c>
      <c r="L461" s="10"/>
      <c r="M461" s="11"/>
      <c r="N461" s="12"/>
      <c r="O461" s="13"/>
      <c r="P461" s="14"/>
    </row>
    <row r="462" spans="1:16" x14ac:dyDescent="0.25">
      <c r="A462" s="6"/>
      <c r="B462" s="7"/>
      <c r="C462" s="8"/>
      <c r="D462" s="8"/>
      <c r="E462" s="9"/>
      <c r="F462" s="9"/>
      <c r="G462" s="17"/>
      <c r="H462" s="17"/>
      <c r="I462" s="9"/>
      <c r="J462" s="9"/>
      <c r="K462" s="10">
        <v>0</v>
      </c>
      <c r="L462" s="10"/>
      <c r="M462" s="11"/>
      <c r="N462" s="12"/>
      <c r="O462" s="13"/>
      <c r="P462" s="14"/>
    </row>
    <row r="463" spans="1:16" x14ac:dyDescent="0.25">
      <c r="A463" s="6"/>
      <c r="B463" s="7"/>
      <c r="C463" s="8"/>
      <c r="D463" s="8"/>
      <c r="E463" s="9"/>
      <c r="F463" s="9"/>
      <c r="G463" s="17"/>
      <c r="H463" s="17"/>
      <c r="I463" s="9"/>
      <c r="J463" s="9"/>
      <c r="K463" s="10">
        <v>0</v>
      </c>
      <c r="L463" s="10"/>
      <c r="M463" s="11"/>
      <c r="N463" s="12"/>
      <c r="O463" s="13"/>
      <c r="P463" s="14"/>
    </row>
    <row r="464" spans="1:16" x14ac:dyDescent="0.25">
      <c r="A464" s="6"/>
      <c r="B464" s="7"/>
      <c r="C464" s="8"/>
      <c r="D464" s="8"/>
      <c r="E464" s="9"/>
      <c r="F464" s="9"/>
      <c r="G464" s="17"/>
      <c r="H464" s="17"/>
      <c r="I464" s="9"/>
      <c r="J464" s="9"/>
      <c r="K464" s="10">
        <v>0</v>
      </c>
      <c r="L464" s="10"/>
      <c r="M464" s="11"/>
      <c r="N464" s="12"/>
      <c r="O464" s="13"/>
      <c r="P464" s="14"/>
    </row>
    <row r="465" spans="1:16" x14ac:dyDescent="0.25">
      <c r="A465" s="6"/>
      <c r="B465" s="7"/>
      <c r="C465" s="8"/>
      <c r="D465" s="8"/>
      <c r="E465" s="9"/>
      <c r="F465" s="9"/>
      <c r="G465" s="17"/>
      <c r="H465" s="17"/>
      <c r="I465" s="9"/>
      <c r="J465" s="9"/>
      <c r="K465" s="10">
        <v>0</v>
      </c>
      <c r="L465" s="10"/>
      <c r="M465" s="11"/>
      <c r="N465" s="12"/>
      <c r="O465" s="13"/>
      <c r="P465" s="14"/>
    </row>
    <row r="466" spans="1:16" x14ac:dyDescent="0.25">
      <c r="A466" s="6"/>
      <c r="B466" s="7"/>
      <c r="C466" s="8"/>
      <c r="D466" s="8"/>
      <c r="E466" s="9"/>
      <c r="F466" s="9"/>
      <c r="G466" s="17"/>
      <c r="H466" s="17"/>
      <c r="I466" s="9"/>
      <c r="J466" s="9"/>
      <c r="K466" s="10">
        <v>0</v>
      </c>
      <c r="L466" s="10"/>
      <c r="M466" s="11"/>
      <c r="N466" s="12"/>
      <c r="O466" s="13"/>
      <c r="P466" s="14"/>
    </row>
    <row r="467" spans="1:16" x14ac:dyDescent="0.25">
      <c r="A467" s="6"/>
      <c r="B467" s="7"/>
      <c r="C467" s="8"/>
      <c r="D467" s="8"/>
      <c r="E467" s="9"/>
      <c r="F467" s="9"/>
      <c r="G467" s="17"/>
      <c r="H467" s="17"/>
      <c r="I467" s="9"/>
      <c r="J467" s="9"/>
      <c r="K467" s="10">
        <v>0</v>
      </c>
      <c r="L467" s="10"/>
      <c r="M467" s="11"/>
      <c r="N467" s="12"/>
      <c r="O467" s="13"/>
      <c r="P467" s="14"/>
    </row>
    <row r="468" spans="1:16" x14ac:dyDescent="0.25">
      <c r="A468" s="6"/>
      <c r="B468" s="7"/>
      <c r="C468" s="8"/>
      <c r="D468" s="8"/>
      <c r="E468" s="9"/>
      <c r="F468" s="9"/>
      <c r="G468" s="17"/>
      <c r="H468" s="17"/>
      <c r="I468" s="9"/>
      <c r="J468" s="9"/>
      <c r="K468" s="10">
        <v>0</v>
      </c>
      <c r="L468" s="10"/>
      <c r="M468" s="11"/>
      <c r="N468" s="12"/>
      <c r="O468" s="13"/>
      <c r="P468" s="14"/>
    </row>
    <row r="469" spans="1:16" x14ac:dyDescent="0.25">
      <c r="A469" s="6"/>
      <c r="B469" s="7"/>
      <c r="C469" s="8"/>
      <c r="D469" s="8"/>
      <c r="E469" s="9"/>
      <c r="F469" s="9"/>
      <c r="G469" s="17"/>
      <c r="H469" s="17"/>
      <c r="I469" s="9"/>
      <c r="J469" s="9"/>
      <c r="K469" s="10">
        <v>0</v>
      </c>
      <c r="L469" s="10"/>
      <c r="M469" s="11"/>
      <c r="N469" s="12"/>
      <c r="O469" s="13"/>
      <c r="P469" s="14"/>
    </row>
    <row r="470" spans="1:16" x14ac:dyDescent="0.25">
      <c r="A470" s="6"/>
      <c r="B470" s="7"/>
      <c r="C470" s="8"/>
      <c r="D470" s="8"/>
      <c r="E470" s="9"/>
      <c r="F470" s="9"/>
      <c r="G470" s="17"/>
      <c r="H470" s="17"/>
      <c r="I470" s="9"/>
      <c r="J470" s="9"/>
      <c r="K470" s="10">
        <v>0</v>
      </c>
      <c r="L470" s="10"/>
      <c r="M470" s="11"/>
      <c r="N470" s="12"/>
      <c r="O470" s="13"/>
      <c r="P470" s="14"/>
    </row>
    <row r="471" spans="1:16" x14ac:dyDescent="0.25">
      <c r="A471" s="6"/>
      <c r="B471" s="7"/>
      <c r="C471" s="8"/>
      <c r="D471" s="8"/>
      <c r="E471" s="9"/>
      <c r="F471" s="9"/>
      <c r="G471" s="17"/>
      <c r="H471" s="17"/>
      <c r="I471" s="9"/>
      <c r="J471" s="9"/>
      <c r="K471" s="10">
        <v>0</v>
      </c>
      <c r="L471" s="10"/>
      <c r="M471" s="11"/>
      <c r="N471" s="12"/>
      <c r="O471" s="13"/>
      <c r="P471" s="14"/>
    </row>
    <row r="472" spans="1:16" x14ac:dyDescent="0.25">
      <c r="A472" s="6"/>
      <c r="B472" s="7"/>
      <c r="C472" s="8"/>
      <c r="D472" s="8"/>
      <c r="E472" s="9"/>
      <c r="F472" s="9"/>
      <c r="G472" s="17"/>
      <c r="H472" s="17"/>
      <c r="I472" s="9"/>
      <c r="J472" s="9"/>
      <c r="K472" s="10">
        <v>0</v>
      </c>
      <c r="L472" s="10"/>
      <c r="M472" s="11"/>
      <c r="N472" s="12"/>
      <c r="O472" s="13"/>
      <c r="P472" s="14"/>
    </row>
    <row r="473" spans="1:16" x14ac:dyDescent="0.25">
      <c r="A473" s="6"/>
      <c r="B473" s="7"/>
      <c r="C473" s="8"/>
      <c r="D473" s="8"/>
      <c r="E473" s="9"/>
      <c r="F473" s="9"/>
      <c r="G473" s="17"/>
      <c r="H473" s="17"/>
      <c r="I473" s="9"/>
      <c r="J473" s="9"/>
      <c r="K473" s="10">
        <v>0</v>
      </c>
      <c r="L473" s="10"/>
      <c r="M473" s="11"/>
      <c r="N473" s="12"/>
      <c r="O473" s="13"/>
      <c r="P473" s="14"/>
    </row>
    <row r="474" spans="1:16" x14ac:dyDescent="0.25">
      <c r="A474" s="6"/>
      <c r="B474" s="7"/>
      <c r="C474" s="8"/>
      <c r="D474" s="8"/>
      <c r="E474" s="9"/>
      <c r="F474" s="9"/>
      <c r="G474" s="17"/>
      <c r="H474" s="17"/>
      <c r="I474" s="9"/>
      <c r="J474" s="9"/>
      <c r="K474" s="10">
        <v>0</v>
      </c>
      <c r="L474" s="10"/>
      <c r="M474" s="11"/>
      <c r="N474" s="12"/>
      <c r="O474" s="13"/>
      <c r="P474" s="14"/>
    </row>
    <row r="475" spans="1:16" x14ac:dyDescent="0.25">
      <c r="A475" s="6"/>
      <c r="B475" s="7"/>
      <c r="C475" s="8"/>
      <c r="D475" s="8"/>
      <c r="E475" s="9"/>
      <c r="F475" s="9"/>
      <c r="G475" s="17"/>
      <c r="H475" s="17"/>
      <c r="I475" s="9"/>
      <c r="J475" s="9"/>
      <c r="K475" s="10">
        <v>0</v>
      </c>
      <c r="L475" s="10"/>
      <c r="M475" s="11"/>
      <c r="N475" s="12"/>
      <c r="O475" s="13"/>
      <c r="P475" s="14"/>
    </row>
    <row r="476" spans="1:16" x14ac:dyDescent="0.25">
      <c r="A476" s="6"/>
      <c r="B476" s="7"/>
      <c r="C476" s="8"/>
      <c r="D476" s="8"/>
      <c r="E476" s="9"/>
      <c r="F476" s="9"/>
      <c r="G476" s="17"/>
      <c r="H476" s="17"/>
      <c r="I476" s="9"/>
      <c r="J476" s="9"/>
      <c r="K476" s="10">
        <v>0</v>
      </c>
      <c r="L476" s="10"/>
      <c r="M476" s="11"/>
      <c r="N476" s="12"/>
      <c r="O476" s="13"/>
      <c r="P476" s="14"/>
    </row>
    <row r="477" spans="1:16" x14ac:dyDescent="0.25">
      <c r="A477" s="6"/>
      <c r="B477" s="7"/>
      <c r="C477" s="8"/>
      <c r="D477" s="8"/>
      <c r="E477" s="9"/>
      <c r="F477" s="9"/>
      <c r="G477" s="17"/>
      <c r="H477" s="17"/>
      <c r="I477" s="9"/>
      <c r="J477" s="9"/>
      <c r="K477" s="10">
        <v>0</v>
      </c>
      <c r="L477" s="10"/>
      <c r="M477" s="11"/>
      <c r="N477" s="12"/>
      <c r="O477" s="13"/>
      <c r="P477" s="14"/>
    </row>
    <row r="478" spans="1:16" x14ac:dyDescent="0.25">
      <c r="A478" s="6"/>
      <c r="B478" s="7"/>
      <c r="C478" s="8"/>
      <c r="D478" s="8"/>
      <c r="E478" s="9"/>
      <c r="F478" s="9"/>
      <c r="G478" s="17"/>
      <c r="H478" s="17"/>
      <c r="I478" s="9"/>
      <c r="J478" s="9"/>
      <c r="K478" s="10">
        <v>0</v>
      </c>
      <c r="L478" s="10"/>
      <c r="M478" s="11"/>
      <c r="N478" s="12"/>
      <c r="O478" s="13"/>
      <c r="P478" s="14"/>
    </row>
    <row r="479" spans="1:16" x14ac:dyDescent="0.25">
      <c r="A479" s="6"/>
      <c r="B479" s="7"/>
      <c r="C479" s="8"/>
      <c r="D479" s="8"/>
      <c r="E479" s="9"/>
      <c r="F479" s="9"/>
      <c r="G479" s="17"/>
      <c r="H479" s="17"/>
      <c r="I479" s="9"/>
      <c r="J479" s="9"/>
      <c r="K479" s="10">
        <v>0</v>
      </c>
      <c r="L479" s="10"/>
      <c r="M479" s="11"/>
      <c r="N479" s="12"/>
      <c r="O479" s="13"/>
      <c r="P479" s="14"/>
    </row>
    <row r="480" spans="1:16" x14ac:dyDescent="0.25">
      <c r="A480" s="6"/>
      <c r="B480" s="7"/>
      <c r="C480" s="8"/>
      <c r="D480" s="8"/>
      <c r="E480" s="9"/>
      <c r="F480" s="9"/>
      <c r="G480" s="17"/>
      <c r="H480" s="17"/>
      <c r="I480" s="9"/>
      <c r="J480" s="9"/>
      <c r="K480" s="10">
        <v>0</v>
      </c>
      <c r="L480" s="10"/>
      <c r="M480" s="11"/>
      <c r="N480" s="12"/>
      <c r="O480" s="13"/>
      <c r="P480" s="14"/>
    </row>
    <row r="481" spans="1:16" x14ac:dyDescent="0.25">
      <c r="A481" s="6"/>
      <c r="B481" s="7"/>
      <c r="C481" s="8"/>
      <c r="D481" s="8"/>
      <c r="E481" s="9"/>
      <c r="F481" s="9"/>
      <c r="G481" s="17"/>
      <c r="H481" s="17"/>
      <c r="I481" s="9"/>
      <c r="J481" s="9"/>
      <c r="K481" s="10">
        <v>0</v>
      </c>
      <c r="L481" s="10"/>
      <c r="M481" s="11"/>
      <c r="N481" s="12"/>
      <c r="O481" s="13"/>
      <c r="P481" s="14"/>
    </row>
    <row r="482" spans="1:16" x14ac:dyDescent="0.25">
      <c r="A482" s="6"/>
      <c r="B482" s="7"/>
      <c r="C482" s="8"/>
      <c r="D482" s="8"/>
      <c r="E482" s="9"/>
      <c r="F482" s="9"/>
      <c r="G482" s="17"/>
      <c r="H482" s="17"/>
      <c r="I482" s="9"/>
      <c r="J482" s="9"/>
      <c r="K482" s="10">
        <v>0</v>
      </c>
      <c r="L482" s="10"/>
      <c r="M482" s="11"/>
      <c r="N482" s="12"/>
      <c r="O482" s="13"/>
      <c r="P482" s="14"/>
    </row>
    <row r="483" spans="1:16" x14ac:dyDescent="0.25">
      <c r="A483" s="6"/>
      <c r="B483" s="7"/>
      <c r="C483" s="8"/>
      <c r="D483" s="8"/>
      <c r="E483" s="9"/>
      <c r="F483" s="9"/>
      <c r="G483" s="17"/>
      <c r="H483" s="17"/>
      <c r="I483" s="9"/>
      <c r="J483" s="9"/>
      <c r="K483" s="10">
        <v>0</v>
      </c>
      <c r="L483" s="10"/>
      <c r="M483" s="11"/>
      <c r="N483" s="12"/>
      <c r="O483" s="13"/>
      <c r="P483" s="14"/>
    </row>
    <row r="484" spans="1:16" x14ac:dyDescent="0.25">
      <c r="A484" s="6"/>
      <c r="B484" s="7"/>
      <c r="C484" s="8"/>
      <c r="D484" s="8"/>
      <c r="E484" s="9"/>
      <c r="F484" s="9"/>
      <c r="G484" s="17"/>
      <c r="H484" s="17"/>
      <c r="I484" s="9"/>
      <c r="J484" s="9"/>
      <c r="K484" s="10">
        <v>0</v>
      </c>
      <c r="L484" s="10"/>
      <c r="M484" s="11"/>
      <c r="N484" s="12"/>
      <c r="O484" s="13"/>
      <c r="P484" s="14"/>
    </row>
    <row r="485" spans="1:16" x14ac:dyDescent="0.25">
      <c r="A485" s="6"/>
      <c r="B485" s="7"/>
      <c r="C485" s="8"/>
      <c r="D485" s="8"/>
      <c r="E485" s="9"/>
      <c r="F485" s="9"/>
      <c r="G485" s="17"/>
      <c r="H485" s="17"/>
      <c r="I485" s="9"/>
      <c r="J485" s="9"/>
      <c r="K485" s="10">
        <v>0</v>
      </c>
      <c r="L485" s="10"/>
      <c r="M485" s="11"/>
      <c r="N485" s="12"/>
      <c r="O485" s="13"/>
      <c r="P485" s="14"/>
    </row>
    <row r="486" spans="1:16" x14ac:dyDescent="0.25">
      <c r="A486" s="6"/>
      <c r="B486" s="7"/>
      <c r="C486" s="8"/>
      <c r="D486" s="8"/>
      <c r="E486" s="9"/>
      <c r="F486" s="9"/>
      <c r="G486" s="17"/>
      <c r="H486" s="17"/>
      <c r="I486" s="9"/>
      <c r="J486" s="9"/>
      <c r="K486" s="10">
        <v>0</v>
      </c>
      <c r="L486" s="10"/>
      <c r="M486" s="11"/>
      <c r="N486" s="12"/>
      <c r="O486" s="13"/>
      <c r="P486" s="14"/>
    </row>
    <row r="487" spans="1:16" x14ac:dyDescent="0.25">
      <c r="A487" s="6"/>
      <c r="B487" s="7"/>
      <c r="C487" s="8"/>
      <c r="D487" s="8"/>
      <c r="E487" s="9"/>
      <c r="F487" s="9"/>
      <c r="G487" s="17"/>
      <c r="H487" s="17"/>
      <c r="I487" s="9"/>
      <c r="J487" s="9"/>
      <c r="K487" s="10">
        <v>0</v>
      </c>
      <c r="L487" s="10"/>
      <c r="M487" s="11"/>
      <c r="N487" s="12"/>
      <c r="O487" s="13"/>
      <c r="P487" s="14"/>
    </row>
    <row r="488" spans="1:16" x14ac:dyDescent="0.25">
      <c r="A488" s="6"/>
      <c r="B488" s="7"/>
      <c r="C488" s="8"/>
      <c r="D488" s="8"/>
      <c r="E488" s="9"/>
      <c r="F488" s="9"/>
      <c r="G488" s="17"/>
      <c r="H488" s="17"/>
      <c r="I488" s="9"/>
      <c r="J488" s="9"/>
      <c r="K488" s="10">
        <v>0</v>
      </c>
      <c r="L488" s="10"/>
      <c r="M488" s="11"/>
      <c r="N488" s="12"/>
      <c r="O488" s="13"/>
      <c r="P488" s="14"/>
    </row>
    <row r="489" spans="1:16" x14ac:dyDescent="0.25">
      <c r="A489" s="6"/>
      <c r="B489" s="7"/>
      <c r="C489" s="8"/>
      <c r="D489" s="8"/>
      <c r="E489" s="9"/>
      <c r="F489" s="9"/>
      <c r="G489" s="17"/>
      <c r="H489" s="17"/>
      <c r="I489" s="9"/>
      <c r="J489" s="9"/>
      <c r="K489" s="10">
        <v>0</v>
      </c>
      <c r="L489" s="10"/>
      <c r="M489" s="11"/>
      <c r="N489" s="12"/>
      <c r="O489" s="13"/>
      <c r="P489" s="14"/>
    </row>
    <row r="490" spans="1:16" x14ac:dyDescent="0.25">
      <c r="A490" s="6"/>
      <c r="B490" s="7"/>
      <c r="C490" s="8"/>
      <c r="D490" s="8"/>
      <c r="E490" s="9"/>
      <c r="F490" s="9"/>
      <c r="G490" s="17"/>
      <c r="H490" s="17"/>
      <c r="I490" s="9"/>
      <c r="J490" s="9"/>
      <c r="K490" s="10">
        <v>0</v>
      </c>
      <c r="L490" s="10"/>
      <c r="M490" s="11"/>
      <c r="N490" s="12"/>
      <c r="O490" s="13"/>
      <c r="P490" s="14"/>
    </row>
    <row r="491" spans="1:16" x14ac:dyDescent="0.25">
      <c r="A491" s="6"/>
      <c r="B491" s="7"/>
      <c r="C491" s="8"/>
      <c r="D491" s="8"/>
      <c r="E491" s="9"/>
      <c r="F491" s="9"/>
      <c r="G491" s="17"/>
      <c r="H491" s="17"/>
      <c r="I491" s="9"/>
      <c r="J491" s="9"/>
      <c r="K491" s="10">
        <v>0</v>
      </c>
      <c r="L491" s="10"/>
      <c r="M491" s="11"/>
      <c r="N491" s="12"/>
      <c r="O491" s="13"/>
      <c r="P491" s="14"/>
    </row>
    <row r="492" spans="1:16" x14ac:dyDescent="0.25">
      <c r="A492" s="6"/>
      <c r="B492" s="7"/>
      <c r="C492" s="8"/>
      <c r="D492" s="8"/>
      <c r="E492" s="9"/>
      <c r="F492" s="9"/>
      <c r="G492" s="17"/>
      <c r="H492" s="17"/>
      <c r="I492" s="9"/>
      <c r="J492" s="9"/>
      <c r="K492" s="10">
        <v>0</v>
      </c>
      <c r="L492" s="10"/>
      <c r="M492" s="11"/>
      <c r="N492" s="12"/>
      <c r="O492" s="13"/>
      <c r="P492" s="14"/>
    </row>
    <row r="493" spans="1:16" x14ac:dyDescent="0.25">
      <c r="A493" s="6"/>
      <c r="B493" s="7"/>
      <c r="C493" s="8"/>
      <c r="D493" s="8"/>
      <c r="E493" s="9"/>
      <c r="F493" s="9"/>
      <c r="G493" s="17"/>
      <c r="H493" s="17"/>
      <c r="I493" s="9"/>
      <c r="J493" s="9"/>
      <c r="K493" s="10">
        <v>0</v>
      </c>
      <c r="L493" s="10"/>
      <c r="M493" s="11"/>
      <c r="N493" s="12"/>
      <c r="O493" s="13"/>
      <c r="P493" s="14"/>
    </row>
    <row r="494" spans="1:16" x14ac:dyDescent="0.25">
      <c r="A494" s="6"/>
      <c r="B494" s="7"/>
      <c r="C494" s="8"/>
      <c r="D494" s="8"/>
      <c r="E494" s="9"/>
      <c r="F494" s="9"/>
      <c r="G494" s="17"/>
      <c r="H494" s="17"/>
      <c r="I494" s="9"/>
      <c r="J494" s="9"/>
      <c r="K494" s="10">
        <v>0</v>
      </c>
      <c r="L494" s="10"/>
      <c r="M494" s="11"/>
      <c r="N494" s="12"/>
      <c r="O494" s="13"/>
      <c r="P494" s="14"/>
    </row>
    <row r="495" spans="1:16" x14ac:dyDescent="0.25">
      <c r="A495" s="6"/>
      <c r="B495" s="7"/>
      <c r="C495" s="8"/>
      <c r="D495" s="8"/>
      <c r="E495" s="9"/>
      <c r="F495" s="9"/>
      <c r="G495" s="17"/>
      <c r="H495" s="17"/>
      <c r="I495" s="9"/>
      <c r="J495" s="9"/>
      <c r="K495" s="10">
        <v>0</v>
      </c>
      <c r="L495" s="10"/>
      <c r="M495" s="11"/>
      <c r="N495" s="12"/>
      <c r="O495" s="13"/>
      <c r="P495" s="14"/>
    </row>
    <row r="496" spans="1:16" x14ac:dyDescent="0.25">
      <c r="A496" s="6"/>
      <c r="B496" s="7"/>
      <c r="C496" s="8"/>
      <c r="D496" s="8"/>
      <c r="E496" s="9"/>
      <c r="F496" s="9"/>
      <c r="G496" s="17"/>
      <c r="H496" s="17"/>
      <c r="I496" s="9"/>
      <c r="J496" s="9"/>
      <c r="K496" s="10">
        <v>0</v>
      </c>
      <c r="L496" s="10"/>
      <c r="M496" s="11"/>
      <c r="N496" s="12"/>
      <c r="O496" s="13"/>
      <c r="P496" s="14"/>
    </row>
    <row r="497" spans="1:17" x14ac:dyDescent="0.25">
      <c r="A497" s="6"/>
      <c r="B497" s="7"/>
      <c r="C497" s="8"/>
      <c r="D497" s="8"/>
      <c r="E497" s="9"/>
      <c r="F497" s="9"/>
      <c r="G497" s="17"/>
      <c r="H497" s="17"/>
      <c r="I497" s="9"/>
      <c r="J497" s="9"/>
      <c r="K497" s="10">
        <v>0</v>
      </c>
      <c r="L497" s="10"/>
      <c r="M497" s="11"/>
      <c r="N497" s="12"/>
      <c r="O497" s="13"/>
      <c r="P497" s="14"/>
    </row>
    <row r="498" spans="1:17" x14ac:dyDescent="0.25">
      <c r="A498" s="6"/>
      <c r="B498" s="7"/>
      <c r="C498" s="8"/>
      <c r="D498" s="8"/>
      <c r="E498" s="9"/>
      <c r="F498" s="9"/>
      <c r="G498" s="17"/>
      <c r="H498" s="17"/>
      <c r="I498" s="9"/>
      <c r="J498" s="9"/>
      <c r="K498" s="10">
        <v>0</v>
      </c>
      <c r="L498" s="10"/>
      <c r="M498" s="11"/>
      <c r="N498" s="12"/>
      <c r="O498" s="13"/>
      <c r="P498" s="14"/>
    </row>
    <row r="499" spans="1:17" x14ac:dyDescent="0.25">
      <c r="A499" s="6"/>
      <c r="B499" s="7"/>
      <c r="C499" s="8"/>
      <c r="D499" s="8"/>
      <c r="E499" s="9"/>
      <c r="F499" s="9"/>
      <c r="G499" s="17"/>
      <c r="H499" s="17"/>
      <c r="I499" s="9"/>
      <c r="J499" s="9"/>
      <c r="K499" s="10">
        <v>0</v>
      </c>
      <c r="L499" s="10"/>
      <c r="M499" s="11"/>
      <c r="N499" s="12"/>
      <c r="O499" s="13"/>
      <c r="P499" s="14"/>
    </row>
    <row r="500" spans="1:17" x14ac:dyDescent="0.25">
      <c r="A500" s="6"/>
      <c r="B500" s="7"/>
      <c r="C500" s="8"/>
      <c r="D500" s="8"/>
      <c r="E500" s="9"/>
      <c r="F500" s="9"/>
      <c r="G500" s="17"/>
      <c r="H500" s="17"/>
      <c r="I500" s="9"/>
      <c r="J500" s="9"/>
      <c r="K500" s="10">
        <v>0</v>
      </c>
      <c r="L500" s="10"/>
      <c r="M500" s="11"/>
      <c r="N500" s="12"/>
      <c r="O500" s="13"/>
      <c r="P500" s="14"/>
    </row>
    <row r="501" spans="1:17" x14ac:dyDescent="0.25">
      <c r="A501" s="6"/>
      <c r="B501" s="7"/>
      <c r="C501" s="8"/>
      <c r="D501" s="8"/>
      <c r="E501" s="9"/>
      <c r="F501" s="9"/>
      <c r="G501" s="17"/>
      <c r="H501" s="17"/>
      <c r="I501" s="9"/>
      <c r="J501" s="9"/>
      <c r="K501" s="10">
        <v>0</v>
      </c>
      <c r="L501" s="10"/>
      <c r="M501" s="11"/>
      <c r="N501" s="12"/>
      <c r="O501" s="13"/>
      <c r="P501" s="14"/>
    </row>
    <row r="502" spans="1:17" x14ac:dyDescent="0.25">
      <c r="A502" s="6"/>
      <c r="B502" s="7"/>
      <c r="C502" s="8"/>
      <c r="D502" s="8"/>
      <c r="E502" s="9"/>
      <c r="F502" s="9"/>
      <c r="G502" s="17"/>
      <c r="H502" s="17"/>
      <c r="I502" s="9"/>
      <c r="J502" s="9"/>
      <c r="K502" s="10">
        <v>0</v>
      </c>
      <c r="L502" s="10"/>
      <c r="M502" s="11"/>
      <c r="N502" s="12"/>
      <c r="O502" s="13"/>
      <c r="P502" s="14"/>
    </row>
    <row r="503" spans="1:17" x14ac:dyDescent="0.25">
      <c r="A503" s="6"/>
      <c r="B503" s="7"/>
      <c r="C503" s="8"/>
      <c r="D503" s="8"/>
      <c r="E503" s="9"/>
      <c r="F503" s="9"/>
      <c r="G503" s="17"/>
      <c r="H503" s="17"/>
      <c r="I503" s="9"/>
      <c r="J503" s="9"/>
      <c r="K503" s="10">
        <v>0</v>
      </c>
      <c r="L503" s="10"/>
      <c r="M503" s="11"/>
      <c r="N503" s="12"/>
      <c r="O503" s="13"/>
      <c r="P503" s="14"/>
    </row>
    <row r="504" spans="1:17" x14ac:dyDescent="0.25">
      <c r="A504" s="6"/>
      <c r="B504" s="7"/>
      <c r="C504" s="8"/>
      <c r="D504" s="8"/>
      <c r="E504" s="9"/>
      <c r="F504" s="9"/>
      <c r="G504" s="17"/>
      <c r="H504" s="17"/>
      <c r="I504" s="9"/>
      <c r="J504" s="9"/>
      <c r="K504" s="10">
        <v>0</v>
      </c>
      <c r="L504" s="10"/>
      <c r="M504" s="11"/>
      <c r="N504" s="12"/>
      <c r="O504" s="13"/>
      <c r="P504" s="14"/>
      <c r="Q504" s="2"/>
    </row>
    <row r="505" spans="1:17" x14ac:dyDescent="0.25">
      <c r="A505" s="6"/>
      <c r="B505" s="7"/>
      <c r="C505" s="8"/>
      <c r="D505" s="8"/>
      <c r="E505" s="9"/>
      <c r="F505" s="9"/>
      <c r="G505" s="17"/>
      <c r="H505" s="17"/>
      <c r="I505" s="9"/>
      <c r="J505" s="9"/>
      <c r="K505" s="10">
        <v>0</v>
      </c>
      <c r="L505" s="10"/>
      <c r="M505" s="11"/>
      <c r="N505" s="12"/>
      <c r="O505" s="13"/>
      <c r="P505" s="14"/>
    </row>
    <row r="506" spans="1:17" x14ac:dyDescent="0.25">
      <c r="A506" s="6"/>
      <c r="B506" s="7"/>
      <c r="C506" s="8"/>
      <c r="D506" s="8"/>
      <c r="E506" s="9"/>
      <c r="F506" s="9"/>
      <c r="G506" s="17"/>
      <c r="H506" s="17"/>
      <c r="I506" s="9"/>
      <c r="J506" s="9"/>
      <c r="K506" s="10">
        <v>0</v>
      </c>
      <c r="L506" s="10"/>
      <c r="M506" s="11"/>
      <c r="N506" s="12"/>
      <c r="O506" s="13"/>
      <c r="P506" s="14"/>
    </row>
    <row r="507" spans="1:17" x14ac:dyDescent="0.25">
      <c r="A507" s="6"/>
      <c r="B507" s="7"/>
      <c r="C507" s="8"/>
      <c r="D507" s="8"/>
      <c r="E507" s="9"/>
      <c r="F507" s="9"/>
      <c r="G507" s="17"/>
      <c r="H507" s="17"/>
      <c r="I507" s="9"/>
      <c r="J507" s="9"/>
      <c r="K507" s="10">
        <v>0</v>
      </c>
      <c r="L507" s="10"/>
      <c r="M507" s="11"/>
      <c r="N507" s="12"/>
      <c r="O507" s="13"/>
      <c r="P507" s="14"/>
    </row>
    <row r="508" spans="1:17" x14ac:dyDescent="0.25">
      <c r="A508" s="6"/>
      <c r="B508" s="7"/>
      <c r="C508" s="8"/>
      <c r="D508" s="8"/>
      <c r="E508" s="9"/>
      <c r="F508" s="9"/>
      <c r="G508" s="17"/>
      <c r="H508" s="17"/>
      <c r="I508" s="9"/>
      <c r="J508" s="9"/>
      <c r="K508" s="10">
        <v>0</v>
      </c>
      <c r="L508" s="10"/>
      <c r="M508" s="11"/>
      <c r="N508" s="12"/>
      <c r="O508" s="13"/>
      <c r="P508" s="14"/>
    </row>
    <row r="509" spans="1:17" x14ac:dyDescent="0.25">
      <c r="A509" s="6"/>
      <c r="B509" s="7"/>
      <c r="C509" s="8"/>
      <c r="D509" s="8"/>
      <c r="E509" s="9"/>
      <c r="F509" s="9"/>
      <c r="G509" s="17"/>
      <c r="H509" s="17"/>
      <c r="I509" s="9"/>
      <c r="J509" s="9"/>
      <c r="K509" s="10">
        <v>0</v>
      </c>
      <c r="L509" s="10"/>
      <c r="M509" s="11"/>
      <c r="N509" s="12"/>
      <c r="O509" s="13"/>
      <c r="P509" s="14"/>
    </row>
    <row r="510" spans="1:17" x14ac:dyDescent="0.25">
      <c r="A510" s="6"/>
      <c r="B510" s="7"/>
      <c r="C510" s="8"/>
      <c r="D510" s="8"/>
      <c r="E510" s="9"/>
      <c r="F510" s="9"/>
      <c r="G510" s="17"/>
      <c r="H510" s="17"/>
      <c r="I510" s="9"/>
      <c r="J510" s="9"/>
      <c r="K510" s="10">
        <v>0</v>
      </c>
      <c r="L510" s="10"/>
      <c r="M510" s="11"/>
      <c r="N510" s="12"/>
      <c r="O510" s="13"/>
      <c r="P510" s="14"/>
    </row>
    <row r="511" spans="1:17" x14ac:dyDescent="0.25">
      <c r="A511" s="6"/>
      <c r="B511" s="15"/>
      <c r="C511" s="16"/>
      <c r="D511" s="8"/>
      <c r="E511" s="9"/>
      <c r="F511" s="9"/>
      <c r="G511" s="17"/>
      <c r="H511" s="17"/>
      <c r="I511" s="9"/>
      <c r="J511" s="9"/>
      <c r="K511" s="10">
        <v>0</v>
      </c>
      <c r="L511" s="10"/>
      <c r="M511" s="11"/>
      <c r="N511" s="12"/>
      <c r="O511" s="13"/>
      <c r="P511" s="14"/>
    </row>
    <row r="512" spans="1:17" x14ac:dyDescent="0.25">
      <c r="A512" s="6"/>
      <c r="B512" s="7"/>
      <c r="C512" s="8"/>
      <c r="D512" s="8"/>
      <c r="E512" s="9"/>
      <c r="F512" s="9"/>
      <c r="G512" s="17"/>
      <c r="H512" s="17"/>
      <c r="I512" s="9"/>
      <c r="J512" s="9"/>
      <c r="K512" s="10">
        <v>0</v>
      </c>
      <c r="L512" s="10"/>
      <c r="M512" s="11"/>
      <c r="N512" s="12"/>
      <c r="O512" s="13"/>
      <c r="P512" s="14"/>
    </row>
    <row r="513" spans="1:16" x14ac:dyDescent="0.25">
      <c r="A513" s="6"/>
      <c r="B513" s="7"/>
      <c r="C513" s="8"/>
      <c r="D513" s="8"/>
      <c r="E513" s="9"/>
      <c r="F513" s="9"/>
      <c r="G513" s="17"/>
      <c r="H513" s="17"/>
      <c r="I513" s="9"/>
      <c r="J513" s="9"/>
      <c r="K513" s="10">
        <v>0</v>
      </c>
      <c r="L513" s="10"/>
      <c r="M513" s="11"/>
      <c r="N513" s="12"/>
      <c r="O513" s="13"/>
      <c r="P513" s="14"/>
    </row>
    <row r="514" spans="1:16" x14ac:dyDescent="0.25">
      <c r="A514" s="6"/>
      <c r="B514" s="7"/>
      <c r="C514" s="8"/>
      <c r="D514" s="8"/>
      <c r="E514" s="9"/>
      <c r="F514" s="9"/>
      <c r="G514" s="17"/>
      <c r="H514" s="17"/>
      <c r="I514" s="9"/>
      <c r="J514" s="9"/>
      <c r="K514" s="10">
        <v>0</v>
      </c>
      <c r="L514" s="10"/>
      <c r="M514" s="11"/>
      <c r="N514" s="12"/>
      <c r="O514" s="13"/>
      <c r="P514" s="14"/>
    </row>
    <row r="515" spans="1:16" x14ac:dyDescent="0.25">
      <c r="A515" s="6"/>
      <c r="B515" s="7"/>
      <c r="C515" s="8"/>
      <c r="D515" s="8"/>
      <c r="E515" s="9"/>
      <c r="F515" s="9"/>
      <c r="G515" s="17"/>
      <c r="H515" s="17"/>
      <c r="I515" s="9"/>
      <c r="J515" s="9"/>
      <c r="K515" s="10">
        <v>0</v>
      </c>
      <c r="L515" s="10"/>
      <c r="M515" s="11"/>
      <c r="N515" s="12"/>
      <c r="O515" s="13"/>
      <c r="P515" s="14"/>
    </row>
    <row r="516" spans="1:16" x14ac:dyDescent="0.25">
      <c r="A516" s="6"/>
      <c r="B516" s="7"/>
      <c r="C516" s="8"/>
      <c r="D516" s="8"/>
      <c r="E516" s="9"/>
      <c r="F516" s="17"/>
      <c r="G516" s="17"/>
      <c r="H516" s="17"/>
      <c r="I516" s="9"/>
      <c r="J516" s="9"/>
      <c r="K516" s="10">
        <v>0</v>
      </c>
      <c r="L516" s="10"/>
      <c r="M516" s="11"/>
      <c r="N516" s="12"/>
      <c r="O516" s="13"/>
      <c r="P516" s="14"/>
    </row>
    <row r="517" spans="1:16" x14ac:dyDescent="0.25">
      <c r="A517" s="6"/>
      <c r="B517" s="7"/>
      <c r="C517" s="8"/>
      <c r="D517" s="8"/>
      <c r="E517" s="9"/>
      <c r="F517" s="9"/>
      <c r="G517" s="17"/>
      <c r="H517" s="17"/>
      <c r="I517" s="9"/>
      <c r="J517" s="9"/>
      <c r="K517" s="10">
        <v>0</v>
      </c>
      <c r="L517" s="10"/>
      <c r="M517" s="11"/>
      <c r="N517" s="12"/>
      <c r="O517" s="13"/>
      <c r="P517" s="14"/>
    </row>
    <row r="518" spans="1:16" x14ac:dyDescent="0.25">
      <c r="A518" s="6"/>
      <c r="B518" s="7"/>
      <c r="C518" s="8"/>
      <c r="D518" s="8"/>
      <c r="E518" s="9"/>
      <c r="F518" s="9"/>
      <c r="G518" s="17"/>
      <c r="H518" s="17"/>
      <c r="I518" s="9"/>
      <c r="J518" s="9"/>
      <c r="K518" s="10">
        <v>0</v>
      </c>
      <c r="L518" s="10"/>
      <c r="M518" s="11"/>
      <c r="N518" s="12"/>
      <c r="O518" s="13"/>
      <c r="P518" s="14"/>
    </row>
    <row r="519" spans="1:16" x14ac:dyDescent="0.25">
      <c r="A519" s="6"/>
      <c r="B519" s="7"/>
      <c r="C519" s="8"/>
      <c r="D519" s="8"/>
      <c r="E519" s="9"/>
      <c r="F519" s="9"/>
      <c r="G519" s="17"/>
      <c r="H519" s="17"/>
      <c r="I519" s="9"/>
      <c r="J519" s="9"/>
      <c r="K519" s="10">
        <v>0</v>
      </c>
      <c r="L519" s="10"/>
      <c r="M519" s="11"/>
      <c r="N519" s="12"/>
      <c r="O519" s="13"/>
      <c r="P519" s="14"/>
    </row>
    <row r="520" spans="1:16" x14ac:dyDescent="0.25">
      <c r="A520" s="6"/>
      <c r="B520" s="7"/>
      <c r="C520" s="8"/>
      <c r="D520" s="8"/>
      <c r="E520" s="9"/>
      <c r="F520" s="9"/>
      <c r="G520" s="17"/>
      <c r="H520" s="17"/>
      <c r="I520" s="9"/>
      <c r="J520" s="9"/>
      <c r="K520" s="10">
        <v>0</v>
      </c>
      <c r="L520" s="10"/>
      <c r="M520" s="11"/>
      <c r="N520" s="12"/>
      <c r="O520" s="13"/>
      <c r="P520" s="14"/>
    </row>
    <row r="521" spans="1:16" x14ac:dyDescent="0.25">
      <c r="A521" s="6"/>
      <c r="B521" s="7"/>
      <c r="C521" s="8"/>
      <c r="D521" s="8"/>
      <c r="E521" s="9"/>
      <c r="F521" s="9"/>
      <c r="G521" s="17"/>
      <c r="H521" s="17"/>
      <c r="I521" s="9"/>
      <c r="J521" s="9"/>
      <c r="K521" s="10">
        <v>0</v>
      </c>
      <c r="L521" s="10"/>
      <c r="M521" s="11"/>
      <c r="N521" s="12"/>
      <c r="O521" s="13"/>
      <c r="P521" s="14"/>
    </row>
    <row r="522" spans="1:16" x14ac:dyDescent="0.25">
      <c r="A522" s="6"/>
      <c r="B522" s="7"/>
      <c r="C522" s="8"/>
      <c r="D522" s="8"/>
      <c r="E522" s="9"/>
      <c r="F522" s="9"/>
      <c r="G522" s="17"/>
      <c r="H522" s="17"/>
      <c r="I522" s="9"/>
      <c r="J522" s="9"/>
      <c r="K522" s="10">
        <v>0</v>
      </c>
      <c r="L522" s="10"/>
      <c r="M522" s="11"/>
      <c r="N522" s="12"/>
      <c r="O522" s="13"/>
      <c r="P522" s="14"/>
    </row>
    <row r="523" spans="1:16" x14ac:dyDescent="0.25">
      <c r="A523" s="6"/>
      <c r="B523" s="7"/>
      <c r="C523" s="8"/>
      <c r="D523" s="8"/>
      <c r="E523" s="9"/>
      <c r="F523" s="9"/>
      <c r="G523" s="17"/>
      <c r="H523" s="17"/>
      <c r="I523" s="9"/>
      <c r="J523" s="9"/>
      <c r="K523" s="10">
        <v>0</v>
      </c>
      <c r="L523" s="10"/>
      <c r="M523" s="11"/>
      <c r="N523" s="12"/>
      <c r="O523" s="13"/>
      <c r="P523" s="14"/>
    </row>
    <row r="524" spans="1:16" x14ac:dyDescent="0.25">
      <c r="A524" s="6"/>
      <c r="B524" s="7"/>
      <c r="C524" s="8"/>
      <c r="D524" s="8"/>
      <c r="E524" s="9"/>
      <c r="F524" s="9"/>
      <c r="G524" s="17"/>
      <c r="H524" s="17"/>
      <c r="I524" s="9"/>
      <c r="J524" s="9"/>
      <c r="K524" s="10">
        <v>0</v>
      </c>
      <c r="L524" s="10"/>
      <c r="M524" s="11"/>
      <c r="N524" s="12"/>
      <c r="O524" s="13"/>
      <c r="P524" s="14"/>
    </row>
    <row r="525" spans="1:16" x14ac:dyDescent="0.25">
      <c r="A525" s="6"/>
      <c r="B525" s="7"/>
      <c r="C525" s="8"/>
      <c r="D525" s="8"/>
      <c r="E525" s="9"/>
      <c r="F525" s="9"/>
      <c r="G525" s="17"/>
      <c r="H525" s="17"/>
      <c r="I525" s="9"/>
      <c r="J525" s="9"/>
      <c r="K525" s="10">
        <v>0</v>
      </c>
      <c r="L525" s="10"/>
      <c r="M525" s="11"/>
      <c r="N525" s="12"/>
      <c r="O525" s="13"/>
      <c r="P525" s="14"/>
    </row>
    <row r="526" spans="1:16" x14ac:dyDescent="0.25">
      <c r="A526" s="6"/>
      <c r="B526" s="7"/>
      <c r="C526" s="8"/>
      <c r="D526" s="8"/>
      <c r="E526" s="9"/>
      <c r="F526" s="9"/>
      <c r="G526" s="17"/>
      <c r="H526" s="17"/>
      <c r="I526" s="9"/>
      <c r="J526" s="9"/>
      <c r="K526" s="10">
        <v>0</v>
      </c>
      <c r="L526" s="10"/>
      <c r="M526" s="11"/>
      <c r="N526" s="12"/>
      <c r="O526" s="13"/>
      <c r="P526" s="14"/>
    </row>
    <row r="527" spans="1:16" x14ac:dyDescent="0.25">
      <c r="A527" s="6"/>
      <c r="B527" s="7"/>
      <c r="C527" s="8"/>
      <c r="D527" s="8"/>
      <c r="E527" s="9"/>
      <c r="F527" s="9"/>
      <c r="G527" s="17"/>
      <c r="H527" s="17"/>
      <c r="I527" s="9"/>
      <c r="J527" s="9"/>
      <c r="K527" s="10">
        <v>0</v>
      </c>
      <c r="L527" s="10"/>
      <c r="M527" s="11"/>
      <c r="N527" s="12"/>
      <c r="O527" s="13"/>
      <c r="P527" s="14"/>
    </row>
    <row r="528" spans="1:16" x14ac:dyDescent="0.25">
      <c r="A528" s="6"/>
      <c r="B528" s="7"/>
      <c r="C528" s="8"/>
      <c r="D528" s="8"/>
      <c r="E528" s="9"/>
      <c r="F528" s="9"/>
      <c r="G528" s="17"/>
      <c r="H528" s="17"/>
      <c r="I528" s="9"/>
      <c r="J528" s="9"/>
      <c r="K528" s="10">
        <v>0</v>
      </c>
      <c r="L528" s="10"/>
      <c r="M528" s="11"/>
      <c r="N528" s="12"/>
      <c r="O528" s="13"/>
      <c r="P528" s="14"/>
    </row>
    <row r="529" spans="1:27" x14ac:dyDescent="0.25">
      <c r="A529" s="6"/>
      <c r="B529" s="7"/>
      <c r="C529" s="8"/>
      <c r="D529" s="8"/>
      <c r="E529" s="9"/>
      <c r="F529" s="9"/>
      <c r="G529" s="17"/>
      <c r="H529" s="17"/>
      <c r="I529" s="9"/>
      <c r="J529" s="9"/>
      <c r="K529" s="10">
        <v>0</v>
      </c>
      <c r="L529" s="10"/>
      <c r="M529" s="11"/>
      <c r="N529" s="12"/>
      <c r="O529" s="13"/>
      <c r="P529" s="14"/>
    </row>
    <row r="530" spans="1:27" x14ac:dyDescent="0.25">
      <c r="A530" s="6"/>
      <c r="B530" s="7"/>
      <c r="C530" s="8"/>
      <c r="D530" s="8"/>
      <c r="E530" s="9"/>
      <c r="F530" s="9"/>
      <c r="G530" s="17"/>
      <c r="H530" s="17"/>
      <c r="I530" s="9"/>
      <c r="J530" s="9"/>
      <c r="K530" s="10">
        <v>0</v>
      </c>
      <c r="L530" s="10"/>
      <c r="M530" s="11"/>
      <c r="N530" s="12"/>
      <c r="O530" s="13"/>
      <c r="P530" s="14"/>
      <c r="V530" s="1">
        <v>0</v>
      </c>
    </row>
    <row r="531" spans="1:27" x14ac:dyDescent="0.25">
      <c r="A531" s="6"/>
      <c r="B531" s="7"/>
      <c r="C531" s="8"/>
      <c r="D531" s="8"/>
      <c r="E531" s="9"/>
      <c r="F531" s="9"/>
      <c r="G531" s="17"/>
      <c r="H531" s="17"/>
      <c r="I531" s="9"/>
      <c r="J531" s="9"/>
      <c r="K531" s="10">
        <v>0</v>
      </c>
      <c r="L531" s="10"/>
      <c r="M531" s="11"/>
      <c r="N531" s="12"/>
      <c r="O531" s="13"/>
      <c r="P531" s="14"/>
      <c r="V531" s="1">
        <v>14350</v>
      </c>
      <c r="X531" s="1">
        <v>0</v>
      </c>
    </row>
    <row r="532" spans="1:27" x14ac:dyDescent="0.25">
      <c r="A532" s="6"/>
      <c r="B532" s="7"/>
      <c r="C532" s="8"/>
      <c r="D532" s="8"/>
      <c r="E532" s="9"/>
      <c r="F532" s="9"/>
      <c r="G532" s="17"/>
      <c r="H532" s="17"/>
      <c r="I532" s="9"/>
      <c r="J532" s="9"/>
      <c r="K532" s="10">
        <v>0</v>
      </c>
      <c r="L532" s="10"/>
      <c r="M532" s="11"/>
      <c r="N532" s="12"/>
      <c r="O532" s="13"/>
      <c r="P532" s="14"/>
      <c r="X532" s="1">
        <v>40110</v>
      </c>
    </row>
    <row r="533" spans="1:27" x14ac:dyDescent="0.25">
      <c r="A533" s="6"/>
      <c r="B533" s="7"/>
      <c r="C533" s="8"/>
      <c r="D533" s="8"/>
      <c r="E533" s="9"/>
      <c r="F533" s="9"/>
      <c r="G533" s="17"/>
      <c r="H533" s="17"/>
      <c r="I533" s="9"/>
      <c r="J533" s="9"/>
      <c r="K533" s="10">
        <v>0</v>
      </c>
      <c r="L533" s="10"/>
      <c r="M533" s="11"/>
      <c r="N533" s="12"/>
      <c r="O533" s="13"/>
      <c r="P533" s="14"/>
      <c r="X533" s="1">
        <v>14350</v>
      </c>
      <c r="Y533" s="25">
        <v>35.776614310645726</v>
      </c>
    </row>
    <row r="534" spans="1:27" x14ac:dyDescent="0.25">
      <c r="A534" s="6"/>
      <c r="B534" s="7"/>
      <c r="C534" s="8"/>
      <c r="D534" s="8"/>
      <c r="E534" s="9"/>
      <c r="F534" s="9"/>
      <c r="G534" s="17"/>
      <c r="H534" s="17"/>
      <c r="I534" s="9"/>
      <c r="J534" s="9"/>
      <c r="K534" s="10">
        <v>0</v>
      </c>
      <c r="L534" s="10"/>
      <c r="M534" s="11"/>
      <c r="N534" s="12"/>
      <c r="O534" s="13"/>
      <c r="P534" s="14"/>
      <c r="W534" s="1">
        <v>2576</v>
      </c>
      <c r="X534" s="1">
        <v>25760</v>
      </c>
      <c r="Y534" s="25">
        <v>64.223385689354274</v>
      </c>
      <c r="AA534" s="1">
        <v>2576</v>
      </c>
    </row>
    <row r="535" spans="1:27" x14ac:dyDescent="0.25">
      <c r="A535" s="6"/>
      <c r="B535" s="7"/>
      <c r="C535" s="8"/>
      <c r="D535" s="8"/>
      <c r="E535" s="9"/>
      <c r="F535" s="9"/>
      <c r="G535" s="17"/>
      <c r="H535" s="17"/>
      <c r="I535" s="9"/>
      <c r="J535" s="9"/>
      <c r="K535" s="10">
        <v>0</v>
      </c>
      <c r="L535" s="10"/>
      <c r="M535" s="11"/>
      <c r="N535" s="12"/>
      <c r="O535" s="13"/>
      <c r="P535" s="14"/>
      <c r="X535" s="1">
        <v>40110</v>
      </c>
      <c r="Y535" s="25">
        <v>100</v>
      </c>
      <c r="AA535" s="1" t="s">
        <v>22</v>
      </c>
    </row>
    <row r="536" spans="1:27" x14ac:dyDescent="0.25">
      <c r="A536" s="6"/>
      <c r="B536" s="7"/>
      <c r="C536" s="8"/>
      <c r="D536" s="8"/>
      <c r="E536" s="9"/>
      <c r="F536" s="9"/>
      <c r="G536" s="17"/>
      <c r="H536" s="17"/>
      <c r="I536" s="9"/>
      <c r="J536" s="9"/>
      <c r="K536" s="10">
        <v>0</v>
      </c>
      <c r="L536" s="10"/>
      <c r="M536" s="11"/>
      <c r="N536" s="12"/>
      <c r="O536" s="13"/>
      <c r="P536" s="14"/>
    </row>
    <row r="537" spans="1:27" x14ac:dyDescent="0.25">
      <c r="A537" s="6"/>
      <c r="B537" s="7"/>
      <c r="C537" s="8"/>
      <c r="D537" s="8"/>
      <c r="E537" s="9"/>
      <c r="F537" s="9"/>
      <c r="G537" s="17"/>
      <c r="H537" s="17"/>
      <c r="I537" s="9"/>
      <c r="J537" s="9"/>
      <c r="K537" s="10">
        <v>0</v>
      </c>
      <c r="L537" s="10"/>
      <c r="M537" s="11"/>
      <c r="N537" s="12"/>
      <c r="O537" s="13"/>
      <c r="P537" s="14"/>
    </row>
    <row r="538" spans="1:27" x14ac:dyDescent="0.25">
      <c r="A538" s="6"/>
      <c r="B538" s="7"/>
      <c r="C538" s="8"/>
      <c r="D538" s="8"/>
      <c r="E538" s="9"/>
      <c r="F538" s="9"/>
      <c r="G538" s="17"/>
      <c r="H538" s="17"/>
      <c r="I538" s="9"/>
      <c r="J538" s="9"/>
      <c r="K538" s="10">
        <v>0</v>
      </c>
      <c r="L538" s="10"/>
      <c r="M538" s="11"/>
      <c r="N538" s="12"/>
      <c r="O538" s="13"/>
      <c r="P538" s="14"/>
      <c r="Y538" s="25" t="e">
        <v>#DIV/0!</v>
      </c>
      <c r="Z538" s="1" t="s">
        <v>23</v>
      </c>
    </row>
    <row r="539" spans="1:27" x14ac:dyDescent="0.25">
      <c r="A539" s="6"/>
      <c r="B539" s="7"/>
      <c r="C539" s="8"/>
      <c r="D539" s="8"/>
      <c r="E539" s="9"/>
      <c r="F539" s="9"/>
      <c r="G539" s="17"/>
      <c r="H539" s="17"/>
      <c r="I539" s="9"/>
      <c r="J539" s="9"/>
      <c r="K539" s="10">
        <v>0</v>
      </c>
      <c r="L539" s="10"/>
      <c r="M539" s="11"/>
      <c r="N539" s="12"/>
      <c r="O539" s="13"/>
      <c r="P539" s="14"/>
      <c r="Y539" s="25" t="e">
        <v>#DIV/0!</v>
      </c>
      <c r="Z539" s="1" t="s">
        <v>24</v>
      </c>
    </row>
    <row r="540" spans="1:27" x14ac:dyDescent="0.25">
      <c r="A540" s="6"/>
      <c r="B540" s="7"/>
      <c r="C540" s="8"/>
      <c r="D540" s="8"/>
      <c r="E540" s="9"/>
      <c r="F540" s="9"/>
      <c r="G540" s="17"/>
      <c r="H540" s="17"/>
      <c r="I540" s="9"/>
      <c r="J540" s="9"/>
      <c r="K540" s="10">
        <v>0</v>
      </c>
      <c r="L540" s="10"/>
      <c r="M540" s="11"/>
      <c r="N540" s="12"/>
      <c r="O540" s="13"/>
      <c r="P540" s="14"/>
      <c r="Y540" s="25" t="e">
        <v>#DIV/0!</v>
      </c>
      <c r="Z540" s="1" t="s">
        <v>25</v>
      </c>
      <c r="AA540" s="1">
        <v>100</v>
      </c>
    </row>
    <row r="541" spans="1:27" x14ac:dyDescent="0.25">
      <c r="A541" s="6"/>
      <c r="B541" s="7"/>
      <c r="C541" s="8"/>
      <c r="D541" s="8"/>
      <c r="E541" s="9"/>
      <c r="F541" s="9"/>
      <c r="G541" s="17"/>
      <c r="H541" s="17"/>
      <c r="I541" s="9"/>
      <c r="J541" s="9"/>
      <c r="K541" s="10">
        <v>0</v>
      </c>
      <c r="L541" s="10"/>
      <c r="M541" s="11"/>
      <c r="N541" s="12"/>
      <c r="O541" s="13"/>
      <c r="P541" s="14"/>
      <c r="U541" s="25"/>
    </row>
    <row r="542" spans="1:27" x14ac:dyDescent="0.25">
      <c r="A542" s="6"/>
      <c r="B542" s="7"/>
      <c r="C542" s="8"/>
      <c r="D542" s="8"/>
      <c r="E542" s="9"/>
      <c r="F542" s="9"/>
      <c r="G542" s="17"/>
      <c r="H542" s="17"/>
      <c r="I542" s="9"/>
      <c r="J542" s="9"/>
      <c r="K542" s="10">
        <v>0</v>
      </c>
      <c r="L542" s="10"/>
      <c r="M542" s="11"/>
      <c r="N542" s="12"/>
      <c r="O542" s="13"/>
      <c r="P542" s="14"/>
      <c r="U542" s="25"/>
    </row>
    <row r="543" spans="1:27" x14ac:dyDescent="0.25">
      <c r="A543" s="6"/>
      <c r="B543" s="7"/>
      <c r="C543" s="8"/>
      <c r="D543" s="8"/>
      <c r="E543" s="9"/>
      <c r="F543" s="9"/>
      <c r="G543" s="17"/>
      <c r="H543" s="17"/>
      <c r="I543" s="9"/>
      <c r="J543" s="9"/>
      <c r="K543" s="10">
        <v>0</v>
      </c>
      <c r="L543" s="10"/>
      <c r="M543" s="11"/>
      <c r="N543" s="12"/>
      <c r="O543" s="13"/>
      <c r="P543" s="14"/>
      <c r="U543" s="25"/>
    </row>
    <row r="544" spans="1:27" x14ac:dyDescent="0.25">
      <c r="A544" s="6"/>
      <c r="B544" s="7"/>
      <c r="C544" s="8"/>
      <c r="D544" s="8"/>
      <c r="E544" s="9"/>
      <c r="F544" s="9"/>
      <c r="G544" s="17"/>
      <c r="H544" s="17"/>
      <c r="I544" s="9"/>
      <c r="J544" s="9"/>
      <c r="K544" s="10">
        <v>0</v>
      </c>
      <c r="L544" s="10"/>
      <c r="M544" s="11"/>
      <c r="N544" s="12"/>
      <c r="O544" s="13"/>
      <c r="P544" s="14"/>
    </row>
    <row r="545" spans="1:25" x14ac:dyDescent="0.25">
      <c r="A545" s="6"/>
      <c r="B545" s="7"/>
      <c r="C545" s="8"/>
      <c r="D545" s="8"/>
      <c r="E545" s="9"/>
      <c r="F545" s="9"/>
      <c r="G545" s="17"/>
      <c r="H545" s="17"/>
      <c r="I545" s="9"/>
      <c r="J545" s="9"/>
      <c r="K545" s="10">
        <v>0</v>
      </c>
      <c r="L545" s="10"/>
      <c r="M545" s="11"/>
      <c r="N545" s="12"/>
      <c r="O545" s="13"/>
      <c r="P545" s="14"/>
    </row>
    <row r="546" spans="1:25" x14ac:dyDescent="0.25">
      <c r="A546" s="6"/>
      <c r="B546" s="7"/>
      <c r="C546" s="8"/>
      <c r="D546" s="8"/>
      <c r="E546" s="9"/>
      <c r="F546" s="9"/>
      <c r="G546" s="17"/>
      <c r="H546" s="17"/>
      <c r="I546" s="9"/>
      <c r="J546" s="9"/>
      <c r="K546" s="10">
        <v>0</v>
      </c>
      <c r="L546" s="10"/>
      <c r="M546" s="11"/>
      <c r="N546" s="12"/>
      <c r="O546" s="13"/>
      <c r="P546" s="14"/>
    </row>
    <row r="547" spans="1:25" x14ac:dyDescent="0.25">
      <c r="A547" s="6"/>
      <c r="B547" s="7"/>
      <c r="C547" s="8"/>
      <c r="D547" s="8"/>
      <c r="E547" s="9"/>
      <c r="F547" s="9"/>
      <c r="G547" s="17"/>
      <c r="H547" s="17"/>
      <c r="I547" s="9"/>
      <c r="J547" s="9"/>
      <c r="K547" s="10">
        <v>0</v>
      </c>
      <c r="L547" s="10"/>
      <c r="M547" s="11"/>
      <c r="N547" s="12"/>
      <c r="O547" s="13"/>
      <c r="P547" s="14"/>
    </row>
    <row r="548" spans="1:25" x14ac:dyDescent="0.25">
      <c r="A548" s="6"/>
      <c r="B548" s="7"/>
      <c r="C548" s="8"/>
      <c r="D548" s="8"/>
      <c r="E548" s="9"/>
      <c r="F548" s="9"/>
      <c r="G548" s="17"/>
      <c r="H548" s="17"/>
      <c r="I548" s="9"/>
      <c r="J548" s="9"/>
      <c r="K548" s="10">
        <v>0</v>
      </c>
      <c r="L548" s="10"/>
      <c r="M548" s="11"/>
      <c r="N548" s="12"/>
      <c r="O548" s="13"/>
      <c r="P548" s="14"/>
      <c r="Y548" s="1">
        <v>0</v>
      </c>
    </row>
    <row r="549" spans="1:25" x14ac:dyDescent="0.25">
      <c r="A549" s="7"/>
      <c r="B549" s="7"/>
      <c r="C549" s="8"/>
      <c r="D549" s="8"/>
      <c r="E549" s="9"/>
      <c r="F549" s="9"/>
      <c r="G549" s="17"/>
      <c r="H549" s="17"/>
      <c r="I549" s="9"/>
      <c r="J549" s="9"/>
      <c r="K549" s="10">
        <v>0</v>
      </c>
      <c r="L549" s="10"/>
      <c r="M549" s="11"/>
      <c r="N549" s="12"/>
      <c r="O549" s="13"/>
      <c r="P549" s="14"/>
    </row>
    <row r="550" spans="1:25" x14ac:dyDescent="0.25">
      <c r="A550" s="7"/>
      <c r="B550" s="7"/>
      <c r="C550" s="8"/>
      <c r="D550" s="8"/>
      <c r="E550" s="9"/>
      <c r="F550" s="9"/>
      <c r="G550" s="17"/>
      <c r="H550" s="17"/>
      <c r="I550" s="9"/>
      <c r="J550" s="9"/>
      <c r="K550" s="10">
        <v>0</v>
      </c>
      <c r="L550" s="10"/>
      <c r="M550" s="11"/>
      <c r="N550" s="12"/>
      <c r="O550" s="13"/>
      <c r="P550" s="14"/>
    </row>
    <row r="551" spans="1:25" x14ac:dyDescent="0.25">
      <c r="A551" s="7"/>
      <c r="B551" s="7"/>
      <c r="C551" s="8"/>
      <c r="D551" s="8"/>
      <c r="E551" s="9"/>
      <c r="F551" s="9"/>
      <c r="G551" s="17"/>
      <c r="H551" s="17"/>
      <c r="I551" s="9"/>
      <c r="J551" s="9"/>
      <c r="K551" s="10">
        <v>0</v>
      </c>
      <c r="L551" s="10"/>
      <c r="M551" s="11"/>
      <c r="N551" s="12"/>
      <c r="O551" s="13"/>
      <c r="P551" s="14"/>
      <c r="U551" s="1">
        <v>0.25</v>
      </c>
      <c r="W551" s="1">
        <v>0.5</v>
      </c>
    </row>
    <row r="552" spans="1:25" x14ac:dyDescent="0.25">
      <c r="A552" s="7"/>
      <c r="B552" s="7"/>
      <c r="C552" s="8"/>
      <c r="D552" s="8"/>
      <c r="E552" s="9"/>
      <c r="F552" s="9"/>
      <c r="G552" s="17"/>
      <c r="H552" s="17"/>
      <c r="I552" s="9"/>
      <c r="J552" s="9"/>
      <c r="K552" s="10">
        <v>0</v>
      </c>
      <c r="L552" s="10"/>
      <c r="M552" s="11"/>
      <c r="N552" s="12"/>
      <c r="O552" s="13"/>
      <c r="P552" s="14"/>
    </row>
    <row r="553" spans="1:25" x14ac:dyDescent="0.25">
      <c r="A553" s="7"/>
      <c r="B553" s="7"/>
      <c r="C553" s="8"/>
      <c r="D553" s="8"/>
      <c r="E553" s="9"/>
      <c r="F553" s="9"/>
      <c r="G553" s="17"/>
      <c r="H553" s="17"/>
      <c r="I553" s="9"/>
      <c r="J553" s="9"/>
      <c r="K553" s="10">
        <v>0</v>
      </c>
      <c r="L553" s="10"/>
      <c r="M553" s="11"/>
      <c r="N553" s="12"/>
      <c r="O553" s="13"/>
      <c r="P553" s="14"/>
    </row>
    <row r="554" spans="1:25" x14ac:dyDescent="0.25">
      <c r="A554" s="7"/>
      <c r="B554" s="7"/>
      <c r="C554" s="8"/>
      <c r="D554" s="8"/>
      <c r="E554" s="9"/>
      <c r="F554" s="9"/>
      <c r="G554" s="17"/>
      <c r="H554" s="17"/>
      <c r="I554" s="9"/>
      <c r="J554" s="9"/>
      <c r="K554" s="10">
        <v>0</v>
      </c>
      <c r="L554" s="10"/>
      <c r="M554" s="11"/>
      <c r="N554" s="12"/>
      <c r="O554" s="13"/>
      <c r="P554" s="14"/>
    </row>
    <row r="555" spans="1:25" x14ac:dyDescent="0.25">
      <c r="A555" s="7"/>
      <c r="B555" s="7"/>
      <c r="C555" s="8"/>
      <c r="D555" s="8"/>
      <c r="E555" s="9"/>
      <c r="F555" s="9"/>
      <c r="G555" s="17"/>
      <c r="H555" s="17"/>
      <c r="I555" s="9"/>
      <c r="J555" s="9"/>
      <c r="K555" s="10">
        <v>0</v>
      </c>
      <c r="L555" s="10"/>
      <c r="M555" s="11"/>
      <c r="N555" s="12"/>
      <c r="O555" s="13"/>
      <c r="P555" s="14"/>
    </row>
    <row r="556" spans="1:25" x14ac:dyDescent="0.25">
      <c r="A556" s="7"/>
      <c r="B556" s="7"/>
      <c r="C556" s="8"/>
      <c r="D556" s="8"/>
      <c r="E556" s="9"/>
      <c r="F556" s="9"/>
      <c r="G556" s="17"/>
      <c r="H556" s="17"/>
      <c r="I556" s="9"/>
      <c r="J556" s="9"/>
      <c r="K556" s="10">
        <v>0</v>
      </c>
      <c r="L556" s="10"/>
      <c r="M556" s="11"/>
      <c r="N556" s="12"/>
      <c r="O556" s="13"/>
      <c r="P556" s="14"/>
    </row>
    <row r="557" spans="1:25" x14ac:dyDescent="0.25">
      <c r="A557" s="7"/>
      <c r="B557" s="7"/>
      <c r="C557" s="8"/>
      <c r="D557" s="8"/>
      <c r="E557" s="9"/>
      <c r="F557" s="9"/>
      <c r="G557" s="17"/>
      <c r="H557" s="17"/>
      <c r="I557" s="9"/>
      <c r="J557" s="9"/>
      <c r="K557" s="10">
        <v>0</v>
      </c>
      <c r="L557" s="10"/>
      <c r="M557" s="11"/>
      <c r="N557" s="12"/>
      <c r="O557" s="13"/>
      <c r="P557" s="14"/>
    </row>
    <row r="558" spans="1:25" x14ac:dyDescent="0.25">
      <c r="A558" s="7"/>
      <c r="B558" s="7"/>
      <c r="C558" s="8"/>
      <c r="D558" s="8"/>
      <c r="E558" s="9"/>
      <c r="F558" s="9"/>
      <c r="G558" s="17"/>
      <c r="H558" s="17"/>
      <c r="I558" s="9"/>
      <c r="J558" s="9"/>
      <c r="K558" s="10">
        <v>0</v>
      </c>
      <c r="L558" s="10"/>
      <c r="M558" s="11"/>
      <c r="N558" s="12"/>
      <c r="O558" s="13"/>
      <c r="P558" s="14"/>
    </row>
    <row r="559" spans="1:25" x14ac:dyDescent="0.25">
      <c r="A559" s="7"/>
      <c r="B559" s="7"/>
      <c r="C559" s="8"/>
      <c r="D559" s="8"/>
      <c r="E559" s="9"/>
      <c r="F559" s="9"/>
      <c r="G559" s="17"/>
      <c r="H559" s="17"/>
      <c r="I559" s="9"/>
      <c r="J559" s="9"/>
      <c r="K559" s="10">
        <v>0</v>
      </c>
      <c r="L559" s="10"/>
      <c r="M559" s="11"/>
      <c r="N559" s="12"/>
      <c r="O559" s="13"/>
      <c r="P559" s="14"/>
    </row>
    <row r="560" spans="1:25" x14ac:dyDescent="0.25">
      <c r="A560" s="7"/>
      <c r="B560" s="7"/>
      <c r="C560" s="8"/>
      <c r="D560" s="8"/>
      <c r="E560" s="9"/>
      <c r="F560" s="9"/>
      <c r="G560" s="17"/>
      <c r="H560" s="17"/>
      <c r="I560" s="9"/>
      <c r="J560" s="9"/>
      <c r="K560" s="10">
        <v>0</v>
      </c>
      <c r="L560" s="10"/>
      <c r="M560" s="11"/>
      <c r="N560" s="12"/>
      <c r="O560" s="13"/>
      <c r="P560" s="14"/>
    </row>
    <row r="561" spans="1:16" x14ac:dyDescent="0.25">
      <c r="A561" s="7"/>
      <c r="B561" s="7"/>
      <c r="C561" s="8"/>
      <c r="D561" s="8"/>
      <c r="E561" s="9"/>
      <c r="F561" s="9"/>
      <c r="G561" s="17"/>
      <c r="H561" s="17"/>
      <c r="I561" s="9"/>
      <c r="J561" s="9"/>
      <c r="K561" s="10">
        <v>0</v>
      </c>
      <c r="L561" s="10"/>
      <c r="M561" s="11"/>
      <c r="N561" s="12"/>
      <c r="O561" s="13"/>
      <c r="P561" s="14"/>
    </row>
    <row r="562" spans="1:16" x14ac:dyDescent="0.25">
      <c r="A562" s="7"/>
      <c r="B562" s="7"/>
      <c r="C562" s="8"/>
      <c r="D562" s="8"/>
      <c r="E562" s="9"/>
      <c r="F562" s="9"/>
      <c r="G562" s="17"/>
      <c r="H562" s="17"/>
      <c r="I562" s="9"/>
      <c r="J562" s="9"/>
      <c r="K562" s="10">
        <v>0</v>
      </c>
      <c r="L562" s="10"/>
      <c r="M562" s="11"/>
      <c r="N562" s="12"/>
      <c r="O562" s="13"/>
      <c r="P562" s="14"/>
    </row>
    <row r="563" spans="1:16" x14ac:dyDescent="0.25">
      <c r="A563" s="7"/>
      <c r="B563" s="7"/>
      <c r="C563" s="8"/>
      <c r="D563" s="8"/>
      <c r="E563" s="9"/>
      <c r="F563" s="9"/>
      <c r="G563" s="17"/>
      <c r="H563" s="17"/>
      <c r="I563" s="9"/>
      <c r="J563" s="9"/>
      <c r="K563" s="10">
        <v>0</v>
      </c>
      <c r="L563" s="10"/>
      <c r="M563" s="11"/>
      <c r="N563" s="12"/>
      <c r="O563" s="13"/>
      <c r="P563" s="14"/>
    </row>
    <row r="564" spans="1:16" x14ac:dyDescent="0.25">
      <c r="A564" s="7"/>
      <c r="B564" s="7"/>
      <c r="C564" s="8"/>
      <c r="D564" s="8"/>
      <c r="E564" s="9"/>
      <c r="F564" s="9"/>
      <c r="G564" s="17"/>
      <c r="H564" s="17"/>
      <c r="I564" s="9"/>
      <c r="J564" s="9"/>
      <c r="K564" s="10">
        <v>0</v>
      </c>
      <c r="L564" s="10"/>
      <c r="M564" s="11"/>
      <c r="N564" s="12"/>
      <c r="O564" s="13"/>
      <c r="P564" s="14"/>
    </row>
    <row r="565" spans="1:16" x14ac:dyDescent="0.25">
      <c r="A565" s="6"/>
      <c r="B565" s="15"/>
      <c r="C565" s="8"/>
      <c r="D565" s="8"/>
      <c r="E565" s="9"/>
      <c r="F565" s="9"/>
      <c r="G565" s="17"/>
      <c r="H565" s="17"/>
      <c r="I565" s="9"/>
      <c r="J565" s="9"/>
      <c r="K565" s="10">
        <v>0</v>
      </c>
      <c r="L565" s="10"/>
      <c r="M565" s="11"/>
      <c r="N565" s="12"/>
      <c r="O565" s="13"/>
      <c r="P565" s="14"/>
    </row>
    <row r="566" spans="1:16" x14ac:dyDescent="0.25">
      <c r="A566" s="6"/>
      <c r="B566" s="7"/>
      <c r="C566" s="8"/>
      <c r="D566" s="8"/>
      <c r="E566" s="9"/>
      <c r="F566" s="9"/>
      <c r="G566" s="17"/>
      <c r="H566" s="17"/>
      <c r="I566" s="9"/>
      <c r="J566" s="9"/>
      <c r="K566" s="10">
        <v>0</v>
      </c>
      <c r="L566" s="10"/>
      <c r="M566" s="11"/>
      <c r="N566" s="12"/>
      <c r="O566" s="13"/>
      <c r="P566" s="14"/>
    </row>
    <row r="567" spans="1:16" x14ac:dyDescent="0.25">
      <c r="A567" s="6"/>
      <c r="B567" s="7"/>
      <c r="C567" s="8"/>
      <c r="D567" s="8"/>
      <c r="E567" s="9"/>
      <c r="F567" s="9"/>
      <c r="G567" s="17"/>
      <c r="H567" s="17"/>
      <c r="I567" s="9"/>
      <c r="J567" s="9"/>
      <c r="K567" s="10">
        <v>0</v>
      </c>
      <c r="L567" s="10"/>
      <c r="M567" s="11"/>
      <c r="N567" s="12"/>
      <c r="O567" s="13"/>
      <c r="P567" s="14"/>
    </row>
    <row r="568" spans="1:16" x14ac:dyDescent="0.25">
      <c r="A568" s="6"/>
      <c r="B568" s="7"/>
      <c r="C568" s="8"/>
      <c r="D568" s="8"/>
      <c r="E568" s="9"/>
      <c r="F568" s="9"/>
      <c r="G568" s="17"/>
      <c r="H568" s="17"/>
      <c r="I568" s="9"/>
      <c r="J568" s="9"/>
      <c r="K568" s="10">
        <v>0</v>
      </c>
      <c r="L568" s="10"/>
      <c r="M568" s="11"/>
      <c r="N568" s="12"/>
      <c r="O568" s="13"/>
      <c r="P568" s="14"/>
    </row>
    <row r="569" spans="1:16" x14ac:dyDescent="0.25">
      <c r="A569" s="6"/>
      <c r="B569" s="7"/>
      <c r="C569" s="8"/>
      <c r="D569" s="8"/>
      <c r="E569" s="9"/>
      <c r="F569" s="9"/>
      <c r="G569" s="17"/>
      <c r="H569" s="17"/>
      <c r="I569" s="9"/>
      <c r="J569" s="9"/>
      <c r="K569" s="10">
        <v>0</v>
      </c>
      <c r="L569" s="10"/>
      <c r="M569" s="11"/>
      <c r="N569" s="12"/>
      <c r="O569" s="13"/>
      <c r="P569" s="14"/>
    </row>
    <row r="570" spans="1:16" x14ac:dyDescent="0.25">
      <c r="A570" s="6"/>
      <c r="B570" s="7"/>
      <c r="C570" s="8"/>
      <c r="D570" s="8"/>
      <c r="E570" s="9"/>
      <c r="F570" s="9"/>
      <c r="G570" s="17"/>
      <c r="H570" s="17"/>
      <c r="I570" s="9"/>
      <c r="J570" s="9"/>
      <c r="K570" s="10">
        <v>0</v>
      </c>
      <c r="L570" s="10"/>
      <c r="M570" s="11"/>
      <c r="N570" s="12"/>
      <c r="O570" s="13"/>
      <c r="P570" s="14"/>
    </row>
    <row r="571" spans="1:16" x14ac:dyDescent="0.25">
      <c r="A571" s="6"/>
      <c r="B571" s="7"/>
      <c r="C571" s="8"/>
      <c r="D571" s="8"/>
      <c r="E571" s="9"/>
      <c r="F571" s="9"/>
      <c r="G571" s="17"/>
      <c r="H571" s="17"/>
      <c r="I571" s="9"/>
      <c r="J571" s="9"/>
      <c r="K571" s="10">
        <v>0</v>
      </c>
      <c r="L571" s="10"/>
      <c r="M571" s="11"/>
      <c r="N571" s="12"/>
      <c r="O571" s="13"/>
      <c r="P571" s="14"/>
    </row>
    <row r="572" spans="1:16" x14ac:dyDescent="0.25">
      <c r="A572" s="6"/>
      <c r="B572" s="7"/>
      <c r="C572" s="8"/>
      <c r="D572" s="8"/>
      <c r="E572" s="9"/>
      <c r="F572" s="9"/>
      <c r="G572" s="17"/>
      <c r="H572" s="17"/>
      <c r="I572" s="9"/>
      <c r="J572" s="9"/>
      <c r="K572" s="10">
        <v>0</v>
      </c>
      <c r="L572" s="10"/>
      <c r="M572" s="11"/>
      <c r="N572" s="12"/>
      <c r="O572" s="13"/>
      <c r="P572" s="14"/>
    </row>
    <row r="573" spans="1:16" x14ac:dyDescent="0.25">
      <c r="A573" s="6"/>
      <c r="B573" s="7"/>
      <c r="C573" s="8"/>
      <c r="D573" s="8"/>
      <c r="E573" s="9"/>
      <c r="F573" s="9"/>
      <c r="G573" s="17"/>
      <c r="H573" s="17"/>
      <c r="I573" s="9"/>
      <c r="J573" s="9"/>
      <c r="K573" s="10">
        <v>0</v>
      </c>
      <c r="L573" s="10"/>
      <c r="M573" s="11"/>
      <c r="N573" s="12"/>
      <c r="O573" s="13"/>
      <c r="P573" s="14"/>
    </row>
    <row r="574" spans="1:16" x14ac:dyDescent="0.25">
      <c r="A574" s="6"/>
      <c r="B574" s="7"/>
      <c r="C574" s="8"/>
      <c r="D574" s="8"/>
      <c r="E574" s="9"/>
      <c r="F574" s="9"/>
      <c r="G574" s="17"/>
      <c r="H574" s="17"/>
      <c r="I574" s="9"/>
      <c r="J574" s="9"/>
      <c r="K574" s="10">
        <v>0</v>
      </c>
      <c r="L574" s="10"/>
      <c r="M574" s="11"/>
      <c r="N574" s="12"/>
      <c r="O574" s="13"/>
      <c r="P574" s="14"/>
    </row>
    <row r="575" spans="1:16" x14ac:dyDescent="0.25">
      <c r="A575" s="6"/>
      <c r="B575" s="7"/>
      <c r="C575" s="8"/>
      <c r="D575" s="8"/>
      <c r="E575" s="9"/>
      <c r="F575" s="9"/>
      <c r="G575" s="17"/>
      <c r="H575" s="17"/>
      <c r="I575" s="9"/>
      <c r="J575" s="9"/>
      <c r="K575" s="10">
        <v>0</v>
      </c>
      <c r="L575" s="10"/>
      <c r="M575" s="11"/>
      <c r="N575" s="12"/>
      <c r="O575" s="13"/>
      <c r="P575" s="14"/>
    </row>
    <row r="576" spans="1:16" x14ac:dyDescent="0.25">
      <c r="A576" s="6"/>
      <c r="B576" s="7"/>
      <c r="C576" s="8"/>
      <c r="D576" s="8"/>
      <c r="E576" s="9"/>
      <c r="F576" s="9"/>
      <c r="G576" s="17"/>
      <c r="H576" s="17"/>
      <c r="I576" s="9"/>
      <c r="J576" s="9"/>
      <c r="K576" s="10">
        <v>0</v>
      </c>
      <c r="L576" s="10"/>
      <c r="M576" s="11"/>
      <c r="N576" s="12"/>
      <c r="O576" s="13"/>
      <c r="P576" s="14"/>
    </row>
    <row r="577" spans="1:16" x14ac:dyDescent="0.25">
      <c r="A577" s="6"/>
      <c r="B577" s="7"/>
      <c r="C577" s="8"/>
      <c r="D577" s="8"/>
      <c r="E577" s="9"/>
      <c r="F577" s="9"/>
      <c r="G577" s="17"/>
      <c r="H577" s="17"/>
      <c r="I577" s="9"/>
      <c r="J577" s="9"/>
      <c r="K577" s="10">
        <v>0</v>
      </c>
      <c r="L577" s="10"/>
      <c r="M577" s="11"/>
      <c r="N577" s="12"/>
      <c r="O577" s="13"/>
      <c r="P577" s="14"/>
    </row>
    <row r="578" spans="1:16" x14ac:dyDescent="0.25">
      <c r="A578" s="6"/>
      <c r="B578" s="7"/>
      <c r="C578" s="8"/>
      <c r="D578" s="8"/>
      <c r="E578" s="9"/>
      <c r="F578" s="9"/>
      <c r="G578" s="17"/>
      <c r="H578" s="17"/>
      <c r="I578" s="9"/>
      <c r="J578" s="9"/>
      <c r="K578" s="10">
        <v>0</v>
      </c>
      <c r="L578" s="10"/>
      <c r="M578" s="11"/>
      <c r="N578" s="12"/>
      <c r="O578" s="13"/>
      <c r="P578" s="14"/>
    </row>
    <row r="579" spans="1:16" x14ac:dyDescent="0.25">
      <c r="A579" s="6"/>
      <c r="B579" s="7"/>
      <c r="C579" s="8"/>
      <c r="D579" s="8"/>
      <c r="E579" s="9"/>
      <c r="F579" s="9"/>
      <c r="G579" s="17"/>
      <c r="H579" s="17"/>
      <c r="I579" s="9"/>
      <c r="J579" s="9"/>
      <c r="K579" s="10">
        <v>0</v>
      </c>
      <c r="L579" s="10"/>
      <c r="M579" s="11"/>
      <c r="N579" s="12"/>
      <c r="O579" s="13"/>
      <c r="P579" s="14"/>
    </row>
    <row r="580" spans="1:16" x14ac:dyDescent="0.25">
      <c r="A580" s="6"/>
      <c r="B580" s="7"/>
      <c r="C580" s="8"/>
      <c r="D580" s="8"/>
      <c r="E580" s="9"/>
      <c r="F580" s="9"/>
      <c r="G580" s="17"/>
      <c r="H580" s="17"/>
      <c r="I580" s="9"/>
      <c r="J580" s="9"/>
      <c r="K580" s="10">
        <v>0</v>
      </c>
      <c r="L580" s="10"/>
      <c r="M580" s="11"/>
      <c r="N580" s="12"/>
      <c r="O580" s="13"/>
      <c r="P580" s="14"/>
    </row>
    <row r="581" spans="1:16" x14ac:dyDescent="0.25">
      <c r="A581" s="6"/>
      <c r="B581" s="7"/>
      <c r="C581" s="8"/>
      <c r="D581" s="8"/>
      <c r="E581" s="9"/>
      <c r="F581" s="9"/>
      <c r="G581" s="17"/>
      <c r="H581" s="17"/>
      <c r="I581" s="9"/>
      <c r="J581" s="9"/>
      <c r="K581" s="10">
        <v>0</v>
      </c>
      <c r="L581" s="10"/>
      <c r="M581" s="11"/>
      <c r="N581" s="12"/>
      <c r="O581" s="13"/>
      <c r="P581" s="14"/>
    </row>
    <row r="582" spans="1:16" x14ac:dyDescent="0.25">
      <c r="A582" s="6"/>
      <c r="B582" s="7"/>
      <c r="C582" s="8"/>
      <c r="D582" s="8"/>
      <c r="E582" s="9"/>
      <c r="F582" s="9"/>
      <c r="G582" s="17"/>
      <c r="H582" s="17"/>
      <c r="I582" s="9"/>
      <c r="J582" s="9"/>
      <c r="K582" s="10">
        <v>0</v>
      </c>
      <c r="L582" s="10"/>
      <c r="M582" s="11"/>
      <c r="N582" s="12"/>
      <c r="O582" s="13"/>
      <c r="P582" s="14"/>
    </row>
    <row r="583" spans="1:16" x14ac:dyDescent="0.25">
      <c r="A583" s="6"/>
      <c r="B583" s="7"/>
      <c r="C583" s="8"/>
      <c r="D583" s="8"/>
      <c r="E583" s="9"/>
      <c r="F583" s="9"/>
      <c r="G583" s="17"/>
      <c r="H583" s="17"/>
      <c r="I583" s="9"/>
      <c r="J583" s="9"/>
      <c r="K583" s="10">
        <v>0</v>
      </c>
      <c r="L583" s="10"/>
      <c r="M583" s="11"/>
      <c r="N583" s="12"/>
      <c r="O583" s="13"/>
      <c r="P583" s="14"/>
    </row>
    <row r="584" spans="1:16" x14ac:dyDescent="0.25">
      <c r="A584" s="6"/>
      <c r="B584" s="7"/>
      <c r="C584" s="8"/>
      <c r="D584" s="8"/>
      <c r="E584" s="9"/>
      <c r="F584" s="9"/>
      <c r="G584" s="17"/>
      <c r="H584" s="17"/>
      <c r="I584" s="9"/>
      <c r="J584" s="9"/>
      <c r="K584" s="10">
        <v>0</v>
      </c>
      <c r="L584" s="10"/>
      <c r="M584" s="11"/>
      <c r="N584" s="12"/>
      <c r="O584" s="13"/>
      <c r="P584" s="14"/>
    </row>
    <row r="585" spans="1:16" x14ac:dyDescent="0.25">
      <c r="A585" s="6"/>
      <c r="B585" s="7"/>
      <c r="C585" s="8"/>
      <c r="D585" s="8"/>
      <c r="E585" s="9"/>
      <c r="F585" s="9"/>
      <c r="G585" s="17"/>
      <c r="H585" s="17"/>
      <c r="I585" s="9"/>
      <c r="J585" s="9"/>
      <c r="K585" s="10">
        <v>0</v>
      </c>
      <c r="L585" s="10"/>
      <c r="M585" s="11"/>
      <c r="N585" s="12"/>
      <c r="O585" s="13"/>
      <c r="P585" s="14"/>
    </row>
    <row r="586" spans="1:16" x14ac:dyDescent="0.25">
      <c r="A586" s="6"/>
      <c r="B586" s="7"/>
      <c r="C586" s="8"/>
      <c r="D586" s="8"/>
      <c r="E586" s="9"/>
      <c r="F586" s="9"/>
      <c r="G586" s="17"/>
      <c r="H586" s="17"/>
      <c r="I586" s="9"/>
      <c r="J586" s="9"/>
      <c r="K586" s="10">
        <v>0</v>
      </c>
      <c r="L586" s="10"/>
      <c r="M586" s="11"/>
      <c r="N586" s="12"/>
      <c r="O586" s="13"/>
      <c r="P586" s="14"/>
    </row>
    <row r="587" spans="1:16" x14ac:dyDescent="0.25">
      <c r="A587" s="6"/>
      <c r="B587" s="7"/>
      <c r="C587" s="8"/>
      <c r="D587" s="8"/>
      <c r="E587" s="9"/>
      <c r="F587" s="9"/>
      <c r="G587" s="17"/>
      <c r="H587" s="17"/>
      <c r="I587" s="9"/>
      <c r="J587" s="9"/>
      <c r="K587" s="10">
        <v>0</v>
      </c>
      <c r="L587" s="10"/>
      <c r="M587" s="11"/>
      <c r="N587" s="12"/>
      <c r="O587" s="13"/>
      <c r="P587" s="14"/>
    </row>
    <row r="588" spans="1:16" x14ac:dyDescent="0.25">
      <c r="A588" s="6"/>
      <c r="B588" s="7"/>
      <c r="C588" s="8"/>
      <c r="D588" s="8"/>
      <c r="E588" s="9"/>
      <c r="F588" s="9"/>
      <c r="G588" s="17"/>
      <c r="H588" s="17"/>
      <c r="I588" s="9"/>
      <c r="J588" s="9"/>
      <c r="K588" s="10">
        <v>0</v>
      </c>
      <c r="L588" s="10"/>
      <c r="M588" s="11"/>
      <c r="N588" s="12"/>
      <c r="O588" s="13"/>
      <c r="P588" s="14"/>
    </row>
    <row r="589" spans="1:16" x14ac:dyDescent="0.25">
      <c r="A589" s="6"/>
      <c r="B589" s="7"/>
      <c r="C589" s="8"/>
      <c r="D589" s="8"/>
      <c r="E589" s="9"/>
      <c r="F589" s="9"/>
      <c r="G589" s="17"/>
      <c r="H589" s="17"/>
      <c r="I589" s="9"/>
      <c r="J589" s="9"/>
      <c r="K589" s="10">
        <v>0</v>
      </c>
      <c r="L589" s="10"/>
      <c r="M589" s="11"/>
      <c r="N589" s="12"/>
      <c r="O589" s="13"/>
      <c r="P589" s="14"/>
    </row>
    <row r="590" spans="1:16" x14ac:dyDescent="0.25">
      <c r="A590" s="6"/>
      <c r="B590" s="7"/>
      <c r="C590" s="8"/>
      <c r="D590" s="8"/>
      <c r="E590" s="9"/>
      <c r="F590" s="9"/>
      <c r="G590" s="17"/>
      <c r="H590" s="17"/>
      <c r="I590" s="9"/>
      <c r="J590" s="9"/>
      <c r="K590" s="10">
        <v>0</v>
      </c>
      <c r="L590" s="10"/>
      <c r="M590" s="11"/>
      <c r="N590" s="12"/>
      <c r="O590" s="13"/>
      <c r="P590" s="14"/>
    </row>
    <row r="591" spans="1:16" x14ac:dyDescent="0.25">
      <c r="A591" s="6"/>
      <c r="B591" s="7"/>
      <c r="C591" s="8"/>
      <c r="D591" s="8"/>
      <c r="E591" s="9"/>
      <c r="F591" s="9"/>
      <c r="G591" s="17"/>
      <c r="H591" s="17"/>
      <c r="I591" s="9"/>
      <c r="J591" s="9"/>
      <c r="K591" s="10">
        <v>0</v>
      </c>
      <c r="L591" s="10"/>
      <c r="M591" s="11"/>
      <c r="N591" s="12"/>
      <c r="O591" s="13"/>
      <c r="P591" s="14"/>
    </row>
    <row r="592" spans="1:16" x14ac:dyDescent="0.25">
      <c r="A592" s="6"/>
      <c r="B592" s="7"/>
      <c r="C592" s="8"/>
      <c r="D592" s="8"/>
      <c r="E592" s="9"/>
      <c r="F592" s="9"/>
      <c r="G592" s="17"/>
      <c r="H592" s="17"/>
      <c r="I592" s="9"/>
      <c r="J592" s="9"/>
      <c r="K592" s="10">
        <v>0</v>
      </c>
      <c r="L592" s="10"/>
      <c r="M592" s="11"/>
      <c r="N592" s="12"/>
      <c r="O592" s="13"/>
      <c r="P592" s="14"/>
    </row>
    <row r="593" spans="1:16" x14ac:dyDescent="0.25">
      <c r="A593" s="6"/>
      <c r="B593" s="7"/>
      <c r="C593" s="8"/>
      <c r="D593" s="8"/>
      <c r="E593" s="9"/>
      <c r="F593" s="9"/>
      <c r="G593" s="17"/>
      <c r="H593" s="17"/>
      <c r="I593" s="9"/>
      <c r="J593" s="9"/>
      <c r="K593" s="10">
        <v>0</v>
      </c>
      <c r="L593" s="10"/>
      <c r="M593" s="11"/>
      <c r="N593" s="12"/>
      <c r="O593" s="13"/>
      <c r="P593" s="14"/>
    </row>
    <row r="594" spans="1:16" x14ac:dyDescent="0.25">
      <c r="A594" s="6"/>
      <c r="B594" s="7"/>
      <c r="C594" s="8"/>
      <c r="D594" s="8"/>
      <c r="E594" s="9"/>
      <c r="F594" s="9"/>
      <c r="G594" s="17"/>
      <c r="H594" s="17"/>
      <c r="I594" s="9"/>
      <c r="J594" s="9"/>
      <c r="K594" s="10">
        <v>0</v>
      </c>
      <c r="L594" s="10"/>
      <c r="M594" s="11"/>
      <c r="N594" s="12"/>
      <c r="O594" s="13"/>
      <c r="P594" s="14"/>
    </row>
    <row r="595" spans="1:16" x14ac:dyDescent="0.25">
      <c r="A595" s="6"/>
      <c r="B595" s="7"/>
      <c r="C595" s="8"/>
      <c r="D595" s="8"/>
      <c r="E595" s="9"/>
      <c r="F595" s="9"/>
      <c r="G595" s="17"/>
      <c r="H595" s="17"/>
      <c r="I595" s="9"/>
      <c r="J595" s="9"/>
      <c r="K595" s="10">
        <v>0</v>
      </c>
      <c r="L595" s="10"/>
      <c r="M595" s="11"/>
      <c r="N595" s="12"/>
      <c r="O595" s="13"/>
      <c r="P595" s="14"/>
    </row>
    <row r="596" spans="1:16" x14ac:dyDescent="0.25">
      <c r="A596" s="6"/>
      <c r="B596" s="7"/>
      <c r="C596" s="8"/>
      <c r="D596" s="8"/>
      <c r="E596" s="9"/>
      <c r="F596" s="9"/>
      <c r="G596" s="17"/>
      <c r="H596" s="17"/>
      <c r="I596" s="9"/>
      <c r="J596" s="9"/>
      <c r="K596" s="10">
        <v>0</v>
      </c>
      <c r="L596" s="10"/>
      <c r="M596" s="11"/>
      <c r="N596" s="12"/>
      <c r="O596" s="13"/>
      <c r="P596" s="14"/>
    </row>
    <row r="597" spans="1:16" x14ac:dyDescent="0.25">
      <c r="A597" s="6"/>
      <c r="B597" s="7"/>
      <c r="C597" s="8"/>
      <c r="D597" s="8"/>
      <c r="E597" s="9"/>
      <c r="F597" s="9"/>
      <c r="G597" s="17"/>
      <c r="H597" s="17"/>
      <c r="I597" s="9"/>
      <c r="J597" s="9"/>
      <c r="K597" s="10">
        <v>0</v>
      </c>
      <c r="L597" s="10"/>
      <c r="M597" s="11"/>
      <c r="N597" s="12"/>
      <c r="O597" s="13"/>
      <c r="P597" s="14"/>
    </row>
    <row r="598" spans="1:16" x14ac:dyDescent="0.25">
      <c r="A598" s="6"/>
      <c r="B598" s="7"/>
      <c r="C598" s="8"/>
      <c r="D598" s="8"/>
      <c r="E598" s="9"/>
      <c r="F598" s="9"/>
      <c r="G598" s="17"/>
      <c r="H598" s="17"/>
      <c r="I598" s="9"/>
      <c r="J598" s="9"/>
      <c r="K598" s="10">
        <v>0</v>
      </c>
      <c r="L598" s="10"/>
      <c r="M598" s="11"/>
      <c r="N598" s="12"/>
      <c r="O598" s="13"/>
      <c r="P598" s="14"/>
    </row>
    <row r="599" spans="1:16" x14ac:dyDescent="0.25">
      <c r="A599" s="6"/>
      <c r="B599" s="7"/>
      <c r="C599" s="8"/>
      <c r="D599" s="8"/>
      <c r="E599" s="9"/>
      <c r="F599" s="9"/>
      <c r="G599" s="17"/>
      <c r="H599" s="17"/>
      <c r="I599" s="9"/>
      <c r="J599" s="9"/>
      <c r="K599" s="10">
        <v>0</v>
      </c>
      <c r="L599" s="10"/>
      <c r="M599" s="11"/>
      <c r="N599" s="12"/>
      <c r="O599" s="13"/>
      <c r="P599" s="14"/>
    </row>
    <row r="600" spans="1:16" x14ac:dyDescent="0.25">
      <c r="A600" s="6"/>
      <c r="B600" s="7"/>
      <c r="C600" s="8"/>
      <c r="D600" s="8"/>
      <c r="E600" s="9"/>
      <c r="F600" s="9"/>
      <c r="G600" s="17"/>
      <c r="H600" s="17"/>
      <c r="I600" s="9"/>
      <c r="J600" s="9"/>
      <c r="K600" s="10">
        <v>0</v>
      </c>
      <c r="L600" s="10"/>
      <c r="M600" s="11"/>
      <c r="N600" s="12"/>
      <c r="O600" s="13"/>
      <c r="P600" s="14"/>
    </row>
    <row r="601" spans="1:16" x14ac:dyDescent="0.25">
      <c r="A601" s="6"/>
      <c r="B601" s="7"/>
      <c r="C601" s="8"/>
      <c r="D601" s="8"/>
      <c r="E601" s="9"/>
      <c r="F601" s="9"/>
      <c r="G601" s="17"/>
      <c r="H601" s="17"/>
      <c r="I601" s="9"/>
      <c r="J601" s="9"/>
      <c r="K601" s="10">
        <v>0</v>
      </c>
      <c r="L601" s="10"/>
      <c r="M601" s="11"/>
      <c r="N601" s="12"/>
      <c r="O601" s="13"/>
      <c r="P601" s="14"/>
    </row>
    <row r="602" spans="1:16" x14ac:dyDescent="0.25">
      <c r="A602" s="6"/>
      <c r="B602" s="7"/>
      <c r="C602" s="8"/>
      <c r="D602" s="8"/>
      <c r="E602" s="9"/>
      <c r="F602" s="9"/>
      <c r="G602" s="17"/>
      <c r="H602" s="17"/>
      <c r="I602" s="9"/>
      <c r="J602" s="9"/>
      <c r="K602" s="10">
        <v>0</v>
      </c>
      <c r="L602" s="10"/>
      <c r="M602" s="11"/>
      <c r="N602" s="12"/>
      <c r="O602" s="13"/>
      <c r="P602" s="14"/>
    </row>
    <row r="603" spans="1:16" x14ac:dyDescent="0.25">
      <c r="A603" s="6"/>
      <c r="B603" s="7"/>
      <c r="C603" s="8"/>
      <c r="D603" s="8"/>
      <c r="E603" s="9"/>
      <c r="F603" s="9"/>
      <c r="G603" s="17"/>
      <c r="H603" s="17"/>
      <c r="I603" s="9"/>
      <c r="J603" s="9"/>
      <c r="K603" s="10">
        <v>0</v>
      </c>
      <c r="L603" s="10"/>
      <c r="M603" s="11"/>
      <c r="N603" s="12"/>
      <c r="O603" s="13"/>
      <c r="P603" s="14"/>
    </row>
    <row r="604" spans="1:16" x14ac:dyDescent="0.25">
      <c r="A604" s="6"/>
      <c r="B604" s="7"/>
      <c r="C604" s="8"/>
      <c r="D604" s="8"/>
      <c r="E604" s="9"/>
      <c r="F604" s="9"/>
      <c r="G604" s="17"/>
      <c r="H604" s="17"/>
      <c r="I604" s="9"/>
      <c r="J604" s="9"/>
      <c r="K604" s="10">
        <v>0</v>
      </c>
      <c r="L604" s="10"/>
      <c r="M604" s="11"/>
      <c r="N604" s="12"/>
      <c r="O604" s="13"/>
      <c r="P604" s="14"/>
    </row>
    <row r="605" spans="1:16" x14ac:dyDescent="0.25">
      <c r="A605" s="6"/>
      <c r="B605" s="7"/>
      <c r="C605" s="8"/>
      <c r="D605" s="8"/>
      <c r="E605" s="9"/>
      <c r="F605" s="9"/>
      <c r="G605" s="17"/>
      <c r="H605" s="17"/>
      <c r="I605" s="9"/>
      <c r="J605" s="9"/>
      <c r="K605" s="10">
        <v>0</v>
      </c>
      <c r="L605" s="10"/>
      <c r="M605" s="11"/>
      <c r="N605" s="12"/>
      <c r="O605" s="13"/>
      <c r="P605" s="14"/>
    </row>
    <row r="606" spans="1:16" x14ac:dyDescent="0.25">
      <c r="A606" s="6"/>
      <c r="B606" s="7"/>
      <c r="C606" s="8"/>
      <c r="D606" s="8"/>
      <c r="E606" s="9"/>
      <c r="F606" s="9"/>
      <c r="G606" s="17"/>
      <c r="H606" s="17"/>
      <c r="I606" s="9"/>
      <c r="J606" s="9"/>
      <c r="K606" s="10">
        <v>0</v>
      </c>
      <c r="L606" s="10"/>
      <c r="M606" s="11"/>
      <c r="N606" s="12"/>
      <c r="O606" s="13"/>
      <c r="P606" s="14"/>
    </row>
    <row r="607" spans="1:16" x14ac:dyDescent="0.25">
      <c r="A607" s="6"/>
      <c r="B607" s="7"/>
      <c r="C607" s="8"/>
      <c r="D607" s="8"/>
      <c r="E607" s="9"/>
      <c r="F607" s="9"/>
      <c r="G607" s="17"/>
      <c r="H607" s="17"/>
      <c r="I607" s="9"/>
      <c r="J607" s="9"/>
      <c r="K607" s="10">
        <v>0</v>
      </c>
      <c r="L607" s="10"/>
      <c r="M607" s="11"/>
      <c r="N607" s="12"/>
      <c r="O607" s="13"/>
      <c r="P607" s="14"/>
    </row>
    <row r="608" spans="1:16" x14ac:dyDescent="0.25">
      <c r="A608" s="6"/>
      <c r="B608" s="7"/>
      <c r="C608" s="8"/>
      <c r="D608" s="8"/>
      <c r="E608" s="9"/>
      <c r="F608" s="9"/>
      <c r="G608" s="17"/>
      <c r="H608" s="17"/>
      <c r="I608" s="9"/>
      <c r="J608" s="9"/>
      <c r="K608" s="10">
        <v>0</v>
      </c>
      <c r="L608" s="10"/>
      <c r="M608" s="11"/>
      <c r="N608" s="12"/>
      <c r="O608" s="13"/>
      <c r="P608" s="14"/>
    </row>
    <row r="609" spans="1:16" x14ac:dyDescent="0.25">
      <c r="A609" s="6"/>
      <c r="B609" s="7"/>
      <c r="C609" s="8"/>
      <c r="D609" s="8"/>
      <c r="E609" s="9"/>
      <c r="F609" s="9"/>
      <c r="G609" s="17"/>
      <c r="H609" s="17"/>
      <c r="I609" s="9"/>
      <c r="J609" s="9"/>
      <c r="K609" s="10">
        <v>0</v>
      </c>
      <c r="L609" s="10"/>
      <c r="M609" s="11"/>
      <c r="N609" s="12"/>
      <c r="O609" s="13"/>
      <c r="P609" s="14"/>
    </row>
    <row r="610" spans="1:16" x14ac:dyDescent="0.25">
      <c r="A610" s="6"/>
      <c r="B610" s="7"/>
      <c r="C610" s="8"/>
      <c r="D610" s="8"/>
      <c r="E610" s="9"/>
      <c r="F610" s="9"/>
      <c r="G610" s="17"/>
      <c r="H610" s="17"/>
      <c r="I610" s="9"/>
      <c r="J610" s="9"/>
      <c r="K610" s="10">
        <v>0</v>
      </c>
      <c r="L610" s="10"/>
      <c r="M610" s="11"/>
      <c r="N610" s="12"/>
      <c r="O610" s="13"/>
      <c r="P610" s="14"/>
    </row>
    <row r="611" spans="1:16" x14ac:dyDescent="0.25">
      <c r="A611" s="6"/>
      <c r="B611" s="7"/>
      <c r="C611" s="8"/>
      <c r="D611" s="8"/>
      <c r="E611" s="9"/>
      <c r="F611" s="9"/>
      <c r="G611" s="17"/>
      <c r="H611" s="17"/>
      <c r="I611" s="9"/>
      <c r="J611" s="9"/>
      <c r="K611" s="10">
        <v>0</v>
      </c>
      <c r="L611" s="10"/>
      <c r="M611" s="11"/>
      <c r="N611" s="12"/>
      <c r="O611" s="13"/>
      <c r="P611" s="14"/>
    </row>
    <row r="612" spans="1:16" x14ac:dyDescent="0.25">
      <c r="A612" s="6"/>
      <c r="B612" s="7"/>
      <c r="C612" s="8"/>
      <c r="D612" s="8"/>
      <c r="E612" s="9"/>
      <c r="F612" s="9"/>
      <c r="G612" s="17"/>
      <c r="H612" s="17"/>
      <c r="I612" s="9"/>
      <c r="J612" s="9"/>
      <c r="K612" s="10">
        <v>0</v>
      </c>
      <c r="L612" s="10"/>
      <c r="M612" s="11"/>
      <c r="N612" s="12"/>
      <c r="O612" s="13"/>
      <c r="P612" s="14"/>
    </row>
    <row r="613" spans="1:16" x14ac:dyDescent="0.25">
      <c r="A613" s="6"/>
      <c r="B613" s="7"/>
      <c r="C613" s="8"/>
      <c r="D613" s="8"/>
      <c r="E613" s="9"/>
      <c r="F613" s="9"/>
      <c r="G613" s="17"/>
      <c r="H613" s="17"/>
      <c r="I613" s="9"/>
      <c r="J613" s="9"/>
      <c r="K613" s="10">
        <v>0</v>
      </c>
      <c r="L613" s="10"/>
      <c r="M613" s="11"/>
      <c r="N613" s="12"/>
      <c r="O613" s="13"/>
      <c r="P613" s="14"/>
    </row>
    <row r="614" spans="1:16" x14ac:dyDescent="0.25">
      <c r="A614" s="6"/>
      <c r="B614" s="7"/>
      <c r="C614" s="8"/>
      <c r="D614" s="8"/>
      <c r="E614" s="9"/>
      <c r="F614" s="9"/>
      <c r="G614" s="17"/>
      <c r="H614" s="17"/>
      <c r="I614" s="9"/>
      <c r="J614" s="9"/>
      <c r="K614" s="10">
        <v>0</v>
      </c>
      <c r="L614" s="10"/>
      <c r="M614" s="11"/>
      <c r="N614" s="12"/>
      <c r="O614" s="13"/>
      <c r="P614" s="14"/>
    </row>
    <row r="615" spans="1:16" x14ac:dyDescent="0.25">
      <c r="A615" s="6"/>
      <c r="B615" s="15"/>
      <c r="C615" s="16"/>
      <c r="D615" s="8"/>
      <c r="E615" s="9"/>
      <c r="F615" s="9"/>
      <c r="G615" s="17"/>
      <c r="H615" s="17"/>
      <c r="I615" s="9"/>
      <c r="J615" s="9"/>
      <c r="K615" s="10">
        <v>0</v>
      </c>
      <c r="L615" s="10"/>
      <c r="M615" s="11"/>
      <c r="N615" s="12"/>
      <c r="O615" s="13"/>
      <c r="P615" s="14"/>
    </row>
    <row r="616" spans="1:16" x14ac:dyDescent="0.25">
      <c r="A616" s="6"/>
      <c r="B616" s="7"/>
      <c r="C616" s="8"/>
      <c r="D616" s="8"/>
      <c r="E616" s="9"/>
      <c r="F616" s="9"/>
      <c r="G616" s="17"/>
      <c r="H616" s="17"/>
      <c r="I616" s="9"/>
      <c r="J616" s="9"/>
      <c r="K616" s="10">
        <v>0</v>
      </c>
      <c r="L616" s="10"/>
      <c r="M616" s="11"/>
      <c r="N616" s="12"/>
      <c r="O616" s="13"/>
      <c r="P616" s="14"/>
    </row>
    <row r="617" spans="1:16" x14ac:dyDescent="0.25">
      <c r="A617" s="6"/>
      <c r="B617" s="7"/>
      <c r="C617" s="8"/>
      <c r="D617" s="8"/>
      <c r="E617" s="9"/>
      <c r="F617" s="9"/>
      <c r="G617" s="17"/>
      <c r="H617" s="17"/>
      <c r="I617" s="9"/>
      <c r="J617" s="9"/>
      <c r="K617" s="10">
        <v>0</v>
      </c>
      <c r="L617" s="10"/>
      <c r="M617" s="11"/>
      <c r="N617" s="12"/>
      <c r="O617" s="13"/>
      <c r="P617" s="14"/>
    </row>
    <row r="618" spans="1:16" x14ac:dyDescent="0.25">
      <c r="A618" s="6"/>
      <c r="B618" s="7"/>
      <c r="C618" s="8"/>
      <c r="D618" s="8"/>
      <c r="E618" s="9"/>
      <c r="F618" s="9"/>
      <c r="G618" s="17"/>
      <c r="H618" s="17"/>
      <c r="I618" s="9"/>
      <c r="J618" s="9"/>
      <c r="K618" s="10">
        <v>0</v>
      </c>
      <c r="L618" s="10"/>
      <c r="M618" s="11"/>
      <c r="N618" s="12"/>
      <c r="O618" s="13"/>
      <c r="P618" s="14"/>
    </row>
    <row r="619" spans="1:16" x14ac:dyDescent="0.25">
      <c r="A619" s="6"/>
      <c r="B619" s="7"/>
      <c r="C619" s="8"/>
      <c r="D619" s="8"/>
      <c r="E619" s="9"/>
      <c r="F619" s="9"/>
      <c r="G619" s="17"/>
      <c r="H619" s="17"/>
      <c r="I619" s="9"/>
      <c r="J619" s="9"/>
      <c r="K619" s="10">
        <v>0</v>
      </c>
      <c r="L619" s="10"/>
      <c r="M619" s="11"/>
      <c r="N619" s="12"/>
      <c r="O619" s="13"/>
      <c r="P619" s="14"/>
    </row>
    <row r="620" spans="1:16" x14ac:dyDescent="0.25">
      <c r="A620" s="6"/>
      <c r="B620" s="7"/>
      <c r="C620" s="8"/>
      <c r="D620" s="8"/>
      <c r="E620" s="9"/>
      <c r="F620" s="9"/>
      <c r="G620" s="17"/>
      <c r="H620" s="17"/>
      <c r="I620" s="9"/>
      <c r="J620" s="9"/>
      <c r="K620" s="10">
        <v>0</v>
      </c>
      <c r="L620" s="10"/>
      <c r="M620" s="11"/>
      <c r="N620" s="12"/>
      <c r="O620" s="13"/>
      <c r="P620" s="14"/>
    </row>
    <row r="621" spans="1:16" x14ac:dyDescent="0.25">
      <c r="A621" s="6"/>
      <c r="B621" s="7"/>
      <c r="C621" s="8"/>
      <c r="D621" s="8"/>
      <c r="E621" s="9"/>
      <c r="F621" s="9"/>
      <c r="G621" s="17"/>
      <c r="H621" s="17"/>
      <c r="I621" s="9"/>
      <c r="J621" s="9"/>
      <c r="K621" s="10">
        <v>0</v>
      </c>
      <c r="L621" s="10"/>
      <c r="M621" s="11"/>
      <c r="N621" s="12"/>
      <c r="O621" s="13"/>
      <c r="P621" s="14"/>
    </row>
    <row r="622" spans="1:16" x14ac:dyDescent="0.25">
      <c r="A622" s="6"/>
      <c r="B622" s="7"/>
      <c r="C622" s="8"/>
      <c r="D622" s="8"/>
      <c r="E622" s="9"/>
      <c r="F622" s="9"/>
      <c r="G622" s="17"/>
      <c r="H622" s="17"/>
      <c r="I622" s="9"/>
      <c r="J622" s="9"/>
      <c r="K622" s="10">
        <v>0</v>
      </c>
      <c r="L622" s="10"/>
      <c r="M622" s="11"/>
      <c r="N622" s="12"/>
      <c r="O622" s="13"/>
      <c r="P622" s="14"/>
    </row>
    <row r="623" spans="1:16" x14ac:dyDescent="0.25">
      <c r="A623" s="6"/>
      <c r="B623" s="7"/>
      <c r="C623" s="8"/>
      <c r="D623" s="8"/>
      <c r="E623" s="9"/>
      <c r="F623" s="9"/>
      <c r="G623" s="17"/>
      <c r="H623" s="17"/>
      <c r="I623" s="9"/>
      <c r="J623" s="9"/>
      <c r="K623" s="10">
        <v>0</v>
      </c>
      <c r="L623" s="10"/>
      <c r="M623" s="11"/>
      <c r="N623" s="12"/>
      <c r="O623" s="13"/>
      <c r="P623" s="14"/>
    </row>
    <row r="624" spans="1:16" x14ac:dyDescent="0.25">
      <c r="A624" s="6"/>
      <c r="B624" s="7"/>
      <c r="C624" s="8"/>
      <c r="D624" s="8"/>
      <c r="E624" s="9"/>
      <c r="F624" s="9"/>
      <c r="G624" s="17"/>
      <c r="H624" s="17"/>
      <c r="I624" s="9"/>
      <c r="J624" s="9"/>
      <c r="K624" s="10">
        <v>0</v>
      </c>
      <c r="L624" s="10"/>
      <c r="M624" s="11"/>
      <c r="N624" s="12"/>
      <c r="O624" s="13"/>
      <c r="P624" s="14"/>
    </row>
    <row r="625" spans="1:17" x14ac:dyDescent="0.25">
      <c r="A625" s="6"/>
      <c r="B625" s="7"/>
      <c r="C625" s="8"/>
      <c r="D625" s="8"/>
      <c r="E625" s="9"/>
      <c r="F625" s="9"/>
      <c r="G625" s="17"/>
      <c r="H625" s="17"/>
      <c r="I625" s="9"/>
      <c r="J625" s="9"/>
      <c r="K625" s="10">
        <v>0</v>
      </c>
      <c r="L625" s="10"/>
      <c r="M625" s="11"/>
      <c r="N625" s="12"/>
      <c r="O625" s="13"/>
      <c r="P625" s="14"/>
    </row>
    <row r="626" spans="1:17" x14ac:dyDescent="0.25">
      <c r="A626" s="6"/>
      <c r="B626" s="7"/>
      <c r="C626" s="8"/>
      <c r="D626" s="8"/>
      <c r="E626" s="9"/>
      <c r="F626" s="9"/>
      <c r="G626" s="17"/>
      <c r="H626" s="17"/>
      <c r="I626" s="9"/>
      <c r="J626" s="9"/>
      <c r="K626" s="10">
        <v>0</v>
      </c>
      <c r="L626" s="10"/>
      <c r="M626" s="11"/>
      <c r="N626" s="12"/>
      <c r="O626" s="13"/>
      <c r="P626" s="14"/>
    </row>
    <row r="627" spans="1:17" x14ac:dyDescent="0.25">
      <c r="A627" s="6"/>
      <c r="B627" s="7"/>
      <c r="C627" s="8"/>
      <c r="D627" s="8"/>
      <c r="E627" s="9"/>
      <c r="F627" s="9"/>
      <c r="G627" s="17"/>
      <c r="H627" s="17"/>
      <c r="I627" s="9"/>
      <c r="J627" s="9"/>
      <c r="K627" s="10">
        <v>0</v>
      </c>
      <c r="L627" s="10"/>
      <c r="M627" s="11"/>
      <c r="N627" s="12"/>
      <c r="O627" s="13"/>
      <c r="P627" s="14"/>
      <c r="Q627" s="2"/>
    </row>
    <row r="628" spans="1:17" x14ac:dyDescent="0.25">
      <c r="A628" s="6"/>
      <c r="B628" s="7"/>
      <c r="C628" s="8"/>
      <c r="D628" s="8"/>
      <c r="E628" s="9"/>
      <c r="F628" s="9"/>
      <c r="G628" s="17"/>
      <c r="H628" s="17"/>
      <c r="I628" s="9"/>
      <c r="J628" s="9"/>
      <c r="K628" s="10">
        <v>0</v>
      </c>
      <c r="L628" s="10"/>
      <c r="M628" s="11"/>
      <c r="N628" s="12"/>
      <c r="O628" s="13"/>
      <c r="P628" s="14"/>
    </row>
    <row r="629" spans="1:17" x14ac:dyDescent="0.25">
      <c r="A629" s="6"/>
      <c r="B629" s="7"/>
      <c r="C629" s="8"/>
      <c r="D629" s="8"/>
      <c r="E629" s="9"/>
      <c r="F629" s="9"/>
      <c r="G629" s="17"/>
      <c r="H629" s="17"/>
      <c r="I629" s="9"/>
      <c r="J629" s="9"/>
      <c r="K629" s="10">
        <v>0</v>
      </c>
      <c r="L629" s="10"/>
      <c r="M629" s="11"/>
      <c r="N629" s="12"/>
      <c r="O629" s="13"/>
      <c r="P629" s="14"/>
    </row>
    <row r="630" spans="1:17" x14ac:dyDescent="0.25">
      <c r="A630" s="6"/>
      <c r="B630" s="7"/>
      <c r="C630" s="8"/>
      <c r="D630" s="8"/>
      <c r="E630" s="9"/>
      <c r="F630" s="9"/>
      <c r="G630" s="17"/>
      <c r="H630" s="17"/>
      <c r="I630" s="9"/>
      <c r="J630" s="9"/>
      <c r="K630" s="10">
        <v>0</v>
      </c>
      <c r="L630" s="10"/>
      <c r="M630" s="11"/>
      <c r="N630" s="12"/>
      <c r="O630" s="13"/>
      <c r="P630" s="14"/>
    </row>
    <row r="631" spans="1:17" x14ac:dyDescent="0.25">
      <c r="A631" s="6"/>
      <c r="B631" s="7"/>
      <c r="C631" s="8"/>
      <c r="D631" s="8"/>
      <c r="E631" s="9"/>
      <c r="F631" s="9"/>
      <c r="G631" s="17"/>
      <c r="H631" s="17"/>
      <c r="I631" s="9"/>
      <c r="J631" s="9"/>
      <c r="K631" s="10">
        <v>0</v>
      </c>
      <c r="L631" s="10"/>
      <c r="M631" s="11"/>
      <c r="N631" s="12"/>
      <c r="O631" s="13"/>
      <c r="P631" s="14"/>
    </row>
    <row r="632" spans="1:17" x14ac:dyDescent="0.25">
      <c r="A632" s="29"/>
      <c r="B632" s="30"/>
      <c r="C632" s="31"/>
      <c r="D632" s="31"/>
      <c r="E632" s="32"/>
      <c r="F632" s="32"/>
      <c r="G632" s="33"/>
      <c r="H632" s="33"/>
      <c r="I632" s="32"/>
      <c r="J632" s="32"/>
      <c r="K632" s="10">
        <v>0</v>
      </c>
      <c r="L632" s="34"/>
      <c r="M632" s="35"/>
      <c r="N632" s="36"/>
      <c r="O632" s="37"/>
      <c r="P632" s="38"/>
      <c r="Q632" s="39"/>
    </row>
    <row r="633" spans="1:17" x14ac:dyDescent="0.25">
      <c r="A633" s="6"/>
      <c r="B633" s="7"/>
      <c r="C633" s="8"/>
      <c r="D633" s="8"/>
      <c r="E633" s="9"/>
      <c r="F633" s="9"/>
      <c r="G633" s="17"/>
      <c r="H633" s="17"/>
      <c r="I633" s="9"/>
      <c r="J633" s="9"/>
      <c r="K633" s="10">
        <v>0</v>
      </c>
      <c r="L633" s="10"/>
      <c r="M633" s="11"/>
      <c r="N633" s="12"/>
      <c r="O633" s="13"/>
      <c r="P633" s="14"/>
    </row>
    <row r="634" spans="1:17" x14ac:dyDescent="0.25">
      <c r="A634" s="6"/>
      <c r="B634" s="7"/>
      <c r="C634" s="8"/>
      <c r="D634" s="8"/>
      <c r="E634" s="9"/>
      <c r="F634" s="9"/>
      <c r="G634" s="17"/>
      <c r="H634" s="17"/>
      <c r="I634" s="9"/>
      <c r="J634" s="9"/>
      <c r="K634" s="10">
        <v>0</v>
      </c>
      <c r="L634" s="10"/>
      <c r="M634" s="11"/>
      <c r="N634" s="12"/>
      <c r="O634" s="13"/>
      <c r="P634" s="14"/>
    </row>
    <row r="635" spans="1:17" x14ac:dyDescent="0.25">
      <c r="A635" s="6"/>
      <c r="B635" s="7"/>
      <c r="C635" s="8"/>
      <c r="D635" s="8"/>
      <c r="E635" s="9"/>
      <c r="F635" s="9"/>
      <c r="G635" s="17"/>
      <c r="H635" s="17"/>
      <c r="I635" s="9"/>
      <c r="J635" s="9"/>
      <c r="K635" s="10">
        <v>0</v>
      </c>
      <c r="L635" s="10"/>
      <c r="M635" s="11"/>
      <c r="N635" s="12"/>
      <c r="O635" s="13"/>
      <c r="P635" s="14"/>
    </row>
    <row r="636" spans="1:17" x14ac:dyDescent="0.25">
      <c r="A636" s="6"/>
      <c r="B636" s="7"/>
      <c r="C636" s="8"/>
      <c r="D636" s="8"/>
      <c r="E636" s="9"/>
      <c r="F636" s="9"/>
      <c r="G636" s="17"/>
      <c r="H636" s="17"/>
      <c r="I636" s="9"/>
      <c r="J636" s="9"/>
      <c r="K636" s="10">
        <v>0</v>
      </c>
      <c r="L636" s="10"/>
      <c r="M636" s="11"/>
      <c r="N636" s="12"/>
      <c r="O636" s="13"/>
      <c r="P636" s="14"/>
    </row>
    <row r="637" spans="1:17" x14ac:dyDescent="0.25">
      <c r="A637" s="6"/>
      <c r="B637" s="7"/>
      <c r="C637" s="8"/>
      <c r="D637" s="8"/>
      <c r="E637" s="9"/>
      <c r="F637" s="9"/>
      <c r="G637" s="17"/>
      <c r="H637" s="17"/>
      <c r="I637" s="9"/>
      <c r="J637" s="9"/>
      <c r="K637" s="10">
        <v>0</v>
      </c>
      <c r="L637" s="10"/>
      <c r="M637" s="11"/>
      <c r="N637" s="12"/>
      <c r="O637" s="13"/>
      <c r="P637" s="14"/>
    </row>
    <row r="638" spans="1:17" x14ac:dyDescent="0.25">
      <c r="A638" s="6"/>
      <c r="B638" s="7"/>
      <c r="C638" s="8"/>
      <c r="D638" s="8"/>
      <c r="E638" s="9"/>
      <c r="F638" s="9"/>
      <c r="G638" s="17"/>
      <c r="H638" s="17"/>
      <c r="I638" s="9"/>
      <c r="J638" s="9"/>
      <c r="K638" s="10">
        <v>0</v>
      </c>
      <c r="L638" s="10"/>
      <c r="M638" s="11"/>
      <c r="N638" s="12"/>
      <c r="O638" s="13"/>
      <c r="P638" s="14"/>
    </row>
    <row r="639" spans="1:17" x14ac:dyDescent="0.25">
      <c r="A639" s="6"/>
      <c r="B639" s="7"/>
      <c r="C639" s="8"/>
      <c r="D639" s="8"/>
      <c r="E639" s="9"/>
      <c r="F639" s="9"/>
      <c r="G639" s="17"/>
      <c r="H639" s="17"/>
      <c r="I639" s="9"/>
      <c r="J639" s="9"/>
      <c r="K639" s="10">
        <v>0</v>
      </c>
      <c r="L639" s="10"/>
      <c r="M639" s="11"/>
      <c r="N639" s="12"/>
      <c r="O639" s="13"/>
      <c r="P639" s="14"/>
    </row>
    <row r="640" spans="1:17" x14ac:dyDescent="0.25">
      <c r="A640" s="6"/>
      <c r="B640" s="7"/>
      <c r="C640" s="8"/>
      <c r="D640" s="8"/>
      <c r="E640" s="9"/>
      <c r="F640" s="9"/>
      <c r="G640" s="17"/>
      <c r="H640" s="17"/>
      <c r="I640" s="9"/>
      <c r="J640" s="9"/>
      <c r="K640" s="10">
        <v>0</v>
      </c>
      <c r="L640" s="10"/>
      <c r="M640" s="11"/>
      <c r="N640" s="12"/>
      <c r="O640" s="13"/>
      <c r="P640" s="14"/>
    </row>
    <row r="641" spans="1:16" x14ac:dyDescent="0.25">
      <c r="A641" s="6"/>
      <c r="B641" s="7"/>
      <c r="C641" s="8"/>
      <c r="D641" s="8"/>
      <c r="E641" s="9"/>
      <c r="F641" s="9"/>
      <c r="G641" s="17"/>
      <c r="H641" s="17"/>
      <c r="I641" s="9"/>
      <c r="J641" s="9"/>
      <c r="K641" s="10">
        <v>0</v>
      </c>
      <c r="L641" s="10"/>
      <c r="M641" s="11"/>
      <c r="N641" s="12"/>
      <c r="O641" s="13"/>
      <c r="P641" s="14"/>
    </row>
    <row r="642" spans="1:16" x14ac:dyDescent="0.25">
      <c r="A642" s="6"/>
      <c r="B642" s="7"/>
      <c r="C642" s="8"/>
      <c r="D642" s="8"/>
      <c r="E642" s="9"/>
      <c r="F642" s="9"/>
      <c r="G642" s="17"/>
      <c r="H642" s="17"/>
      <c r="I642" s="9"/>
      <c r="J642" s="9"/>
      <c r="K642" s="10">
        <v>0</v>
      </c>
      <c r="L642" s="10"/>
      <c r="M642" s="11"/>
      <c r="N642" s="12"/>
      <c r="O642" s="13"/>
      <c r="P642" s="14"/>
    </row>
    <row r="643" spans="1:16" x14ac:dyDescent="0.25">
      <c r="A643" s="6"/>
      <c r="B643" s="7"/>
      <c r="C643" s="8"/>
      <c r="D643" s="8"/>
      <c r="E643" s="9"/>
      <c r="F643" s="9"/>
      <c r="G643" s="17"/>
      <c r="H643" s="17"/>
      <c r="I643" s="9"/>
      <c r="J643" s="9"/>
      <c r="K643" s="10">
        <v>0</v>
      </c>
      <c r="L643" s="10"/>
      <c r="M643" s="11"/>
      <c r="N643" s="12"/>
      <c r="O643" s="13"/>
      <c r="P643" s="14"/>
    </row>
    <row r="644" spans="1:16" x14ac:dyDescent="0.25">
      <c r="A644" s="6"/>
      <c r="B644" s="7"/>
      <c r="C644" s="8"/>
      <c r="D644" s="8"/>
      <c r="E644" s="9"/>
      <c r="F644" s="9"/>
      <c r="G644" s="17"/>
      <c r="H644" s="17"/>
      <c r="I644" s="9"/>
      <c r="J644" s="9"/>
      <c r="K644" s="10">
        <v>0</v>
      </c>
      <c r="L644" s="10"/>
      <c r="M644" s="11"/>
      <c r="N644" s="12"/>
      <c r="O644" s="13"/>
      <c r="P644" s="14"/>
    </row>
    <row r="645" spans="1:16" x14ac:dyDescent="0.25">
      <c r="A645" s="6"/>
      <c r="B645" s="7"/>
      <c r="C645" s="8"/>
      <c r="D645" s="8"/>
      <c r="E645" s="9"/>
      <c r="F645" s="9"/>
      <c r="G645" s="17"/>
      <c r="H645" s="17"/>
      <c r="I645" s="9"/>
      <c r="J645" s="9"/>
      <c r="K645" s="10">
        <v>0</v>
      </c>
      <c r="L645" s="10"/>
      <c r="M645" s="11"/>
      <c r="N645" s="12"/>
      <c r="O645" s="13"/>
      <c r="P645" s="14"/>
    </row>
    <row r="646" spans="1:16" x14ac:dyDescent="0.25">
      <c r="A646" s="6"/>
      <c r="B646" s="15"/>
      <c r="C646" s="8"/>
      <c r="D646" s="8"/>
      <c r="E646" s="9"/>
      <c r="F646" s="9"/>
      <c r="G646" s="17"/>
      <c r="H646" s="17"/>
      <c r="I646" s="9"/>
      <c r="J646" s="9"/>
      <c r="K646" s="10">
        <v>0</v>
      </c>
      <c r="L646" s="10"/>
      <c r="M646" s="11"/>
      <c r="N646" s="12"/>
      <c r="O646" s="13"/>
      <c r="P646" s="14"/>
    </row>
    <row r="647" spans="1:16" x14ac:dyDescent="0.25">
      <c r="A647" s="6"/>
      <c r="B647" s="7"/>
      <c r="C647" s="8"/>
      <c r="D647" s="8"/>
      <c r="E647" s="9"/>
      <c r="F647" s="9"/>
      <c r="G647" s="17"/>
      <c r="H647" s="17"/>
      <c r="I647" s="9"/>
      <c r="J647" s="9"/>
      <c r="K647" s="10">
        <v>0</v>
      </c>
      <c r="L647" s="10"/>
      <c r="M647" s="11"/>
      <c r="N647" s="12"/>
      <c r="O647" s="13"/>
      <c r="P647" s="14"/>
    </row>
    <row r="648" spans="1:16" x14ac:dyDescent="0.25">
      <c r="A648" s="6"/>
      <c r="B648" s="7"/>
      <c r="C648" s="8"/>
      <c r="D648" s="8"/>
      <c r="E648" s="9"/>
      <c r="F648" s="9"/>
      <c r="G648" s="17"/>
      <c r="H648" s="17"/>
      <c r="I648" s="9"/>
      <c r="J648" s="9"/>
      <c r="K648" s="10">
        <v>0</v>
      </c>
      <c r="L648" s="10"/>
      <c r="M648" s="11"/>
      <c r="N648" s="12"/>
      <c r="O648" s="13"/>
      <c r="P648" s="14"/>
    </row>
    <row r="649" spans="1:16" x14ac:dyDescent="0.25">
      <c r="A649" s="6"/>
      <c r="B649" s="7"/>
      <c r="C649" s="8"/>
      <c r="D649" s="8"/>
      <c r="E649" s="9"/>
      <c r="F649" s="9"/>
      <c r="G649" s="17"/>
      <c r="H649" s="17"/>
      <c r="I649" s="9"/>
      <c r="J649" s="9"/>
      <c r="K649" s="10">
        <v>0</v>
      </c>
      <c r="L649" s="10"/>
      <c r="M649" s="11"/>
      <c r="N649" s="12"/>
      <c r="O649" s="13"/>
      <c r="P649" s="14"/>
    </row>
    <row r="650" spans="1:16" x14ac:dyDescent="0.25">
      <c r="A650" s="6"/>
      <c r="B650" s="7"/>
      <c r="C650" s="8"/>
      <c r="D650" s="8"/>
      <c r="E650" s="9"/>
      <c r="F650" s="9"/>
      <c r="G650" s="17"/>
      <c r="H650" s="17"/>
      <c r="I650" s="9"/>
      <c r="J650" s="9"/>
      <c r="K650" s="10">
        <v>0</v>
      </c>
      <c r="L650" s="10"/>
      <c r="M650" s="11"/>
      <c r="N650" s="12"/>
      <c r="O650" s="13"/>
      <c r="P650" s="14"/>
    </row>
    <row r="651" spans="1:16" x14ac:dyDescent="0.25">
      <c r="A651" s="6"/>
      <c r="B651" s="7"/>
      <c r="C651" s="8"/>
      <c r="D651" s="8"/>
      <c r="E651" s="9"/>
      <c r="F651" s="9"/>
      <c r="G651" s="17"/>
      <c r="H651" s="17"/>
      <c r="I651" s="9"/>
      <c r="J651" s="9"/>
      <c r="K651" s="10">
        <v>0</v>
      </c>
      <c r="L651" s="10"/>
      <c r="M651" s="11"/>
      <c r="N651" s="12"/>
      <c r="O651" s="13"/>
      <c r="P651" s="14"/>
    </row>
    <row r="652" spans="1:16" x14ac:dyDescent="0.25">
      <c r="A652" s="6"/>
      <c r="B652" s="7"/>
      <c r="C652" s="8"/>
      <c r="D652" s="8"/>
      <c r="E652" s="9"/>
      <c r="F652" s="9"/>
      <c r="G652" s="17"/>
      <c r="H652" s="17"/>
      <c r="I652" s="9"/>
      <c r="J652" s="9"/>
      <c r="K652" s="10">
        <v>0</v>
      </c>
      <c r="L652" s="10"/>
      <c r="M652" s="11"/>
      <c r="N652" s="12"/>
      <c r="O652" s="13"/>
      <c r="P652" s="14"/>
    </row>
    <row r="653" spans="1:16" x14ac:dyDescent="0.25">
      <c r="A653" s="6"/>
      <c r="B653" s="7"/>
      <c r="C653" s="8"/>
      <c r="D653" s="8"/>
      <c r="E653" s="9"/>
      <c r="F653" s="9"/>
      <c r="G653" s="17"/>
      <c r="H653" s="17"/>
      <c r="I653" s="9"/>
      <c r="J653" s="9"/>
      <c r="K653" s="10">
        <v>0</v>
      </c>
      <c r="L653" s="10"/>
      <c r="M653" s="11"/>
      <c r="N653" s="12"/>
      <c r="O653" s="13"/>
      <c r="P653" s="14"/>
    </row>
    <row r="654" spans="1:16" x14ac:dyDescent="0.25">
      <c r="A654" s="6"/>
      <c r="B654" s="7"/>
      <c r="C654" s="8"/>
      <c r="D654" s="8"/>
      <c r="E654" s="9"/>
      <c r="F654" s="9"/>
      <c r="G654" s="17"/>
      <c r="H654" s="17"/>
      <c r="I654" s="9"/>
      <c r="J654" s="9"/>
      <c r="K654" s="10">
        <v>0</v>
      </c>
      <c r="L654" s="10"/>
      <c r="M654" s="11"/>
      <c r="N654" s="12"/>
      <c r="O654" s="13"/>
      <c r="P654" s="14"/>
    </row>
    <row r="655" spans="1:16" x14ac:dyDescent="0.25">
      <c r="A655" s="7"/>
      <c r="B655" s="7"/>
      <c r="C655" s="8"/>
      <c r="D655" s="8"/>
      <c r="E655" s="9"/>
      <c r="F655" s="9"/>
      <c r="G655" s="17"/>
      <c r="H655" s="17"/>
      <c r="I655" s="9"/>
      <c r="J655" s="9"/>
      <c r="K655" s="10">
        <v>0</v>
      </c>
      <c r="L655" s="10"/>
      <c r="M655" s="11"/>
      <c r="N655" s="12"/>
      <c r="O655" s="13"/>
      <c r="P655" s="14"/>
    </row>
    <row r="656" spans="1:16" x14ac:dyDescent="0.25">
      <c r="A656" s="7"/>
      <c r="B656" s="7"/>
      <c r="C656" s="8"/>
      <c r="D656" s="8"/>
      <c r="E656" s="9"/>
      <c r="F656" s="9"/>
      <c r="G656" s="17"/>
      <c r="H656" s="17"/>
      <c r="I656" s="9"/>
      <c r="J656" s="9"/>
      <c r="K656" s="10">
        <v>0</v>
      </c>
      <c r="L656" s="10"/>
      <c r="M656" s="11"/>
      <c r="N656" s="12"/>
      <c r="O656" s="13"/>
      <c r="P656" s="14"/>
    </row>
    <row r="657" spans="1:37" x14ac:dyDescent="0.25">
      <c r="A657" s="7"/>
      <c r="B657" s="7"/>
      <c r="C657" s="8"/>
      <c r="D657" s="8"/>
      <c r="E657" s="9"/>
      <c r="F657" s="9"/>
      <c r="G657" s="17"/>
      <c r="H657" s="17"/>
      <c r="I657" s="9"/>
      <c r="J657" s="9"/>
      <c r="K657" s="10">
        <v>0</v>
      </c>
      <c r="L657" s="10"/>
      <c r="M657" s="11"/>
      <c r="N657" s="12"/>
      <c r="O657" s="13"/>
      <c r="P657" s="14"/>
    </row>
    <row r="658" spans="1:37" x14ac:dyDescent="0.25">
      <c r="A658" s="7"/>
      <c r="B658" s="7"/>
      <c r="C658" s="8"/>
      <c r="D658" s="8"/>
      <c r="E658" s="9"/>
      <c r="F658" s="9"/>
      <c r="G658" s="17"/>
      <c r="H658" s="17"/>
      <c r="I658" s="9"/>
      <c r="J658" s="9"/>
      <c r="K658" s="10">
        <v>0</v>
      </c>
      <c r="L658" s="10"/>
      <c r="M658" s="11"/>
      <c r="N658" s="12"/>
      <c r="O658" s="13"/>
      <c r="P658" s="14"/>
    </row>
    <row r="659" spans="1:37" x14ac:dyDescent="0.25">
      <c r="A659" s="7"/>
      <c r="B659" s="7"/>
      <c r="C659" s="8"/>
      <c r="D659" s="8"/>
      <c r="E659" s="9"/>
      <c r="F659" s="9"/>
      <c r="G659" s="17"/>
      <c r="H659" s="17"/>
      <c r="I659" s="9"/>
      <c r="J659" s="9"/>
      <c r="K659" s="10">
        <v>0</v>
      </c>
      <c r="L659" s="10"/>
      <c r="M659" s="11"/>
      <c r="N659" s="12"/>
      <c r="O659" s="13"/>
      <c r="P659" s="14"/>
    </row>
    <row r="660" spans="1:37" x14ac:dyDescent="0.25">
      <c r="A660" s="7"/>
      <c r="B660" s="7"/>
      <c r="C660" s="8"/>
      <c r="D660" s="8"/>
      <c r="E660" s="9"/>
      <c r="F660" s="9"/>
      <c r="G660" s="17"/>
      <c r="H660" s="17"/>
      <c r="I660" s="9"/>
      <c r="J660" s="9"/>
      <c r="K660" s="10">
        <v>0</v>
      </c>
      <c r="L660" s="10"/>
      <c r="M660" s="11"/>
      <c r="N660" s="12"/>
      <c r="O660" s="13"/>
      <c r="P660" s="14"/>
    </row>
    <row r="661" spans="1:37" x14ac:dyDescent="0.25">
      <c r="A661" s="7"/>
      <c r="B661" s="7"/>
      <c r="C661" s="8"/>
      <c r="D661" s="8"/>
      <c r="E661" s="9"/>
      <c r="F661" s="9"/>
      <c r="G661" s="17"/>
      <c r="H661" s="17"/>
      <c r="I661" s="9"/>
      <c r="J661" s="9"/>
      <c r="K661" s="10">
        <v>0</v>
      </c>
      <c r="L661" s="10"/>
      <c r="M661" s="11"/>
      <c r="N661" s="12"/>
      <c r="O661" s="13"/>
      <c r="P661" s="14"/>
    </row>
    <row r="662" spans="1:37" x14ac:dyDescent="0.25">
      <c r="A662" s="6"/>
      <c r="B662" s="7"/>
      <c r="C662" s="8"/>
      <c r="D662" s="8"/>
      <c r="E662" s="9"/>
      <c r="F662" s="9"/>
      <c r="G662" s="17"/>
      <c r="H662" s="17"/>
      <c r="I662" s="9"/>
      <c r="J662" s="9"/>
      <c r="K662" s="10">
        <v>0</v>
      </c>
      <c r="L662" s="10"/>
      <c r="M662" s="11"/>
      <c r="N662" s="12"/>
      <c r="O662" s="13"/>
      <c r="P662" s="14"/>
    </row>
    <row r="663" spans="1:37" x14ac:dyDescent="0.25">
      <c r="A663" s="6"/>
      <c r="B663" s="7"/>
      <c r="C663" s="8"/>
      <c r="D663" s="8"/>
      <c r="E663" s="9"/>
      <c r="F663" s="9"/>
      <c r="G663" s="17"/>
      <c r="H663" s="17"/>
      <c r="I663" s="9"/>
      <c r="J663" s="9"/>
      <c r="K663" s="10">
        <v>0</v>
      </c>
      <c r="L663" s="10"/>
      <c r="M663" s="11"/>
      <c r="N663" s="12"/>
      <c r="O663" s="13"/>
      <c r="P663" s="14"/>
    </row>
    <row r="664" spans="1:37" x14ac:dyDescent="0.25">
      <c r="A664" s="6"/>
      <c r="B664" s="7"/>
      <c r="C664" s="8"/>
      <c r="D664" s="8"/>
      <c r="E664" s="9"/>
      <c r="F664" s="9"/>
      <c r="G664" s="17"/>
      <c r="H664" s="17"/>
      <c r="I664" s="9"/>
      <c r="J664" s="9"/>
      <c r="K664" s="10">
        <v>0</v>
      </c>
      <c r="L664" s="10"/>
      <c r="M664" s="11"/>
      <c r="N664" s="12"/>
      <c r="O664" s="13"/>
      <c r="P664" s="14"/>
    </row>
    <row r="665" spans="1:37" x14ac:dyDescent="0.25">
      <c r="A665" s="6"/>
      <c r="B665" s="15"/>
      <c r="C665" s="8"/>
      <c r="D665" s="8"/>
      <c r="E665" s="9"/>
      <c r="F665" s="9"/>
      <c r="G665" s="17"/>
      <c r="H665" s="17"/>
      <c r="I665" s="9"/>
      <c r="J665" s="9"/>
      <c r="K665" s="10">
        <v>0</v>
      </c>
      <c r="L665" s="10"/>
      <c r="M665" s="11"/>
      <c r="N665" s="12"/>
      <c r="O665" s="13"/>
      <c r="P665" s="14"/>
      <c r="AG665" s="25"/>
      <c r="AH665" s="25"/>
      <c r="AI665" s="25"/>
      <c r="AJ665" s="25"/>
      <c r="AK665" s="25"/>
    </row>
    <row r="666" spans="1:37" x14ac:dyDescent="0.25">
      <c r="A666" s="6"/>
      <c r="B666" s="7"/>
      <c r="C666" s="8"/>
      <c r="D666" s="8"/>
      <c r="E666" s="9"/>
      <c r="F666" s="9"/>
      <c r="G666" s="17"/>
      <c r="H666" s="17"/>
      <c r="I666" s="9"/>
      <c r="J666" s="9"/>
      <c r="K666" s="10">
        <v>0</v>
      </c>
      <c r="L666" s="10"/>
      <c r="M666" s="11"/>
      <c r="N666" s="12"/>
      <c r="O666" s="13"/>
      <c r="P666" s="14"/>
    </row>
    <row r="667" spans="1:37" x14ac:dyDescent="0.25">
      <c r="A667" s="6"/>
      <c r="B667" s="7"/>
      <c r="C667" s="8"/>
      <c r="D667" s="8"/>
      <c r="E667" s="9"/>
      <c r="F667" s="9"/>
      <c r="G667" s="17"/>
      <c r="H667" s="17"/>
      <c r="I667" s="9"/>
      <c r="J667" s="9"/>
      <c r="K667" s="10">
        <v>0</v>
      </c>
      <c r="L667" s="10"/>
      <c r="M667" s="11"/>
      <c r="N667" s="12"/>
      <c r="O667" s="13"/>
      <c r="P667" s="14"/>
    </row>
    <row r="668" spans="1:37" x14ac:dyDescent="0.25">
      <c r="A668" s="6"/>
      <c r="B668" s="7"/>
      <c r="C668" s="8"/>
      <c r="D668" s="8"/>
      <c r="E668" s="9"/>
      <c r="F668" s="9"/>
      <c r="G668" s="17"/>
      <c r="H668" s="17"/>
      <c r="I668" s="9"/>
      <c r="J668" s="9"/>
      <c r="K668" s="10">
        <v>0</v>
      </c>
      <c r="L668" s="10"/>
      <c r="M668" s="11"/>
      <c r="N668" s="12"/>
      <c r="O668" s="13"/>
      <c r="P668" s="14"/>
    </row>
    <row r="669" spans="1:37" x14ac:dyDescent="0.25">
      <c r="A669" s="6"/>
      <c r="B669" s="7"/>
      <c r="C669" s="8"/>
      <c r="D669" s="8"/>
      <c r="E669" s="9"/>
      <c r="F669" s="9"/>
      <c r="G669" s="17"/>
      <c r="H669" s="17"/>
      <c r="I669" s="9"/>
      <c r="J669" s="9"/>
      <c r="K669" s="10">
        <v>0</v>
      </c>
      <c r="L669" s="10"/>
      <c r="M669" s="11"/>
      <c r="N669" s="12"/>
      <c r="O669" s="13"/>
      <c r="P669" s="14"/>
    </row>
    <row r="670" spans="1:37" x14ac:dyDescent="0.25">
      <c r="A670" s="6"/>
      <c r="B670" s="7"/>
      <c r="C670" s="8"/>
      <c r="D670" s="8"/>
      <c r="E670" s="9"/>
      <c r="F670" s="9"/>
      <c r="G670" s="17"/>
      <c r="H670" s="17"/>
      <c r="I670" s="9"/>
      <c r="J670" s="9"/>
      <c r="K670" s="10">
        <v>0</v>
      </c>
      <c r="L670" s="10"/>
      <c r="M670" s="11"/>
      <c r="N670" s="12"/>
      <c r="O670" s="13"/>
      <c r="P670" s="14"/>
    </row>
    <row r="671" spans="1:37" x14ac:dyDescent="0.25">
      <c r="A671" s="6"/>
      <c r="B671" s="7"/>
      <c r="C671" s="8"/>
      <c r="D671" s="8"/>
      <c r="E671" s="9"/>
      <c r="F671" s="9"/>
      <c r="G671" s="17"/>
      <c r="H671" s="17"/>
      <c r="I671" s="9"/>
      <c r="J671" s="9"/>
      <c r="K671" s="10">
        <v>0</v>
      </c>
      <c r="L671" s="10"/>
      <c r="M671" s="11"/>
      <c r="N671" s="12"/>
      <c r="O671" s="13"/>
      <c r="P671" s="14"/>
    </row>
    <row r="672" spans="1:37" x14ac:dyDescent="0.25">
      <c r="A672" s="6"/>
      <c r="B672" s="7"/>
      <c r="C672" s="8"/>
      <c r="D672" s="8"/>
      <c r="E672" s="9"/>
      <c r="F672" s="9"/>
      <c r="G672" s="17"/>
      <c r="H672" s="17"/>
      <c r="I672" s="9"/>
      <c r="J672" s="9"/>
      <c r="K672" s="10">
        <v>0</v>
      </c>
      <c r="L672" s="10"/>
      <c r="M672" s="11"/>
      <c r="N672" s="12"/>
      <c r="O672" s="13"/>
      <c r="P672" s="14"/>
    </row>
    <row r="673" spans="1:16" x14ac:dyDescent="0.25">
      <c r="A673" s="6"/>
      <c r="B673" s="7"/>
      <c r="C673" s="8"/>
      <c r="D673" s="8"/>
      <c r="E673" s="9"/>
      <c r="F673" s="9"/>
      <c r="G673" s="17"/>
      <c r="H673" s="17"/>
      <c r="I673" s="9"/>
      <c r="J673" s="9"/>
      <c r="K673" s="10">
        <v>0</v>
      </c>
      <c r="L673" s="10"/>
      <c r="M673" s="11"/>
      <c r="N673" s="12"/>
      <c r="O673" s="13"/>
      <c r="P673" s="14"/>
    </row>
    <row r="674" spans="1:16" x14ac:dyDescent="0.25">
      <c r="A674" s="6"/>
      <c r="B674" s="7"/>
      <c r="C674" s="8"/>
      <c r="D674" s="8"/>
      <c r="E674" s="9"/>
      <c r="F674" s="9"/>
      <c r="G674" s="17"/>
      <c r="H674" s="17"/>
      <c r="I674" s="9"/>
      <c r="J674" s="9"/>
      <c r="K674" s="10">
        <v>0</v>
      </c>
      <c r="L674" s="10"/>
      <c r="M674" s="11"/>
      <c r="N674" s="12"/>
      <c r="O674" s="13"/>
      <c r="P674" s="14"/>
    </row>
    <row r="675" spans="1:16" x14ac:dyDescent="0.25">
      <c r="A675" s="6"/>
      <c r="B675" s="7"/>
      <c r="C675" s="8"/>
      <c r="D675" s="8"/>
      <c r="E675" s="9"/>
      <c r="F675" s="9"/>
      <c r="G675" s="17"/>
      <c r="H675" s="17"/>
      <c r="I675" s="9"/>
      <c r="J675" s="9"/>
      <c r="K675" s="10">
        <v>0</v>
      </c>
      <c r="L675" s="10"/>
      <c r="M675" s="11"/>
      <c r="N675" s="12"/>
      <c r="O675" s="13"/>
      <c r="P675" s="14"/>
    </row>
    <row r="676" spans="1:16" x14ac:dyDescent="0.25">
      <c r="A676" s="6"/>
      <c r="B676" s="7"/>
      <c r="C676" s="8"/>
      <c r="D676" s="8"/>
      <c r="E676" s="9"/>
      <c r="F676" s="9"/>
      <c r="G676" s="17"/>
      <c r="H676" s="17"/>
      <c r="I676" s="9"/>
      <c r="J676" s="9"/>
      <c r="K676" s="10">
        <v>0</v>
      </c>
      <c r="L676" s="10"/>
      <c r="M676" s="11"/>
      <c r="N676" s="12"/>
      <c r="O676" s="13"/>
      <c r="P676" s="14"/>
    </row>
    <row r="677" spans="1:16" x14ac:dyDescent="0.25">
      <c r="A677" s="7"/>
      <c r="B677" s="7"/>
      <c r="C677" s="8"/>
      <c r="D677" s="8"/>
      <c r="E677" s="9"/>
      <c r="F677" s="9"/>
      <c r="G677" s="17"/>
      <c r="H677" s="17"/>
      <c r="I677" s="9"/>
      <c r="J677" s="9"/>
      <c r="K677" s="10">
        <v>0</v>
      </c>
      <c r="L677" s="10"/>
      <c r="M677" s="11"/>
      <c r="N677" s="12"/>
      <c r="O677" s="13"/>
      <c r="P677" s="14"/>
    </row>
    <row r="678" spans="1:16" x14ac:dyDescent="0.25">
      <c r="A678" s="7"/>
      <c r="B678" s="15"/>
      <c r="C678" s="8"/>
      <c r="D678" s="8"/>
      <c r="E678" s="9"/>
      <c r="F678" s="9"/>
      <c r="G678" s="17"/>
      <c r="H678" s="17"/>
      <c r="I678" s="9"/>
      <c r="J678" s="9"/>
      <c r="K678" s="10">
        <v>0</v>
      </c>
      <c r="L678" s="10"/>
      <c r="M678" s="11"/>
      <c r="N678" s="12"/>
      <c r="O678" s="13"/>
      <c r="P678" s="14"/>
    </row>
    <row r="679" spans="1:16" x14ac:dyDescent="0.25">
      <c r="A679" s="7"/>
      <c r="B679" s="7"/>
      <c r="C679" s="8"/>
      <c r="D679" s="8"/>
      <c r="E679" s="9"/>
      <c r="F679" s="9"/>
      <c r="G679" s="17"/>
      <c r="H679" s="17"/>
      <c r="I679" s="9"/>
      <c r="J679" s="9"/>
      <c r="K679" s="10">
        <v>0</v>
      </c>
      <c r="L679" s="10"/>
      <c r="M679" s="11"/>
      <c r="N679" s="12"/>
      <c r="O679" s="13"/>
      <c r="P679" s="14"/>
    </row>
    <row r="680" spans="1:16" x14ac:dyDescent="0.25">
      <c r="A680" s="7"/>
      <c r="B680" s="7"/>
      <c r="C680" s="8"/>
      <c r="D680" s="8"/>
      <c r="E680" s="9"/>
      <c r="F680" s="9"/>
      <c r="G680" s="17"/>
      <c r="H680" s="17"/>
      <c r="I680" s="9"/>
      <c r="J680" s="9"/>
      <c r="K680" s="10">
        <v>0</v>
      </c>
      <c r="L680" s="10"/>
      <c r="M680" s="11"/>
      <c r="N680" s="12"/>
      <c r="O680" s="13"/>
      <c r="P680" s="14"/>
    </row>
    <row r="681" spans="1:16" x14ac:dyDescent="0.25">
      <c r="A681" s="7"/>
      <c r="B681" s="7"/>
      <c r="C681" s="8"/>
      <c r="D681" s="8"/>
      <c r="E681" s="9"/>
      <c r="F681" s="9"/>
      <c r="G681" s="17"/>
      <c r="H681" s="17"/>
      <c r="I681" s="9"/>
      <c r="J681" s="9"/>
      <c r="K681" s="10">
        <v>0</v>
      </c>
      <c r="L681" s="10"/>
      <c r="M681" s="11"/>
      <c r="N681" s="12"/>
      <c r="O681" s="13"/>
      <c r="P681" s="14"/>
    </row>
    <row r="682" spans="1:16" x14ac:dyDescent="0.25">
      <c r="A682" s="7"/>
      <c r="B682" s="7"/>
      <c r="C682" s="8"/>
      <c r="D682" s="8"/>
      <c r="E682" s="9"/>
      <c r="F682" s="9"/>
      <c r="G682" s="17"/>
      <c r="H682" s="17"/>
      <c r="I682" s="9"/>
      <c r="J682" s="9"/>
      <c r="K682" s="10">
        <v>0</v>
      </c>
      <c r="L682" s="10"/>
      <c r="M682" s="11"/>
      <c r="N682" s="12"/>
      <c r="O682" s="13"/>
      <c r="P682" s="14"/>
    </row>
    <row r="683" spans="1:16" x14ac:dyDescent="0.25">
      <c r="A683" s="7"/>
      <c r="B683" s="7"/>
      <c r="C683" s="8"/>
      <c r="D683" s="8"/>
      <c r="E683" s="9"/>
      <c r="F683" s="9"/>
      <c r="G683" s="17"/>
      <c r="H683" s="17"/>
      <c r="I683" s="9"/>
      <c r="J683" s="9"/>
      <c r="K683" s="10">
        <v>0</v>
      </c>
      <c r="L683" s="10"/>
      <c r="M683" s="11"/>
      <c r="N683" s="12"/>
      <c r="O683" s="13"/>
      <c r="P683" s="14"/>
    </row>
    <row r="684" spans="1:16" x14ac:dyDescent="0.25">
      <c r="A684" s="7"/>
      <c r="B684" s="7"/>
      <c r="C684" s="8"/>
      <c r="D684" s="8"/>
      <c r="E684" s="9"/>
      <c r="F684" s="9"/>
      <c r="G684" s="17"/>
      <c r="H684" s="17"/>
      <c r="I684" s="9"/>
      <c r="J684" s="9"/>
      <c r="K684" s="10">
        <v>0</v>
      </c>
      <c r="L684" s="10"/>
      <c r="M684" s="11"/>
      <c r="N684" s="12"/>
      <c r="O684" s="13"/>
      <c r="P684" s="14"/>
    </row>
    <row r="685" spans="1:16" x14ac:dyDescent="0.25">
      <c r="A685" s="7"/>
      <c r="B685" s="7"/>
      <c r="C685" s="8"/>
      <c r="D685" s="8"/>
      <c r="E685" s="9"/>
      <c r="F685" s="9"/>
      <c r="G685" s="17"/>
      <c r="H685" s="17"/>
      <c r="I685" s="9"/>
      <c r="J685" s="9"/>
      <c r="K685" s="10">
        <v>0</v>
      </c>
      <c r="L685" s="10"/>
      <c r="M685" s="11"/>
      <c r="N685" s="12"/>
      <c r="O685" s="13"/>
      <c r="P685" s="14"/>
    </row>
    <row r="686" spans="1:16" x14ac:dyDescent="0.25">
      <c r="A686" s="7"/>
      <c r="B686" s="7"/>
      <c r="C686" s="8"/>
      <c r="D686" s="8"/>
      <c r="E686" s="9"/>
      <c r="F686" s="9"/>
      <c r="G686" s="17"/>
      <c r="H686" s="17"/>
      <c r="I686" s="9"/>
      <c r="J686" s="9"/>
      <c r="K686" s="10">
        <v>0</v>
      </c>
      <c r="L686" s="10"/>
      <c r="M686" s="11"/>
      <c r="N686" s="12"/>
      <c r="O686" s="13"/>
      <c r="P686" s="14"/>
    </row>
    <row r="687" spans="1:16" x14ac:dyDescent="0.25">
      <c r="A687" s="7"/>
      <c r="B687" s="7"/>
      <c r="C687" s="8"/>
      <c r="D687" s="8"/>
      <c r="E687" s="9"/>
      <c r="F687" s="9"/>
      <c r="G687" s="17"/>
      <c r="H687" s="17"/>
      <c r="I687" s="9"/>
      <c r="J687" s="9"/>
      <c r="K687" s="10">
        <v>0</v>
      </c>
      <c r="L687" s="10"/>
      <c r="M687" s="11"/>
      <c r="N687" s="12"/>
      <c r="O687" s="13"/>
      <c r="P687" s="14"/>
    </row>
    <row r="688" spans="1:16" x14ac:dyDescent="0.25">
      <c r="A688" s="7"/>
      <c r="B688" s="7"/>
      <c r="C688" s="8"/>
      <c r="D688" s="8"/>
      <c r="E688" s="9"/>
      <c r="F688" s="9"/>
      <c r="G688" s="17"/>
      <c r="H688" s="17"/>
      <c r="I688" s="9"/>
      <c r="J688" s="9"/>
      <c r="K688" s="10">
        <v>0</v>
      </c>
      <c r="L688" s="10"/>
      <c r="M688" s="11"/>
      <c r="N688" s="12"/>
      <c r="O688" s="13"/>
      <c r="P688" s="14"/>
    </row>
    <row r="689" spans="1:16" x14ac:dyDescent="0.25">
      <c r="A689" s="7"/>
      <c r="B689" s="15"/>
      <c r="C689" s="16"/>
      <c r="D689" s="8"/>
      <c r="E689" s="9"/>
      <c r="F689" s="9"/>
      <c r="G689" s="17"/>
      <c r="H689" s="17"/>
      <c r="I689" s="9"/>
      <c r="J689" s="9"/>
      <c r="K689" s="10">
        <v>0</v>
      </c>
      <c r="L689" s="10"/>
      <c r="M689" s="11"/>
      <c r="N689" s="12"/>
      <c r="O689" s="13"/>
      <c r="P689" s="14"/>
    </row>
    <row r="690" spans="1:16" x14ac:dyDescent="0.25">
      <c r="A690" s="7"/>
      <c r="B690" s="7"/>
      <c r="C690" s="8"/>
      <c r="D690" s="8"/>
      <c r="E690" s="9"/>
      <c r="F690" s="9"/>
      <c r="G690" s="17"/>
      <c r="H690" s="17"/>
      <c r="I690" s="9"/>
      <c r="J690" s="9"/>
      <c r="K690" s="10">
        <v>0</v>
      </c>
      <c r="L690" s="10"/>
      <c r="M690" s="11"/>
      <c r="N690" s="12"/>
      <c r="O690" s="13"/>
      <c r="P690" s="14"/>
    </row>
    <row r="691" spans="1:16" x14ac:dyDescent="0.25">
      <c r="A691" s="7"/>
      <c r="B691" s="7"/>
      <c r="C691" s="8"/>
      <c r="D691" s="8"/>
      <c r="E691" s="9"/>
      <c r="F691" s="9"/>
      <c r="G691" s="17"/>
      <c r="H691" s="17"/>
      <c r="I691" s="9"/>
      <c r="J691" s="9"/>
      <c r="K691" s="10">
        <v>0</v>
      </c>
      <c r="L691" s="10"/>
      <c r="M691" s="11"/>
      <c r="N691" s="12"/>
      <c r="O691" s="13"/>
      <c r="P691" s="14"/>
    </row>
    <row r="692" spans="1:16" x14ac:dyDescent="0.25">
      <c r="A692" s="7"/>
      <c r="B692" s="7"/>
      <c r="C692" s="8"/>
      <c r="D692" s="8"/>
      <c r="E692" s="9"/>
      <c r="F692" s="9"/>
      <c r="G692" s="17"/>
      <c r="H692" s="17"/>
      <c r="I692" s="9"/>
      <c r="J692" s="9"/>
      <c r="K692" s="10">
        <v>0</v>
      </c>
      <c r="L692" s="10"/>
      <c r="M692" s="11"/>
      <c r="N692" s="12"/>
      <c r="O692" s="13"/>
      <c r="P692" s="14"/>
    </row>
    <row r="693" spans="1:16" x14ac:dyDescent="0.25">
      <c r="A693" s="7"/>
      <c r="B693" s="7"/>
      <c r="C693" s="8"/>
      <c r="D693" s="8"/>
      <c r="E693" s="9"/>
      <c r="F693" s="9"/>
      <c r="G693" s="17"/>
      <c r="H693" s="17"/>
      <c r="I693" s="9"/>
      <c r="J693" s="9"/>
      <c r="K693" s="10">
        <v>0</v>
      </c>
      <c r="L693" s="10"/>
      <c r="M693" s="11"/>
      <c r="N693" s="12"/>
      <c r="O693" s="13"/>
      <c r="P693" s="14"/>
    </row>
    <row r="694" spans="1:16" x14ac:dyDescent="0.25">
      <c r="A694" s="6"/>
      <c r="B694" s="7"/>
      <c r="C694" s="8"/>
      <c r="D694" s="8"/>
      <c r="E694" s="9"/>
      <c r="F694" s="9"/>
      <c r="G694" s="17"/>
      <c r="H694" s="17"/>
      <c r="I694" s="9"/>
      <c r="J694" s="9"/>
      <c r="K694" s="10">
        <v>0</v>
      </c>
      <c r="L694" s="10"/>
      <c r="M694" s="11"/>
      <c r="N694" s="12"/>
      <c r="O694" s="13"/>
      <c r="P694" s="14"/>
    </row>
    <row r="695" spans="1:16" x14ac:dyDescent="0.25">
      <c r="A695" s="6"/>
      <c r="B695" s="7"/>
      <c r="C695" s="8"/>
      <c r="D695" s="8"/>
      <c r="E695" s="9"/>
      <c r="F695" s="9"/>
      <c r="G695" s="17"/>
      <c r="H695" s="17"/>
      <c r="I695" s="9"/>
      <c r="J695" s="9"/>
      <c r="K695" s="10">
        <v>0</v>
      </c>
      <c r="L695" s="10"/>
      <c r="M695" s="11"/>
      <c r="N695" s="12"/>
      <c r="O695" s="13"/>
      <c r="P695" s="14"/>
    </row>
    <row r="696" spans="1:16" x14ac:dyDescent="0.25">
      <c r="A696" s="6"/>
      <c r="B696" s="7"/>
      <c r="C696" s="8"/>
      <c r="D696" s="8"/>
      <c r="E696" s="9"/>
      <c r="F696" s="9"/>
      <c r="G696" s="17"/>
      <c r="H696" s="17"/>
      <c r="I696" s="9"/>
      <c r="J696" s="9"/>
      <c r="K696" s="10">
        <v>0</v>
      </c>
      <c r="L696" s="10"/>
      <c r="M696" s="11"/>
      <c r="N696" s="12"/>
      <c r="O696" s="13"/>
      <c r="P696" s="14"/>
    </row>
    <row r="697" spans="1:16" x14ac:dyDescent="0.25">
      <c r="A697" s="6"/>
      <c r="B697" s="7"/>
      <c r="C697" s="8"/>
      <c r="D697" s="8"/>
      <c r="E697" s="9"/>
      <c r="F697" s="9"/>
      <c r="G697" s="17"/>
      <c r="H697" s="17"/>
      <c r="I697" s="9"/>
      <c r="J697" s="9"/>
      <c r="K697" s="10">
        <v>0</v>
      </c>
      <c r="L697" s="10"/>
      <c r="M697" s="11"/>
      <c r="N697" s="12"/>
      <c r="O697" s="13"/>
      <c r="P697" s="14"/>
    </row>
    <row r="698" spans="1:16" x14ac:dyDescent="0.25">
      <c r="A698" s="6"/>
      <c r="B698" s="7"/>
      <c r="C698" s="8"/>
      <c r="D698" s="8"/>
      <c r="E698" s="9"/>
      <c r="F698" s="9"/>
      <c r="G698" s="17"/>
      <c r="H698" s="17"/>
      <c r="I698" s="9"/>
      <c r="J698" s="9"/>
      <c r="K698" s="10">
        <v>0</v>
      </c>
      <c r="L698" s="10"/>
      <c r="M698" s="11"/>
      <c r="N698" s="12"/>
      <c r="O698" s="13"/>
      <c r="P698" s="14"/>
    </row>
    <row r="699" spans="1:16" x14ac:dyDescent="0.25">
      <c r="A699" s="6"/>
      <c r="B699" s="7"/>
      <c r="C699" s="8"/>
      <c r="D699" s="8"/>
      <c r="E699" s="9"/>
      <c r="F699" s="9"/>
      <c r="G699" s="17"/>
      <c r="H699" s="17"/>
      <c r="I699" s="9"/>
      <c r="J699" s="9"/>
      <c r="K699" s="10">
        <v>0</v>
      </c>
      <c r="L699" s="10"/>
      <c r="M699" s="11"/>
      <c r="N699" s="12"/>
      <c r="O699" s="13"/>
      <c r="P699" s="14"/>
    </row>
    <row r="700" spans="1:16" x14ac:dyDescent="0.25">
      <c r="A700" s="6"/>
      <c r="B700" s="7"/>
      <c r="C700" s="8"/>
      <c r="D700" s="8"/>
      <c r="E700" s="9"/>
      <c r="F700" s="9"/>
      <c r="G700" s="17"/>
      <c r="H700" s="17"/>
      <c r="I700" s="9"/>
      <c r="J700" s="9"/>
      <c r="K700" s="10">
        <v>0</v>
      </c>
      <c r="L700" s="10"/>
      <c r="M700" s="11"/>
      <c r="N700" s="12"/>
      <c r="O700" s="13"/>
      <c r="P700" s="14"/>
    </row>
    <row r="701" spans="1:16" x14ac:dyDescent="0.25">
      <c r="A701" s="6"/>
      <c r="B701" s="15"/>
      <c r="C701" s="8"/>
      <c r="D701" s="8"/>
      <c r="E701" s="9"/>
      <c r="F701" s="9"/>
      <c r="G701" s="17"/>
      <c r="H701" s="17"/>
      <c r="I701" s="9"/>
      <c r="J701" s="9"/>
      <c r="K701" s="10">
        <v>0</v>
      </c>
      <c r="L701" s="10"/>
      <c r="M701" s="11"/>
      <c r="N701" s="12"/>
      <c r="O701" s="13"/>
      <c r="P701" s="14"/>
    </row>
    <row r="702" spans="1:16" x14ac:dyDescent="0.25">
      <c r="A702" s="6"/>
      <c r="B702" s="7"/>
      <c r="C702" s="8"/>
      <c r="D702" s="8"/>
      <c r="E702" s="9"/>
      <c r="F702" s="9"/>
      <c r="G702" s="17"/>
      <c r="H702" s="17"/>
      <c r="I702" s="9"/>
      <c r="J702" s="9"/>
      <c r="K702" s="10">
        <v>0</v>
      </c>
      <c r="L702" s="10"/>
      <c r="M702" s="11"/>
      <c r="N702" s="12"/>
      <c r="O702" s="13"/>
      <c r="P702" s="14"/>
    </row>
    <row r="703" spans="1:16" x14ac:dyDescent="0.25">
      <c r="A703" s="6"/>
      <c r="B703" s="7"/>
      <c r="C703" s="8"/>
      <c r="D703" s="8"/>
      <c r="E703" s="9"/>
      <c r="F703" s="9"/>
      <c r="G703" s="17"/>
      <c r="H703" s="17"/>
      <c r="I703" s="9"/>
      <c r="J703" s="9"/>
      <c r="K703" s="10">
        <v>0</v>
      </c>
      <c r="L703" s="10"/>
      <c r="M703" s="11"/>
      <c r="N703" s="12"/>
      <c r="O703" s="13"/>
      <c r="P703" s="14"/>
    </row>
    <row r="704" spans="1:16" x14ac:dyDescent="0.25">
      <c r="A704" s="6"/>
      <c r="B704" s="7"/>
      <c r="C704" s="8"/>
      <c r="D704" s="8"/>
      <c r="E704" s="9"/>
      <c r="F704" s="9"/>
      <c r="G704" s="17"/>
      <c r="H704" s="17"/>
      <c r="I704" s="9"/>
      <c r="J704" s="9"/>
      <c r="K704" s="10">
        <v>0</v>
      </c>
      <c r="L704" s="10"/>
      <c r="M704" s="11"/>
      <c r="N704" s="12"/>
      <c r="O704" s="13"/>
      <c r="P704" s="14"/>
    </row>
    <row r="705" spans="1:17" x14ac:dyDescent="0.25">
      <c r="A705" s="6"/>
      <c r="B705" s="7"/>
      <c r="C705" s="8"/>
      <c r="D705" s="8"/>
      <c r="E705" s="9"/>
      <c r="F705" s="9"/>
      <c r="G705" s="17"/>
      <c r="H705" s="17"/>
      <c r="I705" s="9"/>
      <c r="J705" s="9"/>
      <c r="K705" s="10">
        <v>0</v>
      </c>
      <c r="L705" s="10"/>
      <c r="M705" s="11"/>
      <c r="N705" s="12"/>
      <c r="O705" s="13"/>
      <c r="P705" s="14"/>
    </row>
    <row r="706" spans="1:17" x14ac:dyDescent="0.25">
      <c r="A706" s="6"/>
      <c r="B706" s="7"/>
      <c r="C706" s="8"/>
      <c r="D706" s="8"/>
      <c r="E706" s="9"/>
      <c r="F706" s="9"/>
      <c r="G706" s="17"/>
      <c r="H706" s="17"/>
      <c r="I706" s="9"/>
      <c r="J706" s="9"/>
      <c r="K706" s="10">
        <v>0</v>
      </c>
      <c r="L706" s="10"/>
      <c r="M706" s="11"/>
      <c r="N706" s="12"/>
      <c r="O706" s="13"/>
      <c r="P706" s="14"/>
    </row>
    <row r="707" spans="1:17" x14ac:dyDescent="0.25">
      <c r="A707" s="6"/>
      <c r="B707" s="7"/>
      <c r="C707" s="8"/>
      <c r="D707" s="8"/>
      <c r="E707" s="9"/>
      <c r="F707" s="9"/>
      <c r="G707" s="17"/>
      <c r="H707" s="17"/>
      <c r="I707" s="9"/>
      <c r="J707" s="9"/>
      <c r="K707" s="10">
        <v>0</v>
      </c>
      <c r="L707" s="10"/>
      <c r="M707" s="11"/>
      <c r="N707" s="12"/>
      <c r="O707" s="13"/>
      <c r="P707" s="14"/>
    </row>
    <row r="708" spans="1:17" x14ac:dyDescent="0.25">
      <c r="A708" s="6"/>
      <c r="B708" s="15"/>
      <c r="C708" s="16"/>
      <c r="D708" s="8"/>
      <c r="E708" s="9"/>
      <c r="F708" s="9"/>
      <c r="G708" s="17"/>
      <c r="H708" s="17"/>
      <c r="I708" s="9"/>
      <c r="J708" s="9"/>
      <c r="K708" s="10">
        <v>0</v>
      </c>
      <c r="L708" s="10"/>
      <c r="M708" s="11"/>
      <c r="N708" s="12"/>
      <c r="O708" s="13"/>
      <c r="P708" s="14"/>
    </row>
    <row r="709" spans="1:17" x14ac:dyDescent="0.25">
      <c r="A709" s="6"/>
      <c r="B709" s="7"/>
      <c r="C709" s="8"/>
      <c r="D709" s="8"/>
      <c r="E709" s="9"/>
      <c r="F709" s="9"/>
      <c r="G709" s="17"/>
      <c r="H709" s="17"/>
      <c r="I709" s="9"/>
      <c r="J709" s="9"/>
      <c r="K709" s="10">
        <v>0</v>
      </c>
      <c r="L709" s="10"/>
      <c r="M709" s="11"/>
      <c r="N709" s="12"/>
      <c r="O709" s="13"/>
      <c r="P709" s="14"/>
    </row>
    <row r="710" spans="1:17" x14ac:dyDescent="0.25">
      <c r="A710" s="6"/>
      <c r="B710" s="7"/>
      <c r="C710" s="8"/>
      <c r="D710" s="8"/>
      <c r="E710" s="9"/>
      <c r="F710" s="9"/>
      <c r="G710" s="17"/>
      <c r="H710" s="17"/>
      <c r="I710" s="9"/>
      <c r="J710" s="9"/>
      <c r="K710" s="10">
        <v>0</v>
      </c>
      <c r="L710" s="10"/>
      <c r="M710" s="11"/>
      <c r="N710" s="12"/>
      <c r="O710" s="13"/>
      <c r="P710" s="14"/>
      <c r="Q710" s="2"/>
    </row>
    <row r="711" spans="1:17" x14ac:dyDescent="0.25">
      <c r="A711" s="6"/>
      <c r="B711" s="7"/>
      <c r="C711" s="8"/>
      <c r="D711" s="8"/>
      <c r="E711" s="9"/>
      <c r="F711" s="9"/>
      <c r="G711" s="17"/>
      <c r="H711" s="17"/>
      <c r="I711" s="9"/>
      <c r="J711" s="9"/>
      <c r="K711" s="10">
        <v>0</v>
      </c>
      <c r="L711" s="10"/>
      <c r="M711" s="11"/>
      <c r="N711" s="12"/>
      <c r="O711" s="13"/>
      <c r="P711" s="14"/>
    </row>
    <row r="712" spans="1:17" x14ac:dyDescent="0.25">
      <c r="A712" s="6"/>
      <c r="B712" s="7"/>
      <c r="C712" s="8"/>
      <c r="D712" s="8"/>
      <c r="E712" s="9"/>
      <c r="F712" s="9"/>
      <c r="G712" s="17"/>
      <c r="H712" s="17"/>
      <c r="I712" s="9"/>
      <c r="J712" s="9"/>
      <c r="K712" s="10">
        <v>0</v>
      </c>
      <c r="L712" s="10"/>
      <c r="M712" s="11"/>
      <c r="N712" s="12"/>
      <c r="O712" s="13"/>
      <c r="P712" s="14"/>
    </row>
    <row r="713" spans="1:17" x14ac:dyDescent="0.25">
      <c r="A713" s="6"/>
      <c r="B713" s="7"/>
      <c r="C713" s="8"/>
      <c r="D713" s="8"/>
      <c r="E713" s="9"/>
      <c r="F713" s="9"/>
      <c r="G713" s="17"/>
      <c r="H713" s="17"/>
      <c r="I713" s="9"/>
      <c r="J713" s="9"/>
      <c r="K713" s="10">
        <v>0</v>
      </c>
      <c r="L713" s="10"/>
      <c r="M713" s="11"/>
      <c r="N713" s="12"/>
      <c r="O713" s="13"/>
      <c r="P713" s="14"/>
    </row>
    <row r="714" spans="1:17" x14ac:dyDescent="0.25">
      <c r="A714" s="6"/>
      <c r="B714" s="7"/>
      <c r="C714" s="8"/>
      <c r="D714" s="8"/>
      <c r="E714" s="9"/>
      <c r="F714" s="9"/>
      <c r="G714" s="17"/>
      <c r="H714" s="17"/>
      <c r="I714" s="9"/>
      <c r="J714" s="9"/>
      <c r="K714" s="10">
        <v>0</v>
      </c>
      <c r="L714" s="10"/>
      <c r="M714" s="11"/>
      <c r="N714" s="12"/>
      <c r="O714" s="13"/>
      <c r="P714" s="14"/>
    </row>
    <row r="715" spans="1:17" x14ac:dyDescent="0.25">
      <c r="A715" s="6"/>
      <c r="B715" s="7"/>
      <c r="C715" s="8"/>
      <c r="D715" s="8"/>
      <c r="E715" s="9"/>
      <c r="F715" s="9"/>
      <c r="G715" s="17"/>
      <c r="H715" s="17"/>
      <c r="I715" s="9"/>
      <c r="J715" s="9"/>
      <c r="K715" s="10">
        <v>0</v>
      </c>
      <c r="L715" s="10"/>
      <c r="M715" s="11"/>
      <c r="N715" s="12"/>
      <c r="O715" s="13"/>
      <c r="P715" s="14"/>
    </row>
    <row r="716" spans="1:17" x14ac:dyDescent="0.25">
      <c r="A716" s="6"/>
      <c r="B716" s="7"/>
      <c r="C716" s="8"/>
      <c r="D716" s="8"/>
      <c r="E716" s="9"/>
      <c r="F716" s="9"/>
      <c r="G716" s="17"/>
      <c r="H716" s="17"/>
      <c r="I716" s="9"/>
      <c r="J716" s="9"/>
      <c r="K716" s="10">
        <v>0</v>
      </c>
      <c r="L716" s="10"/>
      <c r="M716" s="11"/>
      <c r="N716" s="12"/>
      <c r="O716" s="13"/>
      <c r="P716" s="14"/>
    </row>
    <row r="717" spans="1:17" x14ac:dyDescent="0.25">
      <c r="A717" s="6"/>
      <c r="B717" s="15"/>
      <c r="C717" s="16"/>
      <c r="D717" s="8"/>
      <c r="E717" s="9"/>
      <c r="F717" s="9"/>
      <c r="G717" s="17"/>
      <c r="H717" s="17"/>
      <c r="I717" s="9"/>
      <c r="J717" s="9"/>
      <c r="K717" s="10">
        <v>0</v>
      </c>
      <c r="L717" s="10"/>
      <c r="M717" s="11"/>
      <c r="N717" s="12"/>
      <c r="O717" s="13"/>
      <c r="P717" s="14"/>
    </row>
    <row r="718" spans="1:17" x14ac:dyDescent="0.25">
      <c r="A718" s="6"/>
      <c r="B718" s="7"/>
      <c r="C718" s="8"/>
      <c r="D718" s="8"/>
      <c r="E718" s="9"/>
      <c r="F718" s="9"/>
      <c r="G718" s="17"/>
      <c r="H718" s="17"/>
      <c r="I718" s="9"/>
      <c r="J718" s="9"/>
      <c r="K718" s="10">
        <v>0</v>
      </c>
      <c r="L718" s="10"/>
      <c r="M718" s="11"/>
      <c r="N718" s="12"/>
      <c r="O718" s="13"/>
      <c r="P718" s="14"/>
    </row>
    <row r="719" spans="1:17" x14ac:dyDescent="0.25">
      <c r="A719" s="6"/>
      <c r="B719" s="7"/>
      <c r="C719" s="8"/>
      <c r="D719" s="8"/>
      <c r="E719" s="9"/>
      <c r="F719" s="9"/>
      <c r="G719" s="17"/>
      <c r="H719" s="17"/>
      <c r="I719" s="9"/>
      <c r="J719" s="9"/>
      <c r="K719" s="10">
        <v>0</v>
      </c>
      <c r="L719" s="10"/>
      <c r="M719" s="11"/>
      <c r="N719" s="12"/>
      <c r="O719" s="13"/>
      <c r="P719" s="14"/>
    </row>
    <row r="720" spans="1:17" x14ac:dyDescent="0.25">
      <c r="A720" s="6"/>
      <c r="B720" s="7"/>
      <c r="C720" s="8"/>
      <c r="D720" s="8"/>
      <c r="E720" s="9"/>
      <c r="F720" s="9"/>
      <c r="G720" s="17"/>
      <c r="H720" s="17"/>
      <c r="I720" s="9"/>
      <c r="J720" s="9"/>
      <c r="K720" s="10">
        <v>0</v>
      </c>
      <c r="L720" s="10"/>
      <c r="M720" s="11"/>
      <c r="N720" s="12"/>
      <c r="O720" s="13"/>
      <c r="P720" s="14"/>
    </row>
    <row r="721" spans="1:16" x14ac:dyDescent="0.25">
      <c r="A721" s="6"/>
      <c r="B721" s="7"/>
      <c r="C721" s="8"/>
      <c r="D721" s="8"/>
      <c r="E721" s="9"/>
      <c r="F721" s="9"/>
      <c r="G721" s="17"/>
      <c r="H721" s="17"/>
      <c r="I721" s="9"/>
      <c r="J721" s="9"/>
      <c r="K721" s="10">
        <v>0</v>
      </c>
      <c r="L721" s="10"/>
      <c r="M721" s="11"/>
      <c r="N721" s="12"/>
      <c r="O721" s="13"/>
      <c r="P721" s="14"/>
    </row>
    <row r="722" spans="1:16" x14ac:dyDescent="0.25">
      <c r="A722" s="6"/>
      <c r="B722" s="7"/>
      <c r="C722" s="8"/>
      <c r="D722" s="8"/>
      <c r="E722" s="9"/>
      <c r="F722" s="9"/>
      <c r="G722" s="17"/>
      <c r="H722" s="17"/>
      <c r="I722" s="9"/>
      <c r="J722" s="9"/>
      <c r="K722" s="10">
        <v>0</v>
      </c>
      <c r="L722" s="10"/>
      <c r="M722" s="11"/>
      <c r="N722" s="12"/>
      <c r="O722" s="13"/>
      <c r="P722" s="14"/>
    </row>
    <row r="723" spans="1:16" x14ac:dyDescent="0.25">
      <c r="A723" s="6"/>
      <c r="B723" s="7"/>
      <c r="C723" s="8"/>
      <c r="D723" s="8"/>
      <c r="E723" s="9"/>
      <c r="F723" s="9"/>
      <c r="G723" s="17"/>
      <c r="H723" s="17"/>
      <c r="I723" s="9"/>
      <c r="J723" s="9"/>
      <c r="K723" s="10">
        <v>0</v>
      </c>
      <c r="L723" s="10"/>
      <c r="M723" s="11"/>
      <c r="N723" s="12"/>
      <c r="O723" s="13"/>
      <c r="P723" s="14"/>
    </row>
    <row r="724" spans="1:16" x14ac:dyDescent="0.25">
      <c r="A724" s="6"/>
      <c r="B724" s="7"/>
      <c r="C724" s="8"/>
      <c r="D724" s="8"/>
      <c r="E724" s="9"/>
      <c r="F724" s="9"/>
      <c r="G724" s="17"/>
      <c r="H724" s="17"/>
      <c r="I724" s="9"/>
      <c r="J724" s="9"/>
      <c r="K724" s="10">
        <v>0</v>
      </c>
      <c r="L724" s="10"/>
      <c r="M724" s="11"/>
      <c r="N724" s="12"/>
      <c r="O724" s="13"/>
      <c r="P724" s="14"/>
    </row>
    <row r="725" spans="1:16" x14ac:dyDescent="0.25">
      <c r="A725" s="6"/>
      <c r="B725" s="7"/>
      <c r="C725" s="8"/>
      <c r="D725" s="8"/>
      <c r="E725" s="9"/>
      <c r="F725" s="9"/>
      <c r="G725" s="17"/>
      <c r="H725" s="17"/>
      <c r="I725" s="9"/>
      <c r="J725" s="9"/>
      <c r="K725" s="10">
        <v>0</v>
      </c>
      <c r="L725" s="10"/>
      <c r="M725" s="11"/>
      <c r="N725" s="12"/>
      <c r="O725" s="13"/>
      <c r="P725" s="14"/>
    </row>
    <row r="726" spans="1:16" x14ac:dyDescent="0.25">
      <c r="A726" s="6"/>
      <c r="B726" s="7"/>
      <c r="C726" s="8"/>
      <c r="D726" s="8"/>
      <c r="E726" s="9"/>
      <c r="F726" s="9"/>
      <c r="G726" s="17"/>
      <c r="H726" s="17"/>
      <c r="I726" s="9"/>
      <c r="J726" s="9"/>
      <c r="K726" s="10">
        <v>0</v>
      </c>
      <c r="L726" s="10"/>
      <c r="M726" s="11"/>
      <c r="N726" s="12"/>
      <c r="O726" s="13"/>
      <c r="P726" s="14"/>
    </row>
    <row r="727" spans="1:16" x14ac:dyDescent="0.25">
      <c r="A727" s="6"/>
      <c r="B727" s="7"/>
      <c r="C727" s="8"/>
      <c r="D727" s="8"/>
      <c r="E727" s="9"/>
      <c r="F727" s="9"/>
      <c r="G727" s="17"/>
      <c r="H727" s="17"/>
      <c r="I727" s="9"/>
      <c r="J727" s="9"/>
      <c r="K727" s="10">
        <v>0</v>
      </c>
      <c r="L727" s="10"/>
      <c r="M727" s="11"/>
      <c r="N727" s="12"/>
      <c r="O727" s="13"/>
      <c r="P727" s="14"/>
    </row>
    <row r="728" spans="1:16" x14ac:dyDescent="0.25">
      <c r="A728" s="6"/>
      <c r="B728" s="7"/>
      <c r="C728" s="8"/>
      <c r="D728" s="8"/>
      <c r="E728" s="9"/>
      <c r="F728" s="9"/>
      <c r="G728" s="17"/>
      <c r="H728" s="17"/>
      <c r="I728" s="9"/>
      <c r="J728" s="9"/>
      <c r="K728" s="10">
        <v>0</v>
      </c>
      <c r="L728" s="10"/>
      <c r="M728" s="11"/>
      <c r="N728" s="12"/>
      <c r="O728" s="13"/>
      <c r="P728" s="14"/>
    </row>
    <row r="729" spans="1:16" x14ac:dyDescent="0.25">
      <c r="A729" s="6"/>
      <c r="B729" s="7"/>
      <c r="C729" s="8"/>
      <c r="D729" s="8"/>
      <c r="E729" s="9"/>
      <c r="F729" s="9"/>
      <c r="G729" s="17"/>
      <c r="H729" s="17"/>
      <c r="I729" s="9"/>
      <c r="J729" s="9"/>
      <c r="K729" s="10">
        <v>0</v>
      </c>
      <c r="L729" s="10"/>
      <c r="M729" s="11"/>
      <c r="N729" s="12"/>
      <c r="O729" s="13"/>
      <c r="P729" s="14"/>
    </row>
    <row r="730" spans="1:16" x14ac:dyDescent="0.25">
      <c r="A730" s="6"/>
      <c r="B730" s="15"/>
      <c r="C730" s="16"/>
      <c r="D730" s="8"/>
      <c r="E730" s="9"/>
      <c r="F730" s="9"/>
      <c r="G730" s="17"/>
      <c r="H730" s="17"/>
      <c r="I730" s="9"/>
      <c r="J730" s="9"/>
      <c r="K730" s="10">
        <v>0</v>
      </c>
      <c r="L730" s="10"/>
      <c r="M730" s="11"/>
      <c r="N730" s="12"/>
      <c r="O730" s="13"/>
      <c r="P730" s="14"/>
    </row>
    <row r="731" spans="1:16" x14ac:dyDescent="0.25">
      <c r="A731" s="6"/>
      <c r="B731" s="7"/>
      <c r="C731" s="8"/>
      <c r="D731" s="8"/>
      <c r="E731" s="9"/>
      <c r="F731" s="9"/>
      <c r="G731" s="17"/>
      <c r="H731" s="17"/>
      <c r="I731" s="9"/>
      <c r="J731" s="9"/>
      <c r="K731" s="10">
        <v>0</v>
      </c>
      <c r="L731" s="10"/>
      <c r="M731" s="11"/>
      <c r="N731" s="12"/>
      <c r="O731" s="13"/>
      <c r="P731" s="14"/>
    </row>
    <row r="732" spans="1:16" x14ac:dyDescent="0.25">
      <c r="A732" s="6"/>
      <c r="B732" s="7"/>
      <c r="C732" s="8"/>
      <c r="D732" s="8"/>
      <c r="E732" s="9"/>
      <c r="F732" s="9"/>
      <c r="G732" s="17"/>
      <c r="H732" s="17"/>
      <c r="I732" s="9"/>
      <c r="J732" s="9"/>
      <c r="K732" s="10">
        <v>0</v>
      </c>
      <c r="L732" s="10"/>
      <c r="M732" s="11"/>
      <c r="N732" s="12"/>
      <c r="O732" s="13"/>
      <c r="P732" s="14"/>
    </row>
    <row r="733" spans="1:16" x14ac:dyDescent="0.25">
      <c r="A733" s="6"/>
      <c r="B733" s="7"/>
      <c r="C733" s="8"/>
      <c r="D733" s="8"/>
      <c r="E733" s="9"/>
      <c r="F733" s="9"/>
      <c r="G733" s="17"/>
      <c r="H733" s="17"/>
      <c r="I733" s="9"/>
      <c r="J733" s="9"/>
      <c r="K733" s="10">
        <v>0</v>
      </c>
      <c r="L733" s="10"/>
      <c r="M733" s="11"/>
      <c r="N733" s="12"/>
      <c r="O733" s="13"/>
      <c r="P733" s="14"/>
    </row>
    <row r="734" spans="1:16" x14ac:dyDescent="0.25">
      <c r="A734" s="6"/>
      <c r="B734" s="7"/>
      <c r="C734" s="8"/>
      <c r="D734" s="8"/>
      <c r="E734" s="9"/>
      <c r="F734" s="9"/>
      <c r="G734" s="17"/>
      <c r="H734" s="17"/>
      <c r="I734" s="9"/>
      <c r="J734" s="9"/>
      <c r="K734" s="10">
        <v>0</v>
      </c>
      <c r="L734" s="10"/>
      <c r="M734" s="11"/>
      <c r="N734" s="12"/>
      <c r="O734" s="13"/>
      <c r="P734" s="14"/>
    </row>
    <row r="735" spans="1:16" x14ac:dyDescent="0.25">
      <c r="A735" s="6"/>
      <c r="B735" s="7"/>
      <c r="C735" s="8"/>
      <c r="D735" s="8"/>
      <c r="E735" s="9"/>
      <c r="F735" s="9"/>
      <c r="G735" s="17"/>
      <c r="H735" s="17"/>
      <c r="I735" s="9"/>
      <c r="J735" s="9"/>
      <c r="K735" s="10">
        <v>0</v>
      </c>
      <c r="L735" s="10"/>
      <c r="M735" s="11"/>
      <c r="N735" s="12"/>
      <c r="O735" s="13"/>
      <c r="P735" s="14"/>
    </row>
    <row r="736" spans="1:16" x14ac:dyDescent="0.25">
      <c r="A736" s="6"/>
      <c r="B736" s="7"/>
      <c r="C736" s="8"/>
      <c r="D736" s="8"/>
      <c r="E736" s="9"/>
      <c r="F736" s="9"/>
      <c r="G736" s="17"/>
      <c r="H736" s="17"/>
      <c r="I736" s="9"/>
      <c r="J736" s="9"/>
      <c r="K736" s="10">
        <v>0</v>
      </c>
      <c r="L736" s="10"/>
      <c r="M736" s="11"/>
      <c r="N736" s="12"/>
      <c r="O736" s="13"/>
      <c r="P736" s="14"/>
    </row>
    <row r="737" spans="1:16" x14ac:dyDescent="0.25">
      <c r="A737" s="6"/>
      <c r="B737" s="7"/>
      <c r="C737" s="8"/>
      <c r="D737" s="8"/>
      <c r="E737" s="9"/>
      <c r="F737" s="9"/>
      <c r="G737" s="17"/>
      <c r="H737" s="17"/>
      <c r="I737" s="9"/>
      <c r="J737" s="9"/>
      <c r="K737" s="10">
        <v>0</v>
      </c>
      <c r="L737" s="10"/>
      <c r="M737" s="11"/>
      <c r="N737" s="12"/>
      <c r="O737" s="13"/>
      <c r="P737" s="14"/>
    </row>
    <row r="738" spans="1:16" x14ac:dyDescent="0.25">
      <c r="A738" s="6"/>
      <c r="B738" s="7"/>
      <c r="C738" s="8"/>
      <c r="D738" s="8"/>
      <c r="E738" s="9"/>
      <c r="F738" s="9"/>
      <c r="G738" s="17"/>
      <c r="H738" s="17"/>
      <c r="I738" s="9"/>
      <c r="J738" s="9"/>
      <c r="K738" s="10">
        <v>0</v>
      </c>
      <c r="L738" s="10"/>
      <c r="M738" s="11"/>
      <c r="N738" s="12"/>
      <c r="O738" s="13"/>
      <c r="P738" s="14"/>
    </row>
    <row r="739" spans="1:16" x14ac:dyDescent="0.25">
      <c r="A739" s="6"/>
      <c r="B739" s="7"/>
      <c r="C739" s="8"/>
      <c r="D739" s="8"/>
      <c r="E739" s="9"/>
      <c r="F739" s="9"/>
      <c r="G739" s="17"/>
      <c r="H739" s="17"/>
      <c r="I739" s="9"/>
      <c r="J739" s="9"/>
      <c r="K739" s="10">
        <v>0</v>
      </c>
      <c r="L739" s="10"/>
      <c r="M739" s="11"/>
      <c r="N739" s="12"/>
      <c r="O739" s="13"/>
      <c r="P739" s="14"/>
    </row>
    <row r="740" spans="1:16" x14ac:dyDescent="0.25">
      <c r="A740" s="6"/>
      <c r="B740" s="7"/>
      <c r="C740" s="8"/>
      <c r="D740" s="8"/>
      <c r="E740" s="9"/>
      <c r="F740" s="9"/>
      <c r="G740" s="17"/>
      <c r="H740" s="17"/>
      <c r="I740" s="9"/>
      <c r="J740" s="9"/>
      <c r="K740" s="10">
        <v>0</v>
      </c>
      <c r="L740" s="10"/>
      <c r="M740" s="11"/>
      <c r="N740" s="12"/>
      <c r="O740" s="13"/>
      <c r="P740" s="14"/>
    </row>
    <row r="741" spans="1:16" x14ac:dyDescent="0.25">
      <c r="A741" s="6"/>
      <c r="B741" s="7"/>
      <c r="C741" s="8"/>
      <c r="D741" s="8"/>
      <c r="E741" s="9"/>
      <c r="F741" s="9"/>
      <c r="G741" s="17"/>
      <c r="H741" s="17"/>
      <c r="I741" s="9"/>
      <c r="J741" s="9"/>
      <c r="K741" s="10">
        <v>0</v>
      </c>
      <c r="L741" s="10"/>
      <c r="M741" s="11"/>
      <c r="N741" s="12"/>
      <c r="O741" s="13"/>
      <c r="P741" s="14"/>
    </row>
    <row r="742" spans="1:16" x14ac:dyDescent="0.25">
      <c r="A742" s="6"/>
      <c r="B742" s="7"/>
      <c r="C742" s="8"/>
      <c r="D742" s="8"/>
      <c r="E742" s="9"/>
      <c r="F742" s="9"/>
      <c r="G742" s="17"/>
      <c r="H742" s="17"/>
      <c r="I742" s="9"/>
      <c r="J742" s="9"/>
      <c r="K742" s="10">
        <v>0</v>
      </c>
      <c r="L742" s="10"/>
      <c r="M742" s="11"/>
      <c r="N742" s="12"/>
      <c r="O742" s="13"/>
      <c r="P742" s="14"/>
    </row>
    <row r="743" spans="1:16" x14ac:dyDescent="0.25">
      <c r="A743" s="6"/>
      <c r="B743" s="7"/>
      <c r="C743" s="8"/>
      <c r="D743" s="8"/>
      <c r="E743" s="9"/>
      <c r="F743" s="9"/>
      <c r="G743" s="17"/>
      <c r="H743" s="17"/>
      <c r="I743" s="9"/>
      <c r="J743" s="9"/>
      <c r="K743" s="10">
        <v>0</v>
      </c>
      <c r="L743" s="10"/>
      <c r="M743" s="11"/>
      <c r="N743" s="12"/>
      <c r="O743" s="13"/>
      <c r="P743" s="14"/>
    </row>
    <row r="744" spans="1:16" x14ac:dyDescent="0.25">
      <c r="A744" s="6"/>
      <c r="B744" s="7"/>
      <c r="C744" s="8"/>
      <c r="D744" s="8"/>
      <c r="E744" s="9"/>
      <c r="F744" s="9"/>
      <c r="G744" s="17"/>
      <c r="H744" s="17"/>
      <c r="I744" s="9"/>
      <c r="J744" s="9"/>
      <c r="K744" s="10">
        <v>0</v>
      </c>
      <c r="L744" s="10"/>
      <c r="M744" s="11"/>
      <c r="N744" s="12"/>
      <c r="O744" s="13"/>
      <c r="P744" s="14"/>
    </row>
    <row r="745" spans="1:16" x14ac:dyDescent="0.25">
      <c r="A745" s="6"/>
      <c r="B745" s="7"/>
      <c r="C745" s="8"/>
      <c r="D745" s="8"/>
      <c r="E745" s="9"/>
      <c r="F745" s="9"/>
      <c r="G745" s="17"/>
      <c r="H745" s="17"/>
      <c r="I745" s="9"/>
      <c r="J745" s="9"/>
      <c r="K745" s="10">
        <v>0</v>
      </c>
      <c r="L745" s="10"/>
      <c r="M745" s="11"/>
      <c r="N745" s="12"/>
      <c r="O745" s="13"/>
      <c r="P745" s="14"/>
    </row>
    <row r="746" spans="1:16" x14ac:dyDescent="0.25">
      <c r="A746" s="6"/>
      <c r="B746" s="7"/>
      <c r="C746" s="8"/>
      <c r="D746" s="8"/>
      <c r="E746" s="9"/>
      <c r="F746" s="9"/>
      <c r="G746" s="17"/>
      <c r="H746" s="17"/>
      <c r="I746" s="9"/>
      <c r="J746" s="9"/>
      <c r="K746" s="10">
        <v>0</v>
      </c>
      <c r="L746" s="10"/>
      <c r="M746" s="11"/>
      <c r="N746" s="12"/>
      <c r="O746" s="13"/>
      <c r="P746" s="14"/>
    </row>
    <row r="747" spans="1:16" x14ac:dyDescent="0.25">
      <c r="A747" s="6"/>
      <c r="B747" s="7"/>
      <c r="C747" s="8"/>
      <c r="D747" s="8"/>
      <c r="E747" s="9"/>
      <c r="F747" s="9"/>
      <c r="G747" s="17"/>
      <c r="H747" s="17"/>
      <c r="I747" s="9"/>
      <c r="J747" s="9"/>
      <c r="K747" s="10">
        <v>0</v>
      </c>
      <c r="L747" s="10"/>
      <c r="M747" s="11"/>
      <c r="N747" s="12"/>
      <c r="O747" s="13"/>
      <c r="P747" s="14"/>
    </row>
    <row r="748" spans="1:16" x14ac:dyDescent="0.25">
      <c r="A748" s="6"/>
      <c r="B748" s="7"/>
      <c r="C748" s="8"/>
      <c r="D748" s="8"/>
      <c r="E748" s="9"/>
      <c r="F748" s="9"/>
      <c r="G748" s="17"/>
      <c r="H748" s="17"/>
      <c r="I748" s="9"/>
      <c r="J748" s="9"/>
      <c r="K748" s="10">
        <v>0</v>
      </c>
      <c r="L748" s="10"/>
      <c r="M748" s="11"/>
      <c r="N748" s="12"/>
      <c r="O748" s="13"/>
      <c r="P748" s="14"/>
    </row>
    <row r="749" spans="1:16" x14ac:dyDescent="0.25">
      <c r="A749" s="6"/>
      <c r="B749" s="7"/>
      <c r="C749" s="8"/>
      <c r="D749" s="8"/>
      <c r="E749" s="9"/>
      <c r="F749" s="9"/>
      <c r="G749" s="17"/>
      <c r="H749" s="17"/>
      <c r="I749" s="9"/>
      <c r="J749" s="9"/>
      <c r="K749" s="10">
        <v>0</v>
      </c>
      <c r="L749" s="10"/>
      <c r="M749" s="11"/>
      <c r="N749" s="12"/>
      <c r="O749" s="13"/>
      <c r="P749" s="14"/>
    </row>
    <row r="750" spans="1:16" x14ac:dyDescent="0.25">
      <c r="A750" s="6"/>
      <c r="B750" s="7"/>
      <c r="C750" s="8"/>
      <c r="D750" s="8"/>
      <c r="E750" s="9"/>
      <c r="F750" s="9"/>
      <c r="G750" s="17"/>
      <c r="H750" s="17"/>
      <c r="I750" s="9"/>
      <c r="J750" s="9"/>
      <c r="K750" s="10">
        <v>0</v>
      </c>
      <c r="L750" s="10"/>
      <c r="M750" s="11"/>
      <c r="N750" s="12"/>
      <c r="O750" s="13"/>
      <c r="P750" s="14"/>
    </row>
    <row r="751" spans="1:16" x14ac:dyDescent="0.25">
      <c r="A751" s="6"/>
      <c r="B751" s="7"/>
      <c r="C751" s="8"/>
      <c r="D751" s="8"/>
      <c r="E751" s="9"/>
      <c r="F751" s="9"/>
      <c r="G751" s="17"/>
      <c r="H751" s="17"/>
      <c r="I751" s="9"/>
      <c r="J751" s="9"/>
      <c r="K751" s="10">
        <v>0</v>
      </c>
      <c r="L751" s="10"/>
      <c r="M751" s="11"/>
      <c r="N751" s="12"/>
      <c r="O751" s="13"/>
      <c r="P751" s="14"/>
    </row>
    <row r="752" spans="1:16" x14ac:dyDescent="0.25">
      <c r="A752" s="6"/>
      <c r="B752" s="15"/>
      <c r="C752" s="16"/>
      <c r="D752" s="8"/>
      <c r="E752" s="9"/>
      <c r="F752" s="9"/>
      <c r="G752" s="17"/>
      <c r="H752" s="17"/>
      <c r="I752" s="9"/>
      <c r="J752" s="9"/>
      <c r="K752" s="10">
        <v>0</v>
      </c>
      <c r="L752" s="10"/>
      <c r="M752" s="11"/>
      <c r="N752" s="12"/>
      <c r="O752" s="13"/>
      <c r="P752" s="14"/>
    </row>
    <row r="753" spans="1:16" x14ac:dyDescent="0.25">
      <c r="A753" s="6"/>
      <c r="B753" s="7"/>
      <c r="C753" s="8"/>
      <c r="D753" s="8"/>
      <c r="E753" s="9"/>
      <c r="F753" s="9"/>
      <c r="G753" s="17"/>
      <c r="H753" s="17"/>
      <c r="I753" s="9"/>
      <c r="J753" s="9"/>
      <c r="K753" s="10">
        <v>0</v>
      </c>
      <c r="L753" s="10"/>
      <c r="M753" s="11"/>
      <c r="N753" s="12"/>
      <c r="O753" s="13"/>
      <c r="P753" s="14"/>
    </row>
    <row r="754" spans="1:16" x14ac:dyDescent="0.25">
      <c r="A754" s="6"/>
      <c r="B754" s="7"/>
      <c r="C754" s="8"/>
      <c r="D754" s="8"/>
      <c r="E754" s="9"/>
      <c r="F754" s="9"/>
      <c r="G754" s="17"/>
      <c r="H754" s="17"/>
      <c r="I754" s="9"/>
      <c r="J754" s="9"/>
      <c r="K754" s="10">
        <v>0</v>
      </c>
      <c r="L754" s="10"/>
      <c r="M754" s="11"/>
      <c r="N754" s="12"/>
      <c r="O754" s="13"/>
      <c r="P754" s="14"/>
    </row>
    <row r="755" spans="1:16" x14ac:dyDescent="0.25">
      <c r="A755" s="6"/>
      <c r="B755" s="7"/>
      <c r="C755" s="8"/>
      <c r="D755" s="8"/>
      <c r="E755" s="9"/>
      <c r="F755" s="9"/>
      <c r="G755" s="17"/>
      <c r="H755" s="17"/>
      <c r="I755" s="9"/>
      <c r="J755" s="9"/>
      <c r="K755" s="10">
        <v>0</v>
      </c>
      <c r="L755" s="10"/>
      <c r="M755" s="11"/>
      <c r="N755" s="12"/>
      <c r="O755" s="13"/>
      <c r="P755" s="14"/>
    </row>
    <row r="756" spans="1:16" x14ac:dyDescent="0.25">
      <c r="A756" s="6"/>
      <c r="B756" s="7"/>
      <c r="C756" s="8"/>
      <c r="D756" s="8"/>
      <c r="E756" s="9"/>
      <c r="F756" s="9"/>
      <c r="G756" s="17"/>
      <c r="H756" s="17"/>
      <c r="I756" s="9"/>
      <c r="J756" s="9"/>
      <c r="K756" s="10">
        <v>0</v>
      </c>
      <c r="L756" s="10"/>
      <c r="M756" s="11"/>
      <c r="N756" s="12"/>
      <c r="O756" s="13"/>
      <c r="P756" s="14"/>
    </row>
    <row r="757" spans="1:16" x14ac:dyDescent="0.25">
      <c r="A757" s="6"/>
      <c r="B757" s="7"/>
      <c r="C757" s="8"/>
      <c r="D757" s="8"/>
      <c r="E757" s="9"/>
      <c r="F757" s="9"/>
      <c r="G757" s="17"/>
      <c r="H757" s="17"/>
      <c r="I757" s="9"/>
      <c r="J757" s="9"/>
      <c r="K757" s="10">
        <v>0</v>
      </c>
      <c r="L757" s="10"/>
      <c r="M757" s="11"/>
      <c r="N757" s="12"/>
      <c r="O757" s="13"/>
      <c r="P757" s="14"/>
    </row>
    <row r="758" spans="1:16" x14ac:dyDescent="0.25">
      <c r="A758" s="6"/>
      <c r="B758" s="7"/>
      <c r="C758" s="8"/>
      <c r="D758" s="8"/>
      <c r="E758" s="9"/>
      <c r="F758" s="9"/>
      <c r="G758" s="17"/>
      <c r="H758" s="17"/>
      <c r="I758" s="9"/>
      <c r="J758" s="9"/>
      <c r="K758" s="10">
        <v>0</v>
      </c>
      <c r="L758" s="10"/>
      <c r="M758" s="11"/>
      <c r="N758" s="12"/>
      <c r="O758" s="13"/>
      <c r="P758" s="14"/>
    </row>
    <row r="759" spans="1:16" x14ac:dyDescent="0.25">
      <c r="A759" s="6"/>
      <c r="B759" s="7"/>
      <c r="C759" s="8"/>
      <c r="D759" s="8"/>
      <c r="E759" s="9"/>
      <c r="F759" s="9"/>
      <c r="G759" s="17"/>
      <c r="H759" s="17"/>
      <c r="I759" s="9"/>
      <c r="J759" s="9"/>
      <c r="K759" s="10">
        <v>0</v>
      </c>
      <c r="L759" s="10"/>
      <c r="M759" s="11"/>
      <c r="N759" s="12"/>
      <c r="O759" s="13"/>
      <c r="P759" s="14"/>
    </row>
    <row r="760" spans="1:16" x14ac:dyDescent="0.25">
      <c r="A760" s="6"/>
      <c r="B760" s="7"/>
      <c r="C760" s="8"/>
      <c r="D760" s="8"/>
      <c r="E760" s="9"/>
      <c r="F760" s="9"/>
      <c r="G760" s="17"/>
      <c r="H760" s="17"/>
      <c r="I760" s="9"/>
      <c r="J760" s="9"/>
      <c r="K760" s="10">
        <v>0</v>
      </c>
      <c r="L760" s="10"/>
      <c r="M760" s="11"/>
      <c r="N760" s="12"/>
      <c r="O760" s="13"/>
      <c r="P760" s="14"/>
    </row>
    <row r="761" spans="1:16" x14ac:dyDescent="0.25">
      <c r="A761" s="6"/>
      <c r="B761" s="7"/>
      <c r="C761" s="8"/>
      <c r="D761" s="8"/>
      <c r="E761" s="9"/>
      <c r="F761" s="9"/>
      <c r="G761" s="17"/>
      <c r="H761" s="17"/>
      <c r="I761" s="9"/>
      <c r="J761" s="9"/>
      <c r="K761" s="10">
        <v>0</v>
      </c>
      <c r="L761" s="10"/>
      <c r="M761" s="11"/>
      <c r="N761" s="12"/>
      <c r="O761" s="13"/>
      <c r="P761" s="14"/>
    </row>
    <row r="762" spans="1:16" x14ac:dyDescent="0.25">
      <c r="A762" s="6"/>
      <c r="B762" s="7"/>
      <c r="C762" s="8"/>
      <c r="D762" s="8"/>
      <c r="E762" s="9"/>
      <c r="F762" s="9"/>
      <c r="G762" s="17"/>
      <c r="H762" s="17"/>
      <c r="I762" s="9"/>
      <c r="J762" s="9"/>
      <c r="K762" s="10">
        <v>0</v>
      </c>
      <c r="L762" s="10"/>
      <c r="M762" s="11"/>
      <c r="N762" s="12"/>
      <c r="O762" s="13"/>
      <c r="P762" s="14"/>
    </row>
    <row r="763" spans="1:16" x14ac:dyDescent="0.25">
      <c r="A763" s="6"/>
      <c r="B763" s="7"/>
      <c r="C763" s="8"/>
      <c r="D763" s="8"/>
      <c r="E763" s="9"/>
      <c r="F763" s="9"/>
      <c r="G763" s="17"/>
      <c r="H763" s="17"/>
      <c r="I763" s="9"/>
      <c r="J763" s="9"/>
      <c r="K763" s="10">
        <v>0</v>
      </c>
      <c r="L763" s="10"/>
      <c r="M763" s="11"/>
      <c r="N763" s="12"/>
      <c r="O763" s="13"/>
      <c r="P763" s="14"/>
    </row>
    <row r="764" spans="1:16" x14ac:dyDescent="0.25">
      <c r="A764" s="6"/>
      <c r="B764" s="7"/>
      <c r="C764" s="8"/>
      <c r="D764" s="8"/>
      <c r="E764" s="9"/>
      <c r="F764" s="9"/>
      <c r="G764" s="17"/>
      <c r="H764" s="17"/>
      <c r="I764" s="9"/>
      <c r="J764" s="9"/>
      <c r="K764" s="10">
        <v>0</v>
      </c>
      <c r="L764" s="10"/>
      <c r="M764" s="11"/>
      <c r="N764" s="12"/>
      <c r="O764" s="13"/>
      <c r="P764" s="14"/>
    </row>
    <row r="765" spans="1:16" x14ac:dyDescent="0.25">
      <c r="A765" s="6"/>
      <c r="B765" s="7"/>
      <c r="C765" s="7"/>
      <c r="D765" s="8"/>
      <c r="E765" s="9"/>
      <c r="F765" s="9"/>
      <c r="G765" s="17"/>
      <c r="H765" s="17"/>
      <c r="I765" s="9"/>
      <c r="J765" s="9"/>
      <c r="K765" s="10">
        <v>0</v>
      </c>
      <c r="L765" s="10"/>
      <c r="M765" s="11"/>
      <c r="N765" s="12"/>
      <c r="O765" s="13"/>
      <c r="P765" s="14"/>
    </row>
    <row r="766" spans="1:16" x14ac:dyDescent="0.25">
      <c r="A766" s="6"/>
      <c r="B766" s="7"/>
      <c r="C766" s="7"/>
      <c r="D766" s="8"/>
      <c r="E766" s="9"/>
      <c r="F766" s="9"/>
      <c r="G766" s="17"/>
      <c r="H766" s="17"/>
      <c r="I766" s="9"/>
      <c r="J766" s="9"/>
      <c r="K766" s="10">
        <v>0</v>
      </c>
      <c r="L766" s="10"/>
      <c r="M766" s="11"/>
      <c r="N766" s="12"/>
      <c r="O766" s="13"/>
      <c r="P766" s="14"/>
    </row>
    <row r="767" spans="1:16" x14ac:dyDescent="0.25">
      <c r="A767" s="6"/>
      <c r="B767" s="7"/>
      <c r="C767" s="7"/>
      <c r="D767" s="8"/>
      <c r="E767" s="9"/>
      <c r="F767" s="9"/>
      <c r="G767" s="17"/>
      <c r="H767" s="17"/>
      <c r="I767" s="9"/>
      <c r="J767" s="9"/>
      <c r="K767" s="10">
        <v>0</v>
      </c>
      <c r="L767" s="10"/>
      <c r="M767" s="11"/>
      <c r="N767" s="12"/>
      <c r="O767" s="13"/>
      <c r="P767" s="14"/>
    </row>
    <row r="768" spans="1:16" x14ac:dyDescent="0.25">
      <c r="A768" s="6"/>
      <c r="B768" s="7"/>
      <c r="C768" s="7"/>
      <c r="D768" s="8"/>
      <c r="E768" s="9"/>
      <c r="F768" s="9"/>
      <c r="G768" s="17"/>
      <c r="H768" s="17"/>
      <c r="I768" s="9"/>
      <c r="J768" s="9"/>
      <c r="K768" s="10">
        <v>0</v>
      </c>
      <c r="L768" s="10"/>
      <c r="M768" s="11"/>
      <c r="N768" s="12"/>
      <c r="O768" s="13"/>
      <c r="P768" s="14"/>
    </row>
    <row r="769" spans="1:20" x14ac:dyDescent="0.25">
      <c r="A769" s="6"/>
      <c r="B769" s="7"/>
      <c r="C769" s="7"/>
      <c r="D769" s="8"/>
      <c r="E769" s="9"/>
      <c r="F769" s="9"/>
      <c r="G769" s="17"/>
      <c r="H769" s="17"/>
      <c r="I769" s="9"/>
      <c r="J769" s="9"/>
      <c r="K769" s="10">
        <v>0</v>
      </c>
      <c r="L769" s="10"/>
      <c r="M769" s="11"/>
      <c r="N769" s="12"/>
      <c r="O769" s="13"/>
      <c r="P769" s="14"/>
    </row>
    <row r="770" spans="1:20" x14ac:dyDescent="0.25">
      <c r="A770" s="6"/>
      <c r="B770" s="7"/>
      <c r="C770" s="7"/>
      <c r="D770" s="8"/>
      <c r="E770" s="9"/>
      <c r="F770" s="9"/>
      <c r="G770" s="17"/>
      <c r="H770" s="17"/>
      <c r="I770" s="9"/>
      <c r="J770" s="9"/>
      <c r="K770" s="10">
        <v>0</v>
      </c>
      <c r="L770" s="10"/>
      <c r="M770" s="11"/>
      <c r="N770" s="12"/>
      <c r="O770" s="13"/>
      <c r="P770" s="14"/>
    </row>
    <row r="771" spans="1:20" x14ac:dyDescent="0.25">
      <c r="A771" s="6"/>
      <c r="B771" s="7"/>
      <c r="C771" s="7"/>
      <c r="D771" s="8"/>
      <c r="E771" s="9"/>
      <c r="F771" s="9"/>
      <c r="G771" s="17"/>
      <c r="H771" s="17"/>
      <c r="I771" s="9"/>
      <c r="J771" s="9"/>
      <c r="K771" s="10">
        <v>0</v>
      </c>
      <c r="L771" s="10"/>
      <c r="M771" s="11"/>
      <c r="N771" s="12"/>
      <c r="O771" s="13"/>
      <c r="P771" s="14"/>
    </row>
    <row r="772" spans="1:20" x14ac:dyDescent="0.25">
      <c r="A772" s="6"/>
      <c r="B772" s="7"/>
      <c r="C772" s="7"/>
      <c r="D772" s="8"/>
      <c r="E772" s="9"/>
      <c r="F772" s="9"/>
      <c r="G772" s="17"/>
      <c r="H772" s="17"/>
      <c r="I772" s="9"/>
      <c r="J772" s="9"/>
      <c r="K772" s="10">
        <v>0</v>
      </c>
      <c r="L772" s="10"/>
      <c r="M772" s="11"/>
      <c r="N772" s="12"/>
      <c r="O772" s="13"/>
      <c r="P772" s="14"/>
    </row>
    <row r="773" spans="1:20" x14ac:dyDescent="0.25">
      <c r="A773" s="6"/>
      <c r="B773" s="7"/>
      <c r="C773" s="7"/>
      <c r="D773" s="8"/>
      <c r="E773" s="9"/>
      <c r="F773" s="9"/>
      <c r="G773" s="17"/>
      <c r="H773" s="17"/>
      <c r="I773" s="9"/>
      <c r="J773" s="9"/>
      <c r="K773" s="10">
        <v>0</v>
      </c>
      <c r="L773" s="10"/>
      <c r="M773" s="11"/>
      <c r="N773" s="12"/>
      <c r="O773" s="13"/>
      <c r="P773" s="14"/>
    </row>
    <row r="774" spans="1:20" x14ac:dyDescent="0.25">
      <c r="A774" s="6"/>
      <c r="B774" s="7"/>
      <c r="C774" s="8"/>
      <c r="D774" s="8"/>
      <c r="E774" s="9"/>
      <c r="F774" s="9"/>
      <c r="G774" s="17"/>
      <c r="H774" s="17"/>
      <c r="I774" s="9"/>
      <c r="J774" s="9"/>
      <c r="K774" s="10">
        <v>0</v>
      </c>
      <c r="L774" s="10"/>
      <c r="M774" s="11"/>
      <c r="N774" s="12"/>
      <c r="O774" s="13"/>
      <c r="P774" s="14"/>
    </row>
    <row r="775" spans="1:20" x14ac:dyDescent="0.25">
      <c r="A775" s="6"/>
      <c r="B775" s="7"/>
      <c r="C775" s="8"/>
      <c r="D775" s="8"/>
      <c r="E775" s="9"/>
      <c r="F775" s="9"/>
      <c r="G775" s="17"/>
      <c r="H775" s="17"/>
      <c r="I775" s="9"/>
      <c r="J775" s="9"/>
      <c r="K775" s="10">
        <v>0</v>
      </c>
      <c r="L775" s="10"/>
      <c r="M775" s="11"/>
      <c r="N775" s="12"/>
      <c r="O775" s="13"/>
      <c r="P775" s="14"/>
    </row>
    <row r="776" spans="1:20" x14ac:dyDescent="0.25">
      <c r="A776" s="6"/>
      <c r="B776" s="7"/>
      <c r="C776" s="8"/>
      <c r="D776" s="8"/>
      <c r="E776" s="9"/>
      <c r="F776" s="9"/>
      <c r="G776" s="17"/>
      <c r="H776" s="17"/>
      <c r="I776" s="9"/>
      <c r="J776" s="9"/>
      <c r="K776" s="10">
        <v>0</v>
      </c>
      <c r="L776" s="10"/>
      <c r="M776" s="11"/>
      <c r="N776" s="12"/>
      <c r="O776" s="13"/>
      <c r="P776" s="14"/>
    </row>
    <row r="777" spans="1:20" x14ac:dyDescent="0.25">
      <c r="A777" s="6"/>
      <c r="B777" s="7"/>
      <c r="C777" s="8"/>
      <c r="D777" s="8"/>
      <c r="E777" s="9"/>
      <c r="F777" s="9"/>
      <c r="G777" s="17"/>
      <c r="H777" s="17"/>
      <c r="I777" s="9"/>
      <c r="J777" s="9"/>
      <c r="K777" s="10">
        <v>0</v>
      </c>
      <c r="L777" s="10"/>
      <c r="M777" s="11"/>
      <c r="N777" s="12"/>
      <c r="O777" s="13"/>
      <c r="P777" s="14"/>
    </row>
    <row r="778" spans="1:20" x14ac:dyDescent="0.25">
      <c r="A778" s="6"/>
      <c r="B778" s="7"/>
      <c r="C778" s="8"/>
      <c r="D778" s="8"/>
      <c r="E778" s="9"/>
      <c r="F778" s="9"/>
      <c r="G778" s="17"/>
      <c r="H778" s="17"/>
      <c r="I778" s="9"/>
      <c r="J778" s="9"/>
      <c r="K778" s="10">
        <v>0</v>
      </c>
      <c r="L778" s="10"/>
      <c r="M778" s="11"/>
      <c r="N778" s="12"/>
      <c r="O778" s="13"/>
      <c r="P778" s="14"/>
    </row>
    <row r="779" spans="1:20" x14ac:dyDescent="0.25">
      <c r="A779" s="6"/>
      <c r="B779" s="7"/>
      <c r="C779" s="8"/>
      <c r="D779" s="8"/>
      <c r="E779" s="9"/>
      <c r="F779" s="9"/>
      <c r="G779" s="17"/>
      <c r="H779" s="17"/>
      <c r="I779" s="9"/>
      <c r="J779" s="9"/>
      <c r="K779" s="10">
        <v>0</v>
      </c>
      <c r="L779" s="10"/>
      <c r="M779" s="11"/>
      <c r="N779" s="12"/>
      <c r="O779" s="13"/>
      <c r="P779" s="14"/>
    </row>
    <row r="780" spans="1:20" x14ac:dyDescent="0.25">
      <c r="A780" s="6"/>
      <c r="B780" s="7"/>
      <c r="C780" s="8"/>
      <c r="D780" s="8"/>
      <c r="E780" s="9"/>
      <c r="F780" s="9"/>
      <c r="G780" s="17"/>
      <c r="H780" s="17"/>
      <c r="I780" s="9"/>
      <c r="J780" s="9"/>
      <c r="K780" s="10">
        <v>0</v>
      </c>
      <c r="L780" s="10"/>
      <c r="M780" s="11"/>
      <c r="N780" s="12"/>
      <c r="O780" s="13"/>
      <c r="P780" s="14"/>
    </row>
    <row r="781" spans="1:20" x14ac:dyDescent="0.25">
      <c r="A781" s="6"/>
      <c r="B781" s="7"/>
      <c r="C781" s="8"/>
      <c r="D781" s="8"/>
      <c r="E781" s="9"/>
      <c r="F781" s="9"/>
      <c r="G781" s="17"/>
      <c r="H781" s="17"/>
      <c r="I781" s="9"/>
      <c r="J781" s="9"/>
      <c r="K781" s="10">
        <v>0</v>
      </c>
      <c r="L781" s="10"/>
      <c r="M781" s="11"/>
      <c r="N781" s="12"/>
      <c r="O781" s="13"/>
      <c r="P781" s="14"/>
    </row>
    <row r="782" spans="1:20" x14ac:dyDescent="0.25">
      <c r="A782" s="6"/>
      <c r="B782" s="7"/>
      <c r="C782" s="8"/>
      <c r="D782" s="8"/>
      <c r="E782" s="9"/>
      <c r="F782" s="9"/>
      <c r="G782" s="17"/>
      <c r="H782" s="17"/>
      <c r="I782" s="9"/>
      <c r="J782" s="9"/>
      <c r="K782" s="10">
        <v>0</v>
      </c>
      <c r="L782" s="10"/>
      <c r="M782" s="11"/>
      <c r="N782" s="12"/>
      <c r="O782" s="13"/>
      <c r="P782" s="14"/>
    </row>
    <row r="783" spans="1:20" x14ac:dyDescent="0.25">
      <c r="A783" s="6"/>
      <c r="B783" s="7"/>
      <c r="C783" s="8"/>
      <c r="D783" s="8"/>
      <c r="E783" s="9"/>
      <c r="F783" s="9"/>
      <c r="G783" s="17"/>
      <c r="H783" s="17"/>
      <c r="I783" s="9"/>
      <c r="J783" s="9"/>
      <c r="K783" s="10">
        <v>0</v>
      </c>
      <c r="L783" s="10"/>
      <c r="M783" s="11"/>
      <c r="N783" s="12"/>
      <c r="O783" s="13"/>
      <c r="P783" s="14"/>
    </row>
    <row r="784" spans="1:20" x14ac:dyDescent="0.25">
      <c r="A784" s="6"/>
      <c r="B784" s="7"/>
      <c r="C784" s="8"/>
      <c r="D784" s="8"/>
      <c r="E784" s="9"/>
      <c r="F784" s="9"/>
      <c r="G784" s="17"/>
      <c r="H784" s="17"/>
      <c r="I784" s="9"/>
      <c r="J784" s="9"/>
      <c r="K784" s="10">
        <v>0</v>
      </c>
      <c r="L784" s="10"/>
      <c r="M784" s="11"/>
      <c r="N784" s="12"/>
      <c r="O784" s="13"/>
      <c r="P784" s="14"/>
      <c r="T784" s="1">
        <v>-20359</v>
      </c>
    </row>
    <row r="785" spans="1:16" x14ac:dyDescent="0.25">
      <c r="A785" s="6"/>
      <c r="B785" s="7"/>
      <c r="C785" s="8"/>
      <c r="D785" s="8"/>
      <c r="E785" s="9"/>
      <c r="F785" s="9"/>
      <c r="G785" s="17"/>
      <c r="H785" s="17"/>
      <c r="I785" s="9"/>
      <c r="J785" s="9"/>
      <c r="K785" s="10">
        <v>0</v>
      </c>
      <c r="L785" s="10"/>
      <c r="M785" s="11"/>
      <c r="N785" s="12"/>
      <c r="O785" s="13"/>
      <c r="P785" s="14"/>
    </row>
    <row r="786" spans="1:16" x14ac:dyDescent="0.25">
      <c r="A786" s="6"/>
      <c r="B786" s="7"/>
      <c r="C786" s="8"/>
      <c r="D786" s="8"/>
      <c r="E786" s="9"/>
      <c r="F786" s="9"/>
      <c r="G786" s="17"/>
      <c r="H786" s="17"/>
      <c r="I786" s="9"/>
      <c r="J786" s="9"/>
      <c r="K786" s="10">
        <v>0</v>
      </c>
      <c r="L786" s="10"/>
      <c r="M786" s="11"/>
      <c r="N786" s="12"/>
      <c r="O786" s="13"/>
      <c r="P786" s="14"/>
    </row>
    <row r="787" spans="1:16" x14ac:dyDescent="0.25">
      <c r="A787" s="6"/>
      <c r="B787" s="7"/>
      <c r="C787" s="8"/>
      <c r="D787" s="8"/>
      <c r="E787" s="9"/>
      <c r="F787" s="9"/>
      <c r="G787" s="17"/>
      <c r="H787" s="17"/>
      <c r="I787" s="9"/>
      <c r="J787" s="9"/>
      <c r="K787" s="10">
        <v>0</v>
      </c>
      <c r="L787" s="10"/>
      <c r="M787" s="11"/>
      <c r="N787" s="12"/>
      <c r="O787" s="13"/>
      <c r="P787" s="14"/>
    </row>
    <row r="788" spans="1:16" x14ac:dyDescent="0.25">
      <c r="A788" s="6"/>
      <c r="B788" s="7"/>
      <c r="C788" s="8"/>
      <c r="D788" s="8"/>
      <c r="E788" s="9"/>
      <c r="F788" s="9"/>
      <c r="G788" s="17"/>
      <c r="H788" s="17"/>
      <c r="I788" s="9"/>
      <c r="J788" s="9"/>
      <c r="K788" s="10">
        <v>0</v>
      </c>
      <c r="L788" s="10"/>
      <c r="M788" s="11"/>
      <c r="N788" s="12"/>
      <c r="O788" s="13"/>
      <c r="P788" s="14"/>
    </row>
    <row r="789" spans="1:16" x14ac:dyDescent="0.25">
      <c r="A789" s="6"/>
      <c r="B789" s="7"/>
      <c r="C789" s="8"/>
      <c r="D789" s="8"/>
      <c r="E789" s="9"/>
      <c r="F789" s="9"/>
      <c r="G789" s="17"/>
      <c r="H789" s="17"/>
      <c r="I789" s="9"/>
      <c r="J789" s="9"/>
      <c r="K789" s="10">
        <v>0</v>
      </c>
      <c r="L789" s="10"/>
      <c r="M789" s="11"/>
      <c r="N789" s="12"/>
      <c r="O789" s="13"/>
      <c r="P789" s="14"/>
    </row>
    <row r="790" spans="1:16" x14ac:dyDescent="0.25">
      <c r="A790" s="6"/>
      <c r="B790" s="7"/>
      <c r="C790" s="8"/>
      <c r="D790" s="8"/>
      <c r="E790" s="9"/>
      <c r="F790" s="9"/>
      <c r="G790" s="17"/>
      <c r="H790" s="17"/>
      <c r="I790" s="9"/>
      <c r="J790" s="9"/>
      <c r="K790" s="10">
        <v>0</v>
      </c>
      <c r="L790" s="10"/>
      <c r="M790" s="11"/>
      <c r="N790" s="12"/>
      <c r="O790" s="13"/>
      <c r="P790" s="14"/>
    </row>
    <row r="791" spans="1:16" x14ac:dyDescent="0.25">
      <c r="A791" s="6"/>
      <c r="B791" s="7"/>
      <c r="C791" s="8"/>
      <c r="D791" s="8"/>
      <c r="E791" s="9"/>
      <c r="F791" s="9"/>
      <c r="G791" s="17"/>
      <c r="H791" s="17"/>
      <c r="I791" s="9"/>
      <c r="J791" s="9"/>
      <c r="K791" s="10">
        <v>0</v>
      </c>
      <c r="L791" s="10"/>
      <c r="M791" s="11"/>
      <c r="N791" s="12"/>
      <c r="O791" s="13"/>
      <c r="P791" s="14"/>
    </row>
    <row r="792" spans="1:16" x14ac:dyDescent="0.25">
      <c r="A792" s="6"/>
      <c r="B792" s="7"/>
      <c r="C792" s="8"/>
      <c r="D792" s="8"/>
      <c r="E792" s="9"/>
      <c r="F792" s="9"/>
      <c r="G792" s="17"/>
      <c r="H792" s="17"/>
      <c r="I792" s="9"/>
      <c r="J792" s="9"/>
      <c r="K792" s="10">
        <v>0</v>
      </c>
      <c r="L792" s="10"/>
      <c r="M792" s="11"/>
      <c r="N792" s="12"/>
      <c r="O792" s="13"/>
      <c r="P792" s="14"/>
    </row>
    <row r="793" spans="1:16" x14ac:dyDescent="0.25">
      <c r="A793" s="6"/>
      <c r="B793" s="7"/>
      <c r="C793" s="8"/>
      <c r="D793" s="8"/>
      <c r="E793" s="9"/>
      <c r="F793" s="9"/>
      <c r="G793" s="17"/>
      <c r="H793" s="17"/>
      <c r="I793" s="9"/>
      <c r="J793" s="9"/>
      <c r="K793" s="10">
        <v>0</v>
      </c>
      <c r="L793" s="10"/>
      <c r="M793" s="11"/>
      <c r="N793" s="12"/>
      <c r="O793" s="13"/>
      <c r="P793" s="14"/>
    </row>
    <row r="794" spans="1:16" x14ac:dyDescent="0.25">
      <c r="A794" s="6"/>
      <c r="B794" s="7"/>
      <c r="C794" s="8"/>
      <c r="D794" s="8"/>
      <c r="E794" s="9"/>
      <c r="F794" s="9"/>
      <c r="G794" s="17"/>
      <c r="H794" s="17"/>
      <c r="I794" s="9"/>
      <c r="J794" s="9"/>
      <c r="K794" s="10">
        <v>0</v>
      </c>
      <c r="L794" s="10"/>
      <c r="M794" s="11"/>
      <c r="N794" s="12"/>
      <c r="O794" s="13"/>
      <c r="P794" s="14"/>
    </row>
    <row r="795" spans="1:16" x14ac:dyDescent="0.25">
      <c r="A795" s="6"/>
      <c r="B795" s="7"/>
      <c r="C795" s="8"/>
      <c r="D795" s="8"/>
      <c r="E795" s="9"/>
      <c r="F795" s="9"/>
      <c r="G795" s="17"/>
      <c r="H795" s="17"/>
      <c r="I795" s="9"/>
      <c r="J795" s="9"/>
      <c r="K795" s="10">
        <v>0</v>
      </c>
      <c r="L795" s="10"/>
      <c r="M795" s="11"/>
      <c r="N795" s="12"/>
      <c r="O795" s="13"/>
      <c r="P795" s="14"/>
    </row>
    <row r="796" spans="1:16" x14ac:dyDescent="0.25">
      <c r="A796" s="6"/>
      <c r="B796" s="7"/>
      <c r="C796" s="8"/>
      <c r="D796" s="8"/>
      <c r="E796" s="9"/>
      <c r="F796" s="9"/>
      <c r="G796" s="17"/>
      <c r="H796" s="17"/>
      <c r="I796" s="9"/>
      <c r="J796" s="9"/>
      <c r="K796" s="10">
        <v>0</v>
      </c>
      <c r="L796" s="10"/>
      <c r="M796" s="11"/>
      <c r="N796" s="12"/>
      <c r="O796" s="13"/>
      <c r="P796" s="14"/>
    </row>
    <row r="797" spans="1:16" x14ac:dyDescent="0.25">
      <c r="A797" s="6"/>
      <c r="B797" s="7"/>
      <c r="C797" s="8"/>
      <c r="D797" s="8"/>
      <c r="E797" s="9"/>
      <c r="F797" s="9"/>
      <c r="G797" s="17"/>
      <c r="H797" s="17"/>
      <c r="I797" s="9"/>
      <c r="J797" s="9"/>
      <c r="K797" s="10">
        <v>0</v>
      </c>
      <c r="L797" s="10"/>
      <c r="M797" s="11"/>
      <c r="N797" s="12"/>
      <c r="O797" s="13"/>
      <c r="P797" s="14"/>
    </row>
    <row r="798" spans="1:16" x14ac:dyDescent="0.25">
      <c r="A798" s="6"/>
      <c r="B798" s="7"/>
      <c r="C798" s="8"/>
      <c r="D798" s="8"/>
      <c r="E798" s="9"/>
      <c r="F798" s="9"/>
      <c r="G798" s="17"/>
      <c r="H798" s="17"/>
      <c r="I798" s="9"/>
      <c r="J798" s="9"/>
      <c r="K798" s="10">
        <v>0</v>
      </c>
      <c r="L798" s="10"/>
      <c r="M798" s="11"/>
      <c r="N798" s="12"/>
      <c r="O798" s="13"/>
      <c r="P798" s="14"/>
    </row>
    <row r="799" spans="1:16" x14ac:dyDescent="0.25">
      <c r="A799" s="6"/>
      <c r="B799" s="7"/>
      <c r="C799" s="8"/>
      <c r="D799" s="8"/>
      <c r="E799" s="9"/>
      <c r="F799" s="9"/>
      <c r="G799" s="17"/>
      <c r="H799" s="17"/>
      <c r="I799" s="9"/>
      <c r="J799" s="9"/>
      <c r="K799" s="10">
        <v>0</v>
      </c>
      <c r="L799" s="10"/>
      <c r="M799" s="11"/>
      <c r="N799" s="12"/>
      <c r="O799" s="13"/>
      <c r="P799" s="14"/>
    </row>
    <row r="800" spans="1:16" x14ac:dyDescent="0.25">
      <c r="A800" s="6"/>
      <c r="B800" s="7"/>
      <c r="C800" s="8"/>
      <c r="D800" s="8"/>
      <c r="E800" s="9"/>
      <c r="F800" s="9"/>
      <c r="G800" s="17"/>
      <c r="H800" s="17"/>
      <c r="I800" s="9"/>
      <c r="J800" s="9"/>
      <c r="K800" s="10">
        <v>0</v>
      </c>
      <c r="L800" s="10"/>
      <c r="M800" s="11"/>
      <c r="N800" s="12"/>
      <c r="O800" s="13"/>
      <c r="P800" s="14"/>
    </row>
    <row r="801" spans="1:16" x14ac:dyDescent="0.25">
      <c r="A801" s="6"/>
      <c r="B801" s="7"/>
      <c r="C801" s="8"/>
      <c r="D801" s="8"/>
      <c r="E801" s="9"/>
      <c r="F801" s="9"/>
      <c r="G801" s="17"/>
      <c r="H801" s="17"/>
      <c r="I801" s="9"/>
      <c r="J801" s="9"/>
      <c r="K801" s="10">
        <v>0</v>
      </c>
      <c r="L801" s="10"/>
      <c r="M801" s="11"/>
      <c r="N801" s="12"/>
      <c r="O801" s="13"/>
      <c r="P801" s="14"/>
    </row>
    <row r="802" spans="1:16" x14ac:dyDescent="0.25">
      <c r="A802" s="6"/>
      <c r="B802" s="7"/>
      <c r="C802" s="8"/>
      <c r="D802" s="8"/>
      <c r="E802" s="9"/>
      <c r="F802" s="9"/>
      <c r="G802" s="17"/>
      <c r="H802" s="17"/>
      <c r="I802" s="9"/>
      <c r="J802" s="9"/>
      <c r="K802" s="10">
        <v>0</v>
      </c>
      <c r="L802" s="10"/>
      <c r="M802" s="11"/>
      <c r="N802" s="12"/>
      <c r="O802" s="13"/>
      <c r="P802" s="14"/>
    </row>
    <row r="803" spans="1:16" x14ac:dyDescent="0.25">
      <c r="A803" s="6"/>
      <c r="B803" s="7"/>
      <c r="C803" s="8"/>
      <c r="D803" s="8"/>
      <c r="E803" s="9"/>
      <c r="F803" s="9"/>
      <c r="G803" s="17"/>
      <c r="H803" s="17"/>
      <c r="I803" s="9"/>
      <c r="J803" s="9"/>
      <c r="K803" s="10">
        <v>0</v>
      </c>
      <c r="L803" s="10"/>
      <c r="M803" s="11"/>
      <c r="N803" s="12"/>
      <c r="O803" s="13"/>
      <c r="P803" s="14"/>
    </row>
    <row r="804" spans="1:16" x14ac:dyDescent="0.25">
      <c r="A804" s="6"/>
      <c r="B804" s="7"/>
      <c r="C804" s="8"/>
      <c r="D804" s="8"/>
      <c r="E804" s="9"/>
      <c r="F804" s="9"/>
      <c r="G804" s="17"/>
      <c r="H804" s="17"/>
      <c r="I804" s="9"/>
      <c r="J804" s="9"/>
      <c r="K804" s="10">
        <v>0</v>
      </c>
      <c r="L804" s="10"/>
      <c r="M804" s="11"/>
      <c r="N804" s="12"/>
      <c r="O804" s="13"/>
      <c r="P804" s="14"/>
    </row>
    <row r="805" spans="1:16" x14ac:dyDescent="0.25">
      <c r="A805" s="6"/>
      <c r="B805" s="7"/>
      <c r="C805" s="8"/>
      <c r="D805" s="8"/>
      <c r="E805" s="9"/>
      <c r="F805" s="9"/>
      <c r="G805" s="17"/>
      <c r="H805" s="17"/>
      <c r="I805" s="9"/>
      <c r="J805" s="9"/>
      <c r="K805" s="10">
        <v>0</v>
      </c>
      <c r="L805" s="10"/>
      <c r="M805" s="11"/>
      <c r="N805" s="12"/>
      <c r="O805" s="13"/>
      <c r="P805" s="14"/>
    </row>
    <row r="806" spans="1:16" x14ac:dyDescent="0.25">
      <c r="A806" s="6"/>
      <c r="B806" s="7"/>
      <c r="C806" s="8"/>
      <c r="D806" s="8"/>
      <c r="E806" s="9"/>
      <c r="F806" s="9"/>
      <c r="G806" s="17"/>
      <c r="H806" s="17"/>
      <c r="I806" s="9"/>
      <c r="J806" s="9"/>
      <c r="K806" s="10">
        <v>0</v>
      </c>
      <c r="L806" s="10"/>
      <c r="M806" s="11"/>
      <c r="N806" s="12"/>
      <c r="O806" s="13"/>
      <c r="P806" s="14"/>
    </row>
    <row r="807" spans="1:16" x14ac:dyDescent="0.25">
      <c r="B807" s="7"/>
      <c r="C807" s="8"/>
      <c r="D807" s="8"/>
      <c r="E807" s="9"/>
      <c r="F807" s="9"/>
      <c r="G807" s="17"/>
      <c r="H807" s="17"/>
      <c r="I807" s="9"/>
      <c r="J807" s="9"/>
      <c r="K807" s="10">
        <v>0</v>
      </c>
      <c r="L807" s="10"/>
      <c r="M807" s="11"/>
      <c r="N807" s="12"/>
      <c r="O807" s="13"/>
      <c r="P807" s="14"/>
    </row>
    <row r="808" spans="1:16" x14ac:dyDescent="0.25">
      <c r="B808" s="7"/>
      <c r="C808" s="8"/>
      <c r="D808" s="8"/>
      <c r="E808" s="9"/>
      <c r="F808" s="9"/>
      <c r="G808" s="17"/>
      <c r="H808" s="17"/>
      <c r="I808" s="9"/>
      <c r="J808" s="9"/>
      <c r="K808" s="10">
        <v>0</v>
      </c>
      <c r="L808" s="10"/>
      <c r="M808" s="11"/>
      <c r="N808" s="12"/>
      <c r="O808" s="13"/>
      <c r="P808" s="14"/>
    </row>
    <row r="809" spans="1:16" x14ac:dyDescent="0.25">
      <c r="B809" s="7"/>
      <c r="C809" s="8"/>
      <c r="D809" s="8"/>
      <c r="E809" s="9"/>
      <c r="F809" s="9"/>
      <c r="G809" s="17"/>
      <c r="H809" s="17"/>
      <c r="I809" s="9"/>
      <c r="J809" s="9"/>
      <c r="K809" s="10">
        <v>0</v>
      </c>
      <c r="L809" s="10"/>
      <c r="M809" s="11"/>
      <c r="N809" s="12"/>
      <c r="O809" s="13"/>
      <c r="P809" s="14"/>
    </row>
    <row r="810" spans="1:16" x14ac:dyDescent="0.25">
      <c r="B810" s="7"/>
      <c r="C810" s="8"/>
      <c r="D810" s="8"/>
      <c r="E810" s="9"/>
      <c r="F810" s="9"/>
      <c r="G810" s="17"/>
      <c r="H810" s="17"/>
      <c r="I810" s="9"/>
      <c r="J810" s="9"/>
      <c r="K810" s="10">
        <v>0</v>
      </c>
      <c r="L810" s="10"/>
      <c r="M810" s="11"/>
      <c r="N810" s="12"/>
      <c r="O810" s="13"/>
      <c r="P810" s="14"/>
    </row>
    <row r="811" spans="1:16" x14ac:dyDescent="0.25">
      <c r="B811" s="7"/>
      <c r="C811" s="8"/>
      <c r="D811" s="8"/>
      <c r="E811" s="9"/>
      <c r="F811" s="9"/>
      <c r="G811" s="17"/>
      <c r="H811" s="17"/>
      <c r="I811" s="9"/>
      <c r="J811" s="9"/>
      <c r="K811" s="10">
        <v>0</v>
      </c>
      <c r="L811" s="10"/>
      <c r="M811" s="11"/>
      <c r="N811" s="12"/>
      <c r="O811" s="13"/>
      <c r="P811" s="14"/>
    </row>
    <row r="812" spans="1:16" x14ac:dyDescent="0.25">
      <c r="B812" s="7"/>
      <c r="C812" s="8"/>
      <c r="D812" s="8"/>
      <c r="E812" s="9"/>
      <c r="F812" s="9"/>
      <c r="G812" s="17"/>
      <c r="H812" s="17"/>
      <c r="I812" s="9"/>
      <c r="J812" s="9"/>
      <c r="K812" s="10">
        <v>0</v>
      </c>
      <c r="L812" s="10"/>
      <c r="M812" s="11"/>
      <c r="N812" s="12"/>
      <c r="O812" s="13"/>
      <c r="P812" s="14"/>
    </row>
    <row r="813" spans="1:16" x14ac:dyDescent="0.25">
      <c r="B813" s="7"/>
      <c r="C813" s="8"/>
      <c r="D813" s="8"/>
      <c r="E813" s="9"/>
      <c r="F813" s="9"/>
      <c r="G813" s="17"/>
      <c r="H813" s="17"/>
      <c r="I813" s="9"/>
      <c r="J813" s="9"/>
      <c r="K813" s="10">
        <v>0</v>
      </c>
      <c r="L813" s="10"/>
      <c r="M813" s="11"/>
      <c r="N813" s="12"/>
      <c r="O813" s="13"/>
      <c r="P813" s="14"/>
    </row>
    <row r="814" spans="1:16" x14ac:dyDescent="0.25">
      <c r="B814" s="7"/>
      <c r="C814" s="8"/>
      <c r="D814" s="8"/>
      <c r="E814" s="9"/>
      <c r="F814" s="9"/>
      <c r="G814" s="17"/>
      <c r="H814" s="17"/>
      <c r="I814" s="9"/>
      <c r="J814" s="9"/>
      <c r="K814" s="10">
        <v>0</v>
      </c>
      <c r="L814" s="10"/>
      <c r="M814" s="11"/>
      <c r="N814" s="12"/>
      <c r="O814" s="13"/>
      <c r="P814" s="14"/>
    </row>
    <row r="815" spans="1:16" x14ac:dyDescent="0.25">
      <c r="B815" s="7"/>
      <c r="C815" s="8"/>
      <c r="D815" s="8"/>
      <c r="E815" s="9"/>
      <c r="F815" s="9"/>
      <c r="G815" s="17"/>
      <c r="H815" s="17"/>
      <c r="I815" s="9"/>
      <c r="J815" s="9"/>
      <c r="K815" s="10">
        <v>0</v>
      </c>
      <c r="L815" s="10"/>
      <c r="M815" s="11"/>
      <c r="N815" s="12"/>
      <c r="O815" s="13"/>
      <c r="P815" s="14"/>
    </row>
    <row r="816" spans="1:16" x14ac:dyDescent="0.25">
      <c r="B816" s="7"/>
      <c r="C816" s="8"/>
      <c r="D816" s="8"/>
      <c r="E816" s="9"/>
      <c r="F816" s="9"/>
      <c r="G816" s="17"/>
      <c r="H816" s="17"/>
      <c r="I816" s="9"/>
      <c r="J816" s="9"/>
      <c r="K816" s="10">
        <v>0</v>
      </c>
      <c r="L816" s="10"/>
      <c r="M816" s="11"/>
      <c r="N816" s="12"/>
      <c r="O816" s="13"/>
      <c r="P816" s="14"/>
    </row>
    <row r="817" spans="1:16" x14ac:dyDescent="0.25">
      <c r="B817" s="7"/>
      <c r="C817" s="8"/>
      <c r="D817" s="8"/>
      <c r="E817" s="9"/>
      <c r="F817" s="9"/>
      <c r="G817" s="17"/>
      <c r="H817" s="17"/>
      <c r="I817" s="9"/>
      <c r="J817" s="9"/>
      <c r="K817" s="10">
        <v>0</v>
      </c>
      <c r="L817" s="10"/>
      <c r="M817" s="11"/>
      <c r="N817" s="12"/>
      <c r="O817" s="13"/>
      <c r="P817" s="14"/>
    </row>
    <row r="818" spans="1:16" x14ac:dyDescent="0.25">
      <c r="A818" s="7"/>
      <c r="B818" s="7"/>
      <c r="C818" s="8"/>
      <c r="D818" s="8"/>
      <c r="E818" s="9"/>
      <c r="F818" s="9"/>
      <c r="G818" s="17"/>
      <c r="H818" s="17"/>
      <c r="I818" s="9"/>
      <c r="J818" s="9"/>
      <c r="K818" s="10">
        <v>0</v>
      </c>
      <c r="L818" s="10"/>
      <c r="M818" s="11"/>
      <c r="N818" s="12"/>
      <c r="O818" s="13"/>
      <c r="P818" s="14"/>
    </row>
    <row r="819" spans="1:16" x14ac:dyDescent="0.25">
      <c r="A819" s="7"/>
      <c r="B819" s="7"/>
      <c r="C819" s="8"/>
      <c r="D819" s="8"/>
      <c r="E819" s="9"/>
      <c r="F819" s="9"/>
      <c r="G819" s="17"/>
      <c r="H819" s="17"/>
      <c r="I819" s="9"/>
      <c r="J819" s="9"/>
      <c r="K819" s="10">
        <v>0</v>
      </c>
      <c r="L819" s="10"/>
      <c r="M819" s="11"/>
      <c r="N819" s="12"/>
      <c r="O819" s="13"/>
      <c r="P819" s="14"/>
    </row>
    <row r="820" spans="1:16" x14ac:dyDescent="0.25">
      <c r="A820" s="7"/>
      <c r="B820" s="7"/>
      <c r="C820" s="8"/>
      <c r="D820" s="8"/>
      <c r="E820" s="9"/>
      <c r="F820" s="9"/>
      <c r="G820" s="17"/>
      <c r="H820" s="17"/>
      <c r="I820" s="9"/>
      <c r="J820" s="9"/>
      <c r="K820" s="10">
        <v>0</v>
      </c>
      <c r="L820" s="10"/>
      <c r="M820" s="11"/>
      <c r="N820" s="12"/>
      <c r="O820" s="13"/>
      <c r="P820" s="14"/>
    </row>
    <row r="821" spans="1:16" x14ac:dyDescent="0.25">
      <c r="A821" s="7"/>
      <c r="B821" s="7"/>
      <c r="C821" s="8"/>
      <c r="D821" s="8"/>
      <c r="E821" s="9"/>
      <c r="F821" s="9"/>
      <c r="G821" s="17"/>
      <c r="H821" s="17"/>
      <c r="I821" s="9"/>
      <c r="J821" s="9"/>
      <c r="K821" s="10">
        <v>0</v>
      </c>
      <c r="L821" s="10"/>
      <c r="M821" s="11"/>
      <c r="N821" s="12"/>
      <c r="O821" s="13"/>
      <c r="P821" s="14"/>
    </row>
    <row r="822" spans="1:16" x14ac:dyDescent="0.25">
      <c r="A822" s="7"/>
      <c r="B822" s="7"/>
      <c r="C822" s="8"/>
      <c r="D822" s="8"/>
      <c r="E822" s="9"/>
      <c r="F822" s="9"/>
      <c r="G822" s="17"/>
      <c r="H822" s="17"/>
      <c r="I822" s="9"/>
      <c r="J822" s="9"/>
      <c r="K822" s="10">
        <v>0</v>
      </c>
      <c r="L822" s="10"/>
      <c r="M822" s="11"/>
      <c r="N822" s="12"/>
      <c r="O822" s="13"/>
      <c r="P822" s="14"/>
    </row>
    <row r="823" spans="1:16" x14ac:dyDescent="0.25">
      <c r="A823" s="7"/>
      <c r="B823" s="7"/>
      <c r="C823" s="8"/>
      <c r="D823" s="8"/>
      <c r="E823" s="9"/>
      <c r="F823" s="9"/>
      <c r="G823" s="17"/>
      <c r="H823" s="17"/>
      <c r="I823" s="9"/>
      <c r="J823" s="9"/>
      <c r="K823" s="10">
        <v>0</v>
      </c>
      <c r="L823" s="10"/>
      <c r="M823" s="11"/>
      <c r="N823" s="12"/>
      <c r="O823" s="13"/>
      <c r="P823" s="14"/>
    </row>
    <row r="824" spans="1:16" x14ac:dyDescent="0.25">
      <c r="A824" s="7"/>
      <c r="B824" s="7"/>
      <c r="C824" s="8"/>
      <c r="D824" s="8"/>
      <c r="E824" s="9"/>
      <c r="F824" s="9"/>
      <c r="G824" s="17"/>
      <c r="H824" s="17"/>
      <c r="I824" s="9"/>
      <c r="J824" s="9"/>
      <c r="K824" s="10">
        <v>0</v>
      </c>
      <c r="L824" s="10"/>
      <c r="M824" s="11"/>
      <c r="N824" s="12"/>
      <c r="O824" s="13"/>
      <c r="P824" s="14"/>
    </row>
    <row r="825" spans="1:16" x14ac:dyDescent="0.25">
      <c r="A825" s="7"/>
      <c r="B825" s="7"/>
      <c r="C825" s="8"/>
      <c r="D825" s="8"/>
      <c r="E825" s="9"/>
      <c r="F825" s="9"/>
      <c r="G825" s="17"/>
      <c r="H825" s="17"/>
      <c r="I825" s="9"/>
      <c r="J825" s="9"/>
      <c r="K825" s="10">
        <v>0</v>
      </c>
      <c r="L825" s="10"/>
      <c r="M825" s="11"/>
      <c r="N825" s="12"/>
      <c r="O825" s="13"/>
      <c r="P825" s="14"/>
    </row>
    <row r="826" spans="1:16" x14ac:dyDescent="0.25">
      <c r="A826" s="7"/>
      <c r="B826" s="7"/>
      <c r="C826" s="8"/>
      <c r="D826" s="8"/>
      <c r="E826" s="9"/>
      <c r="F826" s="9"/>
      <c r="G826" s="17"/>
      <c r="H826" s="17"/>
      <c r="I826" s="9"/>
      <c r="J826" s="9"/>
      <c r="K826" s="10">
        <v>0</v>
      </c>
      <c r="L826" s="10"/>
      <c r="M826" s="11"/>
      <c r="N826" s="12"/>
      <c r="O826" s="13"/>
      <c r="P826" s="14"/>
    </row>
    <row r="827" spans="1:16" x14ac:dyDescent="0.25">
      <c r="A827" s="7"/>
      <c r="B827" s="7"/>
      <c r="C827" s="8"/>
      <c r="D827" s="8"/>
      <c r="E827" s="9"/>
      <c r="F827" s="9"/>
      <c r="G827" s="17"/>
      <c r="H827" s="17"/>
      <c r="I827" s="9"/>
      <c r="J827" s="9"/>
      <c r="K827" s="10">
        <v>0</v>
      </c>
      <c r="L827" s="10"/>
      <c r="M827" s="11"/>
      <c r="N827" s="12"/>
      <c r="O827" s="13"/>
      <c r="P827" s="14"/>
    </row>
    <row r="828" spans="1:16" x14ac:dyDescent="0.25">
      <c r="A828" s="7"/>
      <c r="B828" s="7"/>
      <c r="C828" s="8"/>
      <c r="D828" s="8"/>
      <c r="E828" s="9"/>
      <c r="F828" s="9"/>
      <c r="G828" s="17"/>
      <c r="H828" s="17"/>
      <c r="I828" s="9"/>
      <c r="J828" s="9"/>
      <c r="K828" s="10">
        <v>0</v>
      </c>
      <c r="L828" s="10"/>
      <c r="M828" s="11"/>
      <c r="N828" s="12"/>
      <c r="O828" s="13"/>
      <c r="P828" s="14"/>
    </row>
    <row r="829" spans="1:16" x14ac:dyDescent="0.25">
      <c r="A829" s="7"/>
      <c r="B829" s="7"/>
      <c r="C829" s="8"/>
      <c r="D829" s="8"/>
      <c r="E829" s="9"/>
      <c r="F829" s="9"/>
      <c r="G829" s="17"/>
      <c r="H829" s="17"/>
      <c r="I829" s="9"/>
      <c r="J829" s="9"/>
      <c r="K829" s="10">
        <v>0</v>
      </c>
      <c r="L829" s="10"/>
      <c r="M829" s="11"/>
      <c r="N829" s="12"/>
      <c r="O829" s="13"/>
      <c r="P829" s="14"/>
    </row>
    <row r="830" spans="1:16" x14ac:dyDescent="0.25">
      <c r="A830" s="7"/>
      <c r="B830" s="7"/>
      <c r="C830" s="8"/>
      <c r="D830" s="8"/>
      <c r="E830" s="9"/>
      <c r="F830" s="9"/>
      <c r="G830" s="17"/>
      <c r="H830" s="17"/>
      <c r="I830" s="9"/>
      <c r="J830" s="9"/>
      <c r="K830" s="10">
        <v>0</v>
      </c>
      <c r="L830" s="10"/>
      <c r="M830" s="11"/>
      <c r="N830" s="12"/>
      <c r="O830" s="13"/>
      <c r="P830" s="14"/>
    </row>
    <row r="831" spans="1:16" x14ac:dyDescent="0.25">
      <c r="A831" s="7"/>
      <c r="B831" s="7"/>
      <c r="C831" s="8"/>
      <c r="D831" s="8"/>
      <c r="E831" s="9"/>
      <c r="F831" s="9"/>
      <c r="G831" s="17"/>
      <c r="H831" s="17"/>
      <c r="I831" s="9"/>
      <c r="J831" s="9"/>
      <c r="K831" s="10">
        <v>0</v>
      </c>
      <c r="L831" s="10"/>
      <c r="M831" s="11"/>
      <c r="N831" s="12"/>
      <c r="O831" s="13"/>
      <c r="P831" s="14"/>
    </row>
    <row r="832" spans="1:16" x14ac:dyDescent="0.25">
      <c r="A832" s="7"/>
      <c r="B832" s="7"/>
      <c r="C832" s="8"/>
      <c r="D832" s="8"/>
      <c r="E832" s="9"/>
      <c r="F832" s="9"/>
      <c r="G832" s="17"/>
      <c r="H832" s="17"/>
      <c r="I832" s="9"/>
      <c r="J832" s="9"/>
      <c r="K832" s="10">
        <v>0</v>
      </c>
      <c r="L832" s="10"/>
      <c r="M832" s="11"/>
      <c r="N832" s="12"/>
      <c r="O832" s="13"/>
      <c r="P832" s="14"/>
    </row>
    <row r="833" spans="2:16" x14ac:dyDescent="0.25">
      <c r="B833" s="7"/>
      <c r="C833" s="8"/>
      <c r="D833" s="8"/>
      <c r="E833" s="9"/>
      <c r="F833" s="9"/>
      <c r="G833" s="17"/>
      <c r="H833" s="17"/>
      <c r="I833" s="9"/>
      <c r="J833" s="9"/>
      <c r="K833" s="10">
        <v>0</v>
      </c>
      <c r="L833" s="10"/>
      <c r="M833" s="11"/>
      <c r="N833" s="12"/>
      <c r="O833" s="13"/>
      <c r="P833" s="14"/>
    </row>
    <row r="834" spans="2:16" x14ac:dyDescent="0.25">
      <c r="B834" s="7"/>
      <c r="C834" s="8"/>
      <c r="D834" s="8"/>
      <c r="E834" s="9"/>
      <c r="F834" s="9"/>
      <c r="G834" s="17"/>
      <c r="H834" s="17"/>
      <c r="I834" s="9"/>
      <c r="J834" s="9"/>
      <c r="K834" s="10">
        <v>0</v>
      </c>
      <c r="L834" s="10"/>
      <c r="M834" s="11"/>
      <c r="N834" s="12"/>
      <c r="O834" s="13"/>
      <c r="P834" s="14"/>
    </row>
    <row r="835" spans="2:16" x14ac:dyDescent="0.25">
      <c r="B835" s="7"/>
      <c r="C835" s="8"/>
      <c r="D835" s="8"/>
      <c r="E835" s="9"/>
      <c r="F835" s="9"/>
      <c r="G835" s="17"/>
      <c r="H835" s="17"/>
      <c r="I835" s="9"/>
      <c r="J835" s="9"/>
      <c r="K835" s="10">
        <v>0</v>
      </c>
      <c r="L835" s="10"/>
      <c r="M835" s="11"/>
      <c r="N835" s="12"/>
      <c r="O835" s="13"/>
      <c r="P835" s="14"/>
    </row>
    <row r="836" spans="2:16" x14ac:dyDescent="0.25">
      <c r="B836" s="7"/>
      <c r="C836" s="8"/>
      <c r="D836" s="8"/>
      <c r="E836" s="9"/>
      <c r="F836" s="9"/>
      <c r="G836" s="17"/>
      <c r="H836" s="17"/>
      <c r="I836" s="9"/>
      <c r="J836" s="9"/>
      <c r="K836" s="10">
        <v>0</v>
      </c>
      <c r="L836" s="10"/>
      <c r="M836" s="11"/>
      <c r="N836" s="12"/>
      <c r="O836" s="13"/>
      <c r="P836" s="14"/>
    </row>
    <row r="837" spans="2:16" x14ac:dyDescent="0.25">
      <c r="B837" s="7"/>
      <c r="C837" s="8"/>
      <c r="D837" s="8"/>
      <c r="E837" s="9"/>
      <c r="F837" s="9"/>
      <c r="G837" s="17"/>
      <c r="H837" s="17"/>
      <c r="I837" s="9"/>
      <c r="J837" s="9"/>
      <c r="K837" s="10">
        <v>0</v>
      </c>
      <c r="L837" s="10"/>
      <c r="M837" s="11"/>
      <c r="N837" s="12"/>
      <c r="O837" s="13"/>
      <c r="P837" s="14"/>
    </row>
    <row r="838" spans="2:16" x14ac:dyDescent="0.25">
      <c r="B838" s="7"/>
      <c r="C838" s="8"/>
      <c r="D838" s="8"/>
      <c r="E838" s="9"/>
      <c r="F838" s="9"/>
      <c r="G838" s="17"/>
      <c r="H838" s="17"/>
      <c r="I838" s="9"/>
      <c r="J838" s="9"/>
      <c r="K838" s="10">
        <v>0</v>
      </c>
      <c r="L838" s="10"/>
      <c r="M838" s="11"/>
      <c r="N838" s="12"/>
      <c r="O838" s="13"/>
      <c r="P838" s="14"/>
    </row>
    <row r="839" spans="2:16" x14ac:dyDescent="0.25">
      <c r="B839" s="7"/>
      <c r="C839" s="8"/>
      <c r="D839" s="8"/>
      <c r="E839" s="9"/>
      <c r="F839" s="9"/>
      <c r="G839" s="17"/>
      <c r="H839" s="17"/>
      <c r="I839" s="9"/>
      <c r="J839" s="9"/>
      <c r="K839" s="10">
        <v>0</v>
      </c>
      <c r="L839" s="10"/>
      <c r="M839" s="11"/>
      <c r="N839" s="12"/>
      <c r="O839" s="13"/>
      <c r="P839" s="14"/>
    </row>
    <row r="840" spans="2:16" x14ac:dyDescent="0.25">
      <c r="B840" s="7"/>
      <c r="C840" s="8"/>
      <c r="D840" s="8"/>
      <c r="E840" s="9"/>
      <c r="F840" s="9"/>
      <c r="G840" s="17"/>
      <c r="H840" s="17"/>
      <c r="I840" s="9"/>
      <c r="J840" s="9"/>
      <c r="K840" s="10">
        <v>0</v>
      </c>
      <c r="L840" s="10"/>
      <c r="M840" s="11"/>
      <c r="N840" s="12"/>
      <c r="O840" s="13"/>
      <c r="P840" s="14"/>
    </row>
    <row r="841" spans="2:16" x14ac:dyDescent="0.25">
      <c r="B841" s="7"/>
      <c r="C841" s="8"/>
      <c r="D841" s="8"/>
      <c r="E841" s="9"/>
      <c r="F841" s="9"/>
      <c r="G841" s="17"/>
      <c r="H841" s="17"/>
      <c r="I841" s="9"/>
      <c r="J841" s="9"/>
      <c r="K841" s="10">
        <v>0</v>
      </c>
      <c r="L841" s="10"/>
      <c r="M841" s="11"/>
      <c r="N841" s="12"/>
      <c r="O841" s="13"/>
      <c r="P841" s="14"/>
    </row>
    <row r="842" spans="2:16" x14ac:dyDescent="0.25">
      <c r="B842" s="7"/>
      <c r="C842" s="8"/>
      <c r="D842" s="8"/>
      <c r="E842" s="9"/>
      <c r="F842" s="9"/>
      <c r="G842" s="17"/>
      <c r="H842" s="17"/>
      <c r="I842" s="9"/>
      <c r="J842" s="9"/>
      <c r="K842" s="10">
        <v>0</v>
      </c>
      <c r="L842" s="10"/>
      <c r="M842" s="11"/>
      <c r="N842" s="12"/>
      <c r="O842" s="13"/>
      <c r="P842" s="14"/>
    </row>
    <row r="843" spans="2:16" x14ac:dyDescent="0.25">
      <c r="B843" s="7"/>
      <c r="C843" s="8"/>
      <c r="D843" s="8"/>
      <c r="E843" s="9"/>
      <c r="F843" s="9"/>
      <c r="G843" s="17"/>
      <c r="H843" s="17"/>
      <c r="I843" s="9"/>
      <c r="J843" s="9"/>
      <c r="K843" s="10">
        <v>0</v>
      </c>
      <c r="L843" s="10"/>
      <c r="M843" s="11"/>
      <c r="N843" s="12"/>
      <c r="O843" s="13"/>
      <c r="P843" s="14"/>
    </row>
    <row r="844" spans="2:16" x14ac:dyDescent="0.25">
      <c r="B844" s="7"/>
      <c r="C844" s="8"/>
      <c r="D844" s="8"/>
      <c r="E844" s="9"/>
      <c r="F844" s="9"/>
      <c r="G844" s="17"/>
      <c r="H844" s="17"/>
      <c r="I844" s="9"/>
      <c r="J844" s="9"/>
      <c r="K844" s="10">
        <v>0</v>
      </c>
      <c r="L844" s="10"/>
      <c r="M844" s="11"/>
      <c r="N844" s="12"/>
      <c r="O844" s="13"/>
      <c r="P844" s="14"/>
    </row>
    <row r="845" spans="2:16" x14ac:dyDescent="0.25">
      <c r="B845" s="7"/>
      <c r="C845" s="8"/>
      <c r="D845" s="8"/>
      <c r="E845" s="9"/>
      <c r="F845" s="9"/>
      <c r="G845" s="17"/>
      <c r="H845" s="17"/>
      <c r="I845" s="9"/>
      <c r="J845" s="9"/>
      <c r="K845" s="10">
        <v>0</v>
      </c>
      <c r="L845" s="10"/>
      <c r="M845" s="11"/>
      <c r="N845" s="12"/>
      <c r="O845" s="13"/>
      <c r="P845" s="14"/>
    </row>
    <row r="846" spans="2:16" x14ac:dyDescent="0.25">
      <c r="B846" s="7"/>
      <c r="C846" s="8"/>
      <c r="D846" s="8"/>
      <c r="E846" s="9"/>
      <c r="F846" s="9"/>
      <c r="G846" s="17"/>
      <c r="H846" s="17"/>
      <c r="I846" s="9"/>
      <c r="J846" s="9"/>
      <c r="K846" s="10">
        <v>0</v>
      </c>
      <c r="L846" s="10"/>
      <c r="M846" s="11"/>
      <c r="N846" s="12"/>
      <c r="O846" s="13"/>
      <c r="P846" s="14"/>
    </row>
    <row r="847" spans="2:16" x14ac:dyDescent="0.25">
      <c r="B847" s="7"/>
      <c r="C847" s="8"/>
      <c r="D847" s="8"/>
      <c r="E847" s="9"/>
      <c r="F847" s="9"/>
      <c r="G847" s="17"/>
      <c r="H847" s="17"/>
      <c r="I847" s="9"/>
      <c r="J847" s="9"/>
      <c r="K847" s="10">
        <v>0</v>
      </c>
      <c r="L847" s="10"/>
      <c r="M847" s="11"/>
      <c r="N847" s="12"/>
      <c r="O847" s="13"/>
      <c r="P847" s="14"/>
    </row>
    <row r="848" spans="2:16" x14ac:dyDescent="0.25">
      <c r="B848" s="7"/>
      <c r="C848" s="8"/>
      <c r="D848" s="8"/>
      <c r="E848" s="9"/>
      <c r="F848" s="9"/>
      <c r="G848" s="17"/>
      <c r="H848" s="17"/>
      <c r="I848" s="9"/>
      <c r="J848" s="9"/>
      <c r="K848" s="10">
        <v>0</v>
      </c>
      <c r="L848" s="10"/>
      <c r="M848" s="11"/>
      <c r="N848" s="12"/>
      <c r="O848" s="13"/>
      <c r="P848" s="14"/>
    </row>
    <row r="849" spans="2:17" x14ac:dyDescent="0.25">
      <c r="B849" s="7"/>
      <c r="C849" s="8"/>
      <c r="D849" s="8"/>
      <c r="E849" s="9"/>
      <c r="F849" s="9"/>
      <c r="G849" s="17"/>
      <c r="H849" s="17"/>
      <c r="I849" s="9"/>
      <c r="J849" s="9"/>
      <c r="K849" s="10">
        <v>0</v>
      </c>
      <c r="L849" s="10"/>
      <c r="M849" s="11"/>
      <c r="N849" s="12"/>
      <c r="O849" s="13"/>
      <c r="P849" s="14"/>
    </row>
    <row r="850" spans="2:17" x14ac:dyDescent="0.25">
      <c r="B850" s="7"/>
      <c r="C850" s="8"/>
      <c r="D850" s="8"/>
      <c r="E850" s="9"/>
      <c r="F850" s="9"/>
      <c r="G850" s="17"/>
      <c r="H850" s="17"/>
      <c r="I850" s="9"/>
      <c r="J850" s="9"/>
      <c r="K850" s="10">
        <v>0</v>
      </c>
      <c r="L850" s="10"/>
      <c r="M850" s="11"/>
      <c r="N850" s="12"/>
      <c r="O850" s="13"/>
      <c r="P850" s="14"/>
    </row>
    <row r="851" spans="2:17" x14ac:dyDescent="0.25">
      <c r="B851" s="7"/>
      <c r="C851" s="8"/>
      <c r="D851" s="8"/>
      <c r="E851" s="9"/>
      <c r="F851" s="9"/>
      <c r="G851" s="17"/>
      <c r="H851" s="17"/>
      <c r="I851" s="9"/>
      <c r="J851" s="9"/>
      <c r="K851" s="10">
        <v>0</v>
      </c>
      <c r="L851" s="10"/>
      <c r="M851" s="11"/>
      <c r="N851" s="12"/>
      <c r="O851" s="13"/>
      <c r="P851" s="14"/>
    </row>
    <row r="852" spans="2:17" x14ac:dyDescent="0.25">
      <c r="B852" s="7"/>
      <c r="C852" s="8"/>
      <c r="D852" s="8"/>
      <c r="E852" s="9"/>
      <c r="F852" s="9"/>
      <c r="G852" s="17"/>
      <c r="H852" s="17"/>
      <c r="I852" s="9"/>
      <c r="J852" s="9"/>
      <c r="K852" s="10">
        <v>0</v>
      </c>
      <c r="L852" s="10"/>
      <c r="M852" s="11"/>
      <c r="N852" s="12"/>
      <c r="O852" s="13"/>
      <c r="P852" s="14"/>
      <c r="Q852" s="2">
        <v>528</v>
      </c>
    </row>
    <row r="853" spans="2:17" x14ac:dyDescent="0.25">
      <c r="B853" s="7"/>
      <c r="C853" s="8"/>
      <c r="D853" s="8"/>
      <c r="E853" s="9"/>
      <c r="F853" s="9"/>
      <c r="G853" s="17"/>
      <c r="H853" s="17"/>
      <c r="I853" s="9"/>
      <c r="J853" s="9"/>
      <c r="K853" s="10">
        <v>0</v>
      </c>
      <c r="L853" s="10"/>
      <c r="M853" s="11"/>
      <c r="N853" s="12"/>
      <c r="O853" s="13"/>
      <c r="P853" s="14"/>
    </row>
    <row r="854" spans="2:17" x14ac:dyDescent="0.25">
      <c r="B854" s="7"/>
      <c r="C854" s="8"/>
      <c r="D854" s="8"/>
      <c r="E854" s="9"/>
      <c r="F854" s="9"/>
      <c r="G854" s="17"/>
      <c r="H854" s="17"/>
      <c r="I854" s="9"/>
      <c r="J854" s="9"/>
      <c r="K854" s="10">
        <v>0</v>
      </c>
      <c r="L854" s="10"/>
      <c r="M854" s="11"/>
      <c r="N854" s="12"/>
      <c r="O854" s="13"/>
      <c r="P854" s="14"/>
    </row>
    <row r="855" spans="2:17" x14ac:dyDescent="0.25">
      <c r="B855" s="7"/>
      <c r="C855" s="8"/>
      <c r="D855" s="8"/>
      <c r="E855" s="9"/>
      <c r="F855" s="9"/>
      <c r="G855" s="17"/>
      <c r="H855" s="17"/>
      <c r="I855" s="9"/>
      <c r="J855" s="9"/>
      <c r="K855" s="10">
        <v>0</v>
      </c>
      <c r="L855" s="10"/>
      <c r="M855" s="11"/>
      <c r="N855" s="12"/>
      <c r="O855" s="13"/>
      <c r="P855" s="14"/>
    </row>
    <row r="856" spans="2:17" x14ac:dyDescent="0.25">
      <c r="B856" s="7"/>
      <c r="C856" s="8"/>
      <c r="D856" s="8"/>
      <c r="E856" s="9"/>
      <c r="F856" s="9"/>
      <c r="G856" s="17"/>
      <c r="H856" s="17"/>
      <c r="I856" s="9"/>
      <c r="J856" s="9"/>
      <c r="K856" s="10">
        <v>0</v>
      </c>
      <c r="L856" s="10"/>
      <c r="M856" s="11"/>
      <c r="N856" s="12"/>
      <c r="O856" s="13"/>
      <c r="P856" s="14"/>
    </row>
    <row r="857" spans="2:17" x14ac:dyDescent="0.25">
      <c r="B857" s="7"/>
      <c r="C857" s="8"/>
      <c r="D857" s="8"/>
      <c r="E857" s="9"/>
      <c r="F857" s="9"/>
      <c r="G857" s="17"/>
      <c r="H857" s="17"/>
      <c r="I857" s="9"/>
      <c r="J857" s="9"/>
      <c r="K857" s="10">
        <v>0</v>
      </c>
      <c r="L857" s="10"/>
      <c r="M857" s="11"/>
      <c r="N857" s="12"/>
      <c r="O857" s="13"/>
      <c r="P857" s="14"/>
    </row>
    <row r="858" spans="2:17" x14ac:dyDescent="0.25">
      <c r="B858" s="7"/>
      <c r="C858" s="8"/>
      <c r="D858" s="8"/>
      <c r="E858" s="9"/>
      <c r="F858" s="9"/>
      <c r="G858" s="17"/>
      <c r="H858" s="17"/>
      <c r="I858" s="9"/>
      <c r="J858" s="9"/>
      <c r="K858" s="10">
        <v>0</v>
      </c>
      <c r="L858" s="10"/>
      <c r="M858" s="11"/>
      <c r="N858" s="12"/>
      <c r="O858" s="13"/>
      <c r="P858" s="14"/>
    </row>
    <row r="859" spans="2:17" x14ac:dyDescent="0.25">
      <c r="B859" s="7"/>
      <c r="C859" s="8"/>
      <c r="D859" s="8"/>
      <c r="E859" s="9"/>
      <c r="F859" s="9"/>
      <c r="G859" s="17"/>
      <c r="H859" s="17"/>
      <c r="I859" s="9"/>
      <c r="J859" s="9"/>
      <c r="K859" s="10">
        <v>0</v>
      </c>
      <c r="L859" s="10"/>
      <c r="M859" s="11"/>
      <c r="N859" s="12"/>
      <c r="O859" s="13"/>
      <c r="P859" s="14"/>
    </row>
    <row r="860" spans="2:17" x14ac:dyDescent="0.25">
      <c r="B860" s="7"/>
      <c r="C860" s="8"/>
      <c r="D860" s="8"/>
      <c r="E860" s="9"/>
      <c r="F860" s="9"/>
      <c r="G860" s="17"/>
      <c r="H860" s="17"/>
      <c r="I860" s="9"/>
      <c r="J860" s="9"/>
      <c r="K860" s="10">
        <v>0</v>
      </c>
      <c r="L860" s="10"/>
      <c r="M860" s="11"/>
      <c r="N860" s="12"/>
      <c r="O860" s="13"/>
      <c r="P860" s="14"/>
    </row>
    <row r="861" spans="2:17" x14ac:dyDescent="0.25">
      <c r="B861" s="7"/>
      <c r="C861" s="8"/>
      <c r="D861" s="8"/>
      <c r="E861" s="9"/>
      <c r="F861" s="9"/>
      <c r="G861" s="17"/>
      <c r="H861" s="17"/>
      <c r="I861" s="9"/>
      <c r="J861" s="9"/>
      <c r="K861" s="10">
        <v>0</v>
      </c>
      <c r="L861" s="10"/>
      <c r="M861" s="11"/>
      <c r="N861" s="12"/>
      <c r="O861" s="13"/>
      <c r="P861" s="14"/>
    </row>
    <row r="862" spans="2:17" x14ac:dyDescent="0.25">
      <c r="B862" s="7"/>
      <c r="C862" s="8"/>
      <c r="D862" s="8"/>
      <c r="E862" s="9"/>
      <c r="F862" s="9"/>
      <c r="G862" s="17"/>
      <c r="H862" s="17"/>
      <c r="I862" s="9"/>
      <c r="J862" s="9"/>
      <c r="K862" s="10">
        <v>0</v>
      </c>
      <c r="L862" s="10"/>
      <c r="M862" s="11"/>
      <c r="N862" s="12"/>
      <c r="O862" s="13"/>
      <c r="P862" s="14"/>
    </row>
    <row r="863" spans="2:17" x14ac:dyDescent="0.25">
      <c r="B863" s="7"/>
      <c r="C863" s="8"/>
      <c r="D863" s="8"/>
      <c r="E863" s="9"/>
      <c r="F863" s="9"/>
      <c r="G863" s="17"/>
      <c r="H863" s="17"/>
      <c r="I863" s="9"/>
      <c r="J863" s="9"/>
      <c r="K863" s="10">
        <v>0</v>
      </c>
      <c r="L863" s="10"/>
      <c r="M863" s="11"/>
      <c r="N863" s="12"/>
      <c r="O863" s="13"/>
      <c r="P863" s="14"/>
    </row>
    <row r="864" spans="2:17" x14ac:dyDescent="0.25">
      <c r="B864" s="7"/>
      <c r="C864" s="8"/>
      <c r="D864" s="8"/>
      <c r="E864" s="9"/>
      <c r="F864" s="9"/>
      <c r="G864" s="17"/>
      <c r="H864" s="17"/>
      <c r="I864" s="9"/>
      <c r="J864" s="9"/>
      <c r="K864" s="10">
        <v>0</v>
      </c>
      <c r="L864" s="10"/>
      <c r="M864" s="11"/>
      <c r="N864" s="12"/>
      <c r="O864" s="13"/>
      <c r="P864" s="14"/>
    </row>
    <row r="865" spans="1:17" x14ac:dyDescent="0.25">
      <c r="B865" s="7"/>
      <c r="C865" s="8"/>
      <c r="D865" s="8"/>
      <c r="E865" s="9"/>
      <c r="F865" s="9"/>
      <c r="G865" s="17"/>
      <c r="H865" s="17"/>
      <c r="I865" s="9"/>
      <c r="J865" s="9"/>
      <c r="K865" s="10">
        <v>0</v>
      </c>
      <c r="L865" s="10"/>
      <c r="M865" s="11"/>
      <c r="N865" s="12"/>
      <c r="O865" s="13"/>
      <c r="P865" s="14"/>
    </row>
    <row r="866" spans="1:17" x14ac:dyDescent="0.25">
      <c r="B866" s="7"/>
      <c r="C866" s="8"/>
      <c r="D866" s="8"/>
      <c r="E866" s="9"/>
      <c r="F866" s="9"/>
      <c r="G866" s="17"/>
      <c r="H866" s="17"/>
      <c r="I866" s="9"/>
      <c r="J866" s="9"/>
      <c r="K866" s="10">
        <v>0</v>
      </c>
      <c r="L866" s="10"/>
      <c r="M866" s="11"/>
      <c r="N866" s="12"/>
      <c r="O866" s="13"/>
      <c r="P866" s="14"/>
    </row>
    <row r="867" spans="1:17" x14ac:dyDescent="0.25">
      <c r="B867" s="7"/>
      <c r="C867" s="8"/>
      <c r="D867" s="8"/>
      <c r="E867" s="9"/>
      <c r="F867" s="9"/>
      <c r="G867" s="17"/>
      <c r="H867" s="17"/>
      <c r="I867" s="9"/>
      <c r="J867" s="9"/>
      <c r="K867" s="10">
        <v>0</v>
      </c>
      <c r="L867" s="10"/>
      <c r="M867" s="11"/>
      <c r="N867" s="12"/>
      <c r="O867" s="13"/>
      <c r="P867" s="14"/>
    </row>
    <row r="868" spans="1:17" x14ac:dyDescent="0.25">
      <c r="B868" s="7"/>
      <c r="C868" s="8"/>
      <c r="D868" s="8"/>
      <c r="E868" s="9"/>
      <c r="F868" s="9"/>
      <c r="G868" s="17"/>
      <c r="H868" s="17"/>
      <c r="I868" s="9"/>
      <c r="J868" s="9"/>
      <c r="K868" s="10">
        <v>0</v>
      </c>
      <c r="L868" s="10"/>
      <c r="M868" s="11"/>
      <c r="N868" s="12"/>
      <c r="O868" s="13"/>
      <c r="P868" s="14"/>
    </row>
    <row r="869" spans="1:17" x14ac:dyDescent="0.25">
      <c r="B869" s="7"/>
      <c r="C869" s="8"/>
      <c r="D869" s="8"/>
      <c r="E869" s="9"/>
      <c r="F869" s="9"/>
      <c r="G869" s="17"/>
      <c r="H869" s="17"/>
      <c r="I869" s="9"/>
      <c r="J869" s="9"/>
      <c r="K869" s="10">
        <v>0</v>
      </c>
      <c r="L869" s="10"/>
      <c r="M869" s="11"/>
      <c r="N869" s="12"/>
      <c r="O869" s="13"/>
      <c r="P869" s="14"/>
    </row>
    <row r="870" spans="1:17" x14ac:dyDescent="0.25">
      <c r="B870" s="7"/>
      <c r="C870" s="8"/>
      <c r="D870" s="8"/>
      <c r="E870" s="9"/>
      <c r="F870" s="9"/>
      <c r="G870" s="17"/>
      <c r="H870" s="17"/>
      <c r="I870" s="9"/>
      <c r="J870" s="9"/>
      <c r="K870" s="10">
        <v>0</v>
      </c>
      <c r="L870" s="10"/>
      <c r="M870" s="11"/>
      <c r="N870" s="12"/>
      <c r="O870" s="13"/>
      <c r="P870" s="14"/>
    </row>
    <row r="871" spans="1:17" x14ac:dyDescent="0.25">
      <c r="B871" s="7"/>
      <c r="C871" s="8"/>
      <c r="D871" s="8"/>
      <c r="E871" s="9"/>
      <c r="F871" s="9"/>
      <c r="G871" s="17"/>
      <c r="H871" s="17"/>
      <c r="I871" s="9"/>
      <c r="J871" s="9"/>
      <c r="K871" s="10">
        <v>0</v>
      </c>
      <c r="L871" s="10"/>
      <c r="M871" s="11"/>
      <c r="N871" s="12"/>
      <c r="O871" s="13"/>
      <c r="P871" s="14"/>
    </row>
    <row r="872" spans="1:17" x14ac:dyDescent="0.25">
      <c r="B872" s="7"/>
      <c r="C872" s="8"/>
      <c r="D872" s="8"/>
      <c r="E872" s="9"/>
      <c r="F872" s="9"/>
      <c r="G872" s="17"/>
      <c r="H872" s="17"/>
      <c r="I872" s="9"/>
      <c r="J872" s="9"/>
      <c r="K872" s="10">
        <v>0</v>
      </c>
      <c r="L872" s="10"/>
      <c r="M872" s="11"/>
      <c r="N872" s="12"/>
      <c r="O872" s="13"/>
      <c r="P872" s="14"/>
    </row>
    <row r="873" spans="1:17" x14ac:dyDescent="0.25">
      <c r="B873" s="7"/>
      <c r="C873" s="8"/>
      <c r="D873" s="8"/>
      <c r="E873" s="9"/>
      <c r="F873" s="9"/>
      <c r="G873" s="17"/>
      <c r="H873" s="17"/>
      <c r="I873" s="9"/>
      <c r="J873" s="9"/>
      <c r="K873" s="10">
        <v>0</v>
      </c>
      <c r="L873" s="10"/>
      <c r="M873" s="11"/>
      <c r="N873" s="12"/>
      <c r="O873" s="13"/>
      <c r="P873" s="14"/>
    </row>
    <row r="874" spans="1:17" x14ac:dyDescent="0.25">
      <c r="B874" s="7"/>
      <c r="C874" s="8"/>
      <c r="D874" s="8"/>
      <c r="E874" s="9"/>
      <c r="F874" s="9"/>
      <c r="G874" s="17"/>
      <c r="H874" s="17"/>
      <c r="I874" s="9"/>
      <c r="J874" s="9"/>
      <c r="K874" s="10">
        <v>0</v>
      </c>
      <c r="L874" s="10"/>
      <c r="M874" s="11"/>
      <c r="N874" s="12"/>
      <c r="O874" s="13"/>
      <c r="P874" s="14"/>
    </row>
    <row r="875" spans="1:17" x14ac:dyDescent="0.25">
      <c r="B875" s="7"/>
      <c r="C875" s="8"/>
      <c r="D875" s="8"/>
      <c r="E875" s="9"/>
      <c r="F875" s="9"/>
      <c r="G875" s="17"/>
      <c r="H875" s="17"/>
      <c r="I875" s="9"/>
      <c r="J875" s="9"/>
      <c r="K875" s="10">
        <v>0</v>
      </c>
      <c r="L875" s="10"/>
      <c r="M875" s="11"/>
      <c r="N875" s="12"/>
      <c r="O875" s="13"/>
      <c r="P875" s="14"/>
    </row>
    <row r="876" spans="1:17" x14ac:dyDescent="0.25">
      <c r="B876" s="7"/>
      <c r="C876" s="8"/>
      <c r="D876" s="8"/>
      <c r="E876" s="9"/>
      <c r="F876" s="9"/>
      <c r="G876" s="17"/>
      <c r="H876" s="17"/>
      <c r="I876" s="9"/>
      <c r="J876" s="9"/>
      <c r="K876" s="10">
        <v>0</v>
      </c>
      <c r="L876" s="10"/>
      <c r="M876" s="11"/>
      <c r="N876" s="12"/>
      <c r="O876" s="13"/>
      <c r="P876" s="14"/>
    </row>
    <row r="877" spans="1:17" x14ac:dyDescent="0.25">
      <c r="A877" s="26"/>
      <c r="B877" s="7"/>
      <c r="C877" s="8"/>
      <c r="D877" s="8"/>
      <c r="E877" s="9"/>
      <c r="F877" s="9"/>
      <c r="G877" s="17"/>
      <c r="H877" s="17"/>
      <c r="I877" s="9"/>
      <c r="J877" s="9"/>
      <c r="K877" s="10">
        <v>0</v>
      </c>
      <c r="L877" s="10"/>
      <c r="M877" s="11"/>
      <c r="N877" s="12"/>
      <c r="O877" s="13"/>
      <c r="P877" s="14"/>
      <c r="Q877" s="26"/>
    </row>
    <row r="878" spans="1:17" x14ac:dyDescent="0.25">
      <c r="B878" s="7"/>
      <c r="C878" s="8"/>
      <c r="D878" s="8"/>
      <c r="E878" s="9"/>
      <c r="F878" s="9"/>
      <c r="G878" s="17"/>
      <c r="H878" s="17"/>
      <c r="I878" s="9"/>
      <c r="J878" s="9"/>
      <c r="K878" s="10">
        <v>0</v>
      </c>
      <c r="L878" s="10"/>
      <c r="M878" s="11"/>
      <c r="N878" s="12"/>
      <c r="O878" s="13"/>
      <c r="P878" s="14"/>
    </row>
    <row r="879" spans="1:17" x14ac:dyDescent="0.25">
      <c r="B879" s="7"/>
      <c r="C879" s="8"/>
      <c r="D879" s="8"/>
      <c r="E879" s="9"/>
      <c r="F879" s="9"/>
      <c r="G879" s="17"/>
      <c r="H879" s="17"/>
      <c r="I879" s="9"/>
      <c r="J879" s="9"/>
      <c r="K879" s="10">
        <v>0</v>
      </c>
      <c r="L879" s="10"/>
      <c r="M879" s="11"/>
      <c r="N879" s="12"/>
      <c r="O879" s="13"/>
      <c r="P879" s="14"/>
    </row>
    <row r="880" spans="1:17" x14ac:dyDescent="0.25">
      <c r="B880" s="7"/>
      <c r="C880" s="8"/>
      <c r="D880" s="8"/>
      <c r="E880" s="9"/>
      <c r="F880" s="9"/>
      <c r="G880" s="17"/>
      <c r="H880" s="17"/>
      <c r="I880" s="9"/>
      <c r="J880" s="9"/>
      <c r="K880" s="10">
        <v>0</v>
      </c>
      <c r="L880" s="10"/>
      <c r="M880" s="11"/>
      <c r="N880" s="12"/>
      <c r="O880" s="13"/>
      <c r="P880" s="14"/>
    </row>
    <row r="881" spans="2:21" x14ac:dyDescent="0.25">
      <c r="B881" s="7"/>
      <c r="C881" s="8"/>
      <c r="D881" s="8"/>
      <c r="E881" s="9"/>
      <c r="F881" s="9"/>
      <c r="G881" s="17"/>
      <c r="H881" s="17"/>
      <c r="I881" s="9"/>
      <c r="J881" s="9"/>
      <c r="K881" s="10">
        <v>0</v>
      </c>
      <c r="L881" s="10"/>
      <c r="M881" s="11"/>
      <c r="N881" s="12"/>
      <c r="O881" s="13"/>
      <c r="P881" s="14"/>
    </row>
    <row r="882" spans="2:21" x14ac:dyDescent="0.25">
      <c r="B882" s="7"/>
      <c r="C882" s="8"/>
      <c r="D882" s="8"/>
      <c r="E882" s="9"/>
      <c r="F882" s="9"/>
      <c r="G882" s="17"/>
      <c r="H882" s="17"/>
      <c r="I882" s="9"/>
      <c r="J882" s="9"/>
      <c r="K882" s="10">
        <v>0</v>
      </c>
      <c r="L882" s="10"/>
      <c r="M882" s="11"/>
      <c r="N882" s="12"/>
      <c r="O882" s="13"/>
      <c r="P882" s="14"/>
    </row>
    <row r="883" spans="2:21" x14ac:dyDescent="0.25">
      <c r="B883" s="7"/>
      <c r="C883" s="8"/>
      <c r="D883" s="8"/>
      <c r="E883" s="9"/>
      <c r="F883" s="9"/>
      <c r="G883" s="17"/>
      <c r="H883" s="17"/>
      <c r="I883" s="9"/>
      <c r="J883" s="9"/>
      <c r="K883" s="10">
        <v>0</v>
      </c>
      <c r="L883" s="10"/>
      <c r="M883" s="11"/>
      <c r="N883" s="12"/>
      <c r="O883" s="13"/>
      <c r="P883" s="14"/>
    </row>
    <row r="884" spans="2:21" x14ac:dyDescent="0.25">
      <c r="B884" s="7"/>
      <c r="C884" s="8"/>
      <c r="D884" s="8"/>
      <c r="E884" s="9"/>
      <c r="F884" s="9"/>
      <c r="G884" s="17"/>
      <c r="H884" s="17"/>
      <c r="I884" s="9"/>
      <c r="J884" s="9"/>
      <c r="K884" s="10">
        <v>0</v>
      </c>
      <c r="L884" s="10"/>
      <c r="M884" s="11"/>
      <c r="N884" s="12"/>
      <c r="O884" s="13"/>
      <c r="P884" s="14"/>
    </row>
    <row r="885" spans="2:21" x14ac:dyDescent="0.25">
      <c r="B885" s="7"/>
      <c r="C885" s="8"/>
      <c r="D885" s="8"/>
      <c r="E885" s="9"/>
      <c r="F885" s="9"/>
      <c r="G885" s="17"/>
      <c r="H885" s="17"/>
      <c r="I885" s="9"/>
      <c r="J885" s="9"/>
      <c r="K885" s="10">
        <v>0</v>
      </c>
      <c r="L885" s="10"/>
      <c r="M885" s="11"/>
      <c r="N885" s="12"/>
      <c r="O885" s="13"/>
      <c r="P885" s="14"/>
    </row>
    <row r="886" spans="2:21" x14ac:dyDescent="0.25">
      <c r="B886" s="7"/>
      <c r="C886" s="8"/>
      <c r="D886" s="8"/>
      <c r="E886" s="9"/>
      <c r="F886" s="9"/>
      <c r="G886" s="17"/>
      <c r="H886" s="17"/>
      <c r="I886" s="9"/>
      <c r="J886" s="9"/>
      <c r="K886" s="10">
        <v>0</v>
      </c>
      <c r="L886" s="10"/>
      <c r="M886" s="11"/>
      <c r="N886" s="12"/>
      <c r="O886" s="13"/>
      <c r="P886" s="14"/>
    </row>
    <row r="887" spans="2:21" x14ac:dyDescent="0.25">
      <c r="B887" s="7"/>
      <c r="C887" s="8"/>
      <c r="D887" s="8"/>
      <c r="E887" s="9"/>
      <c r="F887" s="9"/>
      <c r="G887" s="17"/>
      <c r="H887" s="17"/>
      <c r="I887" s="9"/>
      <c r="J887" s="9"/>
      <c r="K887" s="10">
        <v>0</v>
      </c>
      <c r="L887" s="10"/>
      <c r="M887" s="11"/>
      <c r="N887" s="12"/>
      <c r="O887" s="13"/>
      <c r="P887" s="14"/>
    </row>
    <row r="888" spans="2:21" x14ac:dyDescent="0.25">
      <c r="B888" s="7"/>
      <c r="C888" s="8"/>
      <c r="D888" s="8"/>
      <c r="E888" s="9"/>
      <c r="F888" s="9"/>
      <c r="G888" s="17"/>
      <c r="H888" s="17"/>
      <c r="I888" s="9"/>
      <c r="J888" s="9"/>
      <c r="K888" s="10">
        <v>0</v>
      </c>
      <c r="L888" s="10"/>
      <c r="M888" s="11"/>
      <c r="N888" s="12"/>
      <c r="O888" s="13"/>
      <c r="P888" s="14"/>
      <c r="Q888" s="2">
        <v>45</v>
      </c>
      <c r="R888" s="1">
        <v>3</v>
      </c>
    </row>
    <row r="889" spans="2:21" x14ac:dyDescent="0.25">
      <c r="B889" s="7"/>
      <c r="C889" s="8"/>
      <c r="D889" s="8"/>
      <c r="E889" s="9"/>
      <c r="F889" s="9"/>
      <c r="G889" s="17"/>
      <c r="H889" s="17"/>
      <c r="I889" s="9"/>
      <c r="J889" s="9"/>
      <c r="K889" s="10">
        <v>0</v>
      </c>
      <c r="L889" s="10"/>
      <c r="M889" s="11"/>
      <c r="N889" s="12"/>
      <c r="O889" s="13"/>
      <c r="P889" s="14"/>
      <c r="Q889" s="2">
        <v>15</v>
      </c>
      <c r="R889" s="1">
        <v>5</v>
      </c>
    </row>
    <row r="890" spans="2:21" x14ac:dyDescent="0.25">
      <c r="B890" s="7"/>
      <c r="C890" s="8"/>
      <c r="D890" s="8"/>
      <c r="E890" s="9"/>
      <c r="F890" s="9"/>
      <c r="G890" s="17"/>
      <c r="H890" s="17"/>
      <c r="I890" s="9"/>
      <c r="J890" s="9"/>
      <c r="K890" s="10">
        <v>0</v>
      </c>
      <c r="L890" s="10"/>
      <c r="M890" s="11"/>
      <c r="N890" s="12"/>
      <c r="O890" s="13"/>
      <c r="P890" s="14"/>
      <c r="Q890" s="2">
        <v>0</v>
      </c>
    </row>
    <row r="891" spans="2:21" x14ac:dyDescent="0.25">
      <c r="B891" s="7"/>
      <c r="C891" s="8"/>
      <c r="D891" s="8"/>
      <c r="E891" s="9"/>
      <c r="F891" s="9"/>
      <c r="G891" s="17"/>
      <c r="H891" s="17"/>
      <c r="I891" s="9"/>
      <c r="J891" s="9"/>
      <c r="K891" s="10">
        <v>0</v>
      </c>
      <c r="L891" s="10"/>
      <c r="M891" s="11"/>
      <c r="N891" s="12"/>
      <c r="O891" s="13"/>
      <c r="P891" s="14"/>
    </row>
    <row r="892" spans="2:21" x14ac:dyDescent="0.25">
      <c r="B892" s="7"/>
      <c r="C892" s="8"/>
      <c r="D892" s="8"/>
      <c r="E892" s="9"/>
      <c r="F892" s="9"/>
      <c r="G892" s="17"/>
      <c r="H892" s="17"/>
      <c r="I892" s="9"/>
      <c r="J892" s="9"/>
      <c r="K892" s="10">
        <v>0</v>
      </c>
      <c r="L892" s="10"/>
      <c r="M892" s="11"/>
      <c r="N892" s="12"/>
      <c r="O892" s="13"/>
      <c r="P892" s="14"/>
    </row>
    <row r="893" spans="2:21" x14ac:dyDescent="0.25">
      <c r="B893" s="7"/>
      <c r="C893" s="8"/>
      <c r="D893" s="8"/>
      <c r="E893" s="9"/>
      <c r="F893" s="9"/>
      <c r="G893" s="17"/>
      <c r="H893" s="17"/>
      <c r="I893" s="9"/>
      <c r="J893" s="9"/>
      <c r="K893" s="10">
        <v>0</v>
      </c>
      <c r="L893" s="10"/>
      <c r="M893" s="11"/>
      <c r="N893" s="12"/>
      <c r="O893" s="13"/>
      <c r="P893" s="14"/>
      <c r="R893" s="1">
        <v>8890</v>
      </c>
      <c r="S893" s="1">
        <v>19558</v>
      </c>
      <c r="T893" s="1">
        <v>18358</v>
      </c>
      <c r="U893" s="1" t="s">
        <v>26</v>
      </c>
    </row>
    <row r="894" spans="2:21" x14ac:dyDescent="0.25">
      <c r="B894" s="7"/>
      <c r="C894" s="8"/>
      <c r="D894" s="8"/>
      <c r="E894" s="9"/>
      <c r="F894" s="9"/>
      <c r="G894" s="17"/>
      <c r="H894" s="17"/>
      <c r="I894" s="9"/>
      <c r="J894" s="9"/>
      <c r="K894" s="10">
        <v>0</v>
      </c>
      <c r="L894" s="10"/>
      <c r="M894" s="11"/>
      <c r="N894" s="12"/>
      <c r="O894" s="13"/>
      <c r="P894" s="14"/>
      <c r="T894" s="1">
        <v>1200</v>
      </c>
      <c r="U894" s="1" t="s">
        <v>27</v>
      </c>
    </row>
    <row r="895" spans="2:21" x14ac:dyDescent="0.25">
      <c r="B895" s="7"/>
      <c r="C895" s="8"/>
      <c r="D895" s="8"/>
      <c r="E895" s="9"/>
      <c r="F895" s="9"/>
      <c r="G895" s="17"/>
      <c r="H895" s="17"/>
      <c r="I895" s="9"/>
      <c r="J895" s="9"/>
      <c r="K895" s="10">
        <v>0</v>
      </c>
      <c r="L895" s="10"/>
      <c r="M895" s="11"/>
      <c r="N895" s="12"/>
      <c r="O895" s="13"/>
      <c r="P895" s="14"/>
      <c r="S895" s="1">
        <v>4390</v>
      </c>
      <c r="T895" s="1">
        <v>9658</v>
      </c>
    </row>
    <row r="896" spans="2:21" x14ac:dyDescent="0.25">
      <c r="B896" s="7"/>
      <c r="C896" s="8"/>
      <c r="D896" s="8"/>
      <c r="E896" s="9"/>
      <c r="F896" s="9"/>
      <c r="G896" s="17"/>
      <c r="H896" s="17"/>
      <c r="I896" s="9"/>
      <c r="J896" s="9"/>
      <c r="K896" s="10">
        <v>0</v>
      </c>
      <c r="L896" s="10"/>
      <c r="M896" s="11"/>
      <c r="N896" s="12"/>
      <c r="O896" s="13"/>
      <c r="P896" s="14"/>
      <c r="T896" s="1">
        <v>200</v>
      </c>
    </row>
    <row r="897" spans="2:23" x14ac:dyDescent="0.25">
      <c r="B897" s="7"/>
      <c r="C897" s="8"/>
      <c r="D897" s="8"/>
      <c r="E897" s="9"/>
      <c r="F897" s="9"/>
      <c r="G897" s="17"/>
      <c r="H897" s="17"/>
      <c r="I897" s="9"/>
      <c r="J897" s="9"/>
      <c r="K897" s="10">
        <v>0</v>
      </c>
      <c r="L897" s="10"/>
      <c r="M897" s="11"/>
      <c r="N897" s="12"/>
      <c r="O897" s="13"/>
      <c r="P897" s="14"/>
      <c r="T897" s="1">
        <v>-9458</v>
      </c>
      <c r="U897" s="1">
        <v>9658</v>
      </c>
    </row>
    <row r="898" spans="2:23" x14ac:dyDescent="0.25">
      <c r="B898" s="7"/>
      <c r="C898" s="8"/>
      <c r="D898" s="8"/>
      <c r="E898" s="9"/>
      <c r="F898" s="9"/>
      <c r="G898" s="17"/>
      <c r="H898" s="17"/>
      <c r="I898" s="9"/>
      <c r="J898" s="9"/>
      <c r="K898" s="10">
        <v>0</v>
      </c>
      <c r="L898" s="10"/>
      <c r="M898" s="11"/>
      <c r="N898" s="12"/>
      <c r="O898" s="13"/>
      <c r="P898" s="14"/>
    </row>
    <row r="899" spans="2:23" x14ac:dyDescent="0.25">
      <c r="B899" s="7"/>
      <c r="C899" s="8"/>
      <c r="D899" s="8"/>
      <c r="E899" s="9"/>
      <c r="F899" s="9"/>
      <c r="G899" s="17"/>
      <c r="H899" s="17"/>
      <c r="I899" s="9"/>
      <c r="J899" s="9"/>
      <c r="K899" s="10">
        <v>0</v>
      </c>
      <c r="L899" s="10"/>
      <c r="M899" s="11"/>
      <c r="N899" s="12"/>
      <c r="O899" s="13"/>
      <c r="P899" s="14"/>
      <c r="R899" s="1">
        <v>6080</v>
      </c>
      <c r="S899" s="1">
        <v>13376.000000000002</v>
      </c>
    </row>
    <row r="900" spans="2:23" x14ac:dyDescent="0.25">
      <c r="B900" s="7"/>
      <c r="C900" s="8"/>
      <c r="D900" s="8"/>
      <c r="E900" s="9"/>
      <c r="F900" s="9"/>
      <c r="G900" s="17"/>
      <c r="H900" s="17"/>
      <c r="I900" s="9"/>
      <c r="J900" s="9"/>
      <c r="K900" s="10">
        <v>0</v>
      </c>
      <c r="L900" s="10"/>
      <c r="M900" s="11"/>
      <c r="N900" s="12"/>
      <c r="O900" s="13"/>
      <c r="P900" s="14"/>
      <c r="S900" s="1">
        <v>11076.000000000002</v>
      </c>
    </row>
    <row r="901" spans="2:23" x14ac:dyDescent="0.25">
      <c r="B901" s="7"/>
      <c r="C901" s="8"/>
      <c r="D901" s="8"/>
      <c r="E901" s="9"/>
      <c r="F901" s="9"/>
      <c r="G901" s="17"/>
      <c r="H901" s="17"/>
      <c r="I901" s="9"/>
      <c r="J901" s="9"/>
      <c r="K901" s="10">
        <v>0</v>
      </c>
      <c r="L901" s="10"/>
      <c r="M901" s="11"/>
      <c r="N901" s="12"/>
      <c r="O901" s="13"/>
      <c r="P901" s="14"/>
      <c r="S901" s="1">
        <v>2300</v>
      </c>
    </row>
    <row r="902" spans="2:23" x14ac:dyDescent="0.25">
      <c r="B902" s="7"/>
      <c r="C902" s="8"/>
      <c r="D902" s="8"/>
      <c r="E902" s="9"/>
      <c r="F902" s="9"/>
      <c r="G902" s="17"/>
      <c r="H902" s="17"/>
      <c r="I902" s="9"/>
      <c r="J902" s="9"/>
      <c r="K902" s="10">
        <v>0</v>
      </c>
      <c r="L902" s="10"/>
      <c r="M902" s="11"/>
      <c r="N902" s="12"/>
      <c r="O902" s="13"/>
      <c r="P902" s="14"/>
    </row>
    <row r="903" spans="2:23" x14ac:dyDescent="0.25">
      <c r="B903" s="7"/>
      <c r="C903" s="8"/>
      <c r="D903" s="8"/>
      <c r="E903" s="9"/>
      <c r="F903" s="9"/>
      <c r="G903" s="17"/>
      <c r="H903" s="17"/>
      <c r="I903" s="9"/>
      <c r="J903" s="9"/>
      <c r="K903" s="10">
        <v>0</v>
      </c>
      <c r="L903" s="10"/>
      <c r="M903" s="11"/>
      <c r="N903" s="12"/>
      <c r="O903" s="13"/>
      <c r="P903" s="14"/>
    </row>
    <row r="904" spans="2:23" x14ac:dyDescent="0.25">
      <c r="B904" s="7"/>
      <c r="C904" s="8"/>
      <c r="D904" s="8"/>
      <c r="E904" s="9"/>
      <c r="F904" s="9"/>
      <c r="G904" s="17"/>
      <c r="H904" s="17"/>
      <c r="I904" s="9"/>
      <c r="J904" s="9"/>
      <c r="K904" s="10">
        <v>0</v>
      </c>
      <c r="L904" s="10"/>
      <c r="M904" s="11"/>
      <c r="N904" s="12"/>
      <c r="O904" s="13"/>
      <c r="P904" s="14"/>
      <c r="R904" s="1">
        <v>800</v>
      </c>
    </row>
    <row r="905" spans="2:23" x14ac:dyDescent="0.25">
      <c r="B905" s="7"/>
      <c r="C905" s="8"/>
      <c r="D905" s="8"/>
      <c r="E905" s="9"/>
      <c r="F905" s="9"/>
      <c r="G905" s="17"/>
      <c r="H905" s="17"/>
      <c r="I905" s="9"/>
      <c r="J905" s="9"/>
      <c r="K905" s="10">
        <v>0</v>
      </c>
      <c r="L905" s="10"/>
      <c r="M905" s="11"/>
      <c r="N905" s="12"/>
      <c r="O905" s="13"/>
      <c r="P905" s="14"/>
    </row>
    <row r="906" spans="2:23" x14ac:dyDescent="0.25">
      <c r="B906" s="7"/>
      <c r="C906" s="8"/>
      <c r="D906" s="8"/>
      <c r="E906" s="9"/>
      <c r="F906" s="9"/>
      <c r="G906" s="17"/>
      <c r="H906" s="17"/>
      <c r="I906" s="9"/>
      <c r="J906" s="9"/>
      <c r="K906" s="10">
        <v>0</v>
      </c>
      <c r="L906" s="10"/>
      <c r="M906" s="11"/>
      <c r="N906" s="12"/>
      <c r="O906" s="13"/>
      <c r="P906" s="14"/>
      <c r="R906" s="1">
        <v>2370</v>
      </c>
      <c r="S906" s="1">
        <v>5214</v>
      </c>
      <c r="T906" s="1">
        <v>4414</v>
      </c>
    </row>
    <row r="907" spans="2:23" x14ac:dyDescent="0.25">
      <c r="B907" s="7"/>
      <c r="C907" s="8"/>
      <c r="D907" s="8"/>
      <c r="E907" s="9"/>
      <c r="F907" s="9"/>
      <c r="G907" s="17"/>
      <c r="H907" s="17"/>
      <c r="I907" s="9"/>
      <c r="J907" s="9"/>
      <c r="K907" s="10">
        <v>0</v>
      </c>
      <c r="L907" s="10"/>
      <c r="M907" s="11"/>
      <c r="N907" s="12"/>
      <c r="O907" s="13"/>
      <c r="P907" s="14"/>
    </row>
    <row r="908" spans="2:23" x14ac:dyDescent="0.25">
      <c r="B908" s="7"/>
      <c r="C908" s="8"/>
      <c r="D908" s="8"/>
      <c r="E908" s="9"/>
      <c r="F908" s="9"/>
      <c r="G908" s="17"/>
      <c r="H908" s="17"/>
      <c r="I908" s="9"/>
      <c r="J908" s="9"/>
      <c r="K908" s="10">
        <v>0</v>
      </c>
      <c r="L908" s="10"/>
      <c r="M908" s="11"/>
      <c r="N908" s="12"/>
      <c r="O908" s="13"/>
      <c r="P908" s="14"/>
    </row>
    <row r="909" spans="2:23" x14ac:dyDescent="0.25">
      <c r="B909" s="7"/>
      <c r="C909" s="8"/>
      <c r="D909" s="8"/>
      <c r="E909" s="9"/>
      <c r="F909" s="9"/>
      <c r="G909" s="17"/>
      <c r="H909" s="17"/>
      <c r="I909" s="9"/>
      <c r="J909" s="9"/>
      <c r="K909" s="10">
        <v>0</v>
      </c>
      <c r="L909" s="10"/>
      <c r="M909" s="11"/>
      <c r="N909" s="12"/>
      <c r="O909" s="13"/>
      <c r="P909" s="14"/>
      <c r="R909" s="1">
        <v>5</v>
      </c>
    </row>
    <row r="910" spans="2:23" x14ac:dyDescent="0.25">
      <c r="B910" s="7"/>
      <c r="C910" s="8"/>
      <c r="D910" s="8"/>
      <c r="E910" s="9"/>
      <c r="F910" s="9"/>
      <c r="G910" s="17"/>
      <c r="H910" s="17"/>
      <c r="I910" s="9"/>
      <c r="J910" s="9"/>
      <c r="K910" s="10">
        <v>0</v>
      </c>
      <c r="L910" s="10"/>
      <c r="M910" s="11"/>
      <c r="N910" s="12"/>
      <c r="O910" s="13"/>
      <c r="P910" s="14"/>
    </row>
    <row r="911" spans="2:23" x14ac:dyDescent="0.25">
      <c r="B911" s="7"/>
      <c r="C911" s="8"/>
      <c r="D911" s="8"/>
      <c r="E911" s="9"/>
      <c r="F911" s="9"/>
      <c r="G911" s="17"/>
      <c r="H911" s="17"/>
      <c r="I911" s="9"/>
      <c r="J911" s="9"/>
      <c r="K911" s="10">
        <v>0</v>
      </c>
      <c r="L911" s="10"/>
      <c r="M911" s="11"/>
      <c r="N911" s="12"/>
      <c r="O911" s="13"/>
      <c r="P911" s="14"/>
      <c r="R911" s="1">
        <v>12056.000000000002</v>
      </c>
      <c r="S911" s="1">
        <v>1700</v>
      </c>
      <c r="T911" s="1">
        <v>150</v>
      </c>
      <c r="U911" s="1">
        <v>706</v>
      </c>
      <c r="V911" s="1">
        <v>2556</v>
      </c>
      <c r="W911" s="1">
        <v>-9500.0000000000018</v>
      </c>
    </row>
    <row r="912" spans="2:23" x14ac:dyDescent="0.25">
      <c r="B912" s="7"/>
      <c r="C912" s="8"/>
      <c r="D912" s="8"/>
      <c r="E912" s="9"/>
      <c r="F912" s="9"/>
      <c r="G912" s="17"/>
      <c r="H912" s="17"/>
      <c r="I912" s="9"/>
      <c r="J912" s="9"/>
      <c r="K912" s="10">
        <v>0</v>
      </c>
      <c r="L912" s="10"/>
      <c r="M912" s="11"/>
      <c r="N912" s="12"/>
      <c r="O912" s="13"/>
      <c r="P912" s="14"/>
      <c r="R912" s="1">
        <v>500</v>
      </c>
    </row>
    <row r="913" spans="2:20" x14ac:dyDescent="0.25">
      <c r="B913" s="7"/>
      <c r="C913" s="8"/>
      <c r="D913" s="8"/>
      <c r="E913" s="9"/>
      <c r="F913" s="9"/>
      <c r="G913" s="17"/>
      <c r="H913" s="17"/>
      <c r="I913" s="9"/>
      <c r="J913" s="9"/>
      <c r="K913" s="10">
        <v>0</v>
      </c>
      <c r="L913" s="10"/>
      <c r="M913" s="11"/>
      <c r="N913" s="12"/>
      <c r="O913" s="13"/>
      <c r="P913" s="14"/>
      <c r="T913" s="1">
        <v>3056</v>
      </c>
    </row>
    <row r="914" spans="2:20" x14ac:dyDescent="0.25">
      <c r="B914" s="7"/>
      <c r="C914" s="8"/>
      <c r="D914" s="8"/>
      <c r="E914" s="9"/>
      <c r="F914" s="9"/>
      <c r="G914" s="17"/>
      <c r="H914" s="17"/>
      <c r="I914" s="9"/>
      <c r="J914" s="9"/>
      <c r="K914" s="10">
        <v>0</v>
      </c>
      <c r="L914" s="10"/>
      <c r="M914" s="11"/>
      <c r="N914" s="12"/>
      <c r="O914" s="13"/>
      <c r="P914" s="14"/>
    </row>
    <row r="915" spans="2:20" x14ac:dyDescent="0.25">
      <c r="B915" s="7"/>
      <c r="C915" s="8"/>
      <c r="D915" s="8"/>
      <c r="E915" s="9"/>
      <c r="F915" s="9"/>
      <c r="G915" s="17"/>
      <c r="H915" s="17"/>
      <c r="I915" s="9"/>
      <c r="J915" s="9"/>
      <c r="K915" s="10">
        <v>0</v>
      </c>
      <c r="L915" s="10"/>
      <c r="M915" s="11"/>
      <c r="N915" s="12"/>
      <c r="O915" s="13"/>
      <c r="P915" s="14"/>
      <c r="Q915" s="2">
        <v>9677</v>
      </c>
    </row>
    <row r="916" spans="2:20" x14ac:dyDescent="0.25">
      <c r="B916" s="7"/>
      <c r="C916" s="8"/>
      <c r="D916" s="8"/>
      <c r="E916" s="9"/>
      <c r="F916" s="9"/>
      <c r="G916" s="17"/>
      <c r="H916" s="17"/>
      <c r="I916" s="9"/>
      <c r="J916" s="9"/>
      <c r="K916" s="10">
        <v>0</v>
      </c>
      <c r="L916" s="10"/>
      <c r="M916" s="11"/>
      <c r="N916" s="12"/>
      <c r="O916" s="13"/>
      <c r="P916" s="14"/>
      <c r="Q916" s="2">
        <v>459</v>
      </c>
    </row>
    <row r="917" spans="2:20" x14ac:dyDescent="0.25">
      <c r="B917" s="7"/>
      <c r="C917" s="8"/>
      <c r="D917" s="8"/>
      <c r="E917" s="9"/>
      <c r="F917" s="9"/>
      <c r="G917" s="17"/>
      <c r="H917" s="17"/>
      <c r="I917" s="9"/>
      <c r="J917" s="9"/>
      <c r="K917" s="10">
        <v>0</v>
      </c>
      <c r="L917" s="10"/>
      <c r="M917" s="11"/>
      <c r="N917" s="12"/>
      <c r="O917" s="13"/>
      <c r="P917" s="14"/>
    </row>
    <row r="918" spans="2:20" x14ac:dyDescent="0.25">
      <c r="B918" s="7"/>
      <c r="C918" s="8"/>
      <c r="D918" s="8"/>
      <c r="E918" s="9"/>
      <c r="F918" s="9"/>
      <c r="G918" s="17"/>
      <c r="H918" s="17"/>
      <c r="I918" s="9"/>
      <c r="J918" s="9"/>
      <c r="K918" s="10">
        <v>0</v>
      </c>
      <c r="L918" s="10"/>
      <c r="M918" s="11"/>
      <c r="N918" s="12"/>
      <c r="O918" s="13"/>
      <c r="P918" s="14"/>
    </row>
    <row r="919" spans="2:20" x14ac:dyDescent="0.25">
      <c r="B919" s="7"/>
      <c r="C919" s="8"/>
      <c r="D919" s="8"/>
      <c r="E919" s="9"/>
      <c r="F919" s="9"/>
      <c r="G919" s="17"/>
      <c r="H919" s="17"/>
      <c r="I919" s="9"/>
      <c r="J919" s="9"/>
      <c r="K919" s="10">
        <v>0</v>
      </c>
      <c r="L919" s="10"/>
      <c r="M919" s="11"/>
      <c r="N919" s="12"/>
      <c r="O919" s="13"/>
      <c r="P919" s="14"/>
    </row>
    <row r="920" spans="2:20" x14ac:dyDescent="0.25">
      <c r="B920" s="7"/>
      <c r="C920" s="8"/>
      <c r="D920" s="8"/>
      <c r="E920" s="9"/>
      <c r="F920" s="9"/>
      <c r="G920" s="17"/>
      <c r="H920" s="17"/>
      <c r="I920" s="9"/>
      <c r="J920" s="9"/>
      <c r="K920" s="10">
        <v>0</v>
      </c>
      <c r="L920" s="10"/>
      <c r="M920" s="11"/>
      <c r="N920" s="12"/>
      <c r="O920" s="13"/>
      <c r="P920" s="14"/>
    </row>
    <row r="921" spans="2:20" x14ac:dyDescent="0.25">
      <c r="B921" s="7"/>
      <c r="C921" s="8"/>
      <c r="D921" s="8"/>
      <c r="E921" s="9"/>
      <c r="F921" s="9"/>
      <c r="G921" s="17"/>
      <c r="H921" s="17"/>
      <c r="I921" s="9"/>
      <c r="J921" s="9"/>
      <c r="K921" s="10">
        <v>0</v>
      </c>
      <c r="L921" s="10"/>
      <c r="M921" s="11"/>
      <c r="N921" s="12"/>
      <c r="O921" s="13"/>
      <c r="P921" s="14"/>
    </row>
    <row r="922" spans="2:20" x14ac:dyDescent="0.25">
      <c r="B922" s="7"/>
      <c r="C922" s="8"/>
      <c r="D922" s="8"/>
      <c r="E922" s="9"/>
      <c r="F922" s="9"/>
      <c r="G922" s="17"/>
      <c r="H922" s="17"/>
      <c r="I922" s="9"/>
      <c r="J922" s="9"/>
      <c r="K922" s="10">
        <v>0</v>
      </c>
      <c r="L922" s="10"/>
      <c r="M922" s="11"/>
      <c r="N922" s="12"/>
      <c r="O922" s="13"/>
      <c r="P922" s="14"/>
    </row>
    <row r="923" spans="2:20" x14ac:dyDescent="0.25">
      <c r="B923" s="7"/>
      <c r="C923" s="8"/>
      <c r="D923" s="8"/>
      <c r="E923" s="9"/>
      <c r="F923" s="9"/>
      <c r="G923" s="17"/>
      <c r="H923" s="17"/>
      <c r="I923" s="9"/>
      <c r="J923" s="9"/>
      <c r="K923" s="10">
        <v>0</v>
      </c>
      <c r="L923" s="10"/>
      <c r="M923" s="11"/>
      <c r="N923" s="12"/>
      <c r="O923" s="13"/>
      <c r="P923" s="14"/>
    </row>
    <row r="924" spans="2:20" x14ac:dyDescent="0.25">
      <c r="B924" s="7"/>
      <c r="C924" s="8"/>
      <c r="D924" s="8"/>
      <c r="E924" s="9"/>
      <c r="F924" s="9"/>
      <c r="G924" s="17"/>
      <c r="H924" s="17"/>
      <c r="I924" s="9"/>
      <c r="J924" s="9"/>
      <c r="K924" s="10">
        <v>0</v>
      </c>
      <c r="L924" s="10"/>
      <c r="M924" s="11"/>
      <c r="N924" s="12"/>
      <c r="O924" s="13"/>
      <c r="P924" s="14"/>
    </row>
    <row r="925" spans="2:20" x14ac:dyDescent="0.25">
      <c r="B925" s="7"/>
      <c r="C925" s="8"/>
      <c r="D925" s="8"/>
      <c r="E925" s="9"/>
      <c r="F925" s="9"/>
      <c r="G925" s="17"/>
      <c r="H925" s="17"/>
      <c r="I925" s="9"/>
      <c r="J925" s="9"/>
      <c r="K925" s="10">
        <v>0</v>
      </c>
      <c r="L925" s="10"/>
      <c r="M925" s="11"/>
      <c r="N925" s="12"/>
      <c r="O925" s="13"/>
      <c r="P925" s="14"/>
    </row>
    <row r="926" spans="2:20" x14ac:dyDescent="0.25">
      <c r="B926" s="7"/>
      <c r="C926" s="8"/>
      <c r="D926" s="8"/>
      <c r="E926" s="9"/>
      <c r="F926" s="9"/>
      <c r="G926" s="17"/>
      <c r="H926" s="17"/>
      <c r="I926" s="9"/>
      <c r="J926" s="9"/>
      <c r="K926" s="10">
        <v>0</v>
      </c>
      <c r="L926" s="10"/>
      <c r="M926" s="11"/>
      <c r="N926" s="12"/>
      <c r="O926" s="13"/>
      <c r="P926" s="14"/>
    </row>
    <row r="927" spans="2:20" x14ac:dyDescent="0.25">
      <c r="B927" s="7"/>
      <c r="C927" s="8"/>
      <c r="D927" s="8"/>
      <c r="E927" s="9"/>
      <c r="F927" s="9"/>
      <c r="G927" s="17"/>
      <c r="H927" s="17"/>
      <c r="I927" s="9"/>
      <c r="J927" s="9"/>
      <c r="K927" s="10">
        <v>0</v>
      </c>
      <c r="L927" s="10"/>
      <c r="M927" s="11"/>
      <c r="N927" s="12"/>
      <c r="O927" s="13"/>
      <c r="P927" s="14"/>
    </row>
    <row r="928" spans="2:20" x14ac:dyDescent="0.25">
      <c r="P928" s="14"/>
    </row>
  </sheetData>
  <mergeCells count="15">
    <mergeCell ref="A1:P1"/>
    <mergeCell ref="A2:P2"/>
    <mergeCell ref="A3:P3"/>
    <mergeCell ref="A4:A5"/>
    <mergeCell ref="B4:B5"/>
    <mergeCell ref="C4:C5"/>
    <mergeCell ref="D4:D5"/>
    <mergeCell ref="E4:E5"/>
    <mergeCell ref="F4:H4"/>
    <mergeCell ref="I4:J4"/>
    <mergeCell ref="K4:K5"/>
    <mergeCell ref="L4:L5"/>
    <mergeCell ref="M4:M5"/>
    <mergeCell ref="N4:N5"/>
    <mergeCell ref="P4:P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28"/>
  <sheetViews>
    <sheetView topLeftCell="B1" zoomScale="64" zoomScaleNormal="64" workbookViewId="0">
      <selection activeCell="J25" sqref="J25"/>
    </sheetView>
  </sheetViews>
  <sheetFormatPr baseColWidth="10" defaultRowHeight="15" x14ac:dyDescent="0.25"/>
  <cols>
    <col min="1" max="1" width="11.42578125" style="1" hidden="1" customWidth="1"/>
    <col min="2" max="2" width="9.28515625" style="1" customWidth="1"/>
    <col min="3" max="3" width="25.5703125" style="1" customWidth="1"/>
    <col min="4" max="4" width="23.5703125" style="1" customWidth="1"/>
    <col min="5" max="5" width="11.42578125" style="1"/>
    <col min="6" max="6" width="15.28515625" style="1" customWidth="1"/>
    <col min="7" max="12" width="11.42578125" style="1"/>
    <col min="13" max="13" width="30.85546875" style="1" customWidth="1"/>
    <col min="14" max="16384" width="11.42578125" style="1"/>
  </cols>
  <sheetData>
    <row r="1" spans="1:22" x14ac:dyDescent="0.25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2"/>
    </row>
    <row r="2" spans="1:22" x14ac:dyDescent="0.25">
      <c r="A2" s="103" t="s">
        <v>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5"/>
    </row>
    <row r="3" spans="1:22" x14ac:dyDescent="0.25">
      <c r="A3" s="106" t="s">
        <v>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8"/>
    </row>
    <row r="4" spans="1:22" x14ac:dyDescent="0.25">
      <c r="A4" s="109" t="s">
        <v>3</v>
      </c>
      <c r="B4" s="109" t="s">
        <v>4</v>
      </c>
      <c r="C4" s="109" t="s">
        <v>5</v>
      </c>
      <c r="D4" s="109" t="s">
        <v>6</v>
      </c>
      <c r="E4" s="109" t="s">
        <v>7</v>
      </c>
      <c r="F4" s="111" t="s">
        <v>8</v>
      </c>
      <c r="G4" s="112"/>
      <c r="H4" s="113"/>
      <c r="I4" s="111" t="s">
        <v>9</v>
      </c>
      <c r="J4" s="113"/>
      <c r="K4" s="109" t="s">
        <v>10</v>
      </c>
      <c r="L4" s="109" t="s">
        <v>11</v>
      </c>
      <c r="M4" s="109" t="s">
        <v>12</v>
      </c>
      <c r="N4" s="109" t="s">
        <v>13</v>
      </c>
      <c r="O4" s="3" t="s">
        <v>14</v>
      </c>
      <c r="P4" s="114"/>
    </row>
    <row r="5" spans="1:22" x14ac:dyDescent="0.25">
      <c r="A5" s="110"/>
      <c r="B5" s="110"/>
      <c r="C5" s="110"/>
      <c r="D5" s="110"/>
      <c r="E5" s="110"/>
      <c r="F5" s="4" t="s">
        <v>15</v>
      </c>
      <c r="G5" s="4" t="s">
        <v>16</v>
      </c>
      <c r="H5" s="4" t="s">
        <v>17</v>
      </c>
      <c r="I5" s="4" t="s">
        <v>16</v>
      </c>
      <c r="J5" s="4" t="s">
        <v>17</v>
      </c>
      <c r="K5" s="110"/>
      <c r="L5" s="110"/>
      <c r="M5" s="110"/>
      <c r="N5" s="110"/>
      <c r="O5" s="5" t="s">
        <v>18</v>
      </c>
      <c r="P5" s="115"/>
    </row>
    <row r="6" spans="1:22" x14ac:dyDescent="0.25">
      <c r="A6" s="6"/>
      <c r="B6" s="7"/>
      <c r="C6" s="8"/>
      <c r="D6" s="8"/>
      <c r="E6" s="9"/>
      <c r="F6" s="9"/>
      <c r="G6" s="17"/>
      <c r="H6" s="17"/>
      <c r="I6" s="9"/>
      <c r="J6" s="9"/>
      <c r="K6" s="10">
        <v>0</v>
      </c>
      <c r="L6" s="10"/>
      <c r="M6" s="11"/>
      <c r="N6" s="12"/>
      <c r="O6" s="13"/>
      <c r="P6" s="14"/>
    </row>
    <row r="7" spans="1:22" x14ac:dyDescent="0.25">
      <c r="A7" s="6"/>
      <c r="B7" s="7"/>
      <c r="C7" s="8"/>
      <c r="D7" s="8"/>
      <c r="E7" s="9"/>
      <c r="F7" s="9"/>
      <c r="G7" s="17"/>
      <c r="H7" s="17"/>
      <c r="I7" s="9"/>
      <c r="J7" s="9"/>
      <c r="K7" s="10">
        <v>0</v>
      </c>
      <c r="L7" s="10"/>
      <c r="M7" s="11"/>
      <c r="N7" s="12"/>
      <c r="O7" s="13"/>
      <c r="P7" s="14"/>
    </row>
    <row r="8" spans="1:22" x14ac:dyDescent="0.25">
      <c r="A8" s="6"/>
      <c r="B8" s="7"/>
      <c r="C8" s="8"/>
      <c r="D8" s="8"/>
      <c r="E8" s="9"/>
      <c r="F8" s="9"/>
      <c r="G8" s="17"/>
      <c r="H8" s="17"/>
      <c r="I8" s="9"/>
      <c r="J8" s="9"/>
      <c r="K8" s="10">
        <v>0</v>
      </c>
      <c r="L8" s="10"/>
      <c r="M8" s="11"/>
      <c r="N8" s="12"/>
      <c r="O8" s="13"/>
      <c r="P8" s="14"/>
    </row>
    <row r="9" spans="1:22" x14ac:dyDescent="0.25">
      <c r="A9" s="6"/>
      <c r="B9" s="7"/>
      <c r="C9" s="8"/>
      <c r="D9" s="8"/>
      <c r="E9" s="9"/>
      <c r="F9" s="9"/>
      <c r="G9" s="17"/>
      <c r="H9" s="17"/>
      <c r="I9" s="9"/>
      <c r="J9" s="9"/>
      <c r="K9" s="10">
        <v>0</v>
      </c>
      <c r="L9" s="10"/>
      <c r="M9" s="11"/>
      <c r="N9" s="12"/>
      <c r="O9" s="13"/>
      <c r="P9" s="14"/>
    </row>
    <row r="10" spans="1:22" x14ac:dyDescent="0.25">
      <c r="A10" s="6"/>
      <c r="B10" s="7"/>
      <c r="C10" s="8"/>
      <c r="D10" s="8"/>
      <c r="E10" s="9"/>
      <c r="F10" s="9"/>
      <c r="G10" s="17"/>
      <c r="H10" s="17"/>
      <c r="I10" s="9"/>
      <c r="J10" s="9"/>
      <c r="K10" s="10">
        <v>0</v>
      </c>
      <c r="L10" s="10"/>
      <c r="M10" s="11"/>
      <c r="N10" s="12"/>
      <c r="O10" s="13"/>
      <c r="P10" s="14"/>
    </row>
    <row r="11" spans="1:22" x14ac:dyDescent="0.25">
      <c r="A11" s="6"/>
      <c r="B11" s="7"/>
      <c r="C11" s="8"/>
      <c r="D11" s="8"/>
      <c r="E11" s="9"/>
      <c r="F11" s="9"/>
      <c r="G11" s="17"/>
      <c r="H11" s="17"/>
      <c r="I11" s="9"/>
      <c r="J11" s="9"/>
      <c r="K11" s="10">
        <v>0</v>
      </c>
      <c r="L11" s="10"/>
      <c r="M11" s="11"/>
      <c r="N11" s="12"/>
      <c r="O11" s="13"/>
      <c r="P11" s="14"/>
    </row>
    <row r="12" spans="1:22" x14ac:dyDescent="0.25">
      <c r="A12" s="6"/>
      <c r="B12" s="7"/>
      <c r="C12" s="8"/>
      <c r="D12" s="8"/>
      <c r="E12" s="9"/>
      <c r="F12" s="9"/>
      <c r="G12" s="17"/>
      <c r="H12" s="17"/>
      <c r="I12" s="9"/>
      <c r="J12" s="9"/>
      <c r="K12" s="10">
        <v>0</v>
      </c>
      <c r="L12" s="10"/>
      <c r="M12" s="11"/>
      <c r="N12" s="12"/>
      <c r="O12" s="13"/>
      <c r="P12" s="14"/>
    </row>
    <row r="13" spans="1:22" x14ac:dyDescent="0.25">
      <c r="A13" s="6"/>
      <c r="B13" s="7"/>
      <c r="C13" s="8"/>
      <c r="D13" s="8"/>
      <c r="E13" s="9"/>
      <c r="F13" s="9"/>
      <c r="G13" s="17"/>
      <c r="H13" s="17"/>
      <c r="I13" s="9"/>
      <c r="J13" s="9"/>
      <c r="K13" s="10">
        <v>0</v>
      </c>
      <c r="L13" s="10"/>
      <c r="M13" s="11"/>
      <c r="N13" s="12"/>
      <c r="O13" s="13"/>
      <c r="P13" s="14"/>
    </row>
    <row r="14" spans="1:22" x14ac:dyDescent="0.25">
      <c r="A14" s="6"/>
      <c r="B14" s="7"/>
      <c r="C14" s="8"/>
      <c r="D14" s="8"/>
      <c r="E14" s="9"/>
      <c r="F14" s="9"/>
      <c r="G14" s="17"/>
      <c r="H14" s="17"/>
      <c r="I14" s="9"/>
      <c r="J14" s="9"/>
      <c r="K14" s="10">
        <v>0</v>
      </c>
      <c r="L14" s="10"/>
      <c r="M14" s="11"/>
      <c r="N14" s="12"/>
      <c r="O14" s="13"/>
      <c r="P14" s="14"/>
    </row>
    <row r="15" spans="1:22" x14ac:dyDescent="0.25">
      <c r="A15" s="6"/>
      <c r="B15" s="7"/>
      <c r="C15" s="8"/>
      <c r="D15" s="8"/>
      <c r="E15" s="9"/>
      <c r="F15" s="9"/>
      <c r="G15" s="17"/>
      <c r="H15" s="17"/>
      <c r="I15" s="9"/>
      <c r="J15" s="9"/>
      <c r="K15" s="10">
        <v>0</v>
      </c>
      <c r="L15" s="10"/>
      <c r="M15" s="11"/>
      <c r="N15" s="12"/>
      <c r="O15" s="13"/>
      <c r="P15" s="14"/>
    </row>
    <row r="16" spans="1:22" x14ac:dyDescent="0.25">
      <c r="A16" s="6"/>
      <c r="B16" s="7"/>
      <c r="C16" s="8"/>
      <c r="D16" s="8"/>
      <c r="E16" s="9"/>
      <c r="F16" s="9"/>
      <c r="G16" s="17"/>
      <c r="H16" s="17"/>
      <c r="I16" s="9"/>
      <c r="J16" s="9"/>
      <c r="K16" s="10">
        <v>0</v>
      </c>
      <c r="L16" s="10"/>
      <c r="M16" s="11"/>
      <c r="N16" s="12"/>
      <c r="O16" s="13"/>
      <c r="P16" s="14"/>
      <c r="Q16" s="2"/>
      <c r="S16" s="18"/>
      <c r="T16" s="18"/>
      <c r="V16" s="23"/>
    </row>
    <row r="17" spans="1:26" x14ac:dyDescent="0.25">
      <c r="A17" s="6"/>
      <c r="B17" s="7"/>
      <c r="C17" s="8"/>
      <c r="D17" s="8"/>
      <c r="E17" s="9"/>
      <c r="F17" s="9"/>
      <c r="G17" s="17"/>
      <c r="H17" s="17"/>
      <c r="I17" s="9"/>
      <c r="J17" s="9"/>
      <c r="K17" s="10">
        <v>0</v>
      </c>
      <c r="L17" s="10"/>
      <c r="M17" s="11"/>
      <c r="N17" s="12"/>
      <c r="O17" s="13"/>
      <c r="P17" s="14"/>
      <c r="T17" s="18"/>
      <c r="V17" s="23"/>
    </row>
    <row r="18" spans="1:26" x14ac:dyDescent="0.25">
      <c r="A18" s="6"/>
      <c r="B18" s="7"/>
      <c r="C18" s="8"/>
      <c r="D18" s="8"/>
      <c r="E18" s="9"/>
      <c r="F18" s="9"/>
      <c r="G18" s="17"/>
      <c r="H18" s="17"/>
      <c r="I18" s="9"/>
      <c r="J18" s="9"/>
      <c r="K18" s="10">
        <v>0</v>
      </c>
      <c r="L18" s="10"/>
      <c r="M18" s="11"/>
      <c r="N18" s="12"/>
      <c r="O18" s="13"/>
      <c r="P18" s="14"/>
      <c r="T18" s="18"/>
      <c r="V18" s="23"/>
    </row>
    <row r="19" spans="1:26" x14ac:dyDescent="0.25">
      <c r="A19" s="6"/>
      <c r="B19" s="7"/>
      <c r="C19" s="8"/>
      <c r="D19" s="8"/>
      <c r="E19" s="9"/>
      <c r="F19" s="9"/>
      <c r="G19" s="17"/>
      <c r="H19" s="17"/>
      <c r="I19" s="9"/>
      <c r="J19" s="9"/>
      <c r="K19" s="10">
        <v>0</v>
      </c>
      <c r="L19" s="10"/>
      <c r="M19" s="11"/>
      <c r="N19" s="12"/>
      <c r="O19" s="13"/>
      <c r="P19" s="14"/>
    </row>
    <row r="20" spans="1:26" x14ac:dyDescent="0.25">
      <c r="A20" s="6"/>
      <c r="B20" s="7"/>
      <c r="C20" s="8"/>
      <c r="D20" s="8"/>
      <c r="E20" s="9"/>
      <c r="F20" s="9"/>
      <c r="G20" s="17"/>
      <c r="H20" s="17"/>
      <c r="I20" s="9"/>
      <c r="J20" s="9"/>
      <c r="K20" s="10">
        <v>0</v>
      </c>
      <c r="L20" s="10"/>
      <c r="M20" s="11"/>
      <c r="N20" s="12"/>
      <c r="O20" s="13"/>
      <c r="P20" s="14"/>
      <c r="Q20" s="2"/>
      <c r="T20" s="18"/>
      <c r="V20" s="23"/>
    </row>
    <row r="21" spans="1:26" x14ac:dyDescent="0.25">
      <c r="A21" s="6"/>
      <c r="B21" s="7"/>
      <c r="C21" s="8"/>
      <c r="D21" s="8"/>
      <c r="E21" s="9"/>
      <c r="F21" s="9"/>
      <c r="G21" s="17"/>
      <c r="H21" s="17"/>
      <c r="I21" s="9"/>
      <c r="J21" s="9"/>
      <c r="K21" s="10">
        <v>0</v>
      </c>
      <c r="L21" s="10"/>
      <c r="M21" s="11"/>
      <c r="N21" s="12"/>
      <c r="O21" s="13"/>
      <c r="P21" s="14"/>
      <c r="Q21" s="2"/>
      <c r="T21" s="18"/>
      <c r="V21" s="23"/>
    </row>
    <row r="22" spans="1:26" x14ac:dyDescent="0.25">
      <c r="A22" s="6"/>
      <c r="B22" s="7"/>
      <c r="C22" s="8"/>
      <c r="D22" s="8"/>
      <c r="E22" s="9"/>
      <c r="F22" s="9"/>
      <c r="G22" s="17"/>
      <c r="H22" s="17"/>
      <c r="I22" s="9"/>
      <c r="J22" s="9"/>
      <c r="K22" s="10">
        <v>0</v>
      </c>
      <c r="L22" s="10"/>
      <c r="M22" s="11"/>
      <c r="N22" s="12"/>
      <c r="O22" s="13"/>
      <c r="P22" s="14"/>
      <c r="T22" s="18"/>
      <c r="V22" s="23"/>
    </row>
    <row r="23" spans="1:26" x14ac:dyDescent="0.25">
      <c r="A23" s="6"/>
      <c r="B23" s="7"/>
      <c r="C23" s="8"/>
      <c r="D23" s="8"/>
      <c r="E23" s="9"/>
      <c r="F23" s="9"/>
      <c r="G23" s="17"/>
      <c r="H23" s="17"/>
      <c r="I23" s="9"/>
      <c r="J23" s="9"/>
      <c r="K23" s="10">
        <v>0</v>
      </c>
      <c r="L23" s="10"/>
      <c r="M23" s="11"/>
      <c r="N23" s="12"/>
      <c r="O23" s="13"/>
      <c r="P23" s="14"/>
    </row>
    <row r="24" spans="1:26" x14ac:dyDescent="0.25">
      <c r="A24" s="6"/>
      <c r="B24" s="7"/>
      <c r="C24" s="8"/>
      <c r="D24" s="8"/>
      <c r="E24" s="9"/>
      <c r="F24" s="9"/>
      <c r="G24" s="17"/>
      <c r="H24" s="17"/>
      <c r="I24" s="9"/>
      <c r="J24" s="9"/>
      <c r="K24" s="10">
        <v>0</v>
      </c>
      <c r="L24" s="10"/>
      <c r="M24" s="11"/>
      <c r="N24" s="12"/>
      <c r="O24" s="13"/>
      <c r="P24" s="14"/>
      <c r="S24" s="18"/>
      <c r="T24" s="18"/>
    </row>
    <row r="25" spans="1:26" x14ac:dyDescent="0.25">
      <c r="A25" s="6"/>
      <c r="B25" s="7"/>
      <c r="C25" s="8"/>
      <c r="D25" s="8"/>
      <c r="E25" s="9"/>
      <c r="F25" s="9"/>
      <c r="G25" s="17"/>
      <c r="H25" s="17"/>
      <c r="I25" s="9"/>
      <c r="J25" s="9"/>
      <c r="K25" s="10">
        <v>0</v>
      </c>
      <c r="L25" s="10"/>
      <c r="M25" s="11"/>
      <c r="N25" s="12"/>
      <c r="O25" s="13"/>
      <c r="P25" s="14"/>
    </row>
    <row r="26" spans="1:26" x14ac:dyDescent="0.25">
      <c r="A26" s="6"/>
      <c r="B26" s="7"/>
      <c r="C26" s="8"/>
      <c r="D26" s="8"/>
      <c r="E26" s="9"/>
      <c r="F26" s="9"/>
      <c r="G26" s="17"/>
      <c r="H26" s="17"/>
      <c r="I26" s="9"/>
      <c r="J26" s="9"/>
      <c r="K26" s="10">
        <v>0</v>
      </c>
      <c r="L26" s="10"/>
      <c r="M26" s="11"/>
      <c r="N26" s="12"/>
      <c r="O26" s="13"/>
      <c r="P26" s="14"/>
    </row>
    <row r="27" spans="1:26" x14ac:dyDescent="0.25">
      <c r="A27" s="6"/>
      <c r="B27" s="7"/>
      <c r="C27" s="8"/>
      <c r="D27" s="8"/>
      <c r="E27" s="9"/>
      <c r="F27" s="9"/>
      <c r="G27" s="17"/>
      <c r="H27" s="17"/>
      <c r="I27" s="9"/>
      <c r="J27" s="9"/>
      <c r="K27" s="10">
        <v>0</v>
      </c>
      <c r="L27" s="10"/>
      <c r="M27" s="11"/>
      <c r="N27" s="12"/>
      <c r="O27" s="13"/>
      <c r="P27" s="14"/>
    </row>
    <row r="28" spans="1:26" x14ac:dyDescent="0.25">
      <c r="A28" s="6"/>
      <c r="B28" s="7"/>
      <c r="C28" s="8"/>
      <c r="D28" s="8"/>
      <c r="E28" s="9"/>
      <c r="F28" s="9"/>
      <c r="G28" s="17"/>
      <c r="H28" s="17"/>
      <c r="I28" s="9"/>
      <c r="J28" s="9"/>
      <c r="K28" s="10">
        <v>0</v>
      </c>
      <c r="L28" s="10"/>
      <c r="M28" s="11"/>
      <c r="N28" s="12"/>
      <c r="O28" s="13"/>
      <c r="P28" s="14"/>
    </row>
    <row r="29" spans="1:26" x14ac:dyDescent="0.25">
      <c r="A29" s="6"/>
      <c r="B29" s="7"/>
      <c r="C29" s="8"/>
      <c r="D29" s="8"/>
      <c r="E29" s="9"/>
      <c r="F29" s="9"/>
      <c r="G29" s="17"/>
      <c r="H29" s="17"/>
      <c r="I29" s="9"/>
      <c r="J29" s="9"/>
      <c r="K29" s="10">
        <v>0</v>
      </c>
      <c r="L29" s="10"/>
      <c r="M29" s="11"/>
      <c r="N29" s="12"/>
      <c r="O29" s="13"/>
      <c r="P29" s="14"/>
    </row>
    <row r="30" spans="1:26" x14ac:dyDescent="0.25">
      <c r="A30" s="6"/>
      <c r="B30" s="7"/>
      <c r="C30" s="8"/>
      <c r="D30" s="8"/>
      <c r="E30" s="9"/>
      <c r="F30" s="9"/>
      <c r="G30" s="17"/>
      <c r="H30" s="17"/>
      <c r="I30" s="9"/>
      <c r="J30" s="9"/>
      <c r="K30" s="10">
        <v>0</v>
      </c>
      <c r="L30" s="10"/>
      <c r="M30" s="11"/>
      <c r="N30" s="12"/>
      <c r="O30" s="13"/>
      <c r="P30" s="14"/>
    </row>
    <row r="31" spans="1:26" x14ac:dyDescent="0.25">
      <c r="A31" s="6"/>
      <c r="B31" s="7"/>
      <c r="C31" s="8"/>
      <c r="D31" s="8"/>
      <c r="E31" s="9"/>
      <c r="F31" s="9"/>
      <c r="G31" s="17"/>
      <c r="H31" s="17"/>
      <c r="I31" s="9"/>
      <c r="J31" s="9"/>
      <c r="K31" s="10">
        <v>0</v>
      </c>
      <c r="L31" s="10"/>
      <c r="M31" s="11"/>
      <c r="N31" s="12"/>
      <c r="O31" s="13"/>
      <c r="P31" s="14"/>
      <c r="Y31" s="1">
        <v>4770</v>
      </c>
      <c r="Z31" s="1">
        <v>0.68240343347639487</v>
      </c>
    </row>
    <row r="32" spans="1:26" x14ac:dyDescent="0.25">
      <c r="A32" s="6"/>
      <c r="B32" s="7"/>
      <c r="C32" s="8"/>
      <c r="D32" s="8"/>
      <c r="E32" s="9"/>
      <c r="F32" s="9"/>
      <c r="G32" s="17"/>
      <c r="H32" s="17"/>
      <c r="I32" s="9"/>
      <c r="J32" s="9"/>
      <c r="K32" s="10">
        <v>0</v>
      </c>
      <c r="L32" s="10"/>
      <c r="M32" s="11"/>
      <c r="N32" s="12"/>
      <c r="O32" s="13"/>
      <c r="P32" s="14"/>
      <c r="Y32" s="1">
        <v>2220</v>
      </c>
      <c r="Z32" s="1">
        <v>0.31759656652360513</v>
      </c>
    </row>
    <row r="33" spans="1:26" x14ac:dyDescent="0.25">
      <c r="A33" s="6"/>
      <c r="B33" s="7"/>
      <c r="C33" s="8"/>
      <c r="D33" s="8"/>
      <c r="E33" s="9"/>
      <c r="F33" s="9"/>
      <c r="G33" s="17"/>
      <c r="H33" s="17"/>
      <c r="I33" s="9"/>
      <c r="J33" s="9"/>
      <c r="K33" s="10">
        <v>0</v>
      </c>
      <c r="L33" s="10"/>
      <c r="M33" s="11"/>
      <c r="N33" s="12"/>
      <c r="O33" s="13"/>
      <c r="P33" s="14"/>
      <c r="Y33" s="1">
        <v>6990</v>
      </c>
      <c r="Z33" s="1">
        <v>-565</v>
      </c>
    </row>
    <row r="34" spans="1:26" x14ac:dyDescent="0.25">
      <c r="A34" s="6"/>
      <c r="B34" s="7"/>
      <c r="C34" s="8"/>
      <c r="D34" s="8"/>
      <c r="E34" s="9"/>
      <c r="F34" s="9"/>
      <c r="G34" s="17"/>
      <c r="H34" s="17"/>
      <c r="I34" s="9"/>
      <c r="J34" s="9"/>
      <c r="K34" s="10">
        <v>0</v>
      </c>
      <c r="L34" s="10"/>
      <c r="M34" s="11"/>
      <c r="N34" s="12"/>
      <c r="O34" s="13"/>
      <c r="P34" s="14"/>
      <c r="Y34" s="1">
        <v>7555</v>
      </c>
    </row>
    <row r="35" spans="1:26" x14ac:dyDescent="0.25">
      <c r="A35" s="6"/>
      <c r="B35" s="7"/>
      <c r="C35" s="8"/>
      <c r="D35" s="8"/>
      <c r="E35" s="9"/>
      <c r="F35" s="9"/>
      <c r="G35" s="17"/>
      <c r="H35" s="17"/>
      <c r="I35" s="9"/>
      <c r="J35" s="9"/>
      <c r="K35" s="10">
        <v>0</v>
      </c>
      <c r="L35" s="10"/>
      <c r="M35" s="11"/>
      <c r="N35" s="12"/>
      <c r="O35" s="13"/>
      <c r="P35" s="14"/>
    </row>
    <row r="36" spans="1:26" x14ac:dyDescent="0.25">
      <c r="A36" s="6"/>
      <c r="B36" s="7"/>
      <c r="C36" s="8"/>
      <c r="D36" s="8"/>
      <c r="E36" s="9"/>
      <c r="F36" s="9"/>
      <c r="G36" s="17"/>
      <c r="H36" s="17"/>
      <c r="I36" s="9"/>
      <c r="J36" s="9"/>
      <c r="K36" s="10">
        <v>0</v>
      </c>
      <c r="L36" s="10"/>
      <c r="M36" s="11"/>
      <c r="N36" s="12"/>
      <c r="O36" s="13"/>
      <c r="P36" s="14"/>
    </row>
    <row r="37" spans="1:26" x14ac:dyDescent="0.25">
      <c r="A37" s="6"/>
      <c r="B37" s="7"/>
      <c r="C37" s="8"/>
      <c r="D37" s="8"/>
      <c r="E37" s="9"/>
      <c r="F37" s="9"/>
      <c r="G37" s="17"/>
      <c r="H37" s="17"/>
      <c r="I37" s="9"/>
      <c r="J37" s="9"/>
      <c r="K37" s="10">
        <v>0</v>
      </c>
      <c r="L37" s="10"/>
      <c r="M37" s="11"/>
      <c r="N37" s="12"/>
      <c r="O37" s="13"/>
      <c r="P37" s="14"/>
    </row>
    <row r="38" spans="1:26" x14ac:dyDescent="0.25">
      <c r="A38" s="6"/>
      <c r="B38" s="7"/>
      <c r="C38" s="8"/>
      <c r="D38" s="8"/>
      <c r="E38" s="9"/>
      <c r="F38" s="9"/>
      <c r="G38" s="17"/>
      <c r="H38" s="17"/>
      <c r="I38" s="9"/>
      <c r="J38" s="9"/>
      <c r="K38" s="10">
        <v>0</v>
      </c>
      <c r="L38" s="10"/>
      <c r="M38" s="11"/>
      <c r="N38" s="12"/>
      <c r="O38" s="13"/>
      <c r="P38" s="14"/>
    </row>
    <row r="39" spans="1:26" x14ac:dyDescent="0.25">
      <c r="A39" s="6"/>
      <c r="B39" s="7"/>
      <c r="C39" s="8"/>
      <c r="D39" s="8"/>
      <c r="E39" s="9"/>
      <c r="F39" s="9"/>
      <c r="G39" s="17"/>
      <c r="H39" s="17"/>
      <c r="I39" s="9"/>
      <c r="J39" s="9"/>
      <c r="K39" s="10">
        <v>0</v>
      </c>
      <c r="L39" s="10"/>
      <c r="M39" s="11"/>
      <c r="N39" s="12"/>
      <c r="O39" s="13"/>
      <c r="P39" s="14"/>
    </row>
    <row r="40" spans="1:26" x14ac:dyDescent="0.25">
      <c r="A40" s="6"/>
      <c r="B40" s="15"/>
      <c r="C40" s="16"/>
      <c r="D40" s="8"/>
      <c r="E40" s="9"/>
      <c r="F40" s="9"/>
      <c r="G40" s="17"/>
      <c r="H40" s="17"/>
      <c r="I40" s="9"/>
      <c r="J40" s="9"/>
      <c r="K40" s="10">
        <v>0</v>
      </c>
      <c r="L40" s="10"/>
      <c r="M40" s="11"/>
      <c r="N40" s="12"/>
      <c r="O40" s="13"/>
      <c r="P40" s="14"/>
    </row>
    <row r="41" spans="1:26" x14ac:dyDescent="0.25">
      <c r="A41" s="6"/>
      <c r="B41" s="7"/>
      <c r="C41" s="8"/>
      <c r="D41" s="8"/>
      <c r="E41" s="9"/>
      <c r="F41" s="9"/>
      <c r="G41" s="17"/>
      <c r="H41" s="17"/>
      <c r="I41" s="9"/>
      <c r="J41" s="9"/>
      <c r="K41" s="10">
        <v>0</v>
      </c>
      <c r="L41" s="10"/>
      <c r="M41" s="11"/>
      <c r="N41" s="12"/>
      <c r="O41" s="13"/>
      <c r="P41" s="14"/>
    </row>
    <row r="42" spans="1:26" x14ac:dyDescent="0.25">
      <c r="A42" s="6"/>
      <c r="B42" s="7"/>
      <c r="C42" s="8"/>
      <c r="D42" s="8"/>
      <c r="E42" s="9"/>
      <c r="F42" s="9"/>
      <c r="G42" s="17"/>
      <c r="H42" s="17"/>
      <c r="I42" s="9"/>
      <c r="J42" s="9"/>
      <c r="K42" s="10">
        <v>0</v>
      </c>
      <c r="L42" s="10"/>
      <c r="M42" s="11"/>
      <c r="N42" s="12"/>
      <c r="O42" s="13"/>
      <c r="P42" s="14"/>
    </row>
    <row r="43" spans="1:26" x14ac:dyDescent="0.25">
      <c r="A43" s="6"/>
      <c r="B43" s="7"/>
      <c r="C43" s="8"/>
      <c r="D43" s="8"/>
      <c r="E43" s="9"/>
      <c r="F43" s="9"/>
      <c r="G43" s="17"/>
      <c r="H43" s="17"/>
      <c r="I43" s="9"/>
      <c r="J43" s="9"/>
      <c r="K43" s="10">
        <v>0</v>
      </c>
      <c r="L43" s="10"/>
      <c r="M43" s="11"/>
      <c r="N43" s="12"/>
      <c r="O43" s="13"/>
      <c r="P43" s="14"/>
    </row>
    <row r="44" spans="1:26" x14ac:dyDescent="0.25">
      <c r="A44" s="6"/>
      <c r="B44" s="7"/>
      <c r="C44" s="8"/>
      <c r="D44" s="8"/>
      <c r="E44" s="9"/>
      <c r="F44" s="9"/>
      <c r="G44" s="17"/>
      <c r="H44" s="17"/>
      <c r="I44" s="9"/>
      <c r="J44" s="9"/>
      <c r="K44" s="10">
        <v>0</v>
      </c>
      <c r="L44" s="10"/>
      <c r="M44" s="11"/>
      <c r="N44" s="12"/>
      <c r="O44" s="13"/>
      <c r="P44" s="14"/>
    </row>
    <row r="45" spans="1:26" x14ac:dyDescent="0.25">
      <c r="A45" s="6"/>
      <c r="B45" s="7"/>
      <c r="C45" s="8"/>
      <c r="D45" s="8"/>
      <c r="E45" s="9"/>
      <c r="F45" s="9"/>
      <c r="G45" s="17"/>
      <c r="H45" s="17"/>
      <c r="I45" s="9"/>
      <c r="J45" s="9"/>
      <c r="K45" s="10">
        <v>0</v>
      </c>
      <c r="L45" s="10"/>
      <c r="M45" s="11"/>
      <c r="N45" s="12"/>
      <c r="O45" s="13"/>
      <c r="P45" s="14"/>
    </row>
    <row r="46" spans="1:26" x14ac:dyDescent="0.25">
      <c r="A46" s="6"/>
      <c r="B46" s="7"/>
      <c r="C46" s="8"/>
      <c r="D46" s="8"/>
      <c r="E46" s="9"/>
      <c r="F46" s="9"/>
      <c r="G46" s="17"/>
      <c r="H46" s="17"/>
      <c r="I46" s="9"/>
      <c r="J46" s="9"/>
      <c r="K46" s="10">
        <v>0</v>
      </c>
      <c r="L46" s="10"/>
      <c r="M46" s="11"/>
      <c r="N46" s="12"/>
      <c r="O46" s="13"/>
      <c r="P46" s="14"/>
    </row>
    <row r="47" spans="1:26" x14ac:dyDescent="0.25">
      <c r="A47" s="6"/>
      <c r="B47" s="7"/>
      <c r="C47" s="8"/>
      <c r="D47" s="8"/>
      <c r="E47" s="9"/>
      <c r="F47" s="9"/>
      <c r="G47" s="17"/>
      <c r="H47" s="17"/>
      <c r="I47" s="9"/>
      <c r="J47" s="9"/>
      <c r="K47" s="10">
        <v>0</v>
      </c>
      <c r="L47" s="10"/>
      <c r="M47" s="11"/>
      <c r="N47" s="12"/>
      <c r="O47" s="13"/>
      <c r="P47" s="14"/>
    </row>
    <row r="48" spans="1:26" x14ac:dyDescent="0.25">
      <c r="A48" s="6"/>
      <c r="B48" s="7"/>
      <c r="C48" s="8"/>
      <c r="D48" s="8"/>
      <c r="E48" s="9"/>
      <c r="F48" s="9"/>
      <c r="G48" s="17"/>
      <c r="H48" s="17"/>
      <c r="I48" s="9"/>
      <c r="J48" s="9"/>
      <c r="K48" s="10">
        <v>0</v>
      </c>
      <c r="L48" s="10"/>
      <c r="M48" s="11"/>
      <c r="N48" s="12"/>
      <c r="O48" s="13"/>
      <c r="P48" s="14"/>
    </row>
    <row r="49" spans="1:17" x14ac:dyDescent="0.25">
      <c r="A49" s="6"/>
      <c r="B49" s="7"/>
      <c r="C49" s="8"/>
      <c r="D49" s="8"/>
      <c r="E49" s="9"/>
      <c r="F49" s="9"/>
      <c r="G49" s="17"/>
      <c r="H49" s="17"/>
      <c r="I49" s="9"/>
      <c r="J49" s="9"/>
      <c r="K49" s="10">
        <v>0</v>
      </c>
      <c r="L49" s="10"/>
      <c r="M49" s="11"/>
      <c r="N49" s="12"/>
      <c r="O49" s="13"/>
      <c r="P49" s="14"/>
    </row>
    <row r="50" spans="1:17" x14ac:dyDescent="0.25">
      <c r="A50" s="6"/>
      <c r="B50" s="7"/>
      <c r="C50" s="8"/>
      <c r="D50" s="8"/>
      <c r="E50" s="9"/>
      <c r="F50" s="9"/>
      <c r="G50" s="17"/>
      <c r="H50" s="17"/>
      <c r="I50" s="9"/>
      <c r="J50" s="9"/>
      <c r="K50" s="10">
        <v>0</v>
      </c>
      <c r="L50" s="10"/>
      <c r="M50" s="11"/>
      <c r="N50" s="12"/>
      <c r="O50" s="13"/>
      <c r="P50" s="14"/>
    </row>
    <row r="51" spans="1:17" x14ac:dyDescent="0.25">
      <c r="A51" s="6"/>
      <c r="B51" s="7"/>
      <c r="C51" s="8"/>
      <c r="D51" s="8"/>
      <c r="E51" s="9"/>
      <c r="F51" s="9"/>
      <c r="G51" s="17"/>
      <c r="H51" s="17"/>
      <c r="I51" s="9"/>
      <c r="J51" s="9"/>
      <c r="K51" s="10">
        <v>0</v>
      </c>
      <c r="L51" s="10"/>
      <c r="M51" s="11"/>
      <c r="N51" s="12"/>
      <c r="O51" s="13"/>
      <c r="P51" s="14"/>
    </row>
    <row r="52" spans="1:17" x14ac:dyDescent="0.25">
      <c r="A52" s="6"/>
      <c r="B52" s="7"/>
      <c r="C52" s="8"/>
      <c r="D52" s="8"/>
      <c r="E52" s="9"/>
      <c r="F52" s="9"/>
      <c r="G52" s="17"/>
      <c r="H52" s="17"/>
      <c r="I52" s="9"/>
      <c r="J52" s="9"/>
      <c r="K52" s="10">
        <v>0</v>
      </c>
      <c r="L52" s="10"/>
      <c r="M52" s="11"/>
      <c r="N52" s="12"/>
      <c r="O52" s="13"/>
      <c r="P52" s="14"/>
    </row>
    <row r="53" spans="1:17" x14ac:dyDescent="0.25">
      <c r="A53" s="6"/>
      <c r="B53" s="7"/>
      <c r="C53" s="8"/>
      <c r="D53" s="8"/>
      <c r="E53" s="9"/>
      <c r="F53" s="9"/>
      <c r="G53" s="17"/>
      <c r="H53" s="17"/>
      <c r="I53" s="9"/>
      <c r="J53" s="9"/>
      <c r="K53" s="10">
        <v>0</v>
      </c>
      <c r="L53" s="10"/>
      <c r="M53" s="11"/>
      <c r="N53" s="12"/>
      <c r="O53" s="13"/>
      <c r="P53" s="14"/>
    </row>
    <row r="54" spans="1:17" x14ac:dyDescent="0.25">
      <c r="A54" s="6"/>
      <c r="B54" s="7"/>
      <c r="C54" s="16"/>
      <c r="D54" s="8"/>
      <c r="E54" s="9"/>
      <c r="F54" s="9"/>
      <c r="G54" s="17"/>
      <c r="H54" s="17"/>
      <c r="I54" s="9"/>
      <c r="J54" s="9"/>
      <c r="K54" s="10">
        <v>0</v>
      </c>
      <c r="L54" s="10"/>
      <c r="M54" s="11"/>
      <c r="N54" s="12"/>
      <c r="O54" s="13"/>
      <c r="P54" s="14"/>
    </row>
    <row r="55" spans="1:17" x14ac:dyDescent="0.25">
      <c r="A55" s="6"/>
      <c r="B55" s="7"/>
      <c r="C55" s="8"/>
      <c r="D55" s="8"/>
      <c r="E55" s="9"/>
      <c r="F55" s="9"/>
      <c r="G55" s="17"/>
      <c r="H55" s="17"/>
      <c r="I55" s="9"/>
      <c r="J55" s="9"/>
      <c r="K55" s="10">
        <v>0</v>
      </c>
      <c r="L55" s="10"/>
      <c r="M55" s="11"/>
      <c r="N55" s="12"/>
      <c r="O55" s="13"/>
      <c r="P55" s="14"/>
    </row>
    <row r="56" spans="1:17" x14ac:dyDescent="0.25">
      <c r="A56" s="6"/>
      <c r="B56" s="7"/>
      <c r="C56" s="8"/>
      <c r="D56" s="8"/>
      <c r="E56" s="9"/>
      <c r="F56" s="9"/>
      <c r="G56" s="17"/>
      <c r="H56" s="17"/>
      <c r="I56" s="9"/>
      <c r="J56" s="9"/>
      <c r="K56" s="10">
        <v>0</v>
      </c>
      <c r="L56" s="10"/>
      <c r="M56" s="11"/>
      <c r="N56" s="12"/>
      <c r="O56" s="13"/>
      <c r="P56" s="14"/>
    </row>
    <row r="57" spans="1:17" x14ac:dyDescent="0.25">
      <c r="A57" s="6"/>
      <c r="B57" s="7"/>
      <c r="C57" s="8"/>
      <c r="D57" s="8"/>
      <c r="E57" s="9"/>
      <c r="F57" s="9"/>
      <c r="G57" s="17"/>
      <c r="H57" s="17"/>
      <c r="I57" s="9"/>
      <c r="J57" s="9"/>
      <c r="K57" s="10">
        <v>0</v>
      </c>
      <c r="L57" s="10"/>
      <c r="M57" s="11"/>
      <c r="N57" s="12"/>
      <c r="O57" s="13"/>
      <c r="P57" s="14"/>
    </row>
    <row r="58" spans="1:17" x14ac:dyDescent="0.25">
      <c r="A58" s="6"/>
      <c r="B58" s="7"/>
      <c r="C58" s="8"/>
      <c r="D58" s="8"/>
      <c r="E58" s="9"/>
      <c r="F58" s="9"/>
      <c r="G58" s="17"/>
      <c r="H58" s="17"/>
      <c r="I58" s="9"/>
      <c r="J58" s="9"/>
      <c r="K58" s="10">
        <v>0</v>
      </c>
      <c r="L58" s="10"/>
      <c r="M58" s="11"/>
      <c r="N58" s="12"/>
      <c r="O58" s="13"/>
      <c r="P58" s="14"/>
    </row>
    <row r="59" spans="1:17" x14ac:dyDescent="0.25">
      <c r="A59" s="6"/>
      <c r="B59" s="7"/>
      <c r="C59" s="8"/>
      <c r="D59" s="8"/>
      <c r="E59" s="9"/>
      <c r="F59" s="9"/>
      <c r="G59" s="17"/>
      <c r="H59" s="17"/>
      <c r="I59" s="9"/>
      <c r="J59" s="9"/>
      <c r="K59" s="10">
        <v>0</v>
      </c>
      <c r="L59" s="10"/>
      <c r="M59" s="11"/>
      <c r="N59" s="12"/>
      <c r="O59" s="13"/>
      <c r="P59" s="14"/>
    </row>
    <row r="60" spans="1:17" x14ac:dyDescent="0.25">
      <c r="A60" s="6"/>
      <c r="B60" s="7"/>
      <c r="C60" s="8"/>
      <c r="D60" s="8"/>
      <c r="E60" s="9"/>
      <c r="F60" s="9"/>
      <c r="G60" s="17"/>
      <c r="H60" s="17"/>
      <c r="I60" s="9"/>
      <c r="J60" s="9"/>
      <c r="K60" s="10">
        <v>0</v>
      </c>
      <c r="L60" s="10"/>
      <c r="M60" s="11"/>
      <c r="N60" s="12"/>
      <c r="O60" s="13"/>
      <c r="P60" s="14"/>
    </row>
    <row r="61" spans="1:17" x14ac:dyDescent="0.25">
      <c r="A61" s="6"/>
      <c r="B61" s="7"/>
      <c r="C61" s="8"/>
      <c r="D61" s="8"/>
      <c r="E61" s="9"/>
      <c r="F61" s="9"/>
      <c r="G61" s="17"/>
      <c r="H61" s="17"/>
      <c r="I61" s="9"/>
      <c r="J61" s="9"/>
      <c r="K61" s="10">
        <v>0</v>
      </c>
      <c r="L61" s="10"/>
      <c r="M61" s="11"/>
      <c r="N61" s="12"/>
      <c r="O61" s="13"/>
      <c r="P61" s="14"/>
    </row>
    <row r="62" spans="1:17" x14ac:dyDescent="0.25">
      <c r="A62" s="6"/>
      <c r="B62" s="7"/>
      <c r="C62" s="8"/>
      <c r="D62" s="8"/>
      <c r="E62" s="9"/>
      <c r="F62" s="9"/>
      <c r="G62" s="17"/>
      <c r="H62" s="17"/>
      <c r="I62" s="9"/>
      <c r="J62" s="9"/>
      <c r="K62" s="10">
        <v>0</v>
      </c>
      <c r="L62" s="10"/>
      <c r="M62" s="11"/>
      <c r="N62" s="12"/>
      <c r="O62" s="13"/>
      <c r="P62" s="14"/>
    </row>
    <row r="63" spans="1:17" x14ac:dyDescent="0.25">
      <c r="A63" s="6"/>
      <c r="B63" s="7"/>
      <c r="C63" s="8"/>
      <c r="D63" s="8"/>
      <c r="E63" s="9"/>
      <c r="F63" s="9"/>
      <c r="G63" s="17"/>
      <c r="H63" s="17"/>
      <c r="I63" s="9"/>
      <c r="J63" s="9"/>
      <c r="K63" s="10">
        <v>0</v>
      </c>
      <c r="L63" s="10"/>
      <c r="M63" s="11"/>
      <c r="N63" s="12"/>
      <c r="O63" s="13"/>
      <c r="P63" s="14"/>
      <c r="Q63" s="2"/>
    </row>
    <row r="64" spans="1:17" x14ac:dyDescent="0.25">
      <c r="A64" s="6"/>
      <c r="B64" s="7"/>
      <c r="C64" s="8"/>
      <c r="D64" s="8"/>
      <c r="E64" s="9"/>
      <c r="F64" s="9"/>
      <c r="G64" s="17"/>
      <c r="H64" s="17"/>
      <c r="I64" s="9"/>
      <c r="J64" s="9"/>
      <c r="K64" s="10">
        <v>0</v>
      </c>
      <c r="L64" s="10"/>
      <c r="M64" s="11"/>
      <c r="N64" s="12"/>
      <c r="O64" s="13"/>
      <c r="P64" s="14"/>
    </row>
    <row r="65" spans="1:18" x14ac:dyDescent="0.25">
      <c r="A65" s="6"/>
      <c r="B65" s="7"/>
      <c r="C65" s="8"/>
      <c r="D65" s="8"/>
      <c r="E65" s="9"/>
      <c r="F65" s="9"/>
      <c r="G65" s="17"/>
      <c r="H65" s="17"/>
      <c r="I65" s="9"/>
      <c r="J65" s="9"/>
      <c r="K65" s="10">
        <v>0</v>
      </c>
      <c r="L65" s="10"/>
      <c r="M65" s="11"/>
      <c r="N65" s="12"/>
      <c r="O65" s="13"/>
      <c r="P65" s="14"/>
    </row>
    <row r="66" spans="1:18" x14ac:dyDescent="0.25">
      <c r="A66" s="6"/>
      <c r="B66" s="7"/>
      <c r="C66" s="8"/>
      <c r="D66" s="8"/>
      <c r="E66" s="9"/>
      <c r="F66" s="9"/>
      <c r="G66" s="17"/>
      <c r="H66" s="17"/>
      <c r="I66" s="9"/>
      <c r="J66" s="9"/>
      <c r="K66" s="10">
        <v>0</v>
      </c>
      <c r="L66" s="10"/>
      <c r="M66" s="11"/>
      <c r="N66" s="12"/>
      <c r="O66" s="13"/>
      <c r="P66" s="14"/>
    </row>
    <row r="67" spans="1:18" x14ac:dyDescent="0.25">
      <c r="A67" s="6"/>
      <c r="B67" s="7"/>
      <c r="C67" s="8"/>
      <c r="D67" s="8"/>
      <c r="E67" s="9"/>
      <c r="F67" s="9"/>
      <c r="G67" s="17"/>
      <c r="H67" s="17"/>
      <c r="I67" s="9"/>
      <c r="J67" s="9"/>
      <c r="K67" s="10">
        <v>0</v>
      </c>
      <c r="L67" s="10"/>
      <c r="M67" s="11"/>
      <c r="N67" s="12"/>
      <c r="O67" s="13"/>
      <c r="P67" s="14"/>
      <c r="Q67" s="2"/>
    </row>
    <row r="68" spans="1:18" x14ac:dyDescent="0.25">
      <c r="A68" s="6"/>
      <c r="B68" s="7"/>
      <c r="C68" s="8"/>
      <c r="D68" s="8"/>
      <c r="E68" s="9"/>
      <c r="F68" s="9"/>
      <c r="G68" s="17"/>
      <c r="H68" s="17"/>
      <c r="I68" s="9"/>
      <c r="J68" s="9"/>
      <c r="K68" s="10">
        <v>0</v>
      </c>
      <c r="L68" s="10"/>
      <c r="M68" s="11"/>
      <c r="N68" s="12"/>
      <c r="O68" s="13"/>
      <c r="P68" s="14"/>
    </row>
    <row r="69" spans="1:18" x14ac:dyDescent="0.25">
      <c r="A69" s="6"/>
      <c r="B69" s="15"/>
      <c r="C69" s="16"/>
      <c r="D69" s="8"/>
      <c r="E69" s="9"/>
      <c r="F69" s="9"/>
      <c r="G69" s="17"/>
      <c r="H69" s="17"/>
      <c r="I69" s="9"/>
      <c r="J69" s="9"/>
      <c r="K69" s="10">
        <v>0</v>
      </c>
      <c r="L69" s="10"/>
      <c r="M69" s="11"/>
      <c r="N69" s="12"/>
      <c r="O69" s="13"/>
      <c r="P69" s="14"/>
    </row>
    <row r="70" spans="1:18" x14ac:dyDescent="0.25">
      <c r="A70" s="6"/>
      <c r="B70" s="7"/>
      <c r="C70" s="8"/>
      <c r="D70" s="8"/>
      <c r="E70" s="9"/>
      <c r="F70" s="9"/>
      <c r="G70" s="17"/>
      <c r="H70" s="17"/>
      <c r="I70" s="9"/>
      <c r="J70" s="9"/>
      <c r="K70" s="10">
        <v>0</v>
      </c>
      <c r="L70" s="10"/>
      <c r="M70" s="11"/>
      <c r="N70" s="12"/>
      <c r="O70" s="13"/>
      <c r="P70" s="14"/>
    </row>
    <row r="71" spans="1:18" x14ac:dyDescent="0.25">
      <c r="A71" s="6"/>
      <c r="B71" s="7"/>
      <c r="C71" s="8"/>
      <c r="D71" s="8"/>
      <c r="E71" s="9"/>
      <c r="F71" s="9"/>
      <c r="G71" s="17"/>
      <c r="H71" s="17"/>
      <c r="I71" s="9"/>
      <c r="J71" s="9"/>
      <c r="K71" s="10">
        <v>0</v>
      </c>
      <c r="L71" s="10"/>
      <c r="M71" s="11"/>
      <c r="N71" s="12"/>
      <c r="O71" s="13"/>
      <c r="P71" s="14"/>
    </row>
    <row r="72" spans="1:18" x14ac:dyDescent="0.25">
      <c r="A72" s="6"/>
      <c r="B72" s="7"/>
      <c r="C72" s="8"/>
      <c r="D72" s="8"/>
      <c r="E72" s="9"/>
      <c r="F72" s="9"/>
      <c r="G72" s="17"/>
      <c r="H72" s="17"/>
      <c r="I72" s="9"/>
      <c r="J72" s="9"/>
      <c r="K72" s="10">
        <v>0</v>
      </c>
      <c r="L72" s="10"/>
      <c r="M72" s="11"/>
      <c r="N72" s="12"/>
      <c r="O72" s="13"/>
      <c r="P72" s="14"/>
    </row>
    <row r="73" spans="1:18" x14ac:dyDescent="0.25">
      <c r="A73" s="6"/>
      <c r="B73" s="7"/>
      <c r="C73" s="8"/>
      <c r="D73" s="8"/>
      <c r="E73" s="9"/>
      <c r="F73" s="9"/>
      <c r="G73" s="17"/>
      <c r="H73" s="17"/>
      <c r="I73" s="9"/>
      <c r="J73" s="9"/>
      <c r="K73" s="10">
        <v>0</v>
      </c>
      <c r="L73" s="10"/>
      <c r="M73" s="11"/>
      <c r="N73" s="12"/>
      <c r="O73" s="13"/>
      <c r="P73" s="14"/>
    </row>
    <row r="74" spans="1:18" x14ac:dyDescent="0.25">
      <c r="A74" s="6"/>
      <c r="B74" s="7"/>
      <c r="C74" s="8"/>
      <c r="D74" s="8"/>
      <c r="E74" s="9"/>
      <c r="F74" s="9"/>
      <c r="G74" s="17"/>
      <c r="H74" s="17"/>
      <c r="I74" s="9"/>
      <c r="J74" s="9"/>
      <c r="K74" s="10">
        <v>0</v>
      </c>
      <c r="L74" s="10"/>
      <c r="M74" s="11"/>
      <c r="N74" s="12"/>
      <c r="O74" s="13"/>
      <c r="P74" s="14"/>
    </row>
    <row r="75" spans="1:18" x14ac:dyDescent="0.25">
      <c r="A75" s="6"/>
      <c r="B75" s="7"/>
      <c r="C75" s="8"/>
      <c r="D75" s="8"/>
      <c r="E75" s="9"/>
      <c r="F75" s="9"/>
      <c r="G75" s="17"/>
      <c r="H75" s="17"/>
      <c r="I75" s="9"/>
      <c r="J75" s="9"/>
      <c r="K75" s="10">
        <v>0</v>
      </c>
      <c r="L75" s="10"/>
      <c r="M75" s="11"/>
      <c r="N75" s="12"/>
      <c r="O75" s="13"/>
      <c r="P75" s="14"/>
    </row>
    <row r="76" spans="1:18" x14ac:dyDescent="0.25">
      <c r="A76" s="6"/>
      <c r="B76" s="7"/>
      <c r="C76" s="8"/>
      <c r="D76" s="8"/>
      <c r="E76" s="9"/>
      <c r="F76" s="9"/>
      <c r="G76" s="17"/>
      <c r="H76" s="17"/>
      <c r="I76" s="9"/>
      <c r="J76" s="9"/>
      <c r="K76" s="10">
        <v>0</v>
      </c>
      <c r="L76" s="10"/>
      <c r="M76" s="11"/>
      <c r="N76" s="12"/>
      <c r="O76" s="13"/>
      <c r="P76" s="14"/>
    </row>
    <row r="77" spans="1:18" x14ac:dyDescent="0.25">
      <c r="A77" s="6"/>
      <c r="B77" s="7"/>
      <c r="C77" s="8"/>
      <c r="D77" s="8"/>
      <c r="E77" s="9"/>
      <c r="F77" s="9"/>
      <c r="G77" s="17"/>
      <c r="H77" s="17"/>
      <c r="I77" s="9"/>
      <c r="J77" s="9"/>
      <c r="K77" s="10">
        <v>0</v>
      </c>
      <c r="L77" s="10"/>
      <c r="M77" s="11"/>
      <c r="N77" s="12"/>
      <c r="O77" s="13"/>
      <c r="P77" s="14"/>
      <c r="R77" s="18"/>
    </row>
    <row r="78" spans="1:18" x14ac:dyDescent="0.25">
      <c r="A78" s="6"/>
      <c r="B78" s="7"/>
      <c r="C78" s="8"/>
      <c r="D78" s="8"/>
      <c r="E78" s="9"/>
      <c r="F78" s="9"/>
      <c r="G78" s="17"/>
      <c r="H78" s="17"/>
      <c r="I78" s="9"/>
      <c r="J78" s="9"/>
      <c r="K78" s="10">
        <v>0</v>
      </c>
      <c r="L78" s="10"/>
      <c r="M78" s="11"/>
      <c r="N78" s="12"/>
      <c r="O78" s="13"/>
      <c r="P78" s="14"/>
    </row>
    <row r="79" spans="1:18" x14ac:dyDescent="0.25">
      <c r="A79" s="6"/>
      <c r="B79" s="7"/>
      <c r="C79" s="8"/>
      <c r="D79" s="8"/>
      <c r="E79" s="9"/>
      <c r="F79" s="9"/>
      <c r="G79" s="17"/>
      <c r="H79" s="17"/>
      <c r="I79" s="9"/>
      <c r="J79" s="9"/>
      <c r="K79" s="10">
        <v>0</v>
      </c>
      <c r="L79" s="10"/>
      <c r="M79" s="11"/>
      <c r="N79" s="12"/>
      <c r="O79" s="13"/>
      <c r="P79" s="14"/>
    </row>
    <row r="80" spans="1:18" x14ac:dyDescent="0.25">
      <c r="A80" s="6"/>
      <c r="B80" s="7"/>
      <c r="C80" s="8"/>
      <c r="D80" s="8"/>
      <c r="E80" s="9"/>
      <c r="F80" s="9"/>
      <c r="G80" s="17"/>
      <c r="H80" s="17"/>
      <c r="I80" s="9"/>
      <c r="J80" s="9"/>
      <c r="K80" s="10">
        <v>0</v>
      </c>
      <c r="L80" s="10"/>
      <c r="M80" s="11"/>
      <c r="N80" s="12"/>
      <c r="O80" s="13"/>
      <c r="P80" s="14"/>
    </row>
    <row r="81" spans="1:17" x14ac:dyDescent="0.25">
      <c r="A81" s="6"/>
      <c r="B81" s="7"/>
      <c r="C81" s="8"/>
      <c r="D81" s="8"/>
      <c r="E81" s="9"/>
      <c r="F81" s="9"/>
      <c r="G81" s="17"/>
      <c r="H81" s="17"/>
      <c r="I81" s="9"/>
      <c r="J81" s="9"/>
      <c r="K81" s="10">
        <v>0</v>
      </c>
      <c r="L81" s="10"/>
      <c r="M81" s="11"/>
      <c r="N81" s="12"/>
      <c r="O81" s="13"/>
      <c r="P81" s="14"/>
    </row>
    <row r="82" spans="1:17" x14ac:dyDescent="0.25">
      <c r="A82" s="6"/>
      <c r="B82" s="7"/>
      <c r="C82" s="8"/>
      <c r="D82" s="8"/>
      <c r="E82" s="9"/>
      <c r="F82" s="9"/>
      <c r="G82" s="17"/>
      <c r="H82" s="17"/>
      <c r="I82" s="9"/>
      <c r="J82" s="9"/>
      <c r="K82" s="10">
        <v>0</v>
      </c>
      <c r="L82" s="10"/>
      <c r="M82" s="11"/>
      <c r="N82" s="12"/>
      <c r="O82" s="13"/>
      <c r="P82" s="14"/>
    </row>
    <row r="83" spans="1:17" x14ac:dyDescent="0.25">
      <c r="A83" s="6"/>
      <c r="B83" s="7"/>
      <c r="C83" s="8"/>
      <c r="D83" s="8"/>
      <c r="E83" s="9"/>
      <c r="F83" s="9"/>
      <c r="G83" s="17"/>
      <c r="H83" s="17"/>
      <c r="I83" s="9"/>
      <c r="J83" s="9"/>
      <c r="K83" s="10">
        <v>0</v>
      </c>
      <c r="L83" s="10"/>
      <c r="M83" s="11"/>
      <c r="N83" s="12"/>
      <c r="O83" s="13"/>
      <c r="P83" s="14"/>
    </row>
    <row r="84" spans="1:17" x14ac:dyDescent="0.25">
      <c r="A84" s="6"/>
      <c r="B84" s="7"/>
      <c r="C84" s="8"/>
      <c r="D84" s="8"/>
      <c r="E84" s="9"/>
      <c r="F84" s="9"/>
      <c r="G84" s="17"/>
      <c r="H84" s="17"/>
      <c r="I84" s="9"/>
      <c r="J84" s="9"/>
      <c r="K84" s="10">
        <v>0</v>
      </c>
      <c r="L84" s="10"/>
      <c r="M84" s="11"/>
      <c r="N84" s="12"/>
      <c r="O84" s="13"/>
      <c r="P84" s="14"/>
    </row>
    <row r="85" spans="1:17" x14ac:dyDescent="0.25">
      <c r="A85" s="6"/>
      <c r="B85" s="7"/>
      <c r="C85" s="8"/>
      <c r="D85" s="8"/>
      <c r="E85" s="9"/>
      <c r="F85" s="9"/>
      <c r="G85" s="17"/>
      <c r="H85" s="17"/>
      <c r="I85" s="9"/>
      <c r="J85" s="9"/>
      <c r="K85" s="10">
        <v>0</v>
      </c>
      <c r="L85" s="10"/>
      <c r="M85" s="11"/>
      <c r="N85" s="12"/>
      <c r="O85" s="13"/>
      <c r="P85" s="14"/>
    </row>
    <row r="86" spans="1:17" x14ac:dyDescent="0.25">
      <c r="A86" s="6"/>
      <c r="B86" s="7"/>
      <c r="C86" s="8"/>
      <c r="D86" s="8"/>
      <c r="E86" s="9"/>
      <c r="F86" s="9"/>
      <c r="G86" s="17"/>
      <c r="H86" s="17"/>
      <c r="I86" s="9"/>
      <c r="J86" s="9"/>
      <c r="K86" s="10">
        <v>0</v>
      </c>
      <c r="L86" s="10"/>
      <c r="M86" s="11"/>
      <c r="N86" s="12"/>
      <c r="O86" s="13"/>
      <c r="P86" s="14"/>
    </row>
    <row r="87" spans="1:17" x14ac:dyDescent="0.25">
      <c r="A87" s="6"/>
      <c r="B87" s="7"/>
      <c r="C87" s="8"/>
      <c r="D87" s="8"/>
      <c r="E87" s="9"/>
      <c r="F87" s="9"/>
      <c r="G87" s="17"/>
      <c r="H87" s="17"/>
      <c r="I87" s="9"/>
      <c r="J87" s="9"/>
      <c r="K87" s="10">
        <v>0</v>
      </c>
      <c r="L87" s="10"/>
      <c r="M87" s="11"/>
      <c r="N87" s="12"/>
      <c r="O87" s="13"/>
      <c r="P87" s="14"/>
    </row>
    <row r="88" spans="1:17" x14ac:dyDescent="0.25">
      <c r="A88" s="6"/>
      <c r="B88" s="7"/>
      <c r="C88" s="8"/>
      <c r="D88" s="8"/>
      <c r="E88" s="9"/>
      <c r="F88" s="9"/>
      <c r="G88" s="17"/>
      <c r="H88" s="17"/>
      <c r="I88" s="9"/>
      <c r="J88" s="9"/>
      <c r="K88" s="10">
        <v>0</v>
      </c>
      <c r="L88" s="10"/>
      <c r="M88" s="11"/>
      <c r="N88" s="12"/>
      <c r="O88" s="13"/>
      <c r="P88" s="14"/>
      <c r="Q88" s="2"/>
    </row>
    <row r="89" spans="1:17" x14ac:dyDescent="0.25">
      <c r="A89" s="6"/>
      <c r="B89" s="7"/>
      <c r="C89" s="8"/>
      <c r="D89" s="8"/>
      <c r="E89" s="9"/>
      <c r="F89" s="9"/>
      <c r="G89" s="17"/>
      <c r="H89" s="17"/>
      <c r="I89" s="9"/>
      <c r="J89" s="9"/>
      <c r="K89" s="10">
        <v>0</v>
      </c>
      <c r="L89" s="10"/>
      <c r="M89" s="11"/>
      <c r="N89" s="12"/>
      <c r="O89" s="13"/>
      <c r="P89" s="14"/>
    </row>
    <row r="90" spans="1:17" x14ac:dyDescent="0.25">
      <c r="A90" s="6"/>
      <c r="B90" s="7"/>
      <c r="C90" s="8"/>
      <c r="D90" s="8"/>
      <c r="E90" s="9"/>
      <c r="F90" s="9"/>
      <c r="G90" s="17"/>
      <c r="H90" s="17"/>
      <c r="I90" s="9"/>
      <c r="J90" s="9"/>
      <c r="K90" s="10">
        <v>0</v>
      </c>
      <c r="L90" s="10"/>
      <c r="M90" s="11"/>
      <c r="N90" s="12"/>
      <c r="O90" s="13"/>
      <c r="P90" s="14"/>
    </row>
    <row r="91" spans="1:17" x14ac:dyDescent="0.25">
      <c r="A91" s="6"/>
      <c r="B91" s="7"/>
      <c r="C91" s="8"/>
      <c r="D91" s="8"/>
      <c r="E91" s="9"/>
      <c r="F91" s="9"/>
      <c r="G91" s="17"/>
      <c r="H91" s="17"/>
      <c r="I91" s="9"/>
      <c r="J91" s="9"/>
      <c r="K91" s="10">
        <v>0</v>
      </c>
      <c r="L91" s="10"/>
      <c r="M91" s="11"/>
      <c r="N91" s="12"/>
      <c r="O91" s="13"/>
      <c r="P91" s="14"/>
    </row>
    <row r="92" spans="1:17" x14ac:dyDescent="0.25">
      <c r="A92" s="6"/>
      <c r="B92" s="7"/>
      <c r="C92" s="8"/>
      <c r="D92" s="8"/>
      <c r="E92" s="9"/>
      <c r="F92" s="9"/>
      <c r="G92" s="17"/>
      <c r="H92" s="17"/>
      <c r="I92" s="9"/>
      <c r="J92" s="9"/>
      <c r="K92" s="10">
        <v>0</v>
      </c>
      <c r="L92" s="10"/>
      <c r="M92" s="11"/>
      <c r="N92" s="12"/>
      <c r="O92" s="13"/>
      <c r="P92" s="14"/>
    </row>
    <row r="93" spans="1:17" x14ac:dyDescent="0.25">
      <c r="A93" s="6"/>
      <c r="B93" s="7"/>
      <c r="C93" s="8"/>
      <c r="D93" s="8"/>
      <c r="E93" s="9"/>
      <c r="F93" s="9"/>
      <c r="G93" s="17"/>
      <c r="H93" s="17"/>
      <c r="I93" s="9"/>
      <c r="J93" s="9"/>
      <c r="K93" s="10">
        <v>0</v>
      </c>
      <c r="L93" s="10"/>
      <c r="M93" s="11"/>
      <c r="N93" s="12"/>
      <c r="O93" s="13"/>
      <c r="P93" s="14"/>
    </row>
    <row r="94" spans="1:17" x14ac:dyDescent="0.25">
      <c r="A94" s="6"/>
      <c r="B94" s="7"/>
      <c r="C94" s="8"/>
      <c r="D94" s="8"/>
      <c r="E94" s="9"/>
      <c r="F94" s="9"/>
      <c r="G94" s="17"/>
      <c r="H94" s="17"/>
      <c r="I94" s="9"/>
      <c r="J94" s="9"/>
      <c r="K94" s="10">
        <v>0</v>
      </c>
      <c r="L94" s="10"/>
      <c r="M94" s="11"/>
      <c r="N94" s="12"/>
      <c r="O94" s="13"/>
      <c r="P94" s="14"/>
    </row>
    <row r="95" spans="1:17" x14ac:dyDescent="0.25">
      <c r="A95" s="6"/>
      <c r="B95" s="7"/>
      <c r="C95" s="8"/>
      <c r="D95" s="8"/>
      <c r="E95" s="9"/>
      <c r="F95" s="9"/>
      <c r="G95" s="17"/>
      <c r="H95" s="17"/>
      <c r="I95" s="9"/>
      <c r="J95" s="9"/>
      <c r="K95" s="10">
        <v>0</v>
      </c>
      <c r="L95" s="10"/>
      <c r="M95" s="11"/>
      <c r="N95" s="12"/>
      <c r="O95" s="13"/>
      <c r="P95" s="14"/>
    </row>
    <row r="96" spans="1:17" x14ac:dyDescent="0.25">
      <c r="A96" s="6"/>
      <c r="B96" s="7"/>
      <c r="C96" s="8"/>
      <c r="D96" s="8"/>
      <c r="E96" s="9"/>
      <c r="F96" s="9"/>
      <c r="G96" s="17"/>
      <c r="H96" s="17"/>
      <c r="I96" s="9"/>
      <c r="J96" s="9"/>
      <c r="K96" s="10">
        <v>0</v>
      </c>
      <c r="L96" s="10"/>
      <c r="M96" s="11"/>
      <c r="N96" s="12"/>
      <c r="O96" s="13"/>
      <c r="P96" s="14"/>
    </row>
    <row r="97" spans="1:21" x14ac:dyDescent="0.25">
      <c r="A97" s="6"/>
      <c r="B97" s="7"/>
      <c r="C97" s="8"/>
      <c r="D97" s="8"/>
      <c r="E97" s="9"/>
      <c r="F97" s="9"/>
      <c r="G97" s="17"/>
      <c r="H97" s="17"/>
      <c r="I97" s="9"/>
      <c r="J97" s="9"/>
      <c r="K97" s="10">
        <v>0</v>
      </c>
      <c r="L97" s="10"/>
      <c r="M97" s="11"/>
      <c r="N97" s="12"/>
      <c r="O97" s="13"/>
      <c r="P97" s="14"/>
      <c r="Q97" s="20"/>
    </row>
    <row r="98" spans="1:21" x14ac:dyDescent="0.25">
      <c r="A98" s="6"/>
      <c r="B98" s="7"/>
      <c r="C98" s="8"/>
      <c r="D98" s="8"/>
      <c r="E98" s="9"/>
      <c r="F98" s="9"/>
      <c r="G98" s="17"/>
      <c r="H98" s="17"/>
      <c r="I98" s="9"/>
      <c r="J98" s="9"/>
      <c r="K98" s="10">
        <v>0</v>
      </c>
      <c r="L98" s="10"/>
      <c r="M98" s="11"/>
      <c r="N98" s="12"/>
      <c r="O98" s="13"/>
      <c r="P98" s="14"/>
      <c r="U98" s="1" t="e">
        <v>#VALUE!</v>
      </c>
    </row>
    <row r="99" spans="1:21" x14ac:dyDescent="0.25">
      <c r="A99" s="6"/>
      <c r="B99" s="7"/>
      <c r="C99" s="8"/>
      <c r="D99" s="8"/>
      <c r="E99" s="9"/>
      <c r="F99" s="9"/>
      <c r="G99" s="17"/>
      <c r="H99" s="17"/>
      <c r="I99" s="9"/>
      <c r="J99" s="9"/>
      <c r="K99" s="10">
        <v>0</v>
      </c>
      <c r="L99" s="10"/>
      <c r="M99" s="11"/>
      <c r="N99" s="12"/>
      <c r="O99" s="13"/>
      <c r="P99" s="14"/>
    </row>
    <row r="100" spans="1:21" x14ac:dyDescent="0.25">
      <c r="A100" s="6"/>
      <c r="B100" s="7"/>
      <c r="C100" s="8"/>
      <c r="D100" s="8"/>
      <c r="E100" s="9"/>
      <c r="F100" s="9"/>
      <c r="G100" s="17"/>
      <c r="H100" s="17"/>
      <c r="I100" s="9"/>
      <c r="J100" s="9"/>
      <c r="K100" s="10">
        <v>0</v>
      </c>
      <c r="L100" s="10"/>
      <c r="M100" s="11"/>
      <c r="N100" s="12"/>
      <c r="O100" s="13"/>
      <c r="P100" s="14"/>
    </row>
    <row r="101" spans="1:21" x14ac:dyDescent="0.25">
      <c r="A101" s="6"/>
      <c r="B101" s="7"/>
      <c r="C101" s="8"/>
      <c r="D101" s="8"/>
      <c r="E101" s="9"/>
      <c r="F101" s="9"/>
      <c r="G101" s="17"/>
      <c r="H101" s="17"/>
      <c r="I101" s="9"/>
      <c r="J101" s="9"/>
      <c r="K101" s="10">
        <v>0</v>
      </c>
      <c r="L101" s="10"/>
      <c r="M101" s="11"/>
      <c r="N101" s="12"/>
      <c r="O101" s="13"/>
      <c r="P101" s="14"/>
    </row>
    <row r="102" spans="1:21" x14ac:dyDescent="0.25">
      <c r="A102" s="6"/>
      <c r="B102" s="7"/>
      <c r="C102" s="8"/>
      <c r="D102" s="8"/>
      <c r="E102" s="9"/>
      <c r="F102" s="9"/>
      <c r="G102" s="17"/>
      <c r="H102" s="17"/>
      <c r="I102" s="9"/>
      <c r="J102" s="9"/>
      <c r="K102" s="10">
        <v>0</v>
      </c>
      <c r="L102" s="10"/>
      <c r="M102" s="11"/>
      <c r="N102" s="12"/>
      <c r="O102" s="13"/>
      <c r="P102" s="14"/>
    </row>
    <row r="103" spans="1:21" x14ac:dyDescent="0.25">
      <c r="A103" s="6"/>
      <c r="B103" s="7"/>
      <c r="C103" s="8"/>
      <c r="D103" s="8"/>
      <c r="E103" s="9"/>
      <c r="F103" s="9"/>
      <c r="G103" s="17"/>
      <c r="H103" s="17"/>
      <c r="I103" s="9"/>
      <c r="J103" s="9"/>
      <c r="K103" s="10">
        <v>0</v>
      </c>
      <c r="L103" s="10"/>
      <c r="M103" s="11"/>
      <c r="N103" s="12"/>
      <c r="O103" s="13"/>
      <c r="P103" s="14"/>
    </row>
    <row r="104" spans="1:21" x14ac:dyDescent="0.25">
      <c r="A104" s="6"/>
      <c r="B104" s="7"/>
      <c r="C104" s="8"/>
      <c r="D104" s="8"/>
      <c r="E104" s="9"/>
      <c r="F104" s="9"/>
      <c r="G104" s="17"/>
      <c r="H104" s="17"/>
      <c r="I104" s="9"/>
      <c r="J104" s="9"/>
      <c r="K104" s="10">
        <v>0</v>
      </c>
      <c r="L104" s="10"/>
      <c r="M104" s="11"/>
      <c r="N104" s="12"/>
      <c r="O104" s="13"/>
      <c r="P104" s="14"/>
    </row>
    <row r="105" spans="1:21" x14ac:dyDescent="0.25">
      <c r="A105" s="6"/>
      <c r="B105" s="7"/>
      <c r="C105" s="8"/>
      <c r="D105" s="8"/>
      <c r="E105" s="9"/>
      <c r="F105" s="9"/>
      <c r="G105" s="17"/>
      <c r="H105" s="17"/>
      <c r="I105" s="9"/>
      <c r="J105" s="9"/>
      <c r="K105" s="10">
        <v>0</v>
      </c>
      <c r="L105" s="10"/>
      <c r="M105" s="11"/>
      <c r="N105" s="12"/>
      <c r="O105" s="13"/>
      <c r="P105" s="14"/>
    </row>
    <row r="106" spans="1:21" x14ac:dyDescent="0.25">
      <c r="A106" s="6"/>
      <c r="B106" s="7"/>
      <c r="C106" s="8"/>
      <c r="D106" s="8"/>
      <c r="E106" s="9"/>
      <c r="F106" s="9"/>
      <c r="G106" s="17"/>
      <c r="H106" s="17"/>
      <c r="I106" s="9"/>
      <c r="J106" s="9"/>
      <c r="K106" s="10">
        <v>0</v>
      </c>
      <c r="L106" s="10"/>
      <c r="M106" s="11"/>
      <c r="N106" s="12"/>
      <c r="O106" s="13"/>
      <c r="P106" s="14"/>
    </row>
    <row r="107" spans="1:21" x14ac:dyDescent="0.25">
      <c r="A107" s="6"/>
      <c r="B107" s="7"/>
      <c r="C107" s="8"/>
      <c r="D107" s="8"/>
      <c r="E107" s="9"/>
      <c r="F107" s="9"/>
      <c r="G107" s="17"/>
      <c r="H107" s="17"/>
      <c r="I107" s="9"/>
      <c r="J107" s="9"/>
      <c r="K107" s="10">
        <v>0</v>
      </c>
      <c r="L107" s="10"/>
      <c r="M107" s="11"/>
      <c r="N107" s="12"/>
      <c r="O107" s="13"/>
      <c r="P107" s="14"/>
    </row>
    <row r="108" spans="1:21" x14ac:dyDescent="0.25">
      <c r="A108" s="6"/>
      <c r="B108" s="7"/>
      <c r="C108" s="8"/>
      <c r="D108" s="8"/>
      <c r="E108" s="9"/>
      <c r="F108" s="9"/>
      <c r="G108" s="17"/>
      <c r="H108" s="17"/>
      <c r="I108" s="9"/>
      <c r="J108" s="9"/>
      <c r="K108" s="10">
        <v>0</v>
      </c>
      <c r="L108" s="10"/>
      <c r="M108" s="11"/>
      <c r="N108" s="12"/>
      <c r="O108" s="13"/>
      <c r="P108" s="14"/>
    </row>
    <row r="109" spans="1:21" x14ac:dyDescent="0.25">
      <c r="A109" s="6"/>
      <c r="B109" s="7"/>
      <c r="C109" s="8"/>
      <c r="D109" s="8"/>
      <c r="E109" s="9"/>
      <c r="F109" s="9"/>
      <c r="G109" s="17"/>
      <c r="H109" s="17"/>
      <c r="I109" s="9"/>
      <c r="J109" s="9"/>
      <c r="K109" s="10">
        <v>0</v>
      </c>
      <c r="L109" s="10"/>
      <c r="M109" s="11"/>
      <c r="N109" s="12"/>
      <c r="O109" s="13"/>
      <c r="P109" s="14"/>
    </row>
    <row r="110" spans="1:21" x14ac:dyDescent="0.25">
      <c r="A110" s="6"/>
      <c r="B110" s="7"/>
      <c r="C110" s="8"/>
      <c r="D110" s="8"/>
      <c r="E110" s="9"/>
      <c r="F110" s="9"/>
      <c r="G110" s="17"/>
      <c r="H110" s="17"/>
      <c r="I110" s="9"/>
      <c r="J110" s="9"/>
      <c r="K110" s="10">
        <v>0</v>
      </c>
      <c r="L110" s="10"/>
      <c r="M110" s="11"/>
      <c r="N110" s="12"/>
      <c r="O110" s="13"/>
      <c r="P110" s="14"/>
    </row>
    <row r="111" spans="1:21" x14ac:dyDescent="0.25">
      <c r="A111" s="6"/>
      <c r="B111" s="7"/>
      <c r="C111" s="8"/>
      <c r="D111" s="8"/>
      <c r="E111" s="9"/>
      <c r="F111" s="9"/>
      <c r="G111" s="17"/>
      <c r="H111" s="17"/>
      <c r="I111" s="9"/>
      <c r="J111" s="9"/>
      <c r="K111" s="10">
        <v>0</v>
      </c>
      <c r="L111" s="10"/>
      <c r="M111" s="11"/>
      <c r="N111" s="12"/>
      <c r="O111" s="13"/>
      <c r="P111" s="14"/>
    </row>
    <row r="112" spans="1:21" x14ac:dyDescent="0.25">
      <c r="A112" s="6"/>
      <c r="B112" s="15"/>
      <c r="C112" s="16"/>
      <c r="D112" s="8"/>
      <c r="E112" s="9"/>
      <c r="F112" s="9"/>
      <c r="G112" s="17"/>
      <c r="H112" s="17"/>
      <c r="I112" s="9"/>
      <c r="J112" s="9"/>
      <c r="K112" s="10">
        <v>0</v>
      </c>
      <c r="L112" s="10"/>
      <c r="M112" s="11"/>
      <c r="N112" s="12"/>
      <c r="O112" s="13"/>
      <c r="P112" s="14"/>
    </row>
    <row r="113" spans="1:20" x14ac:dyDescent="0.25">
      <c r="A113" s="6"/>
      <c r="B113" s="7"/>
      <c r="C113" s="8"/>
      <c r="D113" s="8"/>
      <c r="E113" s="9"/>
      <c r="F113" s="9"/>
      <c r="G113" s="17"/>
      <c r="H113" s="17"/>
      <c r="I113" s="9"/>
      <c r="J113" s="9"/>
      <c r="K113" s="10">
        <v>0</v>
      </c>
      <c r="L113" s="10"/>
      <c r="M113" s="11"/>
      <c r="N113" s="12"/>
      <c r="O113" s="13"/>
      <c r="P113" s="14"/>
    </row>
    <row r="114" spans="1:20" x14ac:dyDescent="0.25">
      <c r="A114" s="6"/>
      <c r="B114" s="7"/>
      <c r="C114" s="8"/>
      <c r="D114" s="8"/>
      <c r="E114" s="9"/>
      <c r="F114" s="9"/>
      <c r="G114" s="17"/>
      <c r="H114" s="17"/>
      <c r="I114" s="9"/>
      <c r="J114" s="9"/>
      <c r="K114" s="10">
        <v>0</v>
      </c>
      <c r="L114" s="10"/>
      <c r="M114" s="11"/>
      <c r="N114" s="12"/>
      <c r="O114" s="13"/>
      <c r="P114" s="14"/>
    </row>
    <row r="115" spans="1:20" x14ac:dyDescent="0.25">
      <c r="A115" s="6"/>
      <c r="B115" s="7"/>
      <c r="C115" s="8"/>
      <c r="D115" s="8"/>
      <c r="E115" s="9"/>
      <c r="F115" s="9"/>
      <c r="G115" s="17"/>
      <c r="H115" s="17"/>
      <c r="I115" s="9"/>
      <c r="J115" s="9"/>
      <c r="K115" s="10">
        <v>0</v>
      </c>
      <c r="L115" s="10"/>
      <c r="M115" s="11"/>
      <c r="N115" s="12"/>
      <c r="O115" s="13"/>
      <c r="P115" s="14"/>
    </row>
    <row r="116" spans="1:20" x14ac:dyDescent="0.25">
      <c r="A116" s="6"/>
      <c r="B116" s="7"/>
      <c r="C116" s="8"/>
      <c r="D116" s="8"/>
      <c r="E116" s="9"/>
      <c r="F116" s="9"/>
      <c r="G116" s="17"/>
      <c r="H116" s="17"/>
      <c r="I116" s="9"/>
      <c r="J116" s="9"/>
      <c r="K116" s="10">
        <v>0</v>
      </c>
      <c r="L116" s="10"/>
      <c r="M116" s="11"/>
      <c r="N116" s="12"/>
      <c r="O116" s="13"/>
      <c r="P116" s="14"/>
    </row>
    <row r="117" spans="1:20" x14ac:dyDescent="0.25">
      <c r="A117" s="6"/>
      <c r="B117" s="7"/>
      <c r="C117" s="8"/>
      <c r="D117" s="8"/>
      <c r="E117" s="9"/>
      <c r="F117" s="9"/>
      <c r="G117" s="17"/>
      <c r="H117" s="17"/>
      <c r="I117" s="9"/>
      <c r="J117" s="9"/>
      <c r="K117" s="10">
        <v>0</v>
      </c>
      <c r="L117" s="10"/>
      <c r="M117" s="11"/>
      <c r="N117" s="12"/>
      <c r="O117" s="13"/>
      <c r="P117" s="14"/>
    </row>
    <row r="118" spans="1:20" x14ac:dyDescent="0.25">
      <c r="A118" s="6"/>
      <c r="B118" s="7"/>
      <c r="C118" s="8"/>
      <c r="D118" s="8"/>
      <c r="E118" s="9"/>
      <c r="F118" s="9"/>
      <c r="G118" s="17"/>
      <c r="H118" s="17"/>
      <c r="I118" s="9"/>
      <c r="J118" s="9"/>
      <c r="K118" s="10">
        <v>0</v>
      </c>
      <c r="L118" s="10"/>
      <c r="M118" s="11"/>
      <c r="N118" s="12"/>
      <c r="O118" s="13"/>
      <c r="P118" s="14"/>
    </row>
    <row r="119" spans="1:20" x14ac:dyDescent="0.25">
      <c r="A119" s="6"/>
      <c r="B119" s="7"/>
      <c r="C119" s="8"/>
      <c r="D119" s="8"/>
      <c r="E119" s="9"/>
      <c r="F119" s="9"/>
      <c r="G119" s="17"/>
      <c r="H119" s="17"/>
      <c r="I119" s="9"/>
      <c r="J119" s="9"/>
      <c r="K119" s="10">
        <v>0</v>
      </c>
      <c r="L119" s="10"/>
      <c r="M119" s="11"/>
      <c r="N119" s="12"/>
      <c r="O119" s="13"/>
      <c r="P119" s="14"/>
      <c r="T119" s="24"/>
    </row>
    <row r="120" spans="1:20" x14ac:dyDescent="0.25">
      <c r="A120" s="6"/>
      <c r="B120" s="7"/>
      <c r="C120" s="8"/>
      <c r="D120" s="8"/>
      <c r="E120" s="9"/>
      <c r="F120" s="9"/>
      <c r="G120" s="17"/>
      <c r="H120" s="17"/>
      <c r="I120" s="9"/>
      <c r="J120" s="9"/>
      <c r="K120" s="10">
        <v>0</v>
      </c>
      <c r="L120" s="10"/>
      <c r="M120" s="11"/>
      <c r="N120" s="12"/>
      <c r="O120" s="13"/>
      <c r="P120" s="14"/>
    </row>
    <row r="121" spans="1:20" x14ac:dyDescent="0.25">
      <c r="A121" s="6"/>
      <c r="B121" s="7"/>
      <c r="C121" s="8"/>
      <c r="D121" s="8"/>
      <c r="E121" s="9"/>
      <c r="F121" s="9"/>
      <c r="G121" s="17"/>
      <c r="H121" s="17"/>
      <c r="I121" s="9"/>
      <c r="J121" s="9"/>
      <c r="K121" s="10">
        <v>0</v>
      </c>
      <c r="L121" s="10"/>
      <c r="M121" s="11"/>
      <c r="N121" s="12"/>
      <c r="O121" s="13"/>
      <c r="P121" s="14"/>
    </row>
    <row r="122" spans="1:20" x14ac:dyDescent="0.25">
      <c r="A122" s="6"/>
      <c r="B122" s="7"/>
      <c r="C122" s="8"/>
      <c r="D122" s="8"/>
      <c r="E122" s="9"/>
      <c r="F122" s="9"/>
      <c r="G122" s="17"/>
      <c r="H122" s="17"/>
      <c r="I122" s="9"/>
      <c r="J122" s="9"/>
      <c r="K122" s="10">
        <v>0</v>
      </c>
      <c r="L122" s="10"/>
      <c r="M122" s="11"/>
      <c r="N122" s="12"/>
      <c r="O122" s="13"/>
      <c r="P122" s="14"/>
    </row>
    <row r="123" spans="1:20" x14ac:dyDescent="0.25">
      <c r="A123" s="6"/>
      <c r="B123" s="7"/>
      <c r="C123" s="8"/>
      <c r="D123" s="8"/>
      <c r="E123" s="9"/>
      <c r="F123" s="9"/>
      <c r="G123" s="17"/>
      <c r="H123" s="17"/>
      <c r="I123" s="9"/>
      <c r="J123" s="9"/>
      <c r="K123" s="10">
        <v>0</v>
      </c>
      <c r="L123" s="10"/>
      <c r="M123" s="11"/>
      <c r="N123" s="12"/>
      <c r="O123" s="13"/>
      <c r="P123" s="14"/>
    </row>
    <row r="124" spans="1:20" x14ac:dyDescent="0.25">
      <c r="A124" s="6"/>
      <c r="B124" s="7"/>
      <c r="C124" s="8"/>
      <c r="D124" s="8"/>
      <c r="E124" s="9"/>
      <c r="F124" s="9"/>
      <c r="G124" s="17"/>
      <c r="H124" s="17"/>
      <c r="I124" s="9"/>
      <c r="J124" s="9"/>
      <c r="K124" s="10">
        <v>0</v>
      </c>
      <c r="L124" s="10"/>
      <c r="M124" s="11"/>
      <c r="N124" s="12"/>
      <c r="O124" s="13"/>
      <c r="P124" s="14"/>
    </row>
    <row r="125" spans="1:20" x14ac:dyDescent="0.25">
      <c r="A125" s="6"/>
      <c r="B125" s="7"/>
      <c r="C125" s="8"/>
      <c r="D125" s="8"/>
      <c r="E125" s="9"/>
      <c r="F125" s="9"/>
      <c r="G125" s="17"/>
      <c r="H125" s="17"/>
      <c r="I125" s="9"/>
      <c r="J125" s="9"/>
      <c r="K125" s="10">
        <v>0</v>
      </c>
      <c r="L125" s="10"/>
      <c r="M125" s="11"/>
      <c r="N125" s="12"/>
      <c r="O125" s="13"/>
      <c r="P125" s="14"/>
    </row>
    <row r="126" spans="1:20" x14ac:dyDescent="0.25">
      <c r="A126" s="6"/>
      <c r="B126" s="7"/>
      <c r="C126" s="8"/>
      <c r="D126" s="8"/>
      <c r="E126" s="9"/>
      <c r="F126" s="9"/>
      <c r="G126" s="17"/>
      <c r="H126" s="17"/>
      <c r="I126" s="9"/>
      <c r="J126" s="9"/>
      <c r="K126" s="10">
        <v>0</v>
      </c>
      <c r="L126" s="10"/>
      <c r="M126" s="11"/>
      <c r="N126" s="12"/>
      <c r="O126" s="13"/>
      <c r="P126" s="14"/>
    </row>
    <row r="127" spans="1:20" x14ac:dyDescent="0.25">
      <c r="A127" s="6"/>
      <c r="B127" s="7"/>
      <c r="C127" s="8"/>
      <c r="D127" s="8"/>
      <c r="E127" s="9"/>
      <c r="F127" s="9"/>
      <c r="G127" s="17"/>
      <c r="H127" s="17"/>
      <c r="I127" s="9"/>
      <c r="J127" s="9"/>
      <c r="K127" s="10">
        <v>0</v>
      </c>
      <c r="L127" s="10"/>
      <c r="M127" s="11"/>
      <c r="N127" s="12"/>
      <c r="O127" s="13"/>
      <c r="P127" s="14"/>
    </row>
    <row r="128" spans="1:20" x14ac:dyDescent="0.25">
      <c r="A128" s="6"/>
      <c r="B128" s="7"/>
      <c r="C128" s="8"/>
      <c r="D128" s="8"/>
      <c r="E128" s="9"/>
      <c r="F128" s="9"/>
      <c r="G128" s="17"/>
      <c r="H128" s="17"/>
      <c r="I128" s="9"/>
      <c r="J128" s="9"/>
      <c r="K128" s="10">
        <v>0</v>
      </c>
      <c r="L128" s="10"/>
      <c r="M128" s="11"/>
      <c r="N128" s="12"/>
      <c r="O128" s="13"/>
      <c r="P128" s="14"/>
    </row>
    <row r="129" spans="1:17" x14ac:dyDescent="0.25">
      <c r="A129" s="6"/>
      <c r="B129" s="7"/>
      <c r="C129" s="8"/>
      <c r="D129" s="8"/>
      <c r="E129" s="9"/>
      <c r="F129" s="9"/>
      <c r="G129" s="17"/>
      <c r="H129" s="17"/>
      <c r="I129" s="9"/>
      <c r="J129" s="9"/>
      <c r="K129" s="10">
        <v>0</v>
      </c>
      <c r="L129" s="10"/>
      <c r="M129" s="11"/>
      <c r="N129" s="12"/>
      <c r="O129" s="13"/>
      <c r="P129" s="14"/>
    </row>
    <row r="130" spans="1:17" x14ac:dyDescent="0.25">
      <c r="A130" s="6"/>
      <c r="B130" s="7"/>
      <c r="C130" s="8"/>
      <c r="D130" s="8"/>
      <c r="E130" s="9"/>
      <c r="F130" s="9"/>
      <c r="G130" s="17"/>
      <c r="H130" s="17"/>
      <c r="I130" s="9"/>
      <c r="J130" s="9"/>
      <c r="K130" s="10">
        <v>0</v>
      </c>
      <c r="L130" s="10"/>
      <c r="M130" s="11"/>
      <c r="N130" s="12"/>
      <c r="O130" s="13"/>
      <c r="P130" s="14"/>
    </row>
    <row r="131" spans="1:17" x14ac:dyDescent="0.25">
      <c r="A131" s="6"/>
      <c r="B131" s="7"/>
      <c r="C131" s="8"/>
      <c r="D131" s="8"/>
      <c r="E131" s="9"/>
      <c r="F131" s="9"/>
      <c r="G131" s="17"/>
      <c r="H131" s="17"/>
      <c r="I131" s="9"/>
      <c r="J131" s="9"/>
      <c r="K131" s="10">
        <v>0</v>
      </c>
      <c r="L131" s="10"/>
      <c r="M131" s="11"/>
      <c r="N131" s="12"/>
      <c r="O131" s="13"/>
      <c r="P131" s="14"/>
    </row>
    <row r="132" spans="1:17" x14ac:dyDescent="0.25">
      <c r="A132" s="6"/>
      <c r="B132" s="7"/>
      <c r="C132" s="8"/>
      <c r="D132" s="8"/>
      <c r="E132" s="9"/>
      <c r="F132" s="9"/>
      <c r="G132" s="17"/>
      <c r="H132" s="17"/>
      <c r="I132" s="9"/>
      <c r="J132" s="9"/>
      <c r="K132" s="10">
        <v>0</v>
      </c>
      <c r="L132" s="10"/>
      <c r="M132" s="11"/>
      <c r="N132" s="12"/>
      <c r="O132" s="13"/>
      <c r="P132" s="14"/>
    </row>
    <row r="133" spans="1:17" x14ac:dyDescent="0.25">
      <c r="A133" s="6"/>
      <c r="B133" s="7"/>
      <c r="C133" s="8"/>
      <c r="D133" s="8"/>
      <c r="E133" s="9"/>
      <c r="F133" s="9"/>
      <c r="G133" s="17"/>
      <c r="H133" s="17"/>
      <c r="I133" s="9"/>
      <c r="J133" s="9"/>
      <c r="K133" s="10">
        <v>0</v>
      </c>
      <c r="L133" s="10"/>
      <c r="M133" s="11"/>
      <c r="N133" s="12"/>
      <c r="O133" s="13"/>
      <c r="P133" s="14"/>
    </row>
    <row r="134" spans="1:17" x14ac:dyDescent="0.25">
      <c r="A134" s="6"/>
      <c r="B134" s="7"/>
      <c r="C134" s="8"/>
      <c r="D134" s="8"/>
      <c r="E134" s="9"/>
      <c r="F134" s="9"/>
      <c r="G134" s="17"/>
      <c r="H134" s="17"/>
      <c r="I134" s="9"/>
      <c r="J134" s="9"/>
      <c r="K134" s="10">
        <v>0</v>
      </c>
      <c r="L134" s="10"/>
      <c r="M134" s="11"/>
      <c r="N134" s="12"/>
      <c r="O134" s="13"/>
      <c r="P134" s="14"/>
    </row>
    <row r="135" spans="1:17" x14ac:dyDescent="0.25">
      <c r="A135" s="6"/>
      <c r="B135" s="7"/>
      <c r="C135" s="8"/>
      <c r="D135" s="8"/>
      <c r="E135" s="9"/>
      <c r="F135" s="9"/>
      <c r="G135" s="17"/>
      <c r="H135" s="17"/>
      <c r="I135" s="9"/>
      <c r="J135" s="9"/>
      <c r="K135" s="10">
        <v>0</v>
      </c>
      <c r="L135" s="10"/>
      <c r="M135" s="11"/>
      <c r="N135" s="12"/>
      <c r="O135" s="13"/>
      <c r="P135" s="14"/>
    </row>
    <row r="136" spans="1:17" x14ac:dyDescent="0.25">
      <c r="A136" s="6"/>
      <c r="B136" s="7"/>
      <c r="C136" s="8"/>
      <c r="D136" s="8"/>
      <c r="E136" s="9"/>
      <c r="F136" s="9"/>
      <c r="G136" s="17"/>
      <c r="H136" s="17"/>
      <c r="I136" s="9"/>
      <c r="J136" s="9"/>
      <c r="K136" s="10">
        <v>0</v>
      </c>
      <c r="L136" s="10"/>
      <c r="M136" s="11"/>
      <c r="N136" s="12"/>
      <c r="O136" s="13"/>
      <c r="P136" s="14"/>
      <c r="Q136" s="19"/>
    </row>
    <row r="137" spans="1:17" x14ac:dyDescent="0.25">
      <c r="A137" s="6"/>
      <c r="B137" s="7"/>
      <c r="C137" s="8"/>
      <c r="D137" s="8"/>
      <c r="E137" s="9"/>
      <c r="F137" s="9"/>
      <c r="G137" s="17"/>
      <c r="H137" s="17"/>
      <c r="I137" s="9"/>
      <c r="J137" s="9"/>
      <c r="K137" s="10">
        <v>0</v>
      </c>
      <c r="L137" s="10"/>
      <c r="M137" s="11"/>
      <c r="N137" s="12"/>
      <c r="O137" s="13"/>
      <c r="P137" s="14"/>
    </row>
    <row r="138" spans="1:17" x14ac:dyDescent="0.25">
      <c r="A138" s="6"/>
      <c r="B138" s="7"/>
      <c r="C138" s="8"/>
      <c r="D138" s="8"/>
      <c r="E138" s="9"/>
      <c r="F138" s="9"/>
      <c r="G138" s="17"/>
      <c r="H138" s="17"/>
      <c r="I138" s="9"/>
      <c r="J138" s="9"/>
      <c r="K138" s="10">
        <v>0</v>
      </c>
      <c r="L138" s="10"/>
      <c r="M138" s="11"/>
      <c r="N138" s="12"/>
      <c r="O138" s="13"/>
      <c r="P138" s="14"/>
    </row>
    <row r="139" spans="1:17" x14ac:dyDescent="0.25">
      <c r="A139" s="6"/>
      <c r="B139" s="7"/>
      <c r="C139" s="8"/>
      <c r="D139" s="8"/>
      <c r="E139" s="9"/>
      <c r="F139" s="9"/>
      <c r="G139" s="17"/>
      <c r="H139" s="17"/>
      <c r="I139" s="9"/>
      <c r="J139" s="9"/>
      <c r="K139" s="10">
        <v>0</v>
      </c>
      <c r="L139" s="10"/>
      <c r="M139" s="11"/>
      <c r="N139" s="12"/>
      <c r="O139" s="13"/>
      <c r="P139" s="14"/>
    </row>
    <row r="140" spans="1:17" x14ac:dyDescent="0.25">
      <c r="A140" s="6"/>
      <c r="B140" s="7"/>
      <c r="C140" s="8"/>
      <c r="D140" s="8"/>
      <c r="E140" s="9"/>
      <c r="F140" s="9"/>
      <c r="G140" s="17"/>
      <c r="H140" s="17"/>
      <c r="I140" s="9"/>
      <c r="J140" s="9"/>
      <c r="K140" s="10">
        <v>0</v>
      </c>
      <c r="L140" s="10"/>
      <c r="M140" s="11"/>
      <c r="N140" s="12"/>
      <c r="O140" s="13"/>
      <c r="P140" s="14"/>
    </row>
    <row r="141" spans="1:17" x14ac:dyDescent="0.25">
      <c r="A141" s="6"/>
      <c r="B141" s="7"/>
      <c r="C141" s="8"/>
      <c r="D141" s="8"/>
      <c r="E141" s="9"/>
      <c r="F141" s="9"/>
      <c r="G141" s="17"/>
      <c r="H141" s="17"/>
      <c r="I141" s="9"/>
      <c r="J141" s="9"/>
      <c r="K141" s="10">
        <v>0</v>
      </c>
      <c r="L141" s="10"/>
      <c r="M141" s="11"/>
      <c r="N141" s="12"/>
      <c r="O141" s="13"/>
      <c r="P141" s="14"/>
    </row>
    <row r="142" spans="1:17" x14ac:dyDescent="0.25">
      <c r="A142" s="6"/>
      <c r="B142" s="7"/>
      <c r="C142" s="8"/>
      <c r="D142" s="8"/>
      <c r="E142" s="9"/>
      <c r="F142" s="9"/>
      <c r="G142" s="17"/>
      <c r="H142" s="17"/>
      <c r="I142" s="9"/>
      <c r="J142" s="9"/>
      <c r="K142" s="10">
        <v>0</v>
      </c>
      <c r="L142" s="10"/>
      <c r="M142" s="11"/>
      <c r="N142" s="12"/>
      <c r="O142" s="13"/>
      <c r="P142" s="14"/>
    </row>
    <row r="143" spans="1:17" x14ac:dyDescent="0.25">
      <c r="A143" s="6"/>
      <c r="B143" s="7"/>
      <c r="C143" s="8"/>
      <c r="D143" s="8"/>
      <c r="E143" s="9"/>
      <c r="F143" s="9"/>
      <c r="G143" s="17"/>
      <c r="H143" s="17"/>
      <c r="I143" s="9"/>
      <c r="J143" s="9"/>
      <c r="K143" s="10">
        <v>0</v>
      </c>
      <c r="L143" s="10"/>
      <c r="M143" s="11"/>
      <c r="N143" s="12"/>
      <c r="O143" s="13"/>
      <c r="P143" s="14"/>
    </row>
    <row r="144" spans="1:17" x14ac:dyDescent="0.25">
      <c r="A144" s="6"/>
      <c r="B144" s="7"/>
      <c r="C144" s="8"/>
      <c r="D144" s="8"/>
      <c r="E144" s="9"/>
      <c r="F144" s="9"/>
      <c r="G144" s="17"/>
      <c r="H144" s="17"/>
      <c r="I144" s="9"/>
      <c r="J144" s="9"/>
      <c r="K144" s="10">
        <v>0</v>
      </c>
      <c r="L144" s="10"/>
      <c r="M144" s="11"/>
      <c r="N144" s="12"/>
      <c r="O144" s="13"/>
      <c r="P144" s="14"/>
    </row>
    <row r="145" spans="1:16" x14ac:dyDescent="0.25">
      <c r="A145" s="6"/>
      <c r="B145" s="15"/>
      <c r="C145" s="8"/>
      <c r="D145" s="8"/>
      <c r="E145" s="9"/>
      <c r="F145" s="9"/>
      <c r="G145" s="17"/>
      <c r="H145" s="17"/>
      <c r="I145" s="9"/>
      <c r="J145" s="9"/>
      <c r="K145" s="10">
        <v>0</v>
      </c>
      <c r="L145" s="10"/>
      <c r="M145" s="11"/>
      <c r="N145" s="12"/>
      <c r="O145" s="13"/>
      <c r="P145" s="14"/>
    </row>
    <row r="146" spans="1:16" x14ac:dyDescent="0.25">
      <c r="A146" s="6"/>
      <c r="B146" s="7"/>
      <c r="C146" s="8"/>
      <c r="D146" s="8"/>
      <c r="E146" s="9"/>
      <c r="F146" s="9"/>
      <c r="G146" s="17"/>
      <c r="H146" s="17"/>
      <c r="I146" s="9"/>
      <c r="J146" s="9"/>
      <c r="K146" s="10">
        <v>0</v>
      </c>
      <c r="L146" s="10"/>
      <c r="M146" s="11"/>
      <c r="N146" s="12"/>
      <c r="O146" s="13"/>
      <c r="P146" s="14"/>
    </row>
    <row r="147" spans="1:16" x14ac:dyDescent="0.25">
      <c r="A147" s="6"/>
      <c r="B147" s="7"/>
      <c r="C147" s="8"/>
      <c r="D147" s="8"/>
      <c r="E147" s="9"/>
      <c r="F147" s="9"/>
      <c r="G147" s="17"/>
      <c r="H147" s="17"/>
      <c r="I147" s="9"/>
      <c r="J147" s="9"/>
      <c r="K147" s="10">
        <v>0</v>
      </c>
      <c r="L147" s="10"/>
      <c r="M147" s="11"/>
      <c r="N147" s="12"/>
      <c r="O147" s="13"/>
      <c r="P147" s="14"/>
    </row>
    <row r="148" spans="1:16" x14ac:dyDescent="0.25">
      <c r="A148" s="6"/>
      <c r="B148" s="7"/>
      <c r="C148" s="8"/>
      <c r="D148" s="8"/>
      <c r="E148" s="9"/>
      <c r="F148" s="9"/>
      <c r="G148" s="17"/>
      <c r="H148" s="17"/>
      <c r="I148" s="9"/>
      <c r="J148" s="9"/>
      <c r="K148" s="10">
        <v>0</v>
      </c>
      <c r="L148" s="10"/>
      <c r="M148" s="11"/>
      <c r="N148" s="12"/>
      <c r="O148" s="13"/>
      <c r="P148" s="14"/>
    </row>
    <row r="149" spans="1:16" x14ac:dyDescent="0.25">
      <c r="A149" s="6"/>
      <c r="B149" s="7"/>
      <c r="C149" s="8"/>
      <c r="D149" s="8"/>
      <c r="E149" s="9"/>
      <c r="F149" s="9"/>
      <c r="G149" s="17"/>
      <c r="H149" s="17"/>
      <c r="I149" s="9"/>
      <c r="J149" s="9"/>
      <c r="K149" s="10">
        <v>0</v>
      </c>
      <c r="L149" s="10"/>
      <c r="M149" s="11"/>
      <c r="N149" s="12"/>
      <c r="O149" s="13"/>
      <c r="P149" s="14"/>
    </row>
    <row r="150" spans="1:16" x14ac:dyDescent="0.25">
      <c r="A150" s="6"/>
      <c r="B150" s="7"/>
      <c r="C150" s="8"/>
      <c r="D150" s="8"/>
      <c r="E150" s="9"/>
      <c r="F150" s="9"/>
      <c r="G150" s="17"/>
      <c r="H150" s="17"/>
      <c r="I150" s="9"/>
      <c r="J150" s="9"/>
      <c r="K150" s="10">
        <v>0</v>
      </c>
      <c r="L150" s="10"/>
      <c r="M150" s="11"/>
      <c r="N150" s="12"/>
      <c r="O150" s="13"/>
      <c r="P150" s="14"/>
    </row>
    <row r="151" spans="1:16" x14ac:dyDescent="0.25">
      <c r="A151" s="6"/>
      <c r="B151" s="7"/>
      <c r="C151" s="8"/>
      <c r="D151" s="8"/>
      <c r="E151" s="9"/>
      <c r="F151" s="9"/>
      <c r="G151" s="17"/>
      <c r="H151" s="17"/>
      <c r="I151" s="9"/>
      <c r="J151" s="9"/>
      <c r="K151" s="10">
        <v>0</v>
      </c>
      <c r="L151" s="10"/>
      <c r="M151" s="11"/>
      <c r="N151" s="12"/>
      <c r="O151" s="13"/>
      <c r="P151" s="14"/>
    </row>
    <row r="152" spans="1:16" x14ac:dyDescent="0.25">
      <c r="A152" s="6"/>
      <c r="B152" s="7"/>
      <c r="C152" s="8"/>
      <c r="D152" s="8"/>
      <c r="E152" s="9"/>
      <c r="F152" s="9"/>
      <c r="G152" s="17"/>
      <c r="H152" s="17"/>
      <c r="I152" s="9"/>
      <c r="J152" s="9"/>
      <c r="K152" s="10">
        <v>0</v>
      </c>
      <c r="L152" s="10"/>
      <c r="M152" s="11"/>
      <c r="N152" s="12"/>
      <c r="O152" s="13"/>
      <c r="P152" s="14"/>
    </row>
    <row r="153" spans="1:16" x14ac:dyDescent="0.25">
      <c r="A153" s="6"/>
      <c r="B153" s="7"/>
      <c r="C153" s="8"/>
      <c r="D153" s="8"/>
      <c r="E153" s="9"/>
      <c r="F153" s="9"/>
      <c r="G153" s="17"/>
      <c r="H153" s="17"/>
      <c r="I153" s="9"/>
      <c r="J153" s="9"/>
      <c r="K153" s="10">
        <v>0</v>
      </c>
      <c r="L153" s="10"/>
      <c r="M153" s="11"/>
      <c r="N153" s="12"/>
      <c r="O153" s="13"/>
      <c r="P153" s="14"/>
    </row>
    <row r="154" spans="1:16" x14ac:dyDescent="0.25">
      <c r="A154" s="6"/>
      <c r="B154" s="7"/>
      <c r="C154" s="8"/>
      <c r="D154" s="8"/>
      <c r="E154" s="9"/>
      <c r="F154" s="9"/>
      <c r="G154" s="17"/>
      <c r="H154" s="17"/>
      <c r="I154" s="9"/>
      <c r="J154" s="9"/>
      <c r="K154" s="10">
        <v>0</v>
      </c>
      <c r="L154" s="10"/>
      <c r="M154" s="11"/>
      <c r="N154" s="12"/>
      <c r="O154" s="13"/>
      <c r="P154" s="14"/>
    </row>
    <row r="155" spans="1:16" x14ac:dyDescent="0.25">
      <c r="A155" s="6"/>
      <c r="B155" s="7"/>
      <c r="C155" s="8"/>
      <c r="D155" s="8"/>
      <c r="E155" s="9"/>
      <c r="F155" s="9"/>
      <c r="G155" s="17"/>
      <c r="H155" s="17"/>
      <c r="I155" s="9"/>
      <c r="J155" s="9"/>
      <c r="K155" s="10">
        <v>0</v>
      </c>
      <c r="L155" s="10"/>
      <c r="M155" s="11"/>
      <c r="N155" s="12"/>
      <c r="O155" s="13"/>
      <c r="P155" s="14"/>
    </row>
    <row r="156" spans="1:16" x14ac:dyDescent="0.25">
      <c r="A156" s="6"/>
      <c r="B156" s="7"/>
      <c r="C156" s="8"/>
      <c r="D156" s="8"/>
      <c r="E156" s="9"/>
      <c r="F156" s="9"/>
      <c r="G156" s="17"/>
      <c r="H156" s="17"/>
      <c r="I156" s="9"/>
      <c r="J156" s="9"/>
      <c r="K156" s="10">
        <v>0</v>
      </c>
      <c r="L156" s="10"/>
      <c r="M156" s="11"/>
      <c r="N156" s="12"/>
      <c r="O156" s="13"/>
      <c r="P156" s="14"/>
    </row>
    <row r="157" spans="1:16" x14ac:dyDescent="0.25">
      <c r="A157" s="6"/>
      <c r="B157" s="7"/>
      <c r="C157" s="8"/>
      <c r="D157" s="8"/>
      <c r="E157" s="9"/>
      <c r="F157" s="9"/>
      <c r="G157" s="17"/>
      <c r="H157" s="17"/>
      <c r="I157" s="9"/>
      <c r="J157" s="9"/>
      <c r="K157" s="10">
        <v>0</v>
      </c>
      <c r="L157" s="10"/>
      <c r="M157" s="11"/>
      <c r="N157" s="12"/>
      <c r="O157" s="13"/>
      <c r="P157" s="14"/>
    </row>
    <row r="158" spans="1:16" x14ac:dyDescent="0.25">
      <c r="A158" s="6"/>
      <c r="B158" s="7"/>
      <c r="C158" s="8"/>
      <c r="D158" s="8"/>
      <c r="E158" s="9"/>
      <c r="F158" s="9"/>
      <c r="G158" s="17"/>
      <c r="H158" s="17"/>
      <c r="I158" s="9"/>
      <c r="J158" s="9"/>
      <c r="K158" s="10">
        <v>0</v>
      </c>
      <c r="L158" s="10"/>
      <c r="M158" s="11"/>
      <c r="N158" s="12"/>
      <c r="O158" s="13"/>
      <c r="P158" s="14"/>
    </row>
    <row r="159" spans="1:16" x14ac:dyDescent="0.25">
      <c r="A159" s="6"/>
      <c r="B159" s="7"/>
      <c r="C159" s="8"/>
      <c r="D159" s="8"/>
      <c r="E159" s="9"/>
      <c r="F159" s="9"/>
      <c r="G159" s="17"/>
      <c r="H159" s="17"/>
      <c r="I159" s="9"/>
      <c r="J159" s="9"/>
      <c r="K159" s="10">
        <v>0</v>
      </c>
      <c r="L159" s="10"/>
      <c r="M159" s="11"/>
      <c r="N159" s="12"/>
      <c r="O159" s="13"/>
      <c r="P159" s="14"/>
    </row>
    <row r="160" spans="1:16" x14ac:dyDescent="0.25">
      <c r="A160" s="6"/>
      <c r="B160" s="7"/>
      <c r="C160" s="8"/>
      <c r="D160" s="8"/>
      <c r="E160" s="9"/>
      <c r="F160" s="9"/>
      <c r="G160" s="17"/>
      <c r="H160" s="17"/>
      <c r="I160" s="9"/>
      <c r="J160" s="9"/>
      <c r="K160" s="10">
        <v>0</v>
      </c>
      <c r="L160" s="10"/>
      <c r="M160" s="11"/>
      <c r="N160" s="12"/>
      <c r="O160" s="13"/>
      <c r="P160" s="14"/>
    </row>
    <row r="161" spans="1:21" x14ac:dyDescent="0.25">
      <c r="A161" s="6"/>
      <c r="B161" s="7"/>
      <c r="C161" s="8"/>
      <c r="D161" s="8"/>
      <c r="E161" s="9"/>
      <c r="F161" s="9"/>
      <c r="G161" s="17"/>
      <c r="H161" s="17"/>
      <c r="I161" s="9"/>
      <c r="J161" s="9"/>
      <c r="K161" s="10">
        <v>0</v>
      </c>
      <c r="L161" s="10"/>
      <c r="M161" s="11"/>
      <c r="N161" s="12"/>
      <c r="O161" s="13"/>
      <c r="P161" s="14"/>
    </row>
    <row r="162" spans="1:21" x14ac:dyDescent="0.25">
      <c r="A162" s="6"/>
      <c r="B162" s="7"/>
      <c r="C162" s="8"/>
      <c r="D162" s="8"/>
      <c r="E162" s="9"/>
      <c r="F162" s="9"/>
      <c r="G162" s="17"/>
      <c r="H162" s="17"/>
      <c r="I162" s="9"/>
      <c r="J162" s="9"/>
      <c r="K162" s="10">
        <v>0</v>
      </c>
      <c r="L162" s="10"/>
      <c r="M162" s="11"/>
      <c r="N162" s="12"/>
      <c r="O162" s="13"/>
      <c r="P162" s="14"/>
      <c r="Q162" s="2"/>
    </row>
    <row r="163" spans="1:21" x14ac:dyDescent="0.25">
      <c r="A163" s="6"/>
      <c r="B163" s="7"/>
      <c r="C163" s="8"/>
      <c r="D163" s="8"/>
      <c r="E163" s="9"/>
      <c r="F163" s="9"/>
      <c r="G163" s="17"/>
      <c r="H163" s="17"/>
      <c r="I163" s="9"/>
      <c r="J163" s="9"/>
      <c r="K163" s="10">
        <v>0</v>
      </c>
      <c r="L163" s="10"/>
      <c r="M163" s="11"/>
      <c r="N163" s="12"/>
      <c r="O163" s="13"/>
      <c r="P163" s="14"/>
    </row>
    <row r="164" spans="1:21" x14ac:dyDescent="0.25">
      <c r="A164" s="6"/>
      <c r="B164" s="7"/>
      <c r="C164" s="8"/>
      <c r="D164" s="8"/>
      <c r="E164" s="9"/>
      <c r="F164" s="9"/>
      <c r="G164" s="17"/>
      <c r="H164" s="17"/>
      <c r="I164" s="9"/>
      <c r="J164" s="9"/>
      <c r="K164" s="10">
        <v>0</v>
      </c>
      <c r="L164" s="10"/>
      <c r="M164" s="11"/>
      <c r="N164" s="12"/>
      <c r="O164" s="13"/>
      <c r="P164" s="14"/>
    </row>
    <row r="165" spans="1:21" x14ac:dyDescent="0.25">
      <c r="A165" s="6"/>
      <c r="B165" s="7"/>
      <c r="C165" s="8"/>
      <c r="D165" s="8"/>
      <c r="E165" s="9"/>
      <c r="F165" s="9"/>
      <c r="G165" s="17"/>
      <c r="H165" s="17"/>
      <c r="I165" s="9"/>
      <c r="J165" s="9"/>
      <c r="K165" s="10">
        <v>0</v>
      </c>
      <c r="L165" s="10"/>
      <c r="M165" s="11"/>
      <c r="N165" s="12"/>
      <c r="O165" s="13"/>
      <c r="P165" s="14"/>
      <c r="U165" s="23"/>
    </row>
    <row r="166" spans="1:21" x14ac:dyDescent="0.25">
      <c r="A166" s="6"/>
      <c r="B166" s="7"/>
      <c r="C166" s="8"/>
      <c r="D166" s="8"/>
      <c r="E166" s="9"/>
      <c r="F166" s="9"/>
      <c r="G166" s="17"/>
      <c r="H166" s="17"/>
      <c r="I166" s="9"/>
      <c r="J166" s="9"/>
      <c r="K166" s="10">
        <v>0</v>
      </c>
      <c r="L166" s="10"/>
      <c r="M166" s="11"/>
      <c r="N166" s="12"/>
      <c r="O166" s="13"/>
      <c r="P166" s="14"/>
    </row>
    <row r="167" spans="1:21" x14ac:dyDescent="0.25">
      <c r="A167" s="6"/>
      <c r="B167" s="7"/>
      <c r="C167" s="8"/>
      <c r="D167" s="8"/>
      <c r="E167" s="9"/>
      <c r="F167" s="9"/>
      <c r="G167" s="17"/>
      <c r="H167" s="17"/>
      <c r="I167" s="9"/>
      <c r="J167" s="9"/>
      <c r="K167" s="10">
        <v>0</v>
      </c>
      <c r="L167" s="10"/>
      <c r="M167" s="11"/>
      <c r="N167" s="12"/>
      <c r="O167" s="13"/>
      <c r="P167" s="14"/>
    </row>
    <row r="168" spans="1:21" x14ac:dyDescent="0.25">
      <c r="A168" s="6"/>
      <c r="B168" s="15"/>
      <c r="C168" s="8"/>
      <c r="D168" s="8"/>
      <c r="E168" s="9"/>
      <c r="F168" s="9"/>
      <c r="G168" s="17"/>
      <c r="H168" s="17"/>
      <c r="I168" s="9"/>
      <c r="J168" s="9"/>
      <c r="K168" s="10">
        <v>0</v>
      </c>
      <c r="L168" s="10"/>
      <c r="M168" s="11"/>
      <c r="N168" s="12"/>
      <c r="O168" s="13"/>
      <c r="P168" s="14"/>
    </row>
    <row r="169" spans="1:21" x14ac:dyDescent="0.25">
      <c r="A169" s="6"/>
      <c r="B169" s="7"/>
      <c r="C169" s="8"/>
      <c r="D169" s="8"/>
      <c r="E169" s="9"/>
      <c r="F169" s="9"/>
      <c r="G169" s="17"/>
      <c r="H169" s="17"/>
      <c r="I169" s="9"/>
      <c r="J169" s="9"/>
      <c r="K169" s="10">
        <v>0</v>
      </c>
      <c r="L169" s="10"/>
      <c r="M169" s="11"/>
      <c r="N169" s="12"/>
      <c r="O169" s="13"/>
      <c r="P169" s="14"/>
    </row>
    <row r="170" spans="1:21" x14ac:dyDescent="0.25">
      <c r="A170" s="6"/>
      <c r="B170" s="7"/>
      <c r="C170" s="8"/>
      <c r="D170" s="8"/>
      <c r="E170" s="9"/>
      <c r="F170" s="9"/>
      <c r="G170" s="17"/>
      <c r="H170" s="17"/>
      <c r="I170" s="9"/>
      <c r="J170" s="9"/>
      <c r="K170" s="10">
        <v>0</v>
      </c>
      <c r="L170" s="10"/>
      <c r="M170" s="11"/>
      <c r="N170" s="12"/>
      <c r="O170" s="13"/>
      <c r="P170" s="14"/>
    </row>
    <row r="171" spans="1:21" x14ac:dyDescent="0.25">
      <c r="A171" s="6"/>
      <c r="B171" s="7"/>
      <c r="C171" s="8"/>
      <c r="D171" s="8"/>
      <c r="E171" s="9"/>
      <c r="F171" s="9"/>
      <c r="G171" s="17"/>
      <c r="H171" s="17"/>
      <c r="I171" s="9"/>
      <c r="J171" s="9"/>
      <c r="K171" s="10">
        <v>0</v>
      </c>
      <c r="L171" s="10"/>
      <c r="M171" s="11"/>
      <c r="N171" s="12"/>
      <c r="O171" s="13"/>
      <c r="P171" s="14"/>
    </row>
    <row r="172" spans="1:21" x14ac:dyDescent="0.25">
      <c r="A172" s="6"/>
      <c r="B172" s="7"/>
      <c r="C172" s="8"/>
      <c r="D172" s="8"/>
      <c r="E172" s="9"/>
      <c r="F172" s="9"/>
      <c r="G172" s="17"/>
      <c r="H172" s="17"/>
      <c r="I172" s="9"/>
      <c r="J172" s="9"/>
      <c r="K172" s="10">
        <v>0</v>
      </c>
      <c r="L172" s="10"/>
      <c r="M172" s="11"/>
      <c r="N172" s="12"/>
      <c r="O172" s="13"/>
      <c r="P172" s="14"/>
    </row>
    <row r="173" spans="1:21" x14ac:dyDescent="0.25">
      <c r="A173" s="6"/>
      <c r="B173" s="7"/>
      <c r="C173" s="8"/>
      <c r="D173" s="8"/>
      <c r="E173" s="9"/>
      <c r="F173" s="9"/>
      <c r="G173" s="17"/>
      <c r="H173" s="17"/>
      <c r="I173" s="9"/>
      <c r="J173" s="9"/>
      <c r="K173" s="10">
        <v>0</v>
      </c>
      <c r="L173" s="10"/>
      <c r="M173" s="11"/>
      <c r="N173" s="12"/>
      <c r="O173" s="13"/>
      <c r="P173" s="14"/>
      <c r="Q173" s="2"/>
    </row>
    <row r="174" spans="1:21" x14ac:dyDescent="0.25">
      <c r="A174" s="6"/>
      <c r="B174" s="7"/>
      <c r="C174" s="8"/>
      <c r="D174" s="8"/>
      <c r="E174" s="9"/>
      <c r="F174" s="9"/>
      <c r="G174" s="17"/>
      <c r="H174" s="17"/>
      <c r="I174" s="9"/>
      <c r="J174" s="9"/>
      <c r="K174" s="10">
        <v>0</v>
      </c>
      <c r="L174" s="10"/>
      <c r="M174" s="11"/>
      <c r="N174" s="12"/>
      <c r="O174" s="13"/>
      <c r="P174" s="14"/>
    </row>
    <row r="175" spans="1:21" x14ac:dyDescent="0.25">
      <c r="A175" s="6"/>
      <c r="B175" s="7"/>
      <c r="C175" s="8"/>
      <c r="D175" s="8"/>
      <c r="E175" s="9"/>
      <c r="F175" s="9"/>
      <c r="G175" s="17"/>
      <c r="H175" s="17"/>
      <c r="I175" s="9"/>
      <c r="J175" s="9"/>
      <c r="K175" s="10">
        <v>0</v>
      </c>
      <c r="L175" s="10"/>
      <c r="M175" s="11"/>
      <c r="N175" s="12"/>
      <c r="O175" s="13"/>
      <c r="P175" s="14"/>
    </row>
    <row r="176" spans="1:21" x14ac:dyDescent="0.25">
      <c r="A176" s="6"/>
      <c r="B176" s="7"/>
      <c r="C176" s="8"/>
      <c r="D176" s="8"/>
      <c r="E176" s="9"/>
      <c r="F176" s="9"/>
      <c r="G176" s="17"/>
      <c r="H176" s="17"/>
      <c r="I176" s="9"/>
      <c r="J176" s="9"/>
      <c r="K176" s="10">
        <v>0</v>
      </c>
      <c r="L176" s="10"/>
      <c r="M176" s="11"/>
      <c r="N176" s="12"/>
      <c r="O176" s="13"/>
      <c r="P176" s="14"/>
    </row>
    <row r="177" spans="1:16" x14ac:dyDescent="0.25">
      <c r="A177" s="6"/>
      <c r="B177" s="7"/>
      <c r="C177" s="8"/>
      <c r="D177" s="8"/>
      <c r="E177" s="9"/>
      <c r="F177" s="9"/>
      <c r="G177" s="17"/>
      <c r="H177" s="17"/>
      <c r="I177" s="9"/>
      <c r="J177" s="9"/>
      <c r="K177" s="10">
        <v>0</v>
      </c>
      <c r="L177" s="10"/>
      <c r="M177" s="11"/>
      <c r="N177" s="12"/>
      <c r="O177" s="13"/>
      <c r="P177" s="14"/>
    </row>
    <row r="178" spans="1:16" x14ac:dyDescent="0.25">
      <c r="A178" s="6"/>
      <c r="B178" s="7"/>
      <c r="C178" s="8"/>
      <c r="D178" s="8"/>
      <c r="E178" s="9"/>
      <c r="F178" s="9"/>
      <c r="G178" s="17"/>
      <c r="H178" s="17"/>
      <c r="I178" s="9"/>
      <c r="J178" s="9"/>
      <c r="K178" s="10">
        <v>0</v>
      </c>
      <c r="L178" s="10"/>
      <c r="M178" s="11"/>
      <c r="N178" s="12"/>
      <c r="O178" s="13"/>
      <c r="P178" s="14"/>
    </row>
    <row r="179" spans="1:16" x14ac:dyDescent="0.25">
      <c r="A179" s="6"/>
      <c r="B179" s="7"/>
      <c r="C179" s="8"/>
      <c r="D179" s="8"/>
      <c r="E179" s="9"/>
      <c r="F179" s="9"/>
      <c r="G179" s="17"/>
      <c r="H179" s="17"/>
      <c r="I179" s="9"/>
      <c r="J179" s="9"/>
      <c r="K179" s="10">
        <v>0</v>
      </c>
      <c r="L179" s="10"/>
      <c r="M179" s="11"/>
      <c r="N179" s="12"/>
      <c r="O179" s="13"/>
      <c r="P179" s="14"/>
    </row>
    <row r="180" spans="1:16" x14ac:dyDescent="0.25">
      <c r="A180" s="6"/>
      <c r="B180" s="7"/>
      <c r="C180" s="8"/>
      <c r="D180" s="8"/>
      <c r="E180" s="9"/>
      <c r="F180" s="9"/>
      <c r="G180" s="17"/>
      <c r="H180" s="17"/>
      <c r="I180" s="9"/>
      <c r="J180" s="9"/>
      <c r="K180" s="10">
        <v>0</v>
      </c>
      <c r="L180" s="10"/>
      <c r="M180" s="11"/>
      <c r="N180" s="12"/>
      <c r="O180" s="13"/>
      <c r="P180" s="14"/>
    </row>
    <row r="181" spans="1:16" x14ac:dyDescent="0.25">
      <c r="A181" s="6"/>
      <c r="B181" s="7"/>
      <c r="C181" s="8"/>
      <c r="D181" s="8"/>
      <c r="E181" s="9"/>
      <c r="F181" s="9"/>
      <c r="G181" s="17"/>
      <c r="H181" s="17"/>
      <c r="I181" s="9"/>
      <c r="J181" s="9"/>
      <c r="K181" s="10">
        <v>0</v>
      </c>
      <c r="L181" s="10"/>
      <c r="M181" s="11"/>
      <c r="N181" s="12"/>
      <c r="O181" s="13"/>
      <c r="P181" s="14"/>
    </row>
    <row r="182" spans="1:16" x14ac:dyDescent="0.25">
      <c r="A182" s="6"/>
      <c r="B182" s="7"/>
      <c r="C182" s="8"/>
      <c r="D182" s="8"/>
      <c r="E182" s="9"/>
      <c r="F182" s="9"/>
      <c r="G182" s="17"/>
      <c r="H182" s="17"/>
      <c r="I182" s="9"/>
      <c r="J182" s="9"/>
      <c r="K182" s="10">
        <v>0</v>
      </c>
      <c r="L182" s="10"/>
      <c r="M182" s="11"/>
      <c r="N182" s="12"/>
      <c r="O182" s="13"/>
      <c r="P182" s="14"/>
    </row>
    <row r="183" spans="1:16" x14ac:dyDescent="0.25">
      <c r="A183" s="6"/>
      <c r="B183" s="7"/>
      <c r="C183" s="8"/>
      <c r="D183" s="8"/>
      <c r="E183" s="9"/>
      <c r="F183" s="9"/>
      <c r="G183" s="17"/>
      <c r="H183" s="17"/>
      <c r="I183" s="9"/>
      <c r="J183" s="9"/>
      <c r="K183" s="10">
        <v>0</v>
      </c>
      <c r="L183" s="10"/>
      <c r="M183" s="11"/>
      <c r="N183" s="12"/>
      <c r="O183" s="13"/>
      <c r="P183" s="14"/>
    </row>
    <row r="184" spans="1:16" x14ac:dyDescent="0.25">
      <c r="A184" s="6"/>
      <c r="B184" s="7"/>
      <c r="C184" s="8"/>
      <c r="D184" s="8"/>
      <c r="E184" s="9"/>
      <c r="F184" s="9"/>
      <c r="G184" s="17"/>
      <c r="H184" s="17"/>
      <c r="I184" s="9"/>
      <c r="J184" s="9"/>
      <c r="K184" s="10">
        <v>0</v>
      </c>
      <c r="L184" s="10"/>
      <c r="M184" s="11"/>
      <c r="N184" s="12"/>
      <c r="O184" s="13"/>
      <c r="P184" s="14"/>
    </row>
    <row r="185" spans="1:16" x14ac:dyDescent="0.25">
      <c r="A185" s="6"/>
      <c r="B185" s="7"/>
      <c r="C185" s="8"/>
      <c r="D185" s="8"/>
      <c r="E185" s="9"/>
      <c r="F185" s="9"/>
      <c r="G185" s="17"/>
      <c r="H185" s="17"/>
      <c r="I185" s="9"/>
      <c r="J185" s="9"/>
      <c r="K185" s="10">
        <v>0</v>
      </c>
      <c r="L185" s="10"/>
      <c r="M185" s="11"/>
      <c r="N185" s="12"/>
      <c r="O185" s="13"/>
      <c r="P185" s="14"/>
    </row>
    <row r="186" spans="1:16" x14ac:dyDescent="0.25">
      <c r="A186" s="6"/>
      <c r="B186" s="7"/>
      <c r="C186" s="8"/>
      <c r="D186" s="8"/>
      <c r="E186" s="9"/>
      <c r="F186" s="9"/>
      <c r="G186" s="17"/>
      <c r="H186" s="17"/>
      <c r="I186" s="9"/>
      <c r="J186" s="9"/>
      <c r="K186" s="10">
        <v>0</v>
      </c>
      <c r="L186" s="10"/>
      <c r="M186" s="11"/>
      <c r="N186" s="12"/>
      <c r="O186" s="13"/>
      <c r="P186" s="14"/>
    </row>
    <row r="187" spans="1:16" x14ac:dyDescent="0.25">
      <c r="A187" s="6"/>
      <c r="B187" s="7"/>
      <c r="C187" s="8"/>
      <c r="D187" s="8"/>
      <c r="E187" s="9"/>
      <c r="F187" s="9"/>
      <c r="G187" s="17"/>
      <c r="H187" s="17"/>
      <c r="I187" s="9"/>
      <c r="J187" s="9"/>
      <c r="K187" s="10">
        <v>0</v>
      </c>
      <c r="L187" s="10"/>
      <c r="M187" s="11"/>
      <c r="N187" s="12"/>
      <c r="O187" s="13"/>
      <c r="P187" s="14"/>
    </row>
    <row r="188" spans="1:16" x14ac:dyDescent="0.25">
      <c r="A188" s="6"/>
      <c r="B188" s="7"/>
      <c r="C188" s="8"/>
      <c r="D188" s="8"/>
      <c r="E188" s="9"/>
      <c r="F188" s="9"/>
      <c r="G188" s="17"/>
      <c r="H188" s="17"/>
      <c r="I188" s="9"/>
      <c r="J188" s="9"/>
      <c r="K188" s="10">
        <v>0</v>
      </c>
      <c r="L188" s="10"/>
      <c r="M188" s="11"/>
      <c r="N188" s="12"/>
      <c r="O188" s="13"/>
      <c r="P188" s="14"/>
    </row>
    <row r="189" spans="1:16" x14ac:dyDescent="0.25">
      <c r="A189" s="6"/>
      <c r="B189" s="7"/>
      <c r="C189" s="8"/>
      <c r="D189" s="8"/>
      <c r="E189" s="9"/>
      <c r="F189" s="9"/>
      <c r="G189" s="17"/>
      <c r="H189" s="17"/>
      <c r="I189" s="9"/>
      <c r="J189" s="9"/>
      <c r="K189" s="10">
        <v>0</v>
      </c>
      <c r="L189" s="10"/>
      <c r="M189" s="11"/>
      <c r="N189" s="12"/>
      <c r="O189" s="13"/>
      <c r="P189" s="14"/>
    </row>
    <row r="190" spans="1:16" x14ac:dyDescent="0.25">
      <c r="A190" s="6"/>
      <c r="B190" s="7"/>
      <c r="C190" s="8"/>
      <c r="D190" s="8"/>
      <c r="E190" s="9"/>
      <c r="F190" s="9"/>
      <c r="G190" s="17"/>
      <c r="H190" s="17"/>
      <c r="I190" s="9"/>
      <c r="J190" s="9"/>
      <c r="K190" s="10">
        <v>0</v>
      </c>
      <c r="L190" s="10"/>
      <c r="M190" s="11"/>
      <c r="N190" s="12"/>
      <c r="O190" s="13"/>
      <c r="P190" s="14"/>
    </row>
    <row r="191" spans="1:16" x14ac:dyDescent="0.25">
      <c r="A191" s="6"/>
      <c r="B191" s="7"/>
      <c r="C191" s="8"/>
      <c r="D191" s="8"/>
      <c r="E191" s="9"/>
      <c r="F191" s="9"/>
      <c r="G191" s="17"/>
      <c r="H191" s="17"/>
      <c r="I191" s="9"/>
      <c r="J191" s="9"/>
      <c r="K191" s="10">
        <v>0</v>
      </c>
      <c r="L191" s="10"/>
      <c r="M191" s="11"/>
      <c r="N191" s="12"/>
      <c r="O191" s="13"/>
      <c r="P191" s="14"/>
    </row>
    <row r="192" spans="1:16" x14ac:dyDescent="0.25">
      <c r="A192" s="6"/>
      <c r="B192" s="7"/>
      <c r="C192" s="8"/>
      <c r="D192" s="8"/>
      <c r="E192" s="9"/>
      <c r="F192" s="9"/>
      <c r="G192" s="17"/>
      <c r="H192" s="17"/>
      <c r="I192" s="9"/>
      <c r="J192" s="9"/>
      <c r="K192" s="10">
        <v>0</v>
      </c>
      <c r="L192" s="10"/>
      <c r="M192" s="11"/>
      <c r="N192" s="12"/>
      <c r="O192" s="13"/>
      <c r="P192" s="14"/>
    </row>
    <row r="193" spans="1:17" x14ac:dyDescent="0.25">
      <c r="A193" s="6"/>
      <c r="B193" s="7"/>
      <c r="C193" s="8"/>
      <c r="D193" s="8"/>
      <c r="E193" s="9"/>
      <c r="F193" s="9"/>
      <c r="G193" s="17"/>
      <c r="H193" s="17"/>
      <c r="I193" s="9"/>
      <c r="J193" s="9"/>
      <c r="K193" s="10">
        <v>0</v>
      </c>
      <c r="L193" s="10"/>
      <c r="M193" s="11"/>
      <c r="N193" s="12"/>
      <c r="O193" s="13"/>
      <c r="P193" s="14"/>
    </row>
    <row r="194" spans="1:17" x14ac:dyDescent="0.25">
      <c r="A194" s="6"/>
      <c r="B194" s="7"/>
      <c r="C194" s="8"/>
      <c r="D194" s="8"/>
      <c r="E194" s="9"/>
      <c r="F194" s="9"/>
      <c r="G194" s="17"/>
      <c r="H194" s="17"/>
      <c r="I194" s="9"/>
      <c r="J194" s="9"/>
      <c r="K194" s="10">
        <v>0</v>
      </c>
      <c r="L194" s="10"/>
      <c r="M194" s="11"/>
      <c r="N194" s="12"/>
      <c r="O194" s="13"/>
      <c r="P194" s="14"/>
    </row>
    <row r="195" spans="1:17" x14ac:dyDescent="0.25">
      <c r="A195" s="6"/>
      <c r="B195" s="7"/>
      <c r="C195" s="8"/>
      <c r="D195" s="8"/>
      <c r="E195" s="9"/>
      <c r="F195" s="9"/>
      <c r="G195" s="17"/>
      <c r="H195" s="17"/>
      <c r="I195" s="9"/>
      <c r="J195" s="9"/>
      <c r="K195" s="10">
        <v>0</v>
      </c>
      <c r="L195" s="10"/>
      <c r="M195" s="11"/>
      <c r="N195" s="12"/>
      <c r="O195" s="13"/>
      <c r="P195" s="14"/>
    </row>
    <row r="196" spans="1:17" x14ac:dyDescent="0.25">
      <c r="A196" s="6"/>
      <c r="B196" s="7"/>
      <c r="C196" s="8"/>
      <c r="D196" s="8"/>
      <c r="E196" s="9"/>
      <c r="F196" s="9"/>
      <c r="G196" s="17"/>
      <c r="H196" s="17"/>
      <c r="I196" s="9"/>
      <c r="J196" s="9"/>
      <c r="K196" s="10">
        <v>0</v>
      </c>
      <c r="L196" s="10"/>
      <c r="M196" s="11"/>
      <c r="N196" s="12"/>
      <c r="O196" s="13"/>
      <c r="P196" s="14"/>
    </row>
    <row r="197" spans="1:17" x14ac:dyDescent="0.25">
      <c r="A197" s="6"/>
      <c r="B197" s="7"/>
      <c r="C197" s="8"/>
      <c r="D197" s="8"/>
      <c r="E197" s="9"/>
      <c r="F197" s="9"/>
      <c r="G197" s="17"/>
      <c r="H197" s="17"/>
      <c r="I197" s="9"/>
      <c r="J197" s="9"/>
      <c r="K197" s="10">
        <v>0</v>
      </c>
      <c r="L197" s="10"/>
      <c r="M197" s="11"/>
      <c r="N197" s="12"/>
      <c r="O197" s="13"/>
      <c r="P197" s="14"/>
    </row>
    <row r="198" spans="1:17" x14ac:dyDescent="0.25">
      <c r="A198" s="6"/>
      <c r="B198" s="7"/>
      <c r="C198" s="8"/>
      <c r="D198" s="8"/>
      <c r="E198" s="9"/>
      <c r="F198" s="9"/>
      <c r="G198" s="17"/>
      <c r="H198" s="17"/>
      <c r="I198" s="9"/>
      <c r="J198" s="9"/>
      <c r="K198" s="10">
        <v>0</v>
      </c>
      <c r="L198" s="10"/>
      <c r="M198" s="11"/>
      <c r="N198" s="12"/>
      <c r="O198" s="13"/>
      <c r="P198" s="14"/>
    </row>
    <row r="199" spans="1:17" x14ac:dyDescent="0.25">
      <c r="A199" s="6"/>
      <c r="B199" s="7"/>
      <c r="C199" s="8"/>
      <c r="D199" s="8"/>
      <c r="E199" s="9"/>
      <c r="F199" s="9"/>
      <c r="G199" s="17"/>
      <c r="H199" s="17"/>
      <c r="I199" s="9"/>
      <c r="J199" s="9"/>
      <c r="K199" s="10">
        <v>0</v>
      </c>
      <c r="L199" s="10"/>
      <c r="M199" s="11"/>
      <c r="N199" s="12"/>
      <c r="O199" s="13"/>
      <c r="P199" s="14"/>
    </row>
    <row r="200" spans="1:17" x14ac:dyDescent="0.25">
      <c r="A200" s="6"/>
      <c r="B200" s="7"/>
      <c r="C200" s="8"/>
      <c r="D200" s="8"/>
      <c r="E200" s="9"/>
      <c r="F200" s="9"/>
      <c r="G200" s="17"/>
      <c r="H200" s="17"/>
      <c r="I200" s="9"/>
      <c r="J200" s="9"/>
      <c r="K200" s="10">
        <v>0</v>
      </c>
      <c r="L200" s="10"/>
      <c r="M200" s="11"/>
      <c r="N200" s="12"/>
      <c r="O200" s="13"/>
      <c r="P200" s="14"/>
      <c r="Q200" s="2"/>
    </row>
    <row r="201" spans="1:17" x14ac:dyDescent="0.25">
      <c r="A201" s="6"/>
      <c r="B201" s="7"/>
      <c r="C201" s="8"/>
      <c r="D201" s="8"/>
      <c r="E201" s="9"/>
      <c r="F201" s="9"/>
      <c r="G201" s="17"/>
      <c r="H201" s="17"/>
      <c r="I201" s="9"/>
      <c r="J201" s="9"/>
      <c r="K201" s="10">
        <v>0</v>
      </c>
      <c r="L201" s="10"/>
      <c r="M201" s="11"/>
      <c r="N201" s="12"/>
      <c r="O201" s="13"/>
      <c r="P201" s="14"/>
    </row>
    <row r="202" spans="1:17" x14ac:dyDescent="0.25">
      <c r="A202" s="6"/>
      <c r="B202" s="7"/>
      <c r="C202" s="8"/>
      <c r="D202" s="8"/>
      <c r="E202" s="9"/>
      <c r="F202" s="9"/>
      <c r="G202" s="17"/>
      <c r="H202" s="17"/>
      <c r="I202" s="9"/>
      <c r="J202" s="9"/>
      <c r="K202" s="10">
        <v>0</v>
      </c>
      <c r="L202" s="10"/>
      <c r="M202" s="11"/>
      <c r="N202" s="12"/>
      <c r="O202" s="13"/>
      <c r="P202" s="14"/>
    </row>
    <row r="203" spans="1:17" x14ac:dyDescent="0.25">
      <c r="A203" s="6"/>
      <c r="B203" s="7"/>
      <c r="C203" s="8"/>
      <c r="D203" s="8"/>
      <c r="E203" s="9"/>
      <c r="F203" s="9"/>
      <c r="G203" s="17"/>
      <c r="H203" s="17"/>
      <c r="I203" s="9"/>
      <c r="J203" s="9"/>
      <c r="K203" s="10">
        <v>0</v>
      </c>
      <c r="L203" s="10"/>
      <c r="M203" s="11"/>
      <c r="N203" s="12"/>
      <c r="O203" s="13"/>
      <c r="P203" s="14"/>
    </row>
    <row r="204" spans="1:17" x14ac:dyDescent="0.25">
      <c r="A204" s="6"/>
      <c r="B204" s="7"/>
      <c r="C204" s="8"/>
      <c r="D204" s="8"/>
      <c r="E204" s="9"/>
      <c r="F204" s="9"/>
      <c r="G204" s="17"/>
      <c r="H204" s="17"/>
      <c r="I204" s="9"/>
      <c r="J204" s="21"/>
      <c r="K204" s="10">
        <v>0</v>
      </c>
      <c r="L204" s="10"/>
      <c r="M204" s="11"/>
      <c r="N204" s="12"/>
      <c r="O204" s="13"/>
      <c r="P204" s="14"/>
    </row>
    <row r="205" spans="1:17" x14ac:dyDescent="0.25">
      <c r="A205" s="6"/>
      <c r="B205" s="7"/>
      <c r="C205" s="8"/>
      <c r="D205" s="8"/>
      <c r="E205" s="9"/>
      <c r="F205" s="9"/>
      <c r="G205" s="17"/>
      <c r="H205" s="17"/>
      <c r="I205" s="9"/>
      <c r="J205" s="9"/>
      <c r="K205" s="10">
        <v>0</v>
      </c>
      <c r="L205" s="10"/>
      <c r="M205" s="11"/>
      <c r="N205" s="12"/>
      <c r="O205" s="13"/>
      <c r="P205" s="14"/>
    </row>
    <row r="206" spans="1:17" x14ac:dyDescent="0.25">
      <c r="A206" s="6"/>
      <c r="B206" s="7"/>
      <c r="C206" s="8"/>
      <c r="D206" s="8"/>
      <c r="E206" s="9"/>
      <c r="F206" s="9"/>
      <c r="G206" s="17"/>
      <c r="H206" s="17"/>
      <c r="I206" s="9"/>
      <c r="J206" s="21"/>
      <c r="K206" s="10">
        <v>0</v>
      </c>
      <c r="L206" s="10"/>
      <c r="M206" s="11"/>
      <c r="N206" s="12"/>
      <c r="O206" s="13"/>
      <c r="P206" s="14"/>
    </row>
    <row r="207" spans="1:17" x14ac:dyDescent="0.25">
      <c r="A207" s="6"/>
      <c r="B207" s="7"/>
      <c r="C207" s="8"/>
      <c r="D207" s="8"/>
      <c r="E207" s="9"/>
      <c r="F207" s="9"/>
      <c r="G207" s="17"/>
      <c r="H207" s="17"/>
      <c r="I207" s="9"/>
      <c r="J207" s="9"/>
      <c r="K207" s="10">
        <v>0</v>
      </c>
      <c r="L207" s="10"/>
      <c r="M207" s="11"/>
      <c r="N207" s="12"/>
      <c r="O207" s="13"/>
      <c r="P207" s="14"/>
    </row>
    <row r="208" spans="1:17" x14ac:dyDescent="0.25">
      <c r="A208" s="6"/>
      <c r="B208" s="15"/>
      <c r="C208" s="8"/>
      <c r="D208" s="8"/>
      <c r="E208" s="9"/>
      <c r="F208" s="9"/>
      <c r="G208" s="17"/>
      <c r="H208" s="17"/>
      <c r="I208" s="9"/>
      <c r="J208" s="9"/>
      <c r="K208" s="10">
        <v>0</v>
      </c>
      <c r="L208" s="10"/>
      <c r="M208" s="11"/>
      <c r="N208" s="12"/>
      <c r="O208" s="13"/>
      <c r="P208" s="14"/>
    </row>
    <row r="209" spans="1:17" x14ac:dyDescent="0.25">
      <c r="A209" s="6"/>
      <c r="B209" s="7"/>
      <c r="C209" s="8"/>
      <c r="D209" s="8"/>
      <c r="E209" s="9"/>
      <c r="F209" s="9"/>
      <c r="G209" s="17"/>
      <c r="H209" s="17"/>
      <c r="I209" s="9"/>
      <c r="J209" s="9"/>
      <c r="K209" s="10">
        <v>0</v>
      </c>
      <c r="L209" s="10"/>
      <c r="M209" s="11"/>
      <c r="N209" s="12"/>
      <c r="O209" s="13"/>
      <c r="P209" s="14"/>
    </row>
    <row r="210" spans="1:17" x14ac:dyDescent="0.25">
      <c r="A210" s="6"/>
      <c r="B210" s="7"/>
      <c r="C210" s="8"/>
      <c r="D210" s="8"/>
      <c r="E210" s="9"/>
      <c r="F210" s="9"/>
      <c r="G210" s="17"/>
      <c r="H210" s="17"/>
      <c r="I210" s="9"/>
      <c r="J210" s="9"/>
      <c r="K210" s="10">
        <v>0</v>
      </c>
      <c r="L210" s="10"/>
      <c r="M210" s="11"/>
      <c r="N210" s="12"/>
      <c r="O210" s="13"/>
      <c r="P210" s="14"/>
    </row>
    <row r="211" spans="1:17" x14ac:dyDescent="0.25">
      <c r="A211" s="6"/>
      <c r="B211" s="7"/>
      <c r="C211" s="8"/>
      <c r="D211" s="8"/>
      <c r="E211" s="9"/>
      <c r="F211" s="9"/>
      <c r="G211" s="17"/>
      <c r="H211" s="17"/>
      <c r="I211" s="9"/>
      <c r="J211" s="9"/>
      <c r="K211" s="10">
        <v>0</v>
      </c>
      <c r="L211" s="10"/>
      <c r="M211" s="11"/>
      <c r="N211" s="12"/>
      <c r="O211" s="13"/>
      <c r="P211" s="14"/>
    </row>
    <row r="212" spans="1:17" x14ac:dyDescent="0.25">
      <c r="A212" s="6"/>
      <c r="B212" s="7"/>
      <c r="C212" s="8"/>
      <c r="D212" s="8"/>
      <c r="E212" s="9"/>
      <c r="F212" s="9"/>
      <c r="G212" s="17"/>
      <c r="H212" s="17"/>
      <c r="I212" s="9"/>
      <c r="J212" s="9"/>
      <c r="K212" s="10">
        <v>0</v>
      </c>
      <c r="L212" s="10"/>
      <c r="M212" s="11"/>
      <c r="N212" s="12"/>
      <c r="O212" s="13"/>
      <c r="P212" s="14"/>
    </row>
    <row r="213" spans="1:17" x14ac:dyDescent="0.25">
      <c r="A213" s="6"/>
      <c r="B213" s="7"/>
      <c r="C213" s="8"/>
      <c r="D213" s="8"/>
      <c r="E213" s="9"/>
      <c r="F213" s="9"/>
      <c r="G213" s="17"/>
      <c r="H213" s="17"/>
      <c r="I213" s="9"/>
      <c r="J213" s="9"/>
      <c r="K213" s="10">
        <v>0</v>
      </c>
      <c r="L213" s="10"/>
      <c r="M213" s="11"/>
      <c r="N213" s="12"/>
      <c r="O213" s="13"/>
      <c r="P213" s="14"/>
    </row>
    <row r="214" spans="1:17" x14ac:dyDescent="0.25">
      <c r="A214" s="6"/>
      <c r="B214" s="7"/>
      <c r="C214" s="8"/>
      <c r="D214" s="8"/>
      <c r="E214" s="9"/>
      <c r="F214" s="9"/>
      <c r="G214" s="17"/>
      <c r="H214" s="17"/>
      <c r="I214" s="9"/>
      <c r="J214" s="9"/>
      <c r="K214" s="10">
        <v>0</v>
      </c>
      <c r="L214" s="10"/>
      <c r="M214" s="11"/>
      <c r="N214" s="12"/>
      <c r="O214" s="13"/>
      <c r="P214" s="14"/>
    </row>
    <row r="215" spans="1:17" x14ac:dyDescent="0.25">
      <c r="A215" s="6"/>
      <c r="B215" s="7"/>
      <c r="C215" s="8"/>
      <c r="D215" s="8"/>
      <c r="E215" s="9"/>
      <c r="F215" s="9"/>
      <c r="G215" s="17"/>
      <c r="H215" s="17"/>
      <c r="I215" s="9"/>
      <c r="J215" s="9"/>
      <c r="K215" s="10">
        <v>0</v>
      </c>
      <c r="L215" s="10"/>
      <c r="M215" s="11"/>
      <c r="N215" s="12"/>
      <c r="O215" s="13"/>
      <c r="P215" s="14"/>
    </row>
    <row r="216" spans="1:17" x14ac:dyDescent="0.25">
      <c r="A216" s="6"/>
      <c r="B216" s="7"/>
      <c r="C216" s="8"/>
      <c r="D216" s="8"/>
      <c r="E216" s="9"/>
      <c r="F216" s="9"/>
      <c r="G216" s="17"/>
      <c r="H216" s="17"/>
      <c r="I216" s="9"/>
      <c r="J216" s="9"/>
      <c r="K216" s="10">
        <v>0</v>
      </c>
      <c r="L216" s="10"/>
      <c r="M216" s="11"/>
      <c r="N216" s="12"/>
      <c r="O216" s="13"/>
      <c r="P216" s="14"/>
    </row>
    <row r="217" spans="1:17" x14ac:dyDescent="0.25">
      <c r="A217" s="6"/>
      <c r="B217" s="7"/>
      <c r="C217" s="8"/>
      <c r="D217" s="8"/>
      <c r="E217" s="9"/>
      <c r="F217" s="9"/>
      <c r="G217" s="17"/>
      <c r="H217" s="17"/>
      <c r="I217" s="9"/>
      <c r="J217" s="9"/>
      <c r="K217" s="10">
        <v>0</v>
      </c>
      <c r="L217" s="10"/>
      <c r="M217" s="11"/>
      <c r="N217" s="12"/>
      <c r="O217" s="13"/>
      <c r="P217" s="14"/>
    </row>
    <row r="218" spans="1:17" x14ac:dyDescent="0.25">
      <c r="A218" s="6"/>
      <c r="B218" s="7"/>
      <c r="C218" s="8"/>
      <c r="D218" s="8"/>
      <c r="E218" s="9"/>
      <c r="F218" s="9"/>
      <c r="G218" s="17"/>
      <c r="H218" s="17"/>
      <c r="I218" s="9"/>
      <c r="J218" s="9"/>
      <c r="K218" s="10">
        <v>0</v>
      </c>
      <c r="L218" s="10"/>
      <c r="M218" s="11"/>
      <c r="N218" s="12"/>
      <c r="O218" s="13"/>
      <c r="P218" s="14"/>
    </row>
    <row r="219" spans="1:17" x14ac:dyDescent="0.25">
      <c r="A219" s="6"/>
      <c r="B219" s="7"/>
      <c r="C219" s="8"/>
      <c r="D219" s="8"/>
      <c r="E219" s="9"/>
      <c r="F219" s="9"/>
      <c r="G219" s="17"/>
      <c r="H219" s="17"/>
      <c r="I219" s="9"/>
      <c r="J219" s="9"/>
      <c r="K219" s="10">
        <v>0</v>
      </c>
      <c r="L219" s="10"/>
      <c r="M219" s="11"/>
      <c r="N219" s="12"/>
      <c r="O219" s="13"/>
      <c r="P219" s="14"/>
      <c r="Q219" s="2"/>
    </row>
    <row r="220" spans="1:17" x14ac:dyDescent="0.25">
      <c r="A220" s="6"/>
      <c r="B220" s="7"/>
      <c r="C220" s="8"/>
      <c r="D220" s="8"/>
      <c r="E220" s="9"/>
      <c r="F220" s="9"/>
      <c r="G220" s="17"/>
      <c r="H220" s="17"/>
      <c r="I220" s="9"/>
      <c r="J220" s="9"/>
      <c r="K220" s="10">
        <v>0</v>
      </c>
      <c r="L220" s="10"/>
      <c r="M220" s="11"/>
      <c r="N220" s="12"/>
      <c r="O220" s="13"/>
      <c r="P220" s="14"/>
    </row>
    <row r="221" spans="1:17" x14ac:dyDescent="0.25">
      <c r="A221" s="6"/>
      <c r="B221" s="7"/>
      <c r="C221" s="8"/>
      <c r="D221" s="8"/>
      <c r="E221" s="9"/>
      <c r="F221" s="9"/>
      <c r="G221" s="17"/>
      <c r="H221" s="17"/>
      <c r="I221" s="9"/>
      <c r="J221" s="9"/>
      <c r="K221" s="10">
        <v>0</v>
      </c>
      <c r="L221" s="10"/>
      <c r="M221" s="11"/>
      <c r="N221" s="12"/>
      <c r="O221" s="13"/>
      <c r="P221" s="14"/>
    </row>
    <row r="222" spans="1:17" x14ac:dyDescent="0.25">
      <c r="A222" s="6"/>
      <c r="B222" s="7"/>
      <c r="C222" s="8"/>
      <c r="D222" s="8"/>
      <c r="E222" s="9"/>
      <c r="F222" s="9"/>
      <c r="G222" s="17"/>
      <c r="H222" s="17"/>
      <c r="I222" s="9"/>
      <c r="J222" s="9"/>
      <c r="K222" s="10">
        <v>0</v>
      </c>
      <c r="L222" s="10"/>
      <c r="M222" s="11"/>
      <c r="N222" s="12"/>
      <c r="O222" s="13"/>
      <c r="P222" s="14"/>
    </row>
    <row r="223" spans="1:17" x14ac:dyDescent="0.25">
      <c r="A223" s="6"/>
      <c r="B223" s="7"/>
      <c r="C223" s="8"/>
      <c r="D223" s="8"/>
      <c r="E223" s="9"/>
      <c r="F223" s="9"/>
      <c r="G223" s="17"/>
      <c r="H223" s="17"/>
      <c r="I223" s="9"/>
      <c r="J223" s="9"/>
      <c r="K223" s="10">
        <v>0</v>
      </c>
      <c r="L223" s="10"/>
      <c r="M223" s="11"/>
      <c r="N223" s="12"/>
      <c r="O223" s="13"/>
      <c r="P223" s="14"/>
    </row>
    <row r="224" spans="1:17" x14ac:dyDescent="0.25">
      <c r="A224" s="6"/>
      <c r="B224" s="7"/>
      <c r="C224" s="8"/>
      <c r="D224" s="8"/>
      <c r="E224" s="9"/>
      <c r="F224" s="9"/>
      <c r="G224" s="17"/>
      <c r="H224" s="17"/>
      <c r="I224" s="9"/>
      <c r="J224" s="9"/>
      <c r="K224" s="10">
        <v>0</v>
      </c>
      <c r="L224" s="10"/>
      <c r="M224" s="11"/>
      <c r="N224" s="12"/>
      <c r="O224" s="13"/>
      <c r="P224" s="14"/>
    </row>
    <row r="225" spans="1:16" x14ac:dyDescent="0.25">
      <c r="A225" s="6"/>
      <c r="B225" s="7"/>
      <c r="C225" s="8"/>
      <c r="D225" s="8"/>
      <c r="E225" s="9"/>
      <c r="F225" s="9"/>
      <c r="G225" s="17"/>
      <c r="H225" s="17"/>
      <c r="I225" s="9"/>
      <c r="J225" s="9"/>
      <c r="K225" s="10">
        <v>0</v>
      </c>
      <c r="L225" s="10"/>
      <c r="M225" s="11"/>
      <c r="N225" s="12"/>
      <c r="O225" s="13"/>
      <c r="P225" s="14"/>
    </row>
    <row r="226" spans="1:16" x14ac:dyDescent="0.25">
      <c r="A226" s="6"/>
      <c r="B226" s="15"/>
      <c r="C226" s="16"/>
      <c r="D226" s="8"/>
      <c r="E226" s="9"/>
      <c r="F226" s="9"/>
      <c r="G226" s="17"/>
      <c r="H226" s="17"/>
      <c r="I226" s="9"/>
      <c r="J226" s="9"/>
      <c r="K226" s="10">
        <v>0</v>
      </c>
      <c r="L226" s="10"/>
      <c r="M226" s="11"/>
      <c r="N226" s="12"/>
      <c r="O226" s="13"/>
      <c r="P226" s="14"/>
    </row>
    <row r="227" spans="1:16" x14ac:dyDescent="0.25">
      <c r="A227" s="6"/>
      <c r="B227" s="7"/>
      <c r="C227" s="8"/>
      <c r="D227" s="8"/>
      <c r="E227" s="9"/>
      <c r="F227" s="9"/>
      <c r="G227" s="17"/>
      <c r="H227" s="17"/>
      <c r="I227" s="9"/>
      <c r="J227" s="9"/>
      <c r="K227" s="10">
        <v>0</v>
      </c>
      <c r="L227" s="10"/>
      <c r="M227" s="11"/>
      <c r="N227" s="12"/>
      <c r="O227" s="13"/>
      <c r="P227" s="14"/>
    </row>
    <row r="228" spans="1:16" x14ac:dyDescent="0.25">
      <c r="A228" s="6"/>
      <c r="B228" s="7"/>
      <c r="C228" s="8"/>
      <c r="D228" s="8"/>
      <c r="E228" s="9"/>
      <c r="F228" s="9"/>
      <c r="G228" s="17"/>
      <c r="H228" s="17"/>
      <c r="I228" s="9"/>
      <c r="J228" s="9"/>
      <c r="K228" s="10">
        <v>0</v>
      </c>
      <c r="L228" s="10"/>
      <c r="M228" s="11"/>
      <c r="N228" s="12"/>
      <c r="O228" s="13"/>
      <c r="P228" s="14"/>
    </row>
    <row r="229" spans="1:16" x14ac:dyDescent="0.25">
      <c r="A229" s="6"/>
      <c r="B229" s="7"/>
      <c r="C229" s="8"/>
      <c r="D229" s="8"/>
      <c r="E229" s="9"/>
      <c r="F229" s="9"/>
      <c r="G229" s="17"/>
      <c r="H229" s="17"/>
      <c r="I229" s="9"/>
      <c r="J229" s="9"/>
      <c r="K229" s="10">
        <v>0</v>
      </c>
      <c r="L229" s="10"/>
      <c r="M229" s="11"/>
      <c r="N229" s="12"/>
      <c r="O229" s="13"/>
      <c r="P229" s="14"/>
    </row>
    <row r="230" spans="1:16" x14ac:dyDescent="0.25">
      <c r="A230" s="6"/>
      <c r="B230" s="7"/>
      <c r="C230" s="8"/>
      <c r="D230" s="8"/>
      <c r="E230" s="9"/>
      <c r="F230" s="9"/>
      <c r="G230" s="17"/>
      <c r="H230" s="17"/>
      <c r="I230" s="9"/>
      <c r="J230" s="9"/>
      <c r="K230" s="10">
        <v>0</v>
      </c>
      <c r="L230" s="10"/>
      <c r="M230" s="11"/>
      <c r="N230" s="12"/>
      <c r="O230" s="13"/>
      <c r="P230" s="14"/>
    </row>
    <row r="231" spans="1:16" x14ac:dyDescent="0.25">
      <c r="A231" s="6"/>
      <c r="B231" s="7"/>
      <c r="C231" s="8"/>
      <c r="D231" s="8"/>
      <c r="E231" s="9"/>
      <c r="F231" s="9"/>
      <c r="G231" s="17"/>
      <c r="H231" s="17"/>
      <c r="I231" s="9"/>
      <c r="J231" s="9"/>
      <c r="K231" s="10">
        <v>0</v>
      </c>
      <c r="L231" s="10"/>
      <c r="M231" s="11"/>
      <c r="N231" s="12"/>
      <c r="O231" s="13"/>
      <c r="P231" s="14"/>
    </row>
    <row r="232" spans="1:16" x14ac:dyDescent="0.25">
      <c r="A232" s="6"/>
      <c r="B232" s="7"/>
      <c r="C232" s="8"/>
      <c r="D232" s="8"/>
      <c r="E232" s="9"/>
      <c r="F232" s="9"/>
      <c r="G232" s="17"/>
      <c r="H232" s="17"/>
      <c r="I232" s="9"/>
      <c r="J232" s="9"/>
      <c r="K232" s="10">
        <v>0</v>
      </c>
      <c r="L232" s="10"/>
      <c r="M232" s="11"/>
      <c r="N232" s="12"/>
      <c r="O232" s="13"/>
      <c r="P232" s="14"/>
    </row>
    <row r="233" spans="1:16" x14ac:dyDescent="0.25">
      <c r="A233" s="6"/>
      <c r="B233" s="7"/>
      <c r="C233" s="8"/>
      <c r="D233" s="8"/>
      <c r="E233" s="9"/>
      <c r="F233" s="9"/>
      <c r="G233" s="17"/>
      <c r="H233" s="17"/>
      <c r="I233" s="9"/>
      <c r="J233" s="9"/>
      <c r="K233" s="10">
        <v>0</v>
      </c>
      <c r="L233" s="10"/>
      <c r="M233" s="11"/>
      <c r="N233" s="12"/>
      <c r="O233" s="13"/>
      <c r="P233" s="14"/>
    </row>
    <row r="234" spans="1:16" x14ac:dyDescent="0.25">
      <c r="A234" s="6"/>
      <c r="B234" s="7"/>
      <c r="C234" s="8"/>
      <c r="D234" s="8"/>
      <c r="E234" s="9"/>
      <c r="F234" s="9"/>
      <c r="G234" s="17"/>
      <c r="H234" s="17"/>
      <c r="I234" s="9"/>
      <c r="J234" s="9"/>
      <c r="K234" s="10">
        <v>0</v>
      </c>
      <c r="L234" s="10"/>
      <c r="M234" s="11"/>
      <c r="N234" s="12"/>
      <c r="O234" s="13"/>
      <c r="P234" s="14"/>
    </row>
    <row r="235" spans="1:16" x14ac:dyDescent="0.25">
      <c r="A235" s="6"/>
      <c r="B235" s="7"/>
      <c r="C235" s="8"/>
      <c r="D235" s="8"/>
      <c r="E235" s="9"/>
      <c r="F235" s="9"/>
      <c r="G235" s="17"/>
      <c r="H235" s="17"/>
      <c r="I235" s="9"/>
      <c r="J235" s="9"/>
      <c r="K235" s="10">
        <v>0</v>
      </c>
      <c r="L235" s="10"/>
      <c r="M235" s="11"/>
      <c r="N235" s="12"/>
      <c r="O235" s="13"/>
      <c r="P235" s="14"/>
    </row>
    <row r="236" spans="1:16" x14ac:dyDescent="0.25">
      <c r="A236" s="6"/>
      <c r="B236" s="7"/>
      <c r="C236" s="8"/>
      <c r="D236" s="8"/>
      <c r="E236" s="9"/>
      <c r="F236" s="9"/>
      <c r="G236" s="17"/>
      <c r="H236" s="17"/>
      <c r="I236" s="9"/>
      <c r="J236" s="9"/>
      <c r="K236" s="10">
        <v>0</v>
      </c>
      <c r="L236" s="10"/>
      <c r="M236" s="11"/>
      <c r="N236" s="12"/>
      <c r="O236" s="13"/>
      <c r="P236" s="14"/>
    </row>
    <row r="237" spans="1:16" x14ac:dyDescent="0.25">
      <c r="A237" s="6"/>
      <c r="B237" s="7"/>
      <c r="C237" s="8"/>
      <c r="D237" s="8"/>
      <c r="E237" s="9"/>
      <c r="F237" s="9"/>
      <c r="G237" s="17"/>
      <c r="H237" s="17"/>
      <c r="I237" s="9"/>
      <c r="J237" s="9"/>
      <c r="K237" s="10">
        <v>0</v>
      </c>
      <c r="L237" s="10"/>
      <c r="M237" s="11"/>
      <c r="N237" s="12"/>
      <c r="O237" s="13"/>
      <c r="P237" s="14"/>
    </row>
    <row r="238" spans="1:16" x14ac:dyDescent="0.25">
      <c r="A238" s="6"/>
      <c r="B238" s="7"/>
      <c r="C238" s="8"/>
      <c r="D238" s="8"/>
      <c r="E238" s="9"/>
      <c r="F238" s="9"/>
      <c r="G238" s="17"/>
      <c r="H238" s="17"/>
      <c r="I238" s="9"/>
      <c r="J238" s="9"/>
      <c r="K238" s="10">
        <v>0</v>
      </c>
      <c r="L238" s="10"/>
      <c r="M238" s="11"/>
      <c r="N238" s="12"/>
      <c r="O238" s="13"/>
      <c r="P238" s="14"/>
    </row>
    <row r="239" spans="1:16" x14ac:dyDescent="0.25">
      <c r="A239" s="6"/>
      <c r="B239" s="7"/>
      <c r="C239" s="8"/>
      <c r="D239" s="8"/>
      <c r="E239" s="9"/>
      <c r="F239" s="9"/>
      <c r="G239" s="17"/>
      <c r="H239" s="17"/>
      <c r="I239" s="9"/>
      <c r="J239" s="9"/>
      <c r="K239" s="10">
        <v>0</v>
      </c>
      <c r="L239" s="10"/>
      <c r="M239" s="11"/>
      <c r="N239" s="12"/>
      <c r="O239" s="13"/>
      <c r="P239" s="14"/>
    </row>
    <row r="240" spans="1:16" x14ac:dyDescent="0.25">
      <c r="A240" s="6"/>
      <c r="B240" s="7"/>
      <c r="C240" s="8"/>
      <c r="D240" s="8"/>
      <c r="E240" s="9"/>
      <c r="F240" s="9"/>
      <c r="G240" s="17"/>
      <c r="H240" s="17"/>
      <c r="I240" s="9"/>
      <c r="J240" s="9"/>
      <c r="K240" s="10">
        <v>0</v>
      </c>
      <c r="L240" s="10"/>
      <c r="M240" s="11"/>
      <c r="N240" s="12"/>
      <c r="O240" s="13"/>
      <c r="P240" s="14"/>
    </row>
    <row r="241" spans="1:21" x14ac:dyDescent="0.25">
      <c r="A241" s="6"/>
      <c r="B241" s="7"/>
      <c r="C241" s="8"/>
      <c r="D241" s="8"/>
      <c r="E241" s="9"/>
      <c r="F241" s="9"/>
      <c r="G241" s="17"/>
      <c r="H241" s="17"/>
      <c r="I241" s="9"/>
      <c r="J241" s="9"/>
      <c r="K241" s="10">
        <v>0</v>
      </c>
      <c r="L241" s="10"/>
      <c r="M241" s="11"/>
      <c r="N241" s="12"/>
      <c r="O241" s="13"/>
      <c r="P241" s="14"/>
    </row>
    <row r="242" spans="1:21" x14ac:dyDescent="0.25">
      <c r="A242" s="6"/>
      <c r="B242" s="7"/>
      <c r="C242" s="8"/>
      <c r="D242" s="8"/>
      <c r="E242" s="9"/>
      <c r="F242" s="9"/>
      <c r="G242" s="17"/>
      <c r="H242" s="17"/>
      <c r="I242" s="9"/>
      <c r="J242" s="9"/>
      <c r="K242" s="10">
        <v>0</v>
      </c>
      <c r="L242" s="10"/>
      <c r="M242" s="11"/>
      <c r="N242" s="12"/>
      <c r="O242" s="13"/>
      <c r="P242" s="14"/>
    </row>
    <row r="243" spans="1:21" x14ac:dyDescent="0.25">
      <c r="A243" s="6"/>
      <c r="B243" s="7"/>
      <c r="C243" s="8"/>
      <c r="D243" s="8"/>
      <c r="E243" s="9"/>
      <c r="F243" s="9"/>
      <c r="G243" s="17"/>
      <c r="H243" s="17"/>
      <c r="I243" s="9"/>
      <c r="J243" s="9"/>
      <c r="K243" s="10">
        <v>0</v>
      </c>
      <c r="L243" s="10"/>
      <c r="M243" s="11"/>
      <c r="N243" s="12"/>
      <c r="O243" s="13"/>
      <c r="P243" s="14"/>
    </row>
    <row r="244" spans="1:21" x14ac:dyDescent="0.25">
      <c r="A244" s="6"/>
      <c r="B244" s="7"/>
      <c r="C244" s="8"/>
      <c r="D244" s="8"/>
      <c r="E244" s="9"/>
      <c r="F244" s="9"/>
      <c r="G244" s="17"/>
      <c r="H244" s="17"/>
      <c r="I244" s="9"/>
      <c r="J244" s="9"/>
      <c r="K244" s="10">
        <v>0</v>
      </c>
      <c r="L244" s="10"/>
      <c r="M244" s="11"/>
      <c r="N244" s="12"/>
      <c r="O244" s="13"/>
      <c r="P244" s="14"/>
    </row>
    <row r="245" spans="1:21" x14ac:dyDescent="0.25">
      <c r="A245" s="6"/>
      <c r="B245" s="7"/>
      <c r="C245" s="8"/>
      <c r="D245" s="8"/>
      <c r="E245" s="9"/>
      <c r="F245" s="9"/>
      <c r="G245" s="17"/>
      <c r="H245" s="17"/>
      <c r="I245" s="9"/>
      <c r="J245" s="9"/>
      <c r="K245" s="10">
        <v>0</v>
      </c>
      <c r="L245" s="10"/>
      <c r="M245" s="11"/>
      <c r="N245" s="12"/>
      <c r="O245" s="13"/>
      <c r="P245" s="14"/>
    </row>
    <row r="246" spans="1:21" x14ac:dyDescent="0.25">
      <c r="A246" s="6"/>
      <c r="B246" s="7"/>
      <c r="C246" s="8"/>
      <c r="D246" s="8"/>
      <c r="E246" s="9"/>
      <c r="F246" s="9"/>
      <c r="G246" s="17"/>
      <c r="H246" s="17"/>
      <c r="I246" s="9"/>
      <c r="J246" s="9"/>
      <c r="K246" s="10">
        <v>0</v>
      </c>
      <c r="L246" s="10"/>
      <c r="M246" s="11"/>
      <c r="N246" s="12"/>
      <c r="O246" s="13"/>
      <c r="P246" s="14"/>
    </row>
    <row r="247" spans="1:21" x14ac:dyDescent="0.25">
      <c r="A247" s="6"/>
      <c r="B247" s="7"/>
      <c r="C247" s="8"/>
      <c r="D247" s="8"/>
      <c r="E247" s="9"/>
      <c r="F247" s="9"/>
      <c r="G247" s="17"/>
      <c r="H247" s="17"/>
      <c r="I247" s="9"/>
      <c r="J247" s="9"/>
      <c r="K247" s="10">
        <v>0</v>
      </c>
      <c r="L247" s="10"/>
      <c r="M247" s="11"/>
      <c r="N247" s="12"/>
      <c r="O247" s="13"/>
      <c r="P247" s="14"/>
    </row>
    <row r="248" spans="1:21" x14ac:dyDescent="0.25">
      <c r="A248" s="6"/>
      <c r="B248" s="7"/>
      <c r="C248" s="8"/>
      <c r="D248" s="8"/>
      <c r="E248" s="9"/>
      <c r="F248" s="9"/>
      <c r="G248" s="17"/>
      <c r="H248" s="17"/>
      <c r="I248" s="9"/>
      <c r="J248" s="9"/>
      <c r="K248" s="10">
        <v>0</v>
      </c>
      <c r="L248" s="10"/>
      <c r="M248" s="11"/>
      <c r="N248" s="12"/>
      <c r="O248" s="13"/>
      <c r="P248" s="14"/>
    </row>
    <row r="249" spans="1:21" x14ac:dyDescent="0.25">
      <c r="A249" s="6"/>
      <c r="B249" s="7"/>
      <c r="C249" s="8"/>
      <c r="D249" s="8"/>
      <c r="E249" s="9"/>
      <c r="F249" s="9"/>
      <c r="G249" s="17"/>
      <c r="H249" s="17"/>
      <c r="I249" s="9"/>
      <c r="J249" s="9"/>
      <c r="K249" s="10">
        <v>0</v>
      </c>
      <c r="L249" s="10"/>
      <c r="M249" s="11"/>
      <c r="N249" s="12"/>
      <c r="O249" s="13"/>
      <c r="P249" s="14"/>
    </row>
    <row r="250" spans="1:21" x14ac:dyDescent="0.25">
      <c r="A250" s="6"/>
      <c r="B250" s="7"/>
      <c r="C250" s="8"/>
      <c r="D250" s="8"/>
      <c r="E250" s="9"/>
      <c r="F250" s="9"/>
      <c r="G250" s="17"/>
      <c r="H250" s="17"/>
      <c r="I250" s="9"/>
      <c r="J250" s="9"/>
      <c r="K250" s="10">
        <v>0</v>
      </c>
      <c r="L250" s="10"/>
      <c r="M250" s="11"/>
      <c r="N250" s="12"/>
      <c r="O250" s="13"/>
      <c r="P250" s="14"/>
    </row>
    <row r="251" spans="1:21" x14ac:dyDescent="0.25">
      <c r="A251" s="6"/>
      <c r="B251" s="7"/>
      <c r="C251" s="8"/>
      <c r="D251" s="8"/>
      <c r="E251" s="9"/>
      <c r="F251" s="9"/>
      <c r="G251" s="17"/>
      <c r="H251" s="17"/>
      <c r="I251" s="9"/>
      <c r="J251" s="9"/>
      <c r="K251" s="10">
        <v>0</v>
      </c>
      <c r="L251" s="10"/>
      <c r="M251" s="11"/>
      <c r="N251" s="12"/>
      <c r="O251" s="13"/>
      <c r="P251" s="14"/>
      <c r="Q251" s="2"/>
    </row>
    <row r="252" spans="1:21" x14ac:dyDescent="0.25">
      <c r="A252" s="6"/>
      <c r="B252" s="7"/>
      <c r="C252" s="8"/>
      <c r="D252" s="8"/>
      <c r="E252" s="9"/>
      <c r="F252" s="9"/>
      <c r="G252" s="17"/>
      <c r="H252" s="17"/>
      <c r="I252" s="9"/>
      <c r="J252" s="9"/>
      <c r="K252" s="10">
        <v>0</v>
      </c>
      <c r="L252" s="10"/>
      <c r="M252" s="11"/>
      <c r="N252" s="12"/>
      <c r="O252" s="13"/>
      <c r="P252" s="14"/>
      <c r="Q252" s="2"/>
    </row>
    <row r="253" spans="1:21" x14ac:dyDescent="0.25">
      <c r="A253" s="6"/>
      <c r="B253" s="7"/>
      <c r="C253" s="8"/>
      <c r="D253" s="8"/>
      <c r="E253" s="9"/>
      <c r="F253" s="9"/>
      <c r="G253" s="17"/>
      <c r="H253" s="17"/>
      <c r="I253" s="9"/>
      <c r="J253" s="9"/>
      <c r="K253" s="10">
        <v>0</v>
      </c>
      <c r="L253" s="10"/>
      <c r="M253" s="11"/>
      <c r="N253" s="12"/>
      <c r="O253" s="13"/>
      <c r="P253" s="14"/>
      <c r="Q253" s="2"/>
    </row>
    <row r="254" spans="1:21" x14ac:dyDescent="0.25">
      <c r="A254" s="6"/>
      <c r="B254" s="7"/>
      <c r="C254" s="8"/>
      <c r="D254" s="8"/>
      <c r="E254" s="9"/>
      <c r="F254" s="9"/>
      <c r="G254" s="17"/>
      <c r="H254" s="17"/>
      <c r="I254" s="9"/>
      <c r="J254" s="9"/>
      <c r="K254" s="10">
        <v>0</v>
      </c>
      <c r="L254" s="10"/>
      <c r="M254" s="11"/>
      <c r="N254" s="12"/>
      <c r="O254" s="13"/>
      <c r="P254" s="14"/>
      <c r="Q254" s="2"/>
    </row>
    <row r="255" spans="1:21" x14ac:dyDescent="0.25">
      <c r="A255" s="6"/>
      <c r="B255" s="7"/>
      <c r="C255" s="8"/>
      <c r="D255" s="8"/>
      <c r="E255" s="9"/>
      <c r="F255" s="9"/>
      <c r="G255" s="17"/>
      <c r="H255" s="17"/>
      <c r="I255" s="9"/>
      <c r="J255" s="9"/>
      <c r="K255" s="10">
        <v>0</v>
      </c>
      <c r="L255" s="10"/>
      <c r="M255" s="11"/>
      <c r="N255" s="12"/>
      <c r="O255" s="13"/>
      <c r="P255" s="14"/>
      <c r="Q255" s="2"/>
    </row>
    <row r="256" spans="1:21" x14ac:dyDescent="0.25">
      <c r="A256" s="6"/>
      <c r="B256" s="7"/>
      <c r="C256" s="8"/>
      <c r="D256" s="8"/>
      <c r="E256" s="9"/>
      <c r="F256" s="9"/>
      <c r="G256" s="17"/>
      <c r="H256" s="17"/>
      <c r="I256" s="9"/>
      <c r="J256" s="9"/>
      <c r="K256" s="10">
        <v>0</v>
      </c>
      <c r="L256" s="10"/>
      <c r="M256" s="11"/>
      <c r="N256" s="12"/>
      <c r="O256" s="13"/>
      <c r="P256" s="14"/>
      <c r="Q256" s="2"/>
      <c r="U256" s="27"/>
    </row>
    <row r="257" spans="1:23" x14ac:dyDescent="0.25">
      <c r="A257" s="6"/>
      <c r="B257" s="7"/>
      <c r="C257" s="8"/>
      <c r="D257" s="8"/>
      <c r="E257" s="9"/>
      <c r="F257" s="9"/>
      <c r="G257" s="17"/>
      <c r="H257" s="17"/>
      <c r="I257" s="9"/>
      <c r="J257" s="9"/>
      <c r="K257" s="10">
        <v>0</v>
      </c>
      <c r="L257" s="10"/>
      <c r="M257" s="11"/>
      <c r="N257" s="12"/>
      <c r="O257" s="13"/>
      <c r="P257" s="14"/>
      <c r="Q257" s="2"/>
      <c r="U257" s="27"/>
    </row>
    <row r="258" spans="1:23" x14ac:dyDescent="0.25">
      <c r="A258" s="6"/>
      <c r="B258" s="7"/>
      <c r="C258" s="8"/>
      <c r="D258" s="8"/>
      <c r="E258" s="9"/>
      <c r="F258" s="9"/>
      <c r="G258" s="17"/>
      <c r="H258" s="17"/>
      <c r="I258" s="9"/>
      <c r="J258" s="9"/>
      <c r="K258" s="10">
        <v>0</v>
      </c>
      <c r="L258" s="10"/>
      <c r="M258" s="11"/>
      <c r="N258" s="12"/>
      <c r="O258" s="13"/>
      <c r="P258" s="14"/>
      <c r="Q258" s="2"/>
      <c r="U258" s="27"/>
    </row>
    <row r="259" spans="1:23" x14ac:dyDescent="0.25">
      <c r="A259" s="6"/>
      <c r="B259" s="7"/>
      <c r="C259" s="8"/>
      <c r="D259" s="8"/>
      <c r="E259" s="9"/>
      <c r="F259" s="9"/>
      <c r="G259" s="17"/>
      <c r="H259" s="17"/>
      <c r="I259" s="9"/>
      <c r="J259" s="9"/>
      <c r="K259" s="10">
        <v>0</v>
      </c>
      <c r="L259" s="10"/>
      <c r="M259" s="11"/>
      <c r="N259" s="12"/>
      <c r="O259" s="13"/>
      <c r="P259" s="14"/>
      <c r="Q259" s="2"/>
      <c r="U259" s="27"/>
    </row>
    <row r="260" spans="1:23" x14ac:dyDescent="0.25">
      <c r="A260" s="6"/>
      <c r="B260" s="7"/>
      <c r="C260" s="8"/>
      <c r="D260" s="8"/>
      <c r="E260" s="9"/>
      <c r="F260" s="9"/>
      <c r="G260" s="17"/>
      <c r="H260" s="17"/>
      <c r="I260" s="9"/>
      <c r="J260" s="9"/>
      <c r="K260" s="10">
        <v>0</v>
      </c>
      <c r="L260" s="10"/>
      <c r="M260" s="11"/>
      <c r="N260" s="12"/>
      <c r="O260" s="13"/>
      <c r="P260" s="14"/>
      <c r="Q260" s="2"/>
      <c r="U260" s="27"/>
    </row>
    <row r="261" spans="1:23" x14ac:dyDescent="0.25">
      <c r="A261" s="6"/>
      <c r="B261" s="7"/>
      <c r="C261" s="8"/>
      <c r="D261" s="8"/>
      <c r="E261" s="9"/>
      <c r="F261" s="9"/>
      <c r="G261" s="17"/>
      <c r="H261" s="17"/>
      <c r="I261" s="9"/>
      <c r="J261" s="9"/>
      <c r="K261" s="10">
        <v>0</v>
      </c>
      <c r="L261" s="10"/>
      <c r="M261" s="11"/>
      <c r="N261" s="12"/>
      <c r="O261" s="13"/>
      <c r="P261" s="14"/>
      <c r="Q261" s="2"/>
      <c r="W261" s="1" t="s">
        <v>19</v>
      </c>
    </row>
    <row r="262" spans="1:23" x14ac:dyDescent="0.25">
      <c r="A262" s="6"/>
      <c r="B262" s="7"/>
      <c r="C262" s="8"/>
      <c r="D262" s="8"/>
      <c r="E262" s="9"/>
      <c r="F262" s="9"/>
      <c r="G262" s="17"/>
      <c r="H262" s="17"/>
      <c r="I262" s="9"/>
      <c r="J262" s="9"/>
      <c r="K262" s="10">
        <v>0</v>
      </c>
      <c r="L262" s="10"/>
      <c r="M262" s="11"/>
      <c r="N262" s="12"/>
      <c r="O262" s="13"/>
      <c r="P262" s="14"/>
      <c r="Q262" s="2"/>
      <c r="W262" s="1" t="s">
        <v>20</v>
      </c>
    </row>
    <row r="263" spans="1:23" x14ac:dyDescent="0.25">
      <c r="A263" s="6"/>
      <c r="B263" s="7"/>
      <c r="C263" s="8"/>
      <c r="D263" s="8"/>
      <c r="E263" s="9"/>
      <c r="F263" s="9"/>
      <c r="G263" s="17"/>
      <c r="H263" s="17"/>
      <c r="I263" s="9"/>
      <c r="J263" s="9"/>
      <c r="K263" s="10">
        <v>0</v>
      </c>
      <c r="L263" s="10"/>
      <c r="M263" s="11"/>
      <c r="N263" s="12"/>
      <c r="O263" s="13"/>
      <c r="P263" s="14"/>
      <c r="Q263" s="2"/>
      <c r="W263" s="1" t="s">
        <v>21</v>
      </c>
    </row>
    <row r="264" spans="1:23" x14ac:dyDescent="0.25">
      <c r="A264" s="6"/>
      <c r="B264" s="7"/>
      <c r="C264" s="8"/>
      <c r="D264" s="8"/>
      <c r="E264" s="9"/>
      <c r="F264" s="9"/>
      <c r="G264" s="17"/>
      <c r="H264" s="17"/>
      <c r="I264" s="9"/>
      <c r="J264" s="9"/>
      <c r="K264" s="10">
        <v>0</v>
      </c>
      <c r="L264" s="10"/>
      <c r="M264" s="11"/>
      <c r="N264" s="12"/>
      <c r="O264" s="13"/>
      <c r="P264" s="14"/>
      <c r="Q264" s="2"/>
    </row>
    <row r="265" spans="1:23" x14ac:dyDescent="0.25">
      <c r="A265" s="6"/>
      <c r="B265" s="7"/>
      <c r="C265" s="8"/>
      <c r="D265" s="8"/>
      <c r="E265" s="9"/>
      <c r="F265" s="9"/>
      <c r="G265" s="17"/>
      <c r="H265" s="17"/>
      <c r="I265" s="9"/>
      <c r="J265" s="9"/>
      <c r="K265" s="10">
        <v>0</v>
      </c>
      <c r="L265" s="10"/>
      <c r="M265" s="11"/>
      <c r="N265" s="12"/>
      <c r="O265" s="13"/>
      <c r="P265" s="14"/>
      <c r="Q265" s="2"/>
    </row>
    <row r="266" spans="1:23" x14ac:dyDescent="0.25">
      <c r="A266" s="6"/>
      <c r="B266" s="7"/>
      <c r="C266" s="8"/>
      <c r="D266" s="8"/>
      <c r="E266" s="9"/>
      <c r="F266" s="9"/>
      <c r="G266" s="17"/>
      <c r="H266" s="17"/>
      <c r="I266" s="9"/>
      <c r="J266" s="9"/>
      <c r="K266" s="10">
        <v>0</v>
      </c>
      <c r="L266" s="10"/>
      <c r="M266" s="11"/>
      <c r="N266" s="12"/>
      <c r="O266" s="13"/>
      <c r="P266" s="14"/>
      <c r="Q266" s="2"/>
    </row>
    <row r="267" spans="1:23" x14ac:dyDescent="0.25">
      <c r="A267" s="6"/>
      <c r="B267" s="7"/>
      <c r="C267" s="8"/>
      <c r="D267" s="8"/>
      <c r="E267" s="9"/>
      <c r="F267" s="9"/>
      <c r="G267" s="17"/>
      <c r="H267" s="17"/>
      <c r="I267" s="9"/>
      <c r="J267" s="9"/>
      <c r="K267" s="10">
        <v>0</v>
      </c>
      <c r="L267" s="10"/>
      <c r="M267" s="11"/>
      <c r="N267" s="12"/>
      <c r="O267" s="13"/>
      <c r="P267" s="14"/>
      <c r="Q267" s="2"/>
    </row>
    <row r="268" spans="1:23" x14ac:dyDescent="0.25">
      <c r="A268" s="6"/>
      <c r="B268" s="7"/>
      <c r="C268" s="8"/>
      <c r="D268" s="8"/>
      <c r="E268" s="9"/>
      <c r="F268" s="9"/>
      <c r="G268" s="17"/>
      <c r="H268" s="17"/>
      <c r="I268" s="9"/>
      <c r="J268" s="9"/>
      <c r="K268" s="10">
        <v>0</v>
      </c>
      <c r="L268" s="10"/>
      <c r="M268" s="11"/>
      <c r="N268" s="12"/>
      <c r="O268" s="13"/>
      <c r="P268" s="14"/>
      <c r="Q268" s="2"/>
    </row>
    <row r="269" spans="1:23" x14ac:dyDescent="0.25">
      <c r="A269" s="6"/>
      <c r="B269" s="7"/>
      <c r="C269" s="8"/>
      <c r="D269" s="8"/>
      <c r="E269" s="9"/>
      <c r="F269" s="9"/>
      <c r="G269" s="17"/>
      <c r="H269" s="17"/>
      <c r="I269" s="9"/>
      <c r="J269" s="9"/>
      <c r="K269" s="10">
        <v>0</v>
      </c>
      <c r="L269" s="10"/>
      <c r="M269" s="11"/>
      <c r="N269" s="12"/>
      <c r="O269" s="13"/>
      <c r="P269" s="14"/>
      <c r="Q269" s="2"/>
    </row>
    <row r="270" spans="1:23" x14ac:dyDescent="0.25">
      <c r="A270" s="6"/>
      <c r="B270" s="7"/>
      <c r="C270" s="8"/>
      <c r="D270" s="8"/>
      <c r="E270" s="9"/>
      <c r="F270" s="9"/>
      <c r="G270" s="17"/>
      <c r="H270" s="17"/>
      <c r="I270" s="9"/>
      <c r="J270" s="9"/>
      <c r="K270" s="10">
        <v>0</v>
      </c>
      <c r="L270" s="10"/>
      <c r="M270" s="11"/>
      <c r="N270" s="12"/>
      <c r="O270" s="13"/>
      <c r="P270" s="14"/>
      <c r="Q270" s="2"/>
    </row>
    <row r="271" spans="1:23" x14ac:dyDescent="0.25">
      <c r="A271" s="6"/>
      <c r="B271" s="7"/>
      <c r="C271" s="8"/>
      <c r="D271" s="8"/>
      <c r="E271" s="9"/>
      <c r="F271" s="9"/>
      <c r="G271" s="17"/>
      <c r="H271" s="17"/>
      <c r="I271" s="9"/>
      <c r="J271" s="9"/>
      <c r="K271" s="10">
        <v>0</v>
      </c>
      <c r="L271" s="10"/>
      <c r="M271" s="11"/>
      <c r="N271" s="12"/>
      <c r="O271" s="13"/>
      <c r="P271" s="14"/>
      <c r="Q271" s="2"/>
    </row>
    <row r="272" spans="1:23" x14ac:dyDescent="0.25">
      <c r="A272" s="6"/>
      <c r="B272" s="7"/>
      <c r="C272" s="8"/>
      <c r="D272" s="8"/>
      <c r="E272" s="9"/>
      <c r="F272" s="9"/>
      <c r="G272" s="17"/>
      <c r="H272" s="17"/>
      <c r="I272" s="9"/>
      <c r="J272" s="9"/>
      <c r="K272" s="10">
        <v>0</v>
      </c>
      <c r="L272" s="10"/>
      <c r="M272" s="11"/>
      <c r="N272" s="12"/>
      <c r="O272" s="13"/>
      <c r="P272" s="14"/>
      <c r="Q272" s="2"/>
    </row>
    <row r="273" spans="1:16" x14ac:dyDescent="0.25">
      <c r="A273" s="6"/>
      <c r="B273" s="7"/>
      <c r="C273" s="8"/>
      <c r="D273" s="8"/>
      <c r="E273" s="9"/>
      <c r="F273" s="9"/>
      <c r="G273" s="17"/>
      <c r="H273" s="17"/>
      <c r="I273" s="9"/>
      <c r="J273" s="9"/>
      <c r="K273" s="10">
        <v>0</v>
      </c>
      <c r="L273" s="10"/>
      <c r="M273" s="11"/>
      <c r="N273" s="12"/>
      <c r="O273" s="13"/>
      <c r="P273" s="14"/>
    </row>
    <row r="274" spans="1:16" x14ac:dyDescent="0.25">
      <c r="A274" s="6"/>
      <c r="B274" s="7"/>
      <c r="C274" s="8"/>
      <c r="D274" s="8"/>
      <c r="E274" s="9"/>
      <c r="F274" s="9"/>
      <c r="G274" s="17"/>
      <c r="H274" s="17"/>
      <c r="I274" s="9"/>
      <c r="J274" s="9"/>
      <c r="K274" s="10">
        <v>0</v>
      </c>
      <c r="L274" s="10"/>
      <c r="M274" s="11"/>
      <c r="N274" s="12"/>
      <c r="O274" s="13"/>
      <c r="P274" s="14"/>
    </row>
    <row r="275" spans="1:16" x14ac:dyDescent="0.25">
      <c r="A275" s="6"/>
      <c r="B275" s="7"/>
      <c r="C275" s="8"/>
      <c r="D275" s="8"/>
      <c r="E275" s="9"/>
      <c r="F275" s="9"/>
      <c r="G275" s="17"/>
      <c r="H275" s="17"/>
      <c r="I275" s="9"/>
      <c r="J275" s="9"/>
      <c r="K275" s="10">
        <v>0</v>
      </c>
      <c r="L275" s="10"/>
      <c r="M275" s="11"/>
      <c r="N275" s="12"/>
      <c r="O275" s="13"/>
      <c r="P275" s="14"/>
    </row>
    <row r="276" spans="1:16" x14ac:dyDescent="0.25">
      <c r="A276" s="6"/>
      <c r="B276" s="7"/>
      <c r="C276" s="8"/>
      <c r="D276" s="8"/>
      <c r="E276" s="9"/>
      <c r="F276" s="9"/>
      <c r="G276" s="17"/>
      <c r="H276" s="17"/>
      <c r="I276" s="9"/>
      <c r="J276" s="9"/>
      <c r="K276" s="10">
        <v>0</v>
      </c>
      <c r="L276" s="10"/>
      <c r="M276" s="11"/>
      <c r="N276" s="12"/>
      <c r="O276" s="13"/>
      <c r="P276" s="14"/>
    </row>
    <row r="277" spans="1:16" x14ac:dyDescent="0.25">
      <c r="A277" s="6"/>
      <c r="B277" s="7"/>
      <c r="C277" s="8"/>
      <c r="D277" s="8"/>
      <c r="E277" s="9"/>
      <c r="F277" s="9"/>
      <c r="G277" s="17"/>
      <c r="H277" s="17"/>
      <c r="I277" s="9"/>
      <c r="J277" s="9"/>
      <c r="K277" s="10">
        <v>0</v>
      </c>
      <c r="L277" s="10"/>
      <c r="M277" s="11"/>
      <c r="N277" s="12"/>
      <c r="O277" s="13"/>
      <c r="P277" s="14"/>
    </row>
    <row r="278" spans="1:16" x14ac:dyDescent="0.25">
      <c r="A278" s="6"/>
      <c r="B278" s="7"/>
      <c r="C278" s="8"/>
      <c r="D278" s="8"/>
      <c r="E278" s="9"/>
      <c r="F278" s="9"/>
      <c r="G278" s="17"/>
      <c r="H278" s="17"/>
      <c r="I278" s="9"/>
      <c r="J278" s="9"/>
      <c r="K278" s="10">
        <v>0</v>
      </c>
      <c r="L278" s="10"/>
      <c r="M278" s="11"/>
      <c r="N278" s="12"/>
      <c r="O278" s="13"/>
      <c r="P278" s="14"/>
    </row>
    <row r="279" spans="1:16" x14ac:dyDescent="0.25">
      <c r="A279" s="6"/>
      <c r="B279" s="7"/>
      <c r="C279" s="8"/>
      <c r="D279" s="8"/>
      <c r="E279" s="9"/>
      <c r="F279" s="9"/>
      <c r="G279" s="17"/>
      <c r="H279" s="17"/>
      <c r="I279" s="9"/>
      <c r="J279" s="9"/>
      <c r="K279" s="10">
        <v>0</v>
      </c>
      <c r="L279" s="10"/>
      <c r="M279" s="11"/>
      <c r="N279" s="12"/>
      <c r="O279" s="13"/>
      <c r="P279" s="14"/>
    </row>
    <row r="280" spans="1:16" x14ac:dyDescent="0.25">
      <c r="A280" s="6"/>
      <c r="B280" s="7"/>
      <c r="C280" s="8"/>
      <c r="D280" s="8"/>
      <c r="E280" s="9"/>
      <c r="F280" s="9"/>
      <c r="G280" s="17"/>
      <c r="H280" s="17"/>
      <c r="I280" s="9"/>
      <c r="J280" s="9"/>
      <c r="K280" s="10">
        <v>0</v>
      </c>
      <c r="L280" s="10"/>
      <c r="M280" s="11"/>
      <c r="N280" s="12"/>
      <c r="O280" s="13"/>
      <c r="P280" s="14"/>
    </row>
    <row r="281" spans="1:16" x14ac:dyDescent="0.25">
      <c r="A281" s="6"/>
      <c r="B281" s="7"/>
      <c r="C281" s="8"/>
      <c r="D281" s="8"/>
      <c r="E281" s="9"/>
      <c r="F281" s="9"/>
      <c r="G281" s="17"/>
      <c r="H281" s="17"/>
      <c r="I281" s="9"/>
      <c r="J281" s="9"/>
      <c r="K281" s="10">
        <v>0</v>
      </c>
      <c r="L281" s="10"/>
      <c r="M281" s="11"/>
      <c r="N281" s="12"/>
      <c r="O281" s="13"/>
      <c r="P281" s="14"/>
    </row>
    <row r="282" spans="1:16" x14ac:dyDescent="0.25">
      <c r="A282" s="6"/>
      <c r="B282" s="7"/>
      <c r="C282" s="8"/>
      <c r="D282" s="8"/>
      <c r="E282" s="9"/>
      <c r="F282" s="9"/>
      <c r="G282" s="17"/>
      <c r="H282" s="17"/>
      <c r="I282" s="9"/>
      <c r="J282" s="9"/>
      <c r="K282" s="10">
        <v>0</v>
      </c>
      <c r="L282" s="10"/>
      <c r="M282" s="11"/>
      <c r="N282" s="12"/>
      <c r="O282" s="13"/>
      <c r="P282" s="14"/>
    </row>
    <row r="283" spans="1:16" x14ac:dyDescent="0.25">
      <c r="A283" s="6"/>
      <c r="B283" s="7"/>
      <c r="C283" s="8"/>
      <c r="D283" s="8"/>
      <c r="E283" s="9"/>
      <c r="F283" s="9"/>
      <c r="G283" s="17"/>
      <c r="H283" s="17"/>
      <c r="I283" s="9"/>
      <c r="J283" s="9"/>
      <c r="K283" s="10">
        <v>0</v>
      </c>
      <c r="L283" s="10"/>
      <c r="M283" s="11"/>
      <c r="N283" s="12"/>
      <c r="O283" s="13"/>
      <c r="P283" s="14"/>
    </row>
    <row r="284" spans="1:16" x14ac:dyDescent="0.25">
      <c r="A284" s="6"/>
      <c r="B284" s="7"/>
      <c r="C284" s="8"/>
      <c r="D284" s="8"/>
      <c r="E284" s="9"/>
      <c r="F284" s="9"/>
      <c r="G284" s="17"/>
      <c r="H284" s="17"/>
      <c r="I284" s="9"/>
      <c r="J284" s="9"/>
      <c r="K284" s="10">
        <v>0</v>
      </c>
      <c r="L284" s="10"/>
      <c r="M284" s="11"/>
      <c r="N284" s="12"/>
      <c r="O284" s="13"/>
      <c r="P284" s="14"/>
    </row>
    <row r="285" spans="1:16" x14ac:dyDescent="0.25">
      <c r="A285" s="6"/>
      <c r="B285" s="7"/>
      <c r="C285" s="8"/>
      <c r="D285" s="8"/>
      <c r="E285" s="9"/>
      <c r="F285" s="9"/>
      <c r="G285" s="17"/>
      <c r="H285" s="17"/>
      <c r="I285" s="9"/>
      <c r="J285" s="9"/>
      <c r="K285" s="10">
        <v>0</v>
      </c>
      <c r="L285" s="10"/>
      <c r="M285" s="11"/>
      <c r="N285" s="12"/>
      <c r="O285" s="13"/>
      <c r="P285" s="14"/>
    </row>
    <row r="286" spans="1:16" x14ac:dyDescent="0.25">
      <c r="A286" s="6"/>
      <c r="B286" s="7"/>
      <c r="C286" s="8"/>
      <c r="D286" s="8"/>
      <c r="E286" s="9"/>
      <c r="F286" s="9"/>
      <c r="G286" s="17"/>
      <c r="H286" s="17"/>
      <c r="I286" s="9"/>
      <c r="J286" s="9"/>
      <c r="K286" s="10">
        <v>0</v>
      </c>
      <c r="L286" s="10"/>
      <c r="M286" s="11"/>
      <c r="N286" s="12"/>
      <c r="O286" s="13"/>
      <c r="P286" s="14"/>
    </row>
    <row r="287" spans="1:16" x14ac:dyDescent="0.25">
      <c r="A287" s="6"/>
      <c r="B287" s="7"/>
      <c r="C287" s="8"/>
      <c r="D287" s="8"/>
      <c r="E287" s="9"/>
      <c r="F287" s="9"/>
      <c r="G287" s="17"/>
      <c r="H287" s="17"/>
      <c r="I287" s="9"/>
      <c r="J287" s="9"/>
      <c r="K287" s="10">
        <v>0</v>
      </c>
      <c r="L287" s="10"/>
      <c r="M287" s="11"/>
      <c r="N287" s="12"/>
      <c r="O287" s="13"/>
      <c r="P287" s="14"/>
    </row>
    <row r="288" spans="1:16" x14ac:dyDescent="0.25">
      <c r="A288" s="6"/>
      <c r="B288" s="7"/>
      <c r="C288" s="8"/>
      <c r="D288" s="8"/>
      <c r="E288" s="9"/>
      <c r="F288" s="9"/>
      <c r="G288" s="17"/>
      <c r="H288" s="17"/>
      <c r="I288" s="9"/>
      <c r="J288" s="9"/>
      <c r="K288" s="10">
        <v>0</v>
      </c>
      <c r="L288" s="10"/>
      <c r="M288" s="11"/>
      <c r="N288" s="12"/>
      <c r="O288" s="13"/>
      <c r="P288" s="14"/>
    </row>
    <row r="289" spans="1:16" x14ac:dyDescent="0.25">
      <c r="A289" s="6"/>
      <c r="B289" s="7"/>
      <c r="C289" s="8"/>
      <c r="D289" s="8"/>
      <c r="E289" s="9"/>
      <c r="F289" s="9"/>
      <c r="G289" s="17"/>
      <c r="H289" s="17"/>
      <c r="I289" s="9"/>
      <c r="J289" s="9"/>
      <c r="K289" s="10">
        <v>0</v>
      </c>
      <c r="L289" s="10"/>
      <c r="M289" s="11"/>
      <c r="N289" s="12"/>
      <c r="O289" s="13"/>
      <c r="P289" s="14"/>
    </row>
    <row r="290" spans="1:16" x14ac:dyDescent="0.25">
      <c r="A290" s="6"/>
      <c r="B290" s="7"/>
      <c r="C290" s="8"/>
      <c r="D290" s="8"/>
      <c r="E290" s="9"/>
      <c r="F290" s="9"/>
      <c r="G290" s="17"/>
      <c r="H290" s="17"/>
      <c r="I290" s="9"/>
      <c r="J290" s="9"/>
      <c r="K290" s="10">
        <v>0</v>
      </c>
      <c r="L290" s="10"/>
      <c r="M290" s="11"/>
      <c r="N290" s="12"/>
      <c r="O290" s="13"/>
      <c r="P290" s="14"/>
    </row>
    <row r="291" spans="1:16" x14ac:dyDescent="0.25">
      <c r="A291" s="6"/>
      <c r="B291" s="7"/>
      <c r="C291" s="8"/>
      <c r="D291" s="8"/>
      <c r="E291" s="9"/>
      <c r="F291" s="9"/>
      <c r="G291" s="17"/>
      <c r="H291" s="17"/>
      <c r="I291" s="9"/>
      <c r="J291" s="9"/>
      <c r="K291" s="10">
        <v>0</v>
      </c>
      <c r="L291" s="10"/>
      <c r="M291" s="11"/>
      <c r="N291" s="12"/>
      <c r="O291" s="13"/>
      <c r="P291" s="14"/>
    </row>
    <row r="292" spans="1:16" x14ac:dyDescent="0.25">
      <c r="A292" s="6"/>
      <c r="B292" s="7"/>
      <c r="C292" s="8"/>
      <c r="D292" s="8"/>
      <c r="E292" s="9"/>
      <c r="F292" s="9"/>
      <c r="G292" s="17"/>
      <c r="H292" s="17"/>
      <c r="I292" s="9"/>
      <c r="J292" s="9"/>
      <c r="K292" s="10">
        <v>0</v>
      </c>
      <c r="L292" s="10"/>
      <c r="M292" s="11"/>
      <c r="N292" s="12"/>
      <c r="O292" s="13"/>
      <c r="P292" s="14"/>
    </row>
    <row r="293" spans="1:16" x14ac:dyDescent="0.25">
      <c r="A293" s="6"/>
      <c r="B293" s="7"/>
      <c r="C293" s="8"/>
      <c r="D293" s="8"/>
      <c r="E293" s="9"/>
      <c r="F293" s="9"/>
      <c r="G293" s="17"/>
      <c r="H293" s="17"/>
      <c r="I293" s="9"/>
      <c r="J293" s="9"/>
      <c r="K293" s="10">
        <v>0</v>
      </c>
      <c r="L293" s="10"/>
      <c r="M293" s="11"/>
      <c r="N293" s="12"/>
      <c r="O293" s="13"/>
      <c r="P293" s="14"/>
    </row>
    <row r="294" spans="1:16" x14ac:dyDescent="0.25">
      <c r="A294" s="6"/>
      <c r="B294" s="7"/>
      <c r="C294" s="8"/>
      <c r="D294" s="8"/>
      <c r="E294" s="9"/>
      <c r="F294" s="9"/>
      <c r="G294" s="17"/>
      <c r="H294" s="17"/>
      <c r="I294" s="9"/>
      <c r="J294" s="9"/>
      <c r="K294" s="10">
        <v>0</v>
      </c>
      <c r="L294" s="10"/>
      <c r="M294" s="11"/>
      <c r="N294" s="12"/>
      <c r="O294" s="13"/>
      <c r="P294" s="14"/>
    </row>
    <row r="295" spans="1:16" x14ac:dyDescent="0.25">
      <c r="A295" s="6"/>
      <c r="B295" s="7"/>
      <c r="C295" s="8"/>
      <c r="D295" s="8"/>
      <c r="E295" s="9"/>
      <c r="F295" s="9"/>
      <c r="G295" s="17"/>
      <c r="H295" s="17"/>
      <c r="I295" s="9"/>
      <c r="J295" s="9"/>
      <c r="K295" s="10">
        <v>0</v>
      </c>
      <c r="L295" s="10"/>
      <c r="M295" s="11"/>
      <c r="N295" s="12"/>
      <c r="O295" s="13"/>
      <c r="P295" s="14"/>
    </row>
    <row r="296" spans="1:16" x14ac:dyDescent="0.25">
      <c r="A296" s="6"/>
      <c r="B296" s="7"/>
      <c r="C296" s="8"/>
      <c r="D296" s="8"/>
      <c r="E296" s="9"/>
      <c r="F296" s="9"/>
      <c r="G296" s="17"/>
      <c r="H296" s="17"/>
      <c r="I296" s="9"/>
      <c r="J296" s="9"/>
      <c r="K296" s="10">
        <v>0</v>
      </c>
      <c r="L296" s="10"/>
      <c r="M296" s="11"/>
      <c r="N296" s="12"/>
      <c r="O296" s="13"/>
      <c r="P296" s="14"/>
    </row>
    <row r="297" spans="1:16" x14ac:dyDescent="0.25">
      <c r="A297" s="6"/>
      <c r="B297" s="7"/>
      <c r="C297" s="8"/>
      <c r="D297" s="8"/>
      <c r="E297" s="9"/>
      <c r="F297" s="9"/>
      <c r="G297" s="17"/>
      <c r="H297" s="17"/>
      <c r="I297" s="9"/>
      <c r="J297" s="9"/>
      <c r="K297" s="10">
        <v>0</v>
      </c>
      <c r="L297" s="10"/>
      <c r="M297" s="11"/>
      <c r="N297" s="12"/>
      <c r="O297" s="13"/>
      <c r="P297" s="14"/>
    </row>
    <row r="298" spans="1:16" x14ac:dyDescent="0.25">
      <c r="A298" s="6"/>
      <c r="B298" s="7"/>
      <c r="C298" s="8"/>
      <c r="D298" s="8"/>
      <c r="E298" s="9"/>
      <c r="F298" s="9"/>
      <c r="G298" s="17"/>
      <c r="H298" s="17"/>
      <c r="I298" s="9"/>
      <c r="J298" s="9"/>
      <c r="K298" s="10">
        <v>0</v>
      </c>
      <c r="L298" s="10"/>
      <c r="M298" s="11"/>
      <c r="N298" s="12"/>
      <c r="O298" s="13"/>
      <c r="P298" s="14"/>
    </row>
    <row r="299" spans="1:16" x14ac:dyDescent="0.25">
      <c r="A299" s="6"/>
      <c r="B299" s="7"/>
      <c r="C299" s="8"/>
      <c r="D299" s="8"/>
      <c r="E299" s="9"/>
      <c r="F299" s="9"/>
      <c r="G299" s="17"/>
      <c r="H299" s="17"/>
      <c r="I299" s="9"/>
      <c r="J299" s="9"/>
      <c r="K299" s="10">
        <v>0</v>
      </c>
      <c r="L299" s="10"/>
      <c r="M299" s="11"/>
      <c r="N299" s="12"/>
      <c r="O299" s="13"/>
      <c r="P299" s="14"/>
    </row>
    <row r="300" spans="1:16" x14ac:dyDescent="0.25">
      <c r="A300" s="6"/>
      <c r="B300" s="7"/>
      <c r="C300" s="8"/>
      <c r="D300" s="8"/>
      <c r="E300" s="9"/>
      <c r="F300" s="9"/>
      <c r="G300" s="17"/>
      <c r="H300" s="17"/>
      <c r="I300" s="9"/>
      <c r="J300" s="9"/>
      <c r="K300" s="10">
        <v>0</v>
      </c>
      <c r="L300" s="10"/>
      <c r="M300" s="11"/>
      <c r="N300" s="12"/>
      <c r="O300" s="13"/>
      <c r="P300" s="14"/>
    </row>
    <row r="301" spans="1:16" x14ac:dyDescent="0.25">
      <c r="A301" s="6"/>
      <c r="B301" s="7"/>
      <c r="C301" s="8"/>
      <c r="D301" s="8"/>
      <c r="E301" s="9"/>
      <c r="F301" s="9"/>
      <c r="G301" s="17"/>
      <c r="H301" s="17"/>
      <c r="I301" s="9"/>
      <c r="J301" s="9"/>
      <c r="K301" s="10">
        <v>0</v>
      </c>
      <c r="L301" s="10"/>
      <c r="M301" s="11"/>
      <c r="N301" s="12"/>
      <c r="O301" s="13"/>
      <c r="P301" s="14"/>
    </row>
    <row r="302" spans="1:16" x14ac:dyDescent="0.25">
      <c r="A302" s="6"/>
      <c r="B302" s="7"/>
      <c r="C302" s="8"/>
      <c r="D302" s="8"/>
      <c r="E302" s="9"/>
      <c r="F302" s="9"/>
      <c r="G302" s="17"/>
      <c r="H302" s="17"/>
      <c r="I302" s="9"/>
      <c r="J302" s="9"/>
      <c r="K302" s="10">
        <v>0</v>
      </c>
      <c r="L302" s="10"/>
      <c r="M302" s="11"/>
      <c r="N302" s="12"/>
      <c r="O302" s="13"/>
      <c r="P302" s="14"/>
    </row>
    <row r="303" spans="1:16" x14ac:dyDescent="0.25">
      <c r="A303" s="6"/>
      <c r="B303" s="7"/>
      <c r="C303" s="8"/>
      <c r="D303" s="8"/>
      <c r="E303" s="9"/>
      <c r="F303" s="9"/>
      <c r="G303" s="17"/>
      <c r="H303" s="17"/>
      <c r="I303" s="9"/>
      <c r="J303" s="9"/>
      <c r="K303" s="10">
        <v>0</v>
      </c>
      <c r="L303" s="10"/>
      <c r="M303" s="11"/>
      <c r="N303" s="12"/>
      <c r="O303" s="13"/>
      <c r="P303" s="14"/>
    </row>
    <row r="304" spans="1:16" x14ac:dyDescent="0.25">
      <c r="A304" s="6"/>
      <c r="B304" s="7"/>
      <c r="C304" s="8"/>
      <c r="D304" s="8"/>
      <c r="E304" s="9"/>
      <c r="F304" s="9"/>
      <c r="G304" s="17"/>
      <c r="H304" s="17"/>
      <c r="I304" s="9"/>
      <c r="J304" s="9"/>
      <c r="K304" s="10">
        <v>0</v>
      </c>
      <c r="L304" s="10"/>
      <c r="M304" s="11"/>
      <c r="N304" s="12"/>
      <c r="O304" s="13"/>
      <c r="P304" s="14"/>
    </row>
    <row r="305" spans="1:16" x14ac:dyDescent="0.25">
      <c r="A305" s="6"/>
      <c r="B305" s="7"/>
      <c r="C305" s="8"/>
      <c r="D305" s="8"/>
      <c r="E305" s="9"/>
      <c r="F305" s="9"/>
      <c r="G305" s="17"/>
      <c r="H305" s="17"/>
      <c r="I305" s="9"/>
      <c r="J305" s="9"/>
      <c r="K305" s="10">
        <v>0</v>
      </c>
      <c r="L305" s="10"/>
      <c r="M305" s="11"/>
      <c r="N305" s="12"/>
      <c r="O305" s="13"/>
      <c r="P305" s="14"/>
    </row>
    <row r="306" spans="1:16" x14ac:dyDescent="0.25">
      <c r="A306" s="6"/>
      <c r="B306" s="7"/>
      <c r="C306" s="8"/>
      <c r="D306" s="8"/>
      <c r="E306" s="9"/>
      <c r="F306" s="9"/>
      <c r="G306" s="17"/>
      <c r="H306" s="17"/>
      <c r="I306" s="9"/>
      <c r="J306" s="9"/>
      <c r="K306" s="10">
        <v>0</v>
      </c>
      <c r="L306" s="10"/>
      <c r="M306" s="11"/>
      <c r="N306" s="12"/>
      <c r="O306" s="13"/>
      <c r="P306" s="14"/>
    </row>
    <row r="307" spans="1:16" x14ac:dyDescent="0.25">
      <c r="A307" s="6"/>
      <c r="B307" s="15"/>
      <c r="C307" s="8"/>
      <c r="D307" s="8"/>
      <c r="E307" s="9"/>
      <c r="F307" s="9"/>
      <c r="G307" s="17"/>
      <c r="H307" s="17"/>
      <c r="I307" s="9"/>
      <c r="J307" s="9"/>
      <c r="K307" s="10">
        <v>0</v>
      </c>
      <c r="L307" s="10"/>
      <c r="M307" s="11"/>
      <c r="N307" s="12"/>
      <c r="O307" s="13"/>
      <c r="P307" s="14"/>
    </row>
    <row r="308" spans="1:16" x14ac:dyDescent="0.25">
      <c r="A308" s="6"/>
      <c r="B308" s="7"/>
      <c r="C308" s="8"/>
      <c r="D308" s="8"/>
      <c r="E308" s="9"/>
      <c r="F308" s="9"/>
      <c r="G308" s="17"/>
      <c r="H308" s="17"/>
      <c r="I308" s="9"/>
      <c r="J308" s="9"/>
      <c r="K308" s="10">
        <v>0</v>
      </c>
      <c r="L308" s="10"/>
      <c r="M308" s="11"/>
      <c r="N308" s="12"/>
      <c r="O308" s="13"/>
      <c r="P308" s="14"/>
    </row>
    <row r="309" spans="1:16" x14ac:dyDescent="0.25">
      <c r="A309" s="6"/>
      <c r="B309" s="7"/>
      <c r="C309" s="8"/>
      <c r="D309" s="8"/>
      <c r="E309" s="9"/>
      <c r="F309" s="9"/>
      <c r="G309" s="17"/>
      <c r="H309" s="17"/>
      <c r="I309" s="9"/>
      <c r="J309" s="9"/>
      <c r="K309" s="10">
        <v>0</v>
      </c>
      <c r="L309" s="10"/>
      <c r="M309" s="11"/>
      <c r="N309" s="12"/>
      <c r="O309" s="13"/>
      <c r="P309" s="14"/>
    </row>
    <row r="310" spans="1:16" x14ac:dyDescent="0.25">
      <c r="A310" s="6"/>
      <c r="B310" s="7"/>
      <c r="C310" s="8"/>
      <c r="D310" s="8"/>
      <c r="E310" s="9"/>
      <c r="F310" s="9"/>
      <c r="G310" s="17"/>
      <c r="H310" s="17"/>
      <c r="I310" s="9"/>
      <c r="J310" s="9"/>
      <c r="K310" s="10">
        <v>0</v>
      </c>
      <c r="L310" s="10"/>
      <c r="M310" s="11"/>
      <c r="N310" s="12"/>
      <c r="O310" s="13"/>
      <c r="P310" s="14"/>
    </row>
    <row r="311" spans="1:16" x14ac:dyDescent="0.25">
      <c r="A311" s="6"/>
      <c r="B311" s="7"/>
      <c r="C311" s="8"/>
      <c r="D311" s="8"/>
      <c r="E311" s="9"/>
      <c r="F311" s="9"/>
      <c r="G311" s="17"/>
      <c r="H311" s="17"/>
      <c r="I311" s="9"/>
      <c r="J311" s="9"/>
      <c r="K311" s="10">
        <v>0</v>
      </c>
      <c r="L311" s="10"/>
      <c r="M311" s="11"/>
      <c r="N311" s="12"/>
      <c r="O311" s="13"/>
      <c r="P311" s="14"/>
    </row>
    <row r="312" spans="1:16" x14ac:dyDescent="0.25">
      <c r="A312" s="6"/>
      <c r="B312" s="7"/>
      <c r="C312" s="8"/>
      <c r="D312" s="8"/>
      <c r="E312" s="9"/>
      <c r="F312" s="9"/>
      <c r="G312" s="17"/>
      <c r="H312" s="17"/>
      <c r="I312" s="9"/>
      <c r="J312" s="9"/>
      <c r="K312" s="10">
        <v>0</v>
      </c>
      <c r="L312" s="10"/>
      <c r="M312" s="11"/>
      <c r="N312" s="12"/>
      <c r="O312" s="13"/>
      <c r="P312" s="14"/>
    </row>
    <row r="313" spans="1:16" x14ac:dyDescent="0.25">
      <c r="A313" s="6"/>
      <c r="B313" s="7"/>
      <c r="C313" s="8"/>
      <c r="D313" s="8"/>
      <c r="E313" s="9"/>
      <c r="F313" s="9"/>
      <c r="G313" s="17"/>
      <c r="H313" s="17"/>
      <c r="I313" s="9"/>
      <c r="J313" s="9"/>
      <c r="K313" s="10">
        <v>0</v>
      </c>
      <c r="L313" s="10"/>
      <c r="M313" s="11"/>
      <c r="N313" s="12"/>
      <c r="O313" s="13"/>
      <c r="P313" s="14"/>
    </row>
    <row r="314" spans="1:16" x14ac:dyDescent="0.25">
      <c r="A314" s="6"/>
      <c r="B314" s="7"/>
      <c r="C314" s="8"/>
      <c r="D314" s="8"/>
      <c r="E314" s="9"/>
      <c r="F314" s="9"/>
      <c r="G314" s="17"/>
      <c r="H314" s="17"/>
      <c r="I314" s="9"/>
      <c r="J314" s="9"/>
      <c r="K314" s="10">
        <v>0</v>
      </c>
      <c r="L314" s="10"/>
      <c r="M314" s="11"/>
      <c r="N314" s="12"/>
      <c r="O314" s="13"/>
      <c r="P314" s="14"/>
    </row>
    <row r="315" spans="1:16" x14ac:dyDescent="0.25">
      <c r="A315" s="6"/>
      <c r="B315" s="7"/>
      <c r="C315" s="8"/>
      <c r="D315" s="8"/>
      <c r="E315" s="9"/>
      <c r="F315" s="9"/>
      <c r="G315" s="17"/>
      <c r="H315" s="17"/>
      <c r="I315" s="9"/>
      <c r="J315" s="9"/>
      <c r="K315" s="10">
        <v>0</v>
      </c>
      <c r="L315" s="10"/>
      <c r="M315" s="11"/>
      <c r="N315" s="12"/>
      <c r="O315" s="13"/>
      <c r="P315" s="14"/>
    </row>
    <row r="316" spans="1:16" x14ac:dyDescent="0.25">
      <c r="A316" s="6"/>
      <c r="B316" s="7"/>
      <c r="C316" s="8"/>
      <c r="D316" s="8"/>
      <c r="E316" s="9"/>
      <c r="F316" s="9"/>
      <c r="G316" s="17"/>
      <c r="H316" s="17"/>
      <c r="I316" s="9"/>
      <c r="J316" s="9"/>
      <c r="K316" s="10">
        <v>0</v>
      </c>
      <c r="L316" s="10"/>
      <c r="M316" s="11"/>
      <c r="N316" s="12"/>
      <c r="O316" s="13"/>
      <c r="P316" s="14"/>
    </row>
    <row r="317" spans="1:16" x14ac:dyDescent="0.25">
      <c r="A317" s="6"/>
      <c r="B317" s="7"/>
      <c r="C317" s="8"/>
      <c r="D317" s="8"/>
      <c r="E317" s="9"/>
      <c r="F317" s="9"/>
      <c r="G317" s="17"/>
      <c r="H317" s="17"/>
      <c r="I317" s="9"/>
      <c r="J317" s="9"/>
      <c r="K317" s="10">
        <v>0</v>
      </c>
      <c r="L317" s="10"/>
      <c r="M317" s="11"/>
      <c r="N317" s="12"/>
      <c r="O317" s="13"/>
      <c r="P317" s="14"/>
    </row>
    <row r="318" spans="1:16" x14ac:dyDescent="0.25">
      <c r="A318" s="6"/>
      <c r="B318" s="7"/>
      <c r="C318" s="8"/>
      <c r="D318" s="8"/>
      <c r="E318" s="9"/>
      <c r="F318" s="9"/>
      <c r="G318" s="17"/>
      <c r="H318" s="17"/>
      <c r="I318" s="9"/>
      <c r="J318" s="9"/>
      <c r="K318" s="10">
        <v>0</v>
      </c>
      <c r="L318" s="10"/>
      <c r="M318" s="11"/>
      <c r="N318" s="12"/>
      <c r="O318" s="13"/>
      <c r="P318" s="14"/>
    </row>
    <row r="319" spans="1:16" x14ac:dyDescent="0.25">
      <c r="A319" s="6"/>
      <c r="B319" s="7"/>
      <c r="C319" s="8"/>
      <c r="D319" s="8"/>
      <c r="E319" s="9"/>
      <c r="F319" s="9"/>
      <c r="G319" s="17"/>
      <c r="H319" s="17"/>
      <c r="I319" s="9"/>
      <c r="J319" s="9"/>
      <c r="K319" s="10">
        <v>0</v>
      </c>
      <c r="L319" s="10"/>
      <c r="M319" s="11"/>
      <c r="N319" s="12"/>
      <c r="O319" s="13"/>
      <c r="P319" s="14"/>
    </row>
    <row r="320" spans="1:16" x14ac:dyDescent="0.25">
      <c r="A320" s="6"/>
      <c r="B320" s="7"/>
      <c r="C320" s="8"/>
      <c r="D320" s="8"/>
      <c r="E320" s="9"/>
      <c r="F320" s="9"/>
      <c r="G320" s="17"/>
      <c r="H320" s="17"/>
      <c r="I320" s="9"/>
      <c r="J320" s="9"/>
      <c r="K320" s="10">
        <v>0</v>
      </c>
      <c r="L320" s="10"/>
      <c r="M320" s="11"/>
      <c r="N320" s="12"/>
      <c r="O320" s="13"/>
      <c r="P320" s="14"/>
    </row>
    <row r="321" spans="1:16" x14ac:dyDescent="0.25">
      <c r="A321" s="6"/>
      <c r="B321" s="7"/>
      <c r="C321" s="8"/>
      <c r="D321" s="8"/>
      <c r="E321" s="9"/>
      <c r="F321" s="9"/>
      <c r="G321" s="17"/>
      <c r="H321" s="17"/>
      <c r="I321" s="9"/>
      <c r="J321" s="9"/>
      <c r="K321" s="10">
        <v>0</v>
      </c>
      <c r="L321" s="10"/>
      <c r="M321" s="11"/>
      <c r="N321" s="12"/>
      <c r="O321" s="13"/>
      <c r="P321" s="14"/>
    </row>
    <row r="322" spans="1:16" x14ac:dyDescent="0.25">
      <c r="A322" s="6"/>
      <c r="B322" s="7"/>
      <c r="C322" s="8"/>
      <c r="D322" s="8"/>
      <c r="E322" s="9"/>
      <c r="F322" s="9"/>
      <c r="G322" s="17"/>
      <c r="H322" s="17"/>
      <c r="I322" s="9"/>
      <c r="J322" s="9"/>
      <c r="K322" s="10">
        <v>0</v>
      </c>
      <c r="L322" s="10"/>
      <c r="M322" s="11"/>
      <c r="N322" s="12"/>
      <c r="O322" s="13"/>
      <c r="P322" s="14"/>
    </row>
    <row r="323" spans="1:16" x14ac:dyDescent="0.25">
      <c r="A323" s="6"/>
      <c r="B323" s="7"/>
      <c r="C323" s="8"/>
      <c r="D323" s="8"/>
      <c r="E323" s="9"/>
      <c r="F323" s="9"/>
      <c r="G323" s="17"/>
      <c r="H323" s="17"/>
      <c r="I323" s="9"/>
      <c r="J323" s="9"/>
      <c r="K323" s="10">
        <v>0</v>
      </c>
      <c r="L323" s="10"/>
      <c r="M323" s="11"/>
      <c r="N323" s="12"/>
      <c r="O323" s="13"/>
      <c r="P323" s="14"/>
    </row>
    <row r="324" spans="1:16" x14ac:dyDescent="0.25">
      <c r="A324" s="6"/>
      <c r="B324" s="7"/>
      <c r="C324" s="8"/>
      <c r="D324" s="8"/>
      <c r="E324" s="9"/>
      <c r="F324" s="9"/>
      <c r="G324" s="17"/>
      <c r="H324" s="17"/>
      <c r="I324" s="9"/>
      <c r="J324" s="9"/>
      <c r="K324" s="10">
        <v>0</v>
      </c>
      <c r="L324" s="10"/>
      <c r="M324" s="11"/>
      <c r="N324" s="12"/>
      <c r="O324" s="13"/>
      <c r="P324" s="14"/>
    </row>
    <row r="325" spans="1:16" x14ac:dyDescent="0.25">
      <c r="A325" s="6"/>
      <c r="B325" s="7"/>
      <c r="C325" s="8"/>
      <c r="D325" s="8"/>
      <c r="E325" s="9"/>
      <c r="F325" s="9"/>
      <c r="G325" s="17"/>
      <c r="H325" s="17"/>
      <c r="I325" s="9"/>
      <c r="J325" s="9"/>
      <c r="K325" s="10">
        <v>0</v>
      </c>
      <c r="L325" s="10"/>
      <c r="M325" s="11"/>
      <c r="N325" s="12"/>
      <c r="O325" s="13"/>
      <c r="P325" s="14"/>
    </row>
    <row r="326" spans="1:16" x14ac:dyDescent="0.25">
      <c r="A326" s="6"/>
      <c r="B326" s="7"/>
      <c r="C326" s="8"/>
      <c r="D326" s="8"/>
      <c r="E326" s="9"/>
      <c r="F326" s="9"/>
      <c r="G326" s="17"/>
      <c r="H326" s="17"/>
      <c r="I326" s="9"/>
      <c r="J326" s="9"/>
      <c r="K326" s="10">
        <v>0</v>
      </c>
      <c r="L326" s="10"/>
      <c r="M326" s="11"/>
      <c r="N326" s="12"/>
      <c r="O326" s="13"/>
      <c r="P326" s="14"/>
    </row>
    <row r="327" spans="1:16" x14ac:dyDescent="0.25">
      <c r="A327" s="6"/>
      <c r="B327" s="7"/>
      <c r="C327" s="8"/>
      <c r="D327" s="8"/>
      <c r="E327" s="9"/>
      <c r="F327" s="9"/>
      <c r="G327" s="17"/>
      <c r="H327" s="17"/>
      <c r="I327" s="9"/>
      <c r="J327" s="9"/>
      <c r="K327" s="10">
        <v>0</v>
      </c>
      <c r="L327" s="10"/>
      <c r="M327" s="11"/>
      <c r="N327" s="12"/>
      <c r="O327" s="13"/>
      <c r="P327" s="14"/>
    </row>
    <row r="328" spans="1:16" x14ac:dyDescent="0.25">
      <c r="A328" s="6"/>
      <c r="B328" s="7"/>
      <c r="C328" s="8"/>
      <c r="D328" s="8"/>
      <c r="E328" s="9"/>
      <c r="F328" s="9"/>
      <c r="G328" s="17"/>
      <c r="H328" s="17"/>
      <c r="I328" s="9"/>
      <c r="J328" s="9"/>
      <c r="K328" s="10">
        <v>0</v>
      </c>
      <c r="L328" s="10"/>
      <c r="M328" s="11"/>
      <c r="N328" s="12"/>
      <c r="O328" s="13"/>
      <c r="P328" s="14"/>
    </row>
    <row r="329" spans="1:16" x14ac:dyDescent="0.25">
      <c r="A329" s="6"/>
      <c r="B329" s="7"/>
      <c r="C329" s="8"/>
      <c r="D329" s="8"/>
      <c r="E329" s="9"/>
      <c r="F329" s="9"/>
      <c r="G329" s="17"/>
      <c r="H329" s="17"/>
      <c r="I329" s="9"/>
      <c r="J329" s="9"/>
      <c r="K329" s="10">
        <v>0</v>
      </c>
      <c r="L329" s="10"/>
      <c r="M329" s="11"/>
      <c r="N329" s="12"/>
      <c r="O329" s="13"/>
      <c r="P329" s="14"/>
    </row>
    <row r="330" spans="1:16" x14ac:dyDescent="0.25">
      <c r="A330" s="6"/>
      <c r="B330" s="7"/>
      <c r="C330" s="8"/>
      <c r="D330" s="8"/>
      <c r="E330" s="9"/>
      <c r="F330" s="9"/>
      <c r="G330" s="17"/>
      <c r="H330" s="17"/>
      <c r="I330" s="9"/>
      <c r="J330" s="9"/>
      <c r="K330" s="10">
        <v>0</v>
      </c>
      <c r="L330" s="10"/>
      <c r="M330" s="11"/>
      <c r="N330" s="12"/>
      <c r="O330" s="13"/>
      <c r="P330" s="14"/>
    </row>
    <row r="331" spans="1:16" x14ac:dyDescent="0.25">
      <c r="A331" s="6"/>
      <c r="B331" s="15"/>
      <c r="C331" s="8"/>
      <c r="D331" s="8"/>
      <c r="E331" s="9"/>
      <c r="F331" s="9"/>
      <c r="G331" s="17"/>
      <c r="H331" s="17"/>
      <c r="I331" s="9"/>
      <c r="J331" s="9"/>
      <c r="K331" s="10">
        <v>0</v>
      </c>
      <c r="L331" s="10"/>
      <c r="M331" s="11"/>
      <c r="N331" s="12"/>
      <c r="O331" s="13"/>
      <c r="P331" s="14"/>
    </row>
    <row r="332" spans="1:16" x14ac:dyDescent="0.25">
      <c r="A332" s="6"/>
      <c r="B332" s="7"/>
      <c r="C332" s="8"/>
      <c r="D332" s="8"/>
      <c r="E332" s="9"/>
      <c r="F332" s="9"/>
      <c r="G332" s="17"/>
      <c r="H332" s="17"/>
      <c r="I332" s="9"/>
      <c r="J332" s="9"/>
      <c r="K332" s="10">
        <v>0</v>
      </c>
      <c r="L332" s="10"/>
      <c r="M332" s="11"/>
      <c r="N332" s="12"/>
      <c r="O332" s="13"/>
      <c r="P332" s="14"/>
    </row>
    <row r="333" spans="1:16" x14ac:dyDescent="0.25">
      <c r="A333" s="6"/>
      <c r="B333" s="7"/>
      <c r="C333" s="8"/>
      <c r="D333" s="8"/>
      <c r="E333" s="9"/>
      <c r="F333" s="9"/>
      <c r="G333" s="17"/>
      <c r="H333" s="17"/>
      <c r="I333" s="9"/>
      <c r="J333" s="9"/>
      <c r="K333" s="10">
        <v>0</v>
      </c>
      <c r="L333" s="10"/>
      <c r="M333" s="11"/>
      <c r="N333" s="12"/>
      <c r="O333" s="13"/>
      <c r="P333" s="14"/>
    </row>
    <row r="334" spans="1:16" x14ac:dyDescent="0.25">
      <c r="A334" s="6"/>
      <c r="B334" s="7"/>
      <c r="C334" s="8"/>
      <c r="D334" s="8"/>
      <c r="E334" s="9"/>
      <c r="F334" s="9"/>
      <c r="G334" s="17"/>
      <c r="H334" s="17"/>
      <c r="I334" s="9"/>
      <c r="J334" s="9"/>
      <c r="K334" s="10">
        <v>0</v>
      </c>
      <c r="L334" s="10"/>
      <c r="M334" s="11"/>
      <c r="N334" s="12"/>
      <c r="O334" s="13"/>
      <c r="P334" s="14"/>
    </row>
    <row r="335" spans="1:16" x14ac:dyDescent="0.25">
      <c r="A335" s="6"/>
      <c r="B335" s="7"/>
      <c r="C335" s="8"/>
      <c r="D335" s="8"/>
      <c r="E335" s="9"/>
      <c r="F335" s="9"/>
      <c r="G335" s="17"/>
      <c r="H335" s="17"/>
      <c r="I335" s="9"/>
      <c r="J335" s="9"/>
      <c r="K335" s="10">
        <v>0</v>
      </c>
      <c r="L335" s="10"/>
      <c r="M335" s="11"/>
      <c r="N335" s="12"/>
      <c r="O335" s="13"/>
      <c r="P335" s="14"/>
    </row>
    <row r="336" spans="1:16" x14ac:dyDescent="0.25">
      <c r="A336" s="6"/>
      <c r="B336" s="7"/>
      <c r="C336" s="8"/>
      <c r="D336" s="8"/>
      <c r="E336" s="9"/>
      <c r="F336" s="9"/>
      <c r="G336" s="17"/>
      <c r="H336" s="17"/>
      <c r="I336" s="9"/>
      <c r="J336" s="9"/>
      <c r="K336" s="10">
        <v>0</v>
      </c>
      <c r="L336" s="10"/>
      <c r="M336" s="11"/>
      <c r="N336" s="12"/>
      <c r="O336" s="13"/>
      <c r="P336" s="14"/>
    </row>
    <row r="337" spans="1:16" x14ac:dyDescent="0.25">
      <c r="A337" s="6"/>
      <c r="B337" s="7"/>
      <c r="C337" s="8"/>
      <c r="D337" s="8"/>
      <c r="E337" s="9"/>
      <c r="F337" s="9"/>
      <c r="G337" s="17"/>
      <c r="H337" s="17"/>
      <c r="I337" s="9"/>
      <c r="J337" s="9"/>
      <c r="K337" s="10">
        <v>0</v>
      </c>
      <c r="L337" s="10"/>
      <c r="M337" s="11"/>
      <c r="N337" s="12"/>
      <c r="O337" s="13"/>
      <c r="P337" s="14"/>
    </row>
    <row r="338" spans="1:16" x14ac:dyDescent="0.25">
      <c r="A338" s="6"/>
      <c r="B338" s="7"/>
      <c r="C338" s="8"/>
      <c r="D338" s="8"/>
      <c r="E338" s="9"/>
      <c r="F338" s="9"/>
      <c r="G338" s="17"/>
      <c r="H338" s="17"/>
      <c r="I338" s="9"/>
      <c r="J338" s="9"/>
      <c r="K338" s="10">
        <v>0</v>
      </c>
      <c r="L338" s="10"/>
      <c r="M338" s="11"/>
      <c r="N338" s="12"/>
      <c r="O338" s="13"/>
      <c r="P338" s="14"/>
    </row>
    <row r="339" spans="1:16" x14ac:dyDescent="0.25">
      <c r="A339" s="6"/>
      <c r="B339" s="7"/>
      <c r="C339" s="8"/>
      <c r="D339" s="8"/>
      <c r="E339" s="9"/>
      <c r="F339" s="9"/>
      <c r="G339" s="17"/>
      <c r="H339" s="17"/>
      <c r="I339" s="9"/>
      <c r="J339" s="9"/>
      <c r="K339" s="10">
        <v>0</v>
      </c>
      <c r="L339" s="10"/>
      <c r="M339" s="11"/>
      <c r="N339" s="12"/>
      <c r="O339" s="13"/>
      <c r="P339" s="14"/>
    </row>
    <row r="340" spans="1:16" x14ac:dyDescent="0.25">
      <c r="A340" s="6"/>
      <c r="B340" s="7"/>
      <c r="C340" s="8"/>
      <c r="D340" s="8"/>
      <c r="E340" s="9"/>
      <c r="F340" s="9"/>
      <c r="G340" s="17"/>
      <c r="H340" s="17"/>
      <c r="I340" s="9"/>
      <c r="J340" s="9"/>
      <c r="K340" s="10">
        <v>0</v>
      </c>
      <c r="L340" s="10"/>
      <c r="M340" s="11"/>
      <c r="N340" s="12"/>
      <c r="O340" s="13"/>
      <c r="P340" s="14"/>
    </row>
    <row r="341" spans="1:16" x14ac:dyDescent="0.25">
      <c r="A341" s="6"/>
      <c r="B341" s="7"/>
      <c r="C341" s="8"/>
      <c r="D341" s="8"/>
      <c r="E341" s="9"/>
      <c r="F341" s="9"/>
      <c r="G341" s="17"/>
      <c r="H341" s="17"/>
      <c r="I341" s="9"/>
      <c r="J341" s="9"/>
      <c r="K341" s="10">
        <v>0</v>
      </c>
      <c r="L341" s="10"/>
      <c r="M341" s="11"/>
      <c r="N341" s="12"/>
      <c r="O341" s="13"/>
      <c r="P341" s="14"/>
    </row>
    <row r="342" spans="1:16" x14ac:dyDescent="0.25">
      <c r="A342" s="6"/>
      <c r="B342" s="7"/>
      <c r="C342" s="8"/>
      <c r="D342" s="8"/>
      <c r="E342" s="9"/>
      <c r="F342" s="9"/>
      <c r="G342" s="17"/>
      <c r="H342" s="17"/>
      <c r="I342" s="9"/>
      <c r="J342" s="9"/>
      <c r="K342" s="10">
        <v>0</v>
      </c>
      <c r="L342" s="10"/>
      <c r="M342" s="11"/>
      <c r="N342" s="12"/>
      <c r="O342" s="13"/>
      <c r="P342" s="14"/>
    </row>
    <row r="343" spans="1:16" x14ac:dyDescent="0.25">
      <c r="A343" s="6"/>
      <c r="B343" s="7"/>
      <c r="C343" s="8"/>
      <c r="D343" s="8"/>
      <c r="E343" s="9"/>
      <c r="F343" s="9"/>
      <c r="G343" s="17"/>
      <c r="H343" s="17"/>
      <c r="I343" s="9"/>
      <c r="J343" s="9"/>
      <c r="K343" s="10">
        <v>0</v>
      </c>
      <c r="L343" s="10"/>
      <c r="M343" s="11"/>
      <c r="N343" s="12"/>
      <c r="O343" s="13"/>
      <c r="P343" s="14"/>
    </row>
    <row r="344" spans="1:16" x14ac:dyDescent="0.25">
      <c r="A344" s="6"/>
      <c r="B344" s="7"/>
      <c r="C344" s="8"/>
      <c r="D344" s="8"/>
      <c r="E344" s="9"/>
      <c r="F344" s="9"/>
      <c r="G344" s="17"/>
      <c r="H344" s="17"/>
      <c r="I344" s="9"/>
      <c r="J344" s="9"/>
      <c r="K344" s="10">
        <v>0</v>
      </c>
      <c r="L344" s="10"/>
      <c r="M344" s="11"/>
      <c r="N344" s="12"/>
      <c r="O344" s="13"/>
      <c r="P344" s="14"/>
    </row>
    <row r="345" spans="1:16" x14ac:dyDescent="0.25">
      <c r="A345" s="6"/>
      <c r="B345" s="7"/>
      <c r="C345" s="8"/>
      <c r="D345" s="8"/>
      <c r="E345" s="9"/>
      <c r="F345" s="9"/>
      <c r="G345" s="17"/>
      <c r="H345" s="17"/>
      <c r="I345" s="9"/>
      <c r="J345" s="9"/>
      <c r="K345" s="10">
        <v>0</v>
      </c>
      <c r="L345" s="10"/>
      <c r="M345" s="11"/>
      <c r="N345" s="12"/>
      <c r="O345" s="13"/>
      <c r="P345" s="14"/>
    </row>
    <row r="346" spans="1:16" x14ac:dyDescent="0.25">
      <c r="A346" s="6"/>
      <c r="B346" s="7"/>
      <c r="C346" s="8"/>
      <c r="D346" s="8"/>
      <c r="E346" s="9"/>
      <c r="F346" s="9"/>
      <c r="G346" s="17"/>
      <c r="H346" s="17"/>
      <c r="I346" s="9"/>
      <c r="J346" s="9"/>
      <c r="K346" s="10">
        <v>0</v>
      </c>
      <c r="L346" s="10"/>
      <c r="M346" s="11"/>
      <c r="N346" s="12"/>
      <c r="O346" s="13"/>
      <c r="P346" s="14"/>
    </row>
    <row r="347" spans="1:16" x14ac:dyDescent="0.25">
      <c r="A347" s="6"/>
      <c r="B347" s="7"/>
      <c r="C347" s="8"/>
      <c r="D347" s="8"/>
      <c r="E347" s="9"/>
      <c r="F347" s="9"/>
      <c r="G347" s="17"/>
      <c r="H347" s="17"/>
      <c r="I347" s="9"/>
      <c r="J347" s="9"/>
      <c r="K347" s="10">
        <v>0</v>
      </c>
      <c r="L347" s="10"/>
      <c r="M347" s="11"/>
      <c r="N347" s="12"/>
      <c r="O347" s="13"/>
      <c r="P347" s="14"/>
    </row>
    <row r="348" spans="1:16" x14ac:dyDescent="0.25">
      <c r="A348" s="6"/>
      <c r="B348" s="7"/>
      <c r="C348" s="8"/>
      <c r="D348" s="8"/>
      <c r="E348" s="9"/>
      <c r="F348" s="9"/>
      <c r="G348" s="17"/>
      <c r="H348" s="17"/>
      <c r="I348" s="9"/>
      <c r="J348" s="9"/>
      <c r="K348" s="10">
        <v>0</v>
      </c>
      <c r="L348" s="10"/>
      <c r="M348" s="11"/>
      <c r="N348" s="12"/>
      <c r="O348" s="13"/>
      <c r="P348" s="14"/>
    </row>
    <row r="349" spans="1:16" x14ac:dyDescent="0.25">
      <c r="A349" s="6"/>
      <c r="B349" s="7"/>
      <c r="C349" s="8"/>
      <c r="D349" s="8"/>
      <c r="E349" s="9"/>
      <c r="F349" s="9"/>
      <c r="G349" s="17"/>
      <c r="H349" s="17"/>
      <c r="I349" s="9"/>
      <c r="J349" s="9"/>
      <c r="K349" s="10">
        <v>0</v>
      </c>
      <c r="L349" s="10"/>
      <c r="M349" s="11"/>
      <c r="N349" s="12"/>
      <c r="O349" s="13"/>
      <c r="P349" s="14"/>
    </row>
    <row r="350" spans="1:16" x14ac:dyDescent="0.25">
      <c r="A350" s="6"/>
      <c r="B350" s="7"/>
      <c r="C350" s="8"/>
      <c r="D350" s="8"/>
      <c r="E350" s="9"/>
      <c r="F350" s="9"/>
      <c r="G350" s="17"/>
      <c r="H350" s="17"/>
      <c r="I350" s="9"/>
      <c r="J350" s="9"/>
      <c r="K350" s="10">
        <v>0</v>
      </c>
      <c r="L350" s="10"/>
      <c r="M350" s="11"/>
      <c r="N350" s="12"/>
      <c r="O350" s="13"/>
      <c r="P350" s="14"/>
    </row>
    <row r="351" spans="1:16" x14ac:dyDescent="0.25">
      <c r="A351" s="6"/>
      <c r="B351" s="7"/>
      <c r="C351" s="8"/>
      <c r="D351" s="8"/>
      <c r="E351" s="9"/>
      <c r="F351" s="9"/>
      <c r="G351" s="17"/>
      <c r="H351" s="17"/>
      <c r="I351" s="9"/>
      <c r="J351" s="9"/>
      <c r="K351" s="10">
        <v>0</v>
      </c>
      <c r="L351" s="10"/>
      <c r="M351" s="11"/>
      <c r="N351" s="12"/>
      <c r="O351" s="13"/>
      <c r="P351" s="14"/>
    </row>
    <row r="352" spans="1:16" x14ac:dyDescent="0.25">
      <c r="A352" s="6"/>
      <c r="B352" s="7"/>
      <c r="C352" s="8"/>
      <c r="D352" s="8"/>
      <c r="E352" s="9"/>
      <c r="F352" s="9"/>
      <c r="G352" s="17"/>
      <c r="H352" s="17"/>
      <c r="I352" s="9"/>
      <c r="J352" s="9"/>
      <c r="K352" s="10">
        <v>0</v>
      </c>
      <c r="L352" s="10"/>
      <c r="M352" s="11"/>
      <c r="N352" s="12"/>
      <c r="O352" s="13"/>
      <c r="P352" s="14"/>
    </row>
    <row r="353" spans="1:16" x14ac:dyDescent="0.25">
      <c r="A353" s="6"/>
      <c r="B353" s="7"/>
      <c r="C353" s="8"/>
      <c r="D353" s="8"/>
      <c r="E353" s="9"/>
      <c r="F353" s="9"/>
      <c r="G353" s="17"/>
      <c r="H353" s="17"/>
      <c r="I353" s="9"/>
      <c r="J353" s="9"/>
      <c r="K353" s="10">
        <v>0</v>
      </c>
      <c r="L353" s="10"/>
      <c r="M353" s="11"/>
      <c r="N353" s="12"/>
      <c r="O353" s="13"/>
      <c r="P353" s="14"/>
    </row>
    <row r="354" spans="1:16" x14ac:dyDescent="0.25">
      <c r="A354" s="6"/>
      <c r="B354" s="7"/>
      <c r="C354" s="8"/>
      <c r="D354" s="8"/>
      <c r="E354" s="9"/>
      <c r="F354" s="9"/>
      <c r="G354" s="17"/>
      <c r="H354" s="17"/>
      <c r="I354" s="9"/>
      <c r="J354" s="9"/>
      <c r="K354" s="10">
        <v>0</v>
      </c>
      <c r="L354" s="10"/>
      <c r="M354" s="11"/>
      <c r="N354" s="12"/>
      <c r="O354" s="13"/>
      <c r="P354" s="14"/>
    </row>
    <row r="355" spans="1:16" x14ac:dyDescent="0.25">
      <c r="A355" s="6"/>
      <c r="B355" s="7"/>
      <c r="C355" s="8"/>
      <c r="D355" s="8"/>
      <c r="E355" s="9"/>
      <c r="F355" s="9"/>
      <c r="G355" s="17"/>
      <c r="H355" s="17"/>
      <c r="I355" s="9"/>
      <c r="J355" s="9"/>
      <c r="K355" s="10">
        <v>0</v>
      </c>
      <c r="L355" s="10"/>
      <c r="M355" s="11"/>
      <c r="N355" s="12"/>
      <c r="O355" s="13"/>
      <c r="P355" s="14"/>
    </row>
    <row r="356" spans="1:16" x14ac:dyDescent="0.25">
      <c r="A356" s="6"/>
      <c r="B356" s="7"/>
      <c r="C356" s="8"/>
      <c r="D356" s="8"/>
      <c r="E356" s="9"/>
      <c r="F356" s="9"/>
      <c r="G356" s="17"/>
      <c r="H356" s="17"/>
      <c r="I356" s="9"/>
      <c r="J356" s="9"/>
      <c r="K356" s="10">
        <v>0</v>
      </c>
      <c r="L356" s="10"/>
      <c r="M356" s="11"/>
      <c r="N356" s="12"/>
      <c r="O356" s="13"/>
      <c r="P356" s="14"/>
    </row>
    <row r="357" spans="1:16" x14ac:dyDescent="0.25">
      <c r="A357" s="6"/>
      <c r="B357" s="7"/>
      <c r="C357" s="8"/>
      <c r="D357" s="8"/>
      <c r="E357" s="9"/>
      <c r="F357" s="9"/>
      <c r="G357" s="17"/>
      <c r="H357" s="17"/>
      <c r="I357" s="9"/>
      <c r="J357" s="9"/>
      <c r="K357" s="10">
        <v>0</v>
      </c>
      <c r="L357" s="10"/>
      <c r="M357" s="11"/>
      <c r="N357" s="12"/>
      <c r="O357" s="13"/>
      <c r="P357" s="14"/>
    </row>
    <row r="358" spans="1:16" x14ac:dyDescent="0.25">
      <c r="A358" s="6"/>
      <c r="B358" s="7"/>
      <c r="C358" s="8"/>
      <c r="D358" s="8"/>
      <c r="E358" s="9"/>
      <c r="F358" s="9"/>
      <c r="G358" s="17"/>
      <c r="H358" s="17"/>
      <c r="I358" s="9"/>
      <c r="J358" s="9"/>
      <c r="K358" s="10">
        <v>0</v>
      </c>
      <c r="L358" s="10"/>
      <c r="M358" s="11"/>
      <c r="N358" s="12"/>
      <c r="O358" s="13"/>
      <c r="P358" s="14"/>
    </row>
    <row r="359" spans="1:16" x14ac:dyDescent="0.25">
      <c r="A359" s="6"/>
      <c r="B359" s="7"/>
      <c r="C359" s="8"/>
      <c r="D359" s="8"/>
      <c r="E359" s="9"/>
      <c r="F359" s="9"/>
      <c r="G359" s="17"/>
      <c r="H359" s="17"/>
      <c r="I359" s="9"/>
      <c r="J359" s="9"/>
      <c r="K359" s="10">
        <v>0</v>
      </c>
      <c r="L359" s="10"/>
      <c r="M359" s="11"/>
      <c r="N359" s="12"/>
      <c r="O359" s="13"/>
      <c r="P359" s="14"/>
    </row>
    <row r="360" spans="1:16" x14ac:dyDescent="0.25">
      <c r="A360" s="6"/>
      <c r="B360" s="7"/>
      <c r="C360" s="8"/>
      <c r="D360" s="8"/>
      <c r="E360" s="9"/>
      <c r="F360" s="9"/>
      <c r="G360" s="17"/>
      <c r="H360" s="17"/>
      <c r="I360" s="9"/>
      <c r="J360" s="9"/>
      <c r="K360" s="10">
        <v>0</v>
      </c>
      <c r="L360" s="10"/>
      <c r="M360" s="11"/>
      <c r="N360" s="12"/>
      <c r="O360" s="13"/>
      <c r="P360" s="14"/>
    </row>
    <row r="361" spans="1:16" x14ac:dyDescent="0.25">
      <c r="A361" s="6"/>
      <c r="B361" s="7"/>
      <c r="C361" s="8"/>
      <c r="D361" s="8"/>
      <c r="E361" s="9"/>
      <c r="F361" s="9"/>
      <c r="G361" s="17"/>
      <c r="H361" s="17"/>
      <c r="I361" s="9"/>
      <c r="J361" s="9"/>
      <c r="K361" s="10">
        <v>0</v>
      </c>
      <c r="L361" s="10"/>
      <c r="M361" s="11"/>
      <c r="N361" s="12"/>
      <c r="O361" s="13"/>
      <c r="P361" s="14"/>
    </row>
    <row r="362" spans="1:16" x14ac:dyDescent="0.25">
      <c r="A362" s="6"/>
      <c r="B362" s="7"/>
      <c r="C362" s="8"/>
      <c r="D362" s="8"/>
      <c r="E362" s="9"/>
      <c r="F362" s="9"/>
      <c r="G362" s="17"/>
      <c r="H362" s="17"/>
      <c r="I362" s="9"/>
      <c r="J362" s="9"/>
      <c r="K362" s="10">
        <v>0</v>
      </c>
      <c r="L362" s="10"/>
      <c r="M362" s="11"/>
      <c r="N362" s="12"/>
      <c r="O362" s="13"/>
      <c r="P362" s="14"/>
    </row>
    <row r="363" spans="1:16" x14ac:dyDescent="0.25">
      <c r="A363" s="6"/>
      <c r="B363" s="7"/>
      <c r="C363" s="8"/>
      <c r="D363" s="8"/>
      <c r="E363" s="9"/>
      <c r="F363" s="9"/>
      <c r="G363" s="17"/>
      <c r="H363" s="17"/>
      <c r="I363" s="9"/>
      <c r="J363" s="9"/>
      <c r="K363" s="10">
        <v>0</v>
      </c>
      <c r="L363" s="10"/>
      <c r="M363" s="11"/>
      <c r="N363" s="12"/>
      <c r="O363" s="13"/>
      <c r="P363" s="14"/>
    </row>
    <row r="364" spans="1:16" x14ac:dyDescent="0.25">
      <c r="A364" s="6"/>
      <c r="B364" s="7"/>
      <c r="C364" s="8"/>
      <c r="D364" s="8"/>
      <c r="E364" s="9"/>
      <c r="F364" s="9"/>
      <c r="G364" s="17"/>
      <c r="H364" s="17"/>
      <c r="I364" s="9"/>
      <c r="J364" s="9"/>
      <c r="K364" s="10">
        <v>0</v>
      </c>
      <c r="L364" s="10"/>
      <c r="M364" s="11"/>
      <c r="N364" s="12"/>
      <c r="O364" s="13"/>
      <c r="P364" s="14"/>
    </row>
    <row r="365" spans="1:16" x14ac:dyDescent="0.25">
      <c r="A365" s="6"/>
      <c r="B365" s="7"/>
      <c r="C365" s="8"/>
      <c r="D365" s="8"/>
      <c r="E365" s="9"/>
      <c r="F365" s="9"/>
      <c r="G365" s="17"/>
      <c r="H365" s="17"/>
      <c r="I365" s="9"/>
      <c r="J365" s="9"/>
      <c r="K365" s="10">
        <v>0</v>
      </c>
      <c r="L365" s="10"/>
      <c r="M365" s="11"/>
      <c r="N365" s="12"/>
      <c r="O365" s="13"/>
      <c r="P365" s="14"/>
    </row>
    <row r="366" spans="1:16" x14ac:dyDescent="0.25">
      <c r="A366" s="6"/>
      <c r="B366" s="7"/>
      <c r="C366" s="8"/>
      <c r="D366" s="8"/>
      <c r="E366" s="9"/>
      <c r="F366" s="9"/>
      <c r="G366" s="17"/>
      <c r="H366" s="17"/>
      <c r="I366" s="9"/>
      <c r="J366" s="9"/>
      <c r="K366" s="10">
        <v>0</v>
      </c>
      <c r="L366" s="10"/>
      <c r="M366" s="11"/>
      <c r="N366" s="12"/>
      <c r="O366" s="13"/>
      <c r="P366" s="14"/>
    </row>
    <row r="367" spans="1:16" x14ac:dyDescent="0.25">
      <c r="A367" s="6"/>
      <c r="B367" s="7"/>
      <c r="C367" s="8"/>
      <c r="D367" s="8"/>
      <c r="E367" s="9"/>
      <c r="F367" s="9"/>
      <c r="G367" s="17"/>
      <c r="H367" s="17"/>
      <c r="I367" s="9"/>
      <c r="J367" s="9"/>
      <c r="K367" s="10">
        <v>0</v>
      </c>
      <c r="L367" s="10"/>
      <c r="M367" s="11"/>
      <c r="N367" s="12"/>
      <c r="O367" s="13"/>
      <c r="P367" s="14"/>
    </row>
    <row r="368" spans="1:16" x14ac:dyDescent="0.25">
      <c r="A368" s="6"/>
      <c r="B368" s="7"/>
      <c r="C368" s="8"/>
      <c r="D368" s="8"/>
      <c r="E368" s="9"/>
      <c r="F368" s="9"/>
      <c r="G368" s="17"/>
      <c r="H368" s="17"/>
      <c r="I368" s="9"/>
      <c r="J368" s="9"/>
      <c r="K368" s="10">
        <v>0</v>
      </c>
      <c r="L368" s="10"/>
      <c r="M368" s="11"/>
      <c r="N368" s="12"/>
      <c r="O368" s="13"/>
      <c r="P368" s="14"/>
    </row>
    <row r="369" spans="1:16" x14ac:dyDescent="0.25">
      <c r="A369" s="6"/>
      <c r="B369" s="7"/>
      <c r="C369" s="8"/>
      <c r="D369" s="8"/>
      <c r="E369" s="9"/>
      <c r="F369" s="9"/>
      <c r="G369" s="17"/>
      <c r="H369" s="17"/>
      <c r="I369" s="9"/>
      <c r="J369" s="9"/>
      <c r="K369" s="10">
        <v>0</v>
      </c>
      <c r="L369" s="10"/>
      <c r="M369" s="11"/>
      <c r="N369" s="12"/>
      <c r="O369" s="13"/>
      <c r="P369" s="14"/>
    </row>
    <row r="370" spans="1:16" x14ac:dyDescent="0.25">
      <c r="A370" s="6"/>
      <c r="B370" s="7"/>
      <c r="C370" s="8"/>
      <c r="D370" s="8"/>
      <c r="E370" s="9"/>
      <c r="F370" s="9"/>
      <c r="G370" s="17"/>
      <c r="H370" s="17"/>
      <c r="I370" s="9"/>
      <c r="J370" s="9"/>
      <c r="K370" s="10">
        <v>0</v>
      </c>
      <c r="L370" s="10"/>
      <c r="M370" s="11"/>
      <c r="N370" s="12"/>
      <c r="O370" s="13"/>
      <c r="P370" s="14"/>
    </row>
    <row r="371" spans="1:16" x14ac:dyDescent="0.25">
      <c r="A371" s="6"/>
      <c r="B371" s="15"/>
      <c r="C371" s="16"/>
      <c r="D371" s="8"/>
      <c r="E371" s="9"/>
      <c r="F371" s="9"/>
      <c r="G371" s="17"/>
      <c r="H371" s="17"/>
      <c r="I371" s="9"/>
      <c r="J371" s="9"/>
      <c r="K371" s="10">
        <v>0</v>
      </c>
      <c r="L371" s="10"/>
      <c r="M371" s="11"/>
      <c r="N371" s="12"/>
      <c r="O371" s="13"/>
      <c r="P371" s="14"/>
    </row>
    <row r="372" spans="1:16" x14ac:dyDescent="0.25">
      <c r="A372" s="6"/>
      <c r="B372" s="7"/>
      <c r="C372" s="8"/>
      <c r="D372" s="8"/>
      <c r="E372" s="9"/>
      <c r="F372" s="9"/>
      <c r="G372" s="17"/>
      <c r="H372" s="17"/>
      <c r="I372" s="9"/>
      <c r="J372" s="9"/>
      <c r="K372" s="10">
        <v>0</v>
      </c>
      <c r="L372" s="10"/>
      <c r="M372" s="11"/>
      <c r="N372" s="12"/>
      <c r="O372" s="13"/>
      <c r="P372" s="14"/>
    </row>
    <row r="373" spans="1:16" x14ac:dyDescent="0.25">
      <c r="A373" s="6"/>
      <c r="B373" s="7"/>
      <c r="C373" s="8"/>
      <c r="D373" s="8"/>
      <c r="E373" s="9"/>
      <c r="F373" s="9"/>
      <c r="G373" s="17"/>
      <c r="H373" s="17"/>
      <c r="I373" s="9"/>
      <c r="J373" s="9"/>
      <c r="K373" s="10">
        <v>0</v>
      </c>
      <c r="L373" s="10"/>
      <c r="M373" s="11"/>
      <c r="N373" s="12"/>
      <c r="O373" s="13"/>
      <c r="P373" s="14"/>
    </row>
    <row r="374" spans="1:16" x14ac:dyDescent="0.25">
      <c r="A374" s="6"/>
      <c r="B374" s="7"/>
      <c r="C374" s="8"/>
      <c r="D374" s="8"/>
      <c r="E374" s="9"/>
      <c r="F374" s="9"/>
      <c r="G374" s="17"/>
      <c r="H374" s="17"/>
      <c r="I374" s="9"/>
      <c r="J374" s="9"/>
      <c r="K374" s="10">
        <v>0</v>
      </c>
      <c r="L374" s="10"/>
      <c r="M374" s="11"/>
      <c r="N374" s="12"/>
      <c r="O374" s="13"/>
      <c r="P374" s="14"/>
    </row>
    <row r="375" spans="1:16" x14ac:dyDescent="0.25">
      <c r="A375" s="6"/>
      <c r="B375" s="7"/>
      <c r="C375" s="8"/>
      <c r="D375" s="8"/>
      <c r="E375" s="9"/>
      <c r="F375" s="9"/>
      <c r="G375" s="17"/>
      <c r="H375" s="17"/>
      <c r="I375" s="9"/>
      <c r="J375" s="9"/>
      <c r="K375" s="10">
        <v>0</v>
      </c>
      <c r="L375" s="10"/>
      <c r="M375" s="11"/>
      <c r="N375" s="12"/>
      <c r="O375" s="13"/>
      <c r="P375" s="14"/>
    </row>
    <row r="376" spans="1:16" x14ac:dyDescent="0.25">
      <c r="A376" s="6"/>
      <c r="B376" s="7"/>
      <c r="C376" s="8"/>
      <c r="D376" s="8"/>
      <c r="E376" s="9"/>
      <c r="F376" s="9"/>
      <c r="G376" s="17"/>
      <c r="H376" s="17"/>
      <c r="I376" s="9"/>
      <c r="J376" s="9"/>
      <c r="K376" s="10">
        <v>0</v>
      </c>
      <c r="L376" s="10"/>
      <c r="M376" s="11"/>
      <c r="N376" s="12"/>
      <c r="O376" s="13"/>
      <c r="P376" s="14"/>
    </row>
    <row r="377" spans="1:16" x14ac:dyDescent="0.25">
      <c r="A377" s="6"/>
      <c r="B377" s="7"/>
      <c r="C377" s="8"/>
      <c r="D377" s="8"/>
      <c r="E377" s="9"/>
      <c r="F377" s="9"/>
      <c r="G377" s="17"/>
      <c r="H377" s="17"/>
      <c r="I377" s="9"/>
      <c r="J377" s="9"/>
      <c r="K377" s="10">
        <v>0</v>
      </c>
      <c r="L377" s="10"/>
      <c r="M377" s="11"/>
      <c r="N377" s="12"/>
      <c r="O377" s="13"/>
      <c r="P377" s="14"/>
    </row>
    <row r="378" spans="1:16" x14ac:dyDescent="0.25">
      <c r="A378" s="6"/>
      <c r="B378" s="7"/>
      <c r="C378" s="8"/>
      <c r="D378" s="8"/>
      <c r="E378" s="9"/>
      <c r="F378" s="9"/>
      <c r="G378" s="17"/>
      <c r="H378" s="17"/>
      <c r="I378" s="9"/>
      <c r="J378" s="9"/>
      <c r="K378" s="10">
        <v>0</v>
      </c>
      <c r="L378" s="10"/>
      <c r="M378" s="11"/>
      <c r="N378" s="12"/>
      <c r="O378" s="13"/>
      <c r="P378" s="14"/>
    </row>
    <row r="379" spans="1:16" x14ac:dyDescent="0.25">
      <c r="A379" s="6"/>
      <c r="B379" s="7"/>
      <c r="C379" s="8"/>
      <c r="D379" s="8"/>
      <c r="E379" s="9"/>
      <c r="F379" s="9"/>
      <c r="G379" s="17"/>
      <c r="H379" s="17"/>
      <c r="I379" s="9"/>
      <c r="J379" s="9"/>
      <c r="K379" s="10">
        <v>0</v>
      </c>
      <c r="L379" s="10"/>
      <c r="M379" s="11"/>
      <c r="N379" s="12"/>
      <c r="O379" s="13"/>
      <c r="P379" s="14"/>
    </row>
    <row r="380" spans="1:16" x14ac:dyDescent="0.25">
      <c r="A380" s="6"/>
      <c r="B380" s="7"/>
      <c r="C380" s="8"/>
      <c r="D380" s="8"/>
      <c r="E380" s="9"/>
      <c r="F380" s="9"/>
      <c r="G380" s="17"/>
      <c r="H380" s="17"/>
      <c r="I380" s="9"/>
      <c r="J380" s="9"/>
      <c r="K380" s="10">
        <v>0</v>
      </c>
      <c r="L380" s="10"/>
      <c r="M380" s="11"/>
      <c r="N380" s="12"/>
      <c r="O380" s="13"/>
      <c r="P380" s="14"/>
    </row>
    <row r="381" spans="1:16" x14ac:dyDescent="0.25">
      <c r="A381" s="6"/>
      <c r="B381" s="7"/>
      <c r="C381" s="8"/>
      <c r="D381" s="8"/>
      <c r="E381" s="9"/>
      <c r="F381" s="9"/>
      <c r="G381" s="17"/>
      <c r="H381" s="17"/>
      <c r="I381" s="9"/>
      <c r="J381" s="9"/>
      <c r="K381" s="10">
        <v>0</v>
      </c>
      <c r="L381" s="10"/>
      <c r="M381" s="11"/>
      <c r="N381" s="12"/>
      <c r="O381" s="13"/>
      <c r="P381" s="14"/>
    </row>
    <row r="382" spans="1:16" x14ac:dyDescent="0.25">
      <c r="A382" s="6"/>
      <c r="B382" s="15"/>
      <c r="C382" s="16"/>
      <c r="D382" s="8"/>
      <c r="E382" s="9"/>
      <c r="F382" s="9"/>
      <c r="G382" s="17"/>
      <c r="H382" s="17"/>
      <c r="I382" s="9"/>
      <c r="J382" s="9"/>
      <c r="K382" s="10">
        <v>0</v>
      </c>
      <c r="L382" s="10"/>
      <c r="M382" s="11"/>
      <c r="N382" s="12"/>
      <c r="O382" s="13"/>
      <c r="P382" s="14"/>
    </row>
    <row r="383" spans="1:16" x14ac:dyDescent="0.25">
      <c r="A383" s="6"/>
      <c r="B383" s="7"/>
      <c r="C383" s="8"/>
      <c r="D383" s="8"/>
      <c r="E383" s="9"/>
      <c r="F383" s="9"/>
      <c r="G383" s="17"/>
      <c r="H383" s="17"/>
      <c r="I383" s="9"/>
      <c r="J383" s="9"/>
      <c r="K383" s="10">
        <v>0</v>
      </c>
      <c r="L383" s="10"/>
      <c r="M383" s="11"/>
      <c r="N383" s="12"/>
      <c r="O383" s="28"/>
      <c r="P383" s="14"/>
    </row>
    <row r="384" spans="1:16" x14ac:dyDescent="0.25">
      <c r="A384" s="6"/>
      <c r="B384" s="7"/>
      <c r="C384" s="8"/>
      <c r="D384" s="8"/>
      <c r="E384" s="9"/>
      <c r="F384" s="9"/>
      <c r="G384" s="17"/>
      <c r="H384" s="17"/>
      <c r="I384" s="9"/>
      <c r="J384" s="9"/>
      <c r="K384" s="10">
        <v>0</v>
      </c>
      <c r="L384" s="10"/>
      <c r="M384" s="11"/>
      <c r="N384" s="12"/>
      <c r="O384" s="13"/>
      <c r="P384" s="14"/>
    </row>
    <row r="385" spans="1:17" x14ac:dyDescent="0.25">
      <c r="A385" s="6"/>
      <c r="B385" s="7"/>
      <c r="C385" s="8"/>
      <c r="D385" s="8"/>
      <c r="E385" s="9"/>
      <c r="F385" s="9"/>
      <c r="G385" s="17"/>
      <c r="H385" s="17"/>
      <c r="I385" s="9"/>
      <c r="J385" s="9"/>
      <c r="K385" s="10">
        <v>0</v>
      </c>
      <c r="L385" s="10"/>
      <c r="M385" s="11"/>
      <c r="N385" s="12"/>
      <c r="O385" s="13"/>
      <c r="P385" s="14"/>
    </row>
    <row r="386" spans="1:17" x14ac:dyDescent="0.25">
      <c r="A386" s="6"/>
      <c r="B386" s="7"/>
      <c r="C386" s="8"/>
      <c r="D386" s="8"/>
      <c r="E386" s="9"/>
      <c r="F386" s="9"/>
      <c r="G386" s="17"/>
      <c r="H386" s="17"/>
      <c r="I386" s="9"/>
      <c r="J386" s="9"/>
      <c r="K386" s="10">
        <v>0</v>
      </c>
      <c r="L386" s="10"/>
      <c r="M386" s="11"/>
      <c r="N386" s="12"/>
      <c r="O386" s="13"/>
      <c r="P386" s="14"/>
    </row>
    <row r="387" spans="1:17" x14ac:dyDescent="0.25">
      <c r="A387" s="6"/>
      <c r="B387" s="7"/>
      <c r="C387" s="8"/>
      <c r="D387" s="8"/>
      <c r="E387" s="9"/>
      <c r="F387" s="9"/>
      <c r="G387" s="17"/>
      <c r="H387" s="17"/>
      <c r="I387" s="9"/>
      <c r="J387" s="9"/>
      <c r="K387" s="10">
        <v>0</v>
      </c>
      <c r="L387" s="10"/>
      <c r="M387" s="11"/>
      <c r="N387" s="12"/>
      <c r="O387" s="13"/>
      <c r="P387" s="14"/>
    </row>
    <row r="388" spans="1:17" x14ac:dyDescent="0.25">
      <c r="A388" s="6"/>
      <c r="B388" s="7"/>
      <c r="C388" s="8"/>
      <c r="D388" s="8"/>
      <c r="E388" s="9"/>
      <c r="F388" s="9"/>
      <c r="G388" s="17"/>
      <c r="H388" s="17"/>
      <c r="I388" s="9"/>
      <c r="J388" s="9"/>
      <c r="K388" s="10">
        <v>0</v>
      </c>
      <c r="L388" s="10"/>
      <c r="M388" s="11"/>
      <c r="N388" s="12"/>
      <c r="O388" s="13"/>
      <c r="P388" s="14"/>
    </row>
    <row r="389" spans="1:17" x14ac:dyDescent="0.25">
      <c r="A389" s="6"/>
      <c r="B389" s="7"/>
      <c r="C389" s="8"/>
      <c r="D389" s="8"/>
      <c r="E389" s="9"/>
      <c r="F389" s="9"/>
      <c r="G389" s="17"/>
      <c r="H389" s="17"/>
      <c r="I389" s="9"/>
      <c r="J389" s="9"/>
      <c r="K389" s="10">
        <v>0</v>
      </c>
      <c r="L389" s="10"/>
      <c r="M389" s="11"/>
      <c r="N389" s="12"/>
      <c r="O389" s="13"/>
      <c r="P389" s="14"/>
    </row>
    <row r="390" spans="1:17" x14ac:dyDescent="0.25">
      <c r="A390" s="6"/>
      <c r="B390" s="7"/>
      <c r="C390" s="8"/>
      <c r="D390" s="8"/>
      <c r="E390" s="9"/>
      <c r="F390" s="9"/>
      <c r="G390" s="17"/>
      <c r="H390" s="17"/>
      <c r="I390" s="9"/>
      <c r="J390" s="9"/>
      <c r="K390" s="10">
        <v>0</v>
      </c>
      <c r="L390" s="10"/>
      <c r="M390" s="11"/>
      <c r="N390" s="12"/>
      <c r="O390" s="13"/>
      <c r="P390" s="14"/>
    </row>
    <row r="391" spans="1:17" x14ac:dyDescent="0.25">
      <c r="A391" s="6"/>
      <c r="B391" s="7"/>
      <c r="C391" s="8"/>
      <c r="D391" s="8"/>
      <c r="E391" s="9"/>
      <c r="F391" s="9"/>
      <c r="G391" s="17"/>
      <c r="H391" s="17"/>
      <c r="I391" s="9"/>
      <c r="J391" s="9"/>
      <c r="K391" s="10">
        <v>0</v>
      </c>
      <c r="L391" s="10"/>
      <c r="M391" s="11"/>
      <c r="N391" s="12"/>
      <c r="O391" s="13"/>
      <c r="P391" s="14"/>
      <c r="Q391" s="2"/>
    </row>
    <row r="392" spans="1:17" x14ac:dyDescent="0.25">
      <c r="A392" s="6"/>
      <c r="B392" s="7"/>
      <c r="C392" s="8"/>
      <c r="D392" s="8"/>
      <c r="E392" s="9"/>
      <c r="F392" s="9"/>
      <c r="G392" s="17"/>
      <c r="H392" s="17"/>
      <c r="I392" s="9"/>
      <c r="J392" s="9"/>
      <c r="K392" s="10">
        <v>0</v>
      </c>
      <c r="L392" s="10"/>
      <c r="M392" s="11"/>
      <c r="N392" s="12"/>
      <c r="O392" s="13"/>
      <c r="P392" s="14"/>
    </row>
    <row r="393" spans="1:17" x14ac:dyDescent="0.25">
      <c r="A393" s="6"/>
      <c r="B393" s="7"/>
      <c r="C393" s="8"/>
      <c r="D393" s="8"/>
      <c r="E393" s="9"/>
      <c r="F393" s="9"/>
      <c r="G393" s="17"/>
      <c r="H393" s="17"/>
      <c r="I393" s="9"/>
      <c r="J393" s="9"/>
      <c r="K393" s="10">
        <v>0</v>
      </c>
      <c r="L393" s="10"/>
      <c r="M393" s="11"/>
      <c r="N393" s="12"/>
      <c r="O393" s="13"/>
      <c r="P393" s="14"/>
    </row>
    <row r="394" spans="1:17" x14ac:dyDescent="0.25">
      <c r="A394" s="6"/>
      <c r="B394" s="7"/>
      <c r="C394" s="8"/>
      <c r="D394" s="8"/>
      <c r="E394" s="9"/>
      <c r="F394" s="9"/>
      <c r="G394" s="17"/>
      <c r="H394" s="17"/>
      <c r="I394" s="9"/>
      <c r="J394" s="9"/>
      <c r="K394" s="10">
        <v>0</v>
      </c>
      <c r="L394" s="10"/>
      <c r="M394" s="11"/>
      <c r="N394" s="12"/>
      <c r="O394" s="13"/>
      <c r="P394" s="14"/>
    </row>
    <row r="395" spans="1:17" x14ac:dyDescent="0.25">
      <c r="A395" s="6"/>
      <c r="B395" s="7"/>
      <c r="C395" s="8"/>
      <c r="D395" s="8"/>
      <c r="E395" s="9"/>
      <c r="F395" s="9"/>
      <c r="G395" s="17"/>
      <c r="H395" s="17"/>
      <c r="I395" s="9"/>
      <c r="J395" s="9"/>
      <c r="K395" s="10">
        <v>0</v>
      </c>
      <c r="L395" s="10"/>
      <c r="M395" s="11"/>
      <c r="N395" s="12"/>
      <c r="O395" s="13"/>
      <c r="P395" s="14"/>
    </row>
    <row r="396" spans="1:17" x14ac:dyDescent="0.25">
      <c r="A396" s="6"/>
      <c r="B396" s="7"/>
      <c r="C396" s="8"/>
      <c r="D396" s="8"/>
      <c r="E396" s="9"/>
      <c r="F396" s="9"/>
      <c r="G396" s="17"/>
      <c r="H396" s="17"/>
      <c r="I396" s="9"/>
      <c r="J396" s="9"/>
      <c r="K396" s="10">
        <v>0</v>
      </c>
      <c r="L396" s="10"/>
      <c r="M396" s="11"/>
      <c r="N396" s="12"/>
      <c r="O396" s="13"/>
      <c r="P396" s="14"/>
      <c r="Q396" s="2"/>
    </row>
    <row r="397" spans="1:17" x14ac:dyDescent="0.25">
      <c r="A397" s="6"/>
      <c r="B397" s="7"/>
      <c r="C397" s="8"/>
      <c r="D397" s="8"/>
      <c r="E397" s="9"/>
      <c r="F397" s="9"/>
      <c r="G397" s="17"/>
      <c r="H397" s="17"/>
      <c r="I397" s="9"/>
      <c r="J397" s="9"/>
      <c r="K397" s="10">
        <v>0</v>
      </c>
      <c r="L397" s="10"/>
      <c r="M397" s="11"/>
      <c r="N397" s="12"/>
      <c r="O397" s="13"/>
      <c r="P397" s="14"/>
    </row>
    <row r="398" spans="1:17" x14ac:dyDescent="0.25">
      <c r="A398" s="6"/>
      <c r="B398" s="7"/>
      <c r="C398" s="8"/>
      <c r="D398" s="8"/>
      <c r="E398" s="9"/>
      <c r="F398" s="9"/>
      <c r="G398" s="17"/>
      <c r="H398" s="17"/>
      <c r="I398" s="9"/>
      <c r="J398" s="9"/>
      <c r="K398" s="10">
        <v>0</v>
      </c>
      <c r="L398" s="10"/>
      <c r="M398" s="11"/>
      <c r="N398" s="12"/>
      <c r="O398" s="13"/>
      <c r="P398" s="14"/>
    </row>
    <row r="399" spans="1:17" x14ac:dyDescent="0.25">
      <c r="A399" s="6"/>
      <c r="B399" s="7"/>
      <c r="C399" s="8"/>
      <c r="D399" s="8"/>
      <c r="E399" s="9"/>
      <c r="F399" s="9"/>
      <c r="G399" s="17"/>
      <c r="H399" s="17"/>
      <c r="I399" s="9"/>
      <c r="J399" s="9"/>
      <c r="K399" s="10">
        <v>0</v>
      </c>
      <c r="L399" s="10"/>
      <c r="M399" s="11"/>
      <c r="N399" s="12"/>
      <c r="O399" s="13"/>
      <c r="P399" s="14"/>
    </row>
    <row r="400" spans="1:17" x14ac:dyDescent="0.25">
      <c r="A400" s="6"/>
      <c r="B400" s="7"/>
      <c r="C400" s="8"/>
      <c r="D400" s="8"/>
      <c r="E400" s="9"/>
      <c r="F400" s="9"/>
      <c r="G400" s="17"/>
      <c r="H400" s="17"/>
      <c r="I400" s="9"/>
      <c r="J400" s="9"/>
      <c r="K400" s="10">
        <v>0</v>
      </c>
      <c r="L400" s="10"/>
      <c r="M400" s="11"/>
      <c r="N400" s="12"/>
      <c r="O400" s="13"/>
      <c r="P400" s="14"/>
    </row>
    <row r="401" spans="1:17" x14ac:dyDescent="0.25">
      <c r="A401" s="6"/>
      <c r="B401" s="7"/>
      <c r="C401" s="8"/>
      <c r="D401" s="8"/>
      <c r="E401" s="9"/>
      <c r="F401" s="9"/>
      <c r="G401" s="17"/>
      <c r="H401" s="17"/>
      <c r="I401" s="9"/>
      <c r="J401" s="9"/>
      <c r="K401" s="10">
        <v>0</v>
      </c>
      <c r="L401" s="10"/>
      <c r="M401" s="11"/>
      <c r="N401" s="12"/>
      <c r="O401" s="13"/>
      <c r="P401" s="14"/>
    </row>
    <row r="402" spans="1:17" x14ac:dyDescent="0.25">
      <c r="A402" s="6"/>
      <c r="B402" s="7"/>
      <c r="C402" s="8"/>
      <c r="D402" s="8"/>
      <c r="E402" s="9"/>
      <c r="F402" s="9"/>
      <c r="G402" s="17"/>
      <c r="H402" s="17"/>
      <c r="I402" s="9"/>
      <c r="J402" s="9"/>
      <c r="K402" s="10">
        <v>0</v>
      </c>
      <c r="L402" s="10"/>
      <c r="M402" s="11"/>
      <c r="N402" s="12"/>
      <c r="O402" s="13"/>
      <c r="P402" s="14"/>
    </row>
    <row r="403" spans="1:17" x14ac:dyDescent="0.25">
      <c r="A403" s="6"/>
      <c r="B403" s="7"/>
      <c r="C403" s="8"/>
      <c r="D403" s="8"/>
      <c r="E403" s="9"/>
      <c r="F403" s="9"/>
      <c r="G403" s="17"/>
      <c r="H403" s="17"/>
      <c r="I403" s="9"/>
      <c r="J403" s="9"/>
      <c r="K403" s="10">
        <v>0</v>
      </c>
      <c r="L403" s="10"/>
      <c r="M403" s="11"/>
      <c r="N403" s="12"/>
      <c r="O403" s="13"/>
      <c r="P403" s="14"/>
    </row>
    <row r="404" spans="1:17" x14ac:dyDescent="0.25">
      <c r="A404" s="6"/>
      <c r="B404" s="7"/>
      <c r="C404" s="8"/>
      <c r="D404" s="8"/>
      <c r="E404" s="9"/>
      <c r="F404" s="9"/>
      <c r="G404" s="17"/>
      <c r="H404" s="17"/>
      <c r="I404" s="9"/>
      <c r="J404" s="9"/>
      <c r="K404" s="10">
        <v>0</v>
      </c>
      <c r="L404" s="10"/>
      <c r="M404" s="11"/>
      <c r="N404" s="12"/>
      <c r="O404" s="13"/>
      <c r="P404" s="14"/>
    </row>
    <row r="405" spans="1:17" x14ac:dyDescent="0.25">
      <c r="A405" s="6"/>
      <c r="B405" s="7"/>
      <c r="C405" s="8"/>
      <c r="D405" s="8"/>
      <c r="E405" s="9"/>
      <c r="F405" s="9"/>
      <c r="G405" s="17"/>
      <c r="H405" s="17"/>
      <c r="I405" s="9"/>
      <c r="J405" s="9"/>
      <c r="K405" s="10">
        <v>0</v>
      </c>
      <c r="L405" s="10"/>
      <c r="M405" s="11"/>
      <c r="N405" s="12"/>
      <c r="O405" s="13"/>
      <c r="P405" s="14"/>
    </row>
    <row r="406" spans="1:17" x14ac:dyDescent="0.25">
      <c r="A406" s="6"/>
      <c r="B406" s="7"/>
      <c r="C406" s="8"/>
      <c r="D406" s="8"/>
      <c r="E406" s="9"/>
      <c r="F406" s="9"/>
      <c r="G406" s="17"/>
      <c r="H406" s="17"/>
      <c r="I406" s="9"/>
      <c r="J406" s="9"/>
      <c r="K406" s="10">
        <v>0</v>
      </c>
      <c r="L406" s="10"/>
      <c r="M406" s="11"/>
      <c r="N406" s="12"/>
      <c r="O406" s="13"/>
      <c r="P406" s="14"/>
    </row>
    <row r="407" spans="1:17" x14ac:dyDescent="0.25">
      <c r="A407" s="6"/>
      <c r="B407" s="7"/>
      <c r="C407" s="8"/>
      <c r="D407" s="8"/>
      <c r="E407" s="9"/>
      <c r="F407" s="9"/>
      <c r="G407" s="17"/>
      <c r="H407" s="17"/>
      <c r="I407" s="9"/>
      <c r="J407" s="9"/>
      <c r="K407" s="10">
        <v>0</v>
      </c>
      <c r="L407" s="10"/>
      <c r="M407" s="11"/>
      <c r="N407" s="12"/>
      <c r="O407" s="13"/>
      <c r="P407" s="14"/>
    </row>
    <row r="408" spans="1:17" x14ac:dyDescent="0.25">
      <c r="A408" s="6"/>
      <c r="B408" s="7"/>
      <c r="C408" s="8"/>
      <c r="D408" s="8"/>
      <c r="E408" s="9"/>
      <c r="F408" s="9"/>
      <c r="G408" s="17"/>
      <c r="H408" s="17"/>
      <c r="I408" s="9"/>
      <c r="J408" s="9"/>
      <c r="K408" s="10">
        <v>0</v>
      </c>
      <c r="L408" s="10"/>
      <c r="M408" s="11"/>
      <c r="N408" s="12"/>
      <c r="O408" s="13"/>
      <c r="P408" s="14"/>
      <c r="Q408" s="2"/>
    </row>
    <row r="409" spans="1:17" x14ac:dyDescent="0.25">
      <c r="A409" s="6"/>
      <c r="B409" s="7"/>
      <c r="C409" s="8"/>
      <c r="D409" s="8"/>
      <c r="E409" s="9"/>
      <c r="F409" s="9"/>
      <c r="G409" s="17"/>
      <c r="H409" s="17"/>
      <c r="I409" s="9"/>
      <c r="J409" s="9"/>
      <c r="K409" s="10">
        <v>0</v>
      </c>
      <c r="L409" s="10"/>
      <c r="M409" s="11"/>
      <c r="N409" s="12"/>
      <c r="O409" s="13"/>
      <c r="P409" s="14"/>
    </row>
    <row r="410" spans="1:17" x14ac:dyDescent="0.25">
      <c r="A410" s="6"/>
      <c r="B410" s="7"/>
      <c r="C410" s="8"/>
      <c r="D410" s="8"/>
      <c r="E410" s="9"/>
      <c r="F410" s="9"/>
      <c r="G410" s="17"/>
      <c r="H410" s="17"/>
      <c r="I410" s="9"/>
      <c r="J410" s="9"/>
      <c r="K410" s="10">
        <v>0</v>
      </c>
      <c r="L410" s="10"/>
      <c r="M410" s="11"/>
      <c r="N410" s="12"/>
      <c r="O410" s="13"/>
      <c r="P410" s="14"/>
    </row>
    <row r="411" spans="1:17" x14ac:dyDescent="0.25">
      <c r="A411" s="6"/>
      <c r="B411" s="7"/>
      <c r="C411" s="8"/>
      <c r="D411" s="8"/>
      <c r="E411" s="9"/>
      <c r="F411" s="9"/>
      <c r="G411" s="17"/>
      <c r="H411" s="17"/>
      <c r="I411" s="9"/>
      <c r="J411" s="9"/>
      <c r="K411" s="10">
        <v>0</v>
      </c>
      <c r="L411" s="10"/>
      <c r="M411" s="11"/>
      <c r="N411" s="12"/>
      <c r="O411" s="13"/>
      <c r="P411" s="14"/>
    </row>
    <row r="412" spans="1:17" x14ac:dyDescent="0.25">
      <c r="A412" s="6"/>
      <c r="B412" s="7"/>
      <c r="C412" s="8"/>
      <c r="D412" s="8"/>
      <c r="E412" s="9"/>
      <c r="F412" s="9"/>
      <c r="G412" s="17"/>
      <c r="H412" s="17"/>
      <c r="I412" s="9"/>
      <c r="J412" s="9"/>
      <c r="K412" s="10">
        <v>0</v>
      </c>
      <c r="L412" s="10"/>
      <c r="M412" s="11"/>
      <c r="N412" s="12"/>
      <c r="O412" s="13"/>
      <c r="P412" s="14"/>
    </row>
    <row r="413" spans="1:17" x14ac:dyDescent="0.25">
      <c r="A413" s="6"/>
      <c r="B413" s="7"/>
      <c r="C413" s="8"/>
      <c r="D413" s="8"/>
      <c r="E413" s="9"/>
      <c r="F413" s="9"/>
      <c r="G413" s="17"/>
      <c r="H413" s="17"/>
      <c r="I413" s="9"/>
      <c r="J413" s="9"/>
      <c r="K413" s="10">
        <v>0</v>
      </c>
      <c r="L413" s="10"/>
      <c r="M413" s="11"/>
      <c r="N413" s="12"/>
      <c r="O413" s="13"/>
      <c r="P413" s="14"/>
    </row>
    <row r="414" spans="1:17" x14ac:dyDescent="0.25">
      <c r="A414" s="6"/>
      <c r="B414" s="7"/>
      <c r="C414" s="8"/>
      <c r="D414" s="8"/>
      <c r="E414" s="9"/>
      <c r="F414" s="9"/>
      <c r="G414" s="17"/>
      <c r="H414" s="17"/>
      <c r="I414" s="9"/>
      <c r="J414" s="9"/>
      <c r="K414" s="10">
        <v>0</v>
      </c>
      <c r="L414" s="10"/>
      <c r="M414" s="11"/>
      <c r="N414" s="12"/>
      <c r="O414" s="13"/>
      <c r="P414" s="14"/>
    </row>
    <row r="415" spans="1:17" x14ac:dyDescent="0.25">
      <c r="A415" s="6"/>
      <c r="B415" s="7"/>
      <c r="C415" s="8"/>
      <c r="D415" s="8"/>
      <c r="E415" s="9"/>
      <c r="F415" s="9"/>
      <c r="G415" s="17"/>
      <c r="H415" s="17"/>
      <c r="I415" s="9"/>
      <c r="J415" s="9"/>
      <c r="K415" s="10">
        <v>0</v>
      </c>
      <c r="L415" s="10"/>
      <c r="M415" s="11"/>
      <c r="N415" s="12"/>
      <c r="O415" s="13"/>
      <c r="P415" s="14"/>
    </row>
    <row r="416" spans="1:17" x14ac:dyDescent="0.25">
      <c r="A416" s="6"/>
      <c r="B416" s="7"/>
      <c r="C416" s="8"/>
      <c r="D416" s="8"/>
      <c r="E416" s="9"/>
      <c r="F416" s="9"/>
      <c r="G416" s="17"/>
      <c r="H416" s="17"/>
      <c r="I416" s="9"/>
      <c r="J416" s="9"/>
      <c r="K416" s="10">
        <v>0</v>
      </c>
      <c r="L416" s="10"/>
      <c r="M416" s="11"/>
      <c r="N416" s="12"/>
      <c r="O416" s="13"/>
      <c r="P416" s="14"/>
    </row>
    <row r="417" spans="1:16" x14ac:dyDescent="0.25">
      <c r="A417" s="6"/>
      <c r="B417" s="7"/>
      <c r="C417" s="8"/>
      <c r="D417" s="8"/>
      <c r="E417" s="9"/>
      <c r="F417" s="9"/>
      <c r="G417" s="17"/>
      <c r="H417" s="17"/>
      <c r="I417" s="9"/>
      <c r="J417" s="9"/>
      <c r="K417" s="10">
        <v>0</v>
      </c>
      <c r="L417" s="10"/>
      <c r="M417" s="11"/>
      <c r="N417" s="12"/>
      <c r="O417" s="13"/>
      <c r="P417" s="14"/>
    </row>
    <row r="418" spans="1:16" x14ac:dyDescent="0.25">
      <c r="A418" s="6"/>
      <c r="B418" s="7"/>
      <c r="C418" s="8"/>
      <c r="D418" s="8"/>
      <c r="E418" s="9"/>
      <c r="F418" s="9"/>
      <c r="G418" s="17"/>
      <c r="H418" s="17"/>
      <c r="I418" s="9"/>
      <c r="J418" s="9"/>
      <c r="K418" s="10">
        <v>0</v>
      </c>
      <c r="L418" s="10"/>
      <c r="M418" s="11"/>
      <c r="N418" s="12"/>
      <c r="O418" s="13"/>
      <c r="P418" s="14"/>
    </row>
    <row r="419" spans="1:16" x14ac:dyDescent="0.25">
      <c r="A419" s="6"/>
      <c r="B419" s="7"/>
      <c r="C419" s="8"/>
      <c r="D419" s="8"/>
      <c r="E419" s="9"/>
      <c r="F419" s="9"/>
      <c r="G419" s="17"/>
      <c r="H419" s="17"/>
      <c r="I419" s="9"/>
      <c r="J419" s="9"/>
      <c r="K419" s="10">
        <v>0</v>
      </c>
      <c r="L419" s="10"/>
      <c r="M419" s="11"/>
      <c r="N419" s="12"/>
      <c r="O419" s="13"/>
      <c r="P419" s="14"/>
    </row>
    <row r="420" spans="1:16" x14ac:dyDescent="0.25">
      <c r="A420" s="6"/>
      <c r="B420" s="7"/>
      <c r="C420" s="8"/>
      <c r="D420" s="8"/>
      <c r="E420" s="9"/>
      <c r="F420" s="9"/>
      <c r="G420" s="17"/>
      <c r="H420" s="17"/>
      <c r="I420" s="9"/>
      <c r="J420" s="9"/>
      <c r="K420" s="10">
        <v>0</v>
      </c>
      <c r="L420" s="10"/>
      <c r="M420" s="11"/>
      <c r="N420" s="12"/>
      <c r="O420" s="13"/>
      <c r="P420" s="14"/>
    </row>
    <row r="421" spans="1:16" x14ac:dyDescent="0.25">
      <c r="A421" s="6"/>
      <c r="B421" s="7"/>
      <c r="C421" s="8"/>
      <c r="D421" s="8"/>
      <c r="E421" s="9"/>
      <c r="F421" s="9"/>
      <c r="G421" s="17"/>
      <c r="H421" s="17"/>
      <c r="I421" s="9"/>
      <c r="J421" s="9"/>
      <c r="K421" s="10">
        <v>0</v>
      </c>
      <c r="L421" s="10"/>
      <c r="M421" s="11"/>
      <c r="N421" s="12"/>
      <c r="O421" s="13"/>
      <c r="P421" s="14"/>
    </row>
    <row r="422" spans="1:16" x14ac:dyDescent="0.25">
      <c r="A422" s="6"/>
      <c r="B422" s="7"/>
      <c r="C422" s="8"/>
      <c r="D422" s="8"/>
      <c r="E422" s="9"/>
      <c r="F422" s="9"/>
      <c r="G422" s="17"/>
      <c r="H422" s="17"/>
      <c r="I422" s="9"/>
      <c r="J422" s="9"/>
      <c r="K422" s="10">
        <v>0</v>
      </c>
      <c r="L422" s="10"/>
      <c r="M422" s="11"/>
      <c r="N422" s="12"/>
      <c r="O422" s="13"/>
      <c r="P422" s="14"/>
    </row>
    <row r="423" spans="1:16" x14ac:dyDescent="0.25">
      <c r="A423" s="6"/>
      <c r="B423" s="7"/>
      <c r="C423" s="8"/>
      <c r="D423" s="8"/>
      <c r="E423" s="9"/>
      <c r="F423" s="9"/>
      <c r="G423" s="17"/>
      <c r="H423" s="17"/>
      <c r="I423" s="9"/>
      <c r="J423" s="9"/>
      <c r="K423" s="10">
        <v>0</v>
      </c>
      <c r="L423" s="10"/>
      <c r="M423" s="11"/>
      <c r="N423" s="12"/>
      <c r="O423" s="13"/>
      <c r="P423" s="14"/>
    </row>
    <row r="424" spans="1:16" x14ac:dyDescent="0.25">
      <c r="A424" s="6"/>
      <c r="B424" s="7"/>
      <c r="C424" s="8"/>
      <c r="D424" s="8"/>
      <c r="E424" s="9"/>
      <c r="F424" s="9"/>
      <c r="G424" s="17"/>
      <c r="H424" s="17"/>
      <c r="I424" s="9"/>
      <c r="J424" s="9"/>
      <c r="K424" s="10">
        <v>0</v>
      </c>
      <c r="L424" s="10"/>
      <c r="M424" s="11"/>
      <c r="N424" s="12"/>
      <c r="O424" s="13"/>
      <c r="P424" s="14"/>
    </row>
    <row r="425" spans="1:16" x14ac:dyDescent="0.25">
      <c r="A425" s="6"/>
      <c r="B425" s="7"/>
      <c r="C425" s="8"/>
      <c r="D425" s="8"/>
      <c r="E425" s="9"/>
      <c r="F425" s="9"/>
      <c r="G425" s="17"/>
      <c r="H425" s="17"/>
      <c r="I425" s="9"/>
      <c r="J425" s="9"/>
      <c r="K425" s="10">
        <v>0</v>
      </c>
      <c r="L425" s="10"/>
      <c r="M425" s="11"/>
      <c r="N425" s="12"/>
      <c r="O425" s="13"/>
      <c r="P425" s="14"/>
    </row>
    <row r="426" spans="1:16" x14ac:dyDescent="0.25">
      <c r="A426" s="6"/>
      <c r="B426" s="7"/>
      <c r="C426" s="8"/>
      <c r="D426" s="8"/>
      <c r="E426" s="9"/>
      <c r="F426" s="9"/>
      <c r="G426" s="17"/>
      <c r="H426" s="17"/>
      <c r="I426" s="9"/>
      <c r="J426" s="9"/>
      <c r="K426" s="10">
        <v>0</v>
      </c>
      <c r="L426" s="10"/>
      <c r="M426" s="11"/>
      <c r="N426" s="12"/>
      <c r="O426" s="13"/>
      <c r="P426" s="14"/>
    </row>
    <row r="427" spans="1:16" x14ac:dyDescent="0.25">
      <c r="A427" s="6"/>
      <c r="B427" s="7"/>
      <c r="C427" s="8"/>
      <c r="D427" s="8"/>
      <c r="E427" s="9"/>
      <c r="F427" s="9"/>
      <c r="G427" s="17"/>
      <c r="H427" s="17"/>
      <c r="I427" s="9"/>
      <c r="J427" s="9"/>
      <c r="K427" s="10">
        <v>0</v>
      </c>
      <c r="L427" s="10"/>
      <c r="M427" s="11"/>
      <c r="N427" s="12"/>
      <c r="O427" s="13"/>
      <c r="P427" s="14"/>
    </row>
    <row r="428" spans="1:16" x14ac:dyDescent="0.25">
      <c r="A428" s="6"/>
      <c r="B428" s="7"/>
      <c r="C428" s="8"/>
      <c r="D428" s="8"/>
      <c r="E428" s="9"/>
      <c r="F428" s="9"/>
      <c r="G428" s="17"/>
      <c r="H428" s="17"/>
      <c r="I428" s="9"/>
      <c r="J428" s="9"/>
      <c r="K428" s="10">
        <v>0</v>
      </c>
      <c r="L428" s="10"/>
      <c r="M428" s="11"/>
      <c r="N428" s="12"/>
      <c r="O428" s="13"/>
      <c r="P428" s="14"/>
    </row>
    <row r="429" spans="1:16" x14ac:dyDescent="0.25">
      <c r="A429" s="6"/>
      <c r="B429" s="7"/>
      <c r="C429" s="8"/>
      <c r="D429" s="8"/>
      <c r="E429" s="9"/>
      <c r="F429" s="9"/>
      <c r="G429" s="17"/>
      <c r="H429" s="17"/>
      <c r="I429" s="9"/>
      <c r="J429" s="9"/>
      <c r="K429" s="10">
        <v>0</v>
      </c>
      <c r="L429" s="10"/>
      <c r="M429" s="11"/>
      <c r="N429" s="12"/>
      <c r="O429" s="13"/>
      <c r="P429" s="14"/>
    </row>
    <row r="430" spans="1:16" x14ac:dyDescent="0.25">
      <c r="A430" s="6"/>
      <c r="B430" s="7"/>
      <c r="C430" s="8"/>
      <c r="D430" s="8"/>
      <c r="E430" s="9"/>
      <c r="F430" s="9"/>
      <c r="G430" s="17"/>
      <c r="H430" s="17"/>
      <c r="I430" s="9"/>
      <c r="J430" s="9"/>
      <c r="K430" s="10">
        <v>0</v>
      </c>
      <c r="L430" s="10"/>
      <c r="M430" s="11"/>
      <c r="N430" s="12"/>
      <c r="O430" s="13"/>
      <c r="P430" s="14"/>
    </row>
    <row r="431" spans="1:16" x14ac:dyDescent="0.25">
      <c r="A431" s="6"/>
      <c r="B431" s="7"/>
      <c r="C431" s="8"/>
      <c r="D431" s="8"/>
      <c r="E431" s="9"/>
      <c r="F431" s="9"/>
      <c r="G431" s="17"/>
      <c r="H431" s="17"/>
      <c r="I431" s="9"/>
      <c r="J431" s="9"/>
      <c r="K431" s="10">
        <v>0</v>
      </c>
      <c r="L431" s="10"/>
      <c r="M431" s="11"/>
      <c r="N431" s="12"/>
      <c r="O431" s="13"/>
      <c r="P431" s="14"/>
    </row>
    <row r="432" spans="1:16" x14ac:dyDescent="0.25">
      <c r="A432" s="6"/>
      <c r="B432" s="15"/>
      <c r="C432" s="16"/>
      <c r="D432" s="8"/>
      <c r="E432" s="9"/>
      <c r="F432" s="9"/>
      <c r="G432" s="17"/>
      <c r="H432" s="17"/>
      <c r="I432" s="9"/>
      <c r="J432" s="9"/>
      <c r="K432" s="10">
        <v>0</v>
      </c>
      <c r="L432" s="10"/>
      <c r="M432" s="11"/>
      <c r="N432" s="12"/>
      <c r="O432" s="13"/>
      <c r="P432" s="14"/>
    </row>
    <row r="433" spans="1:16" x14ac:dyDescent="0.25">
      <c r="A433" s="6"/>
      <c r="B433" s="7"/>
      <c r="C433" s="8"/>
      <c r="D433" s="8"/>
      <c r="E433" s="9"/>
      <c r="F433" s="9"/>
      <c r="G433" s="17"/>
      <c r="H433" s="17"/>
      <c r="I433" s="9"/>
      <c r="J433" s="9"/>
      <c r="K433" s="10">
        <v>0</v>
      </c>
      <c r="L433" s="10"/>
      <c r="M433" s="11"/>
      <c r="N433" s="12"/>
      <c r="O433" s="13"/>
      <c r="P433" s="14"/>
    </row>
    <row r="434" spans="1:16" x14ac:dyDescent="0.25">
      <c r="A434" s="6"/>
      <c r="B434" s="7"/>
      <c r="C434" s="8"/>
      <c r="D434" s="8"/>
      <c r="E434" s="9"/>
      <c r="F434" s="9"/>
      <c r="G434" s="17"/>
      <c r="H434" s="17"/>
      <c r="I434" s="9"/>
      <c r="J434" s="9"/>
      <c r="K434" s="10">
        <v>0</v>
      </c>
      <c r="L434" s="10"/>
      <c r="M434" s="11"/>
      <c r="N434" s="12"/>
      <c r="O434" s="13"/>
      <c r="P434" s="14"/>
    </row>
    <row r="435" spans="1:16" x14ac:dyDescent="0.25">
      <c r="A435" s="6"/>
      <c r="B435" s="7"/>
      <c r="C435" s="8"/>
      <c r="D435" s="8"/>
      <c r="E435" s="9"/>
      <c r="F435" s="9"/>
      <c r="G435" s="17"/>
      <c r="H435" s="17"/>
      <c r="I435" s="9"/>
      <c r="J435" s="9"/>
      <c r="K435" s="10">
        <v>0</v>
      </c>
      <c r="L435" s="10"/>
      <c r="M435" s="11"/>
      <c r="N435" s="12"/>
      <c r="O435" s="13"/>
      <c r="P435" s="14"/>
    </row>
    <row r="436" spans="1:16" x14ac:dyDescent="0.25">
      <c r="A436" s="6"/>
      <c r="B436" s="7"/>
      <c r="C436" s="8"/>
      <c r="D436" s="8"/>
      <c r="E436" s="9"/>
      <c r="F436" s="9"/>
      <c r="G436" s="17"/>
      <c r="H436" s="17"/>
      <c r="I436" s="9"/>
      <c r="J436" s="9"/>
      <c r="K436" s="10">
        <v>0</v>
      </c>
      <c r="L436" s="10"/>
      <c r="M436" s="11"/>
      <c r="N436" s="12"/>
      <c r="O436" s="13"/>
      <c r="P436" s="14"/>
    </row>
    <row r="437" spans="1:16" x14ac:dyDescent="0.25">
      <c r="A437" s="6"/>
      <c r="B437" s="7"/>
      <c r="C437" s="8"/>
      <c r="D437" s="8"/>
      <c r="E437" s="9"/>
      <c r="F437" s="9"/>
      <c r="G437" s="17"/>
      <c r="H437" s="17"/>
      <c r="I437" s="9"/>
      <c r="J437" s="9"/>
      <c r="K437" s="10">
        <v>0</v>
      </c>
      <c r="L437" s="10"/>
      <c r="M437" s="11"/>
      <c r="N437" s="12"/>
      <c r="O437" s="13"/>
      <c r="P437" s="14"/>
    </row>
    <row r="438" spans="1:16" x14ac:dyDescent="0.25">
      <c r="A438" s="6"/>
      <c r="B438" s="7"/>
      <c r="C438" s="8"/>
      <c r="D438" s="8"/>
      <c r="E438" s="9"/>
      <c r="F438" s="9"/>
      <c r="G438" s="17"/>
      <c r="H438" s="17"/>
      <c r="I438" s="9"/>
      <c r="J438" s="9"/>
      <c r="K438" s="10">
        <v>0</v>
      </c>
      <c r="L438" s="10"/>
      <c r="M438" s="11"/>
      <c r="N438" s="12"/>
      <c r="O438" s="13"/>
      <c r="P438" s="14"/>
    </row>
    <row r="439" spans="1:16" x14ac:dyDescent="0.25">
      <c r="A439" s="6"/>
      <c r="B439" s="7"/>
      <c r="C439" s="8"/>
      <c r="D439" s="8"/>
      <c r="E439" s="9"/>
      <c r="F439" s="9"/>
      <c r="G439" s="17"/>
      <c r="H439" s="17"/>
      <c r="I439" s="9"/>
      <c r="J439" s="9"/>
      <c r="K439" s="10">
        <v>0</v>
      </c>
      <c r="L439" s="10"/>
      <c r="M439" s="11"/>
      <c r="N439" s="12"/>
      <c r="O439" s="13"/>
      <c r="P439" s="14"/>
    </row>
    <row r="440" spans="1:16" x14ac:dyDescent="0.25">
      <c r="A440" s="6"/>
      <c r="B440" s="7"/>
      <c r="C440" s="8"/>
      <c r="D440" s="8"/>
      <c r="E440" s="9"/>
      <c r="F440" s="9"/>
      <c r="G440" s="17"/>
      <c r="H440" s="17"/>
      <c r="I440" s="9"/>
      <c r="J440" s="9"/>
      <c r="K440" s="10">
        <v>0</v>
      </c>
      <c r="L440" s="10"/>
      <c r="M440" s="11"/>
      <c r="N440" s="12"/>
      <c r="O440" s="13"/>
      <c r="P440" s="14"/>
    </row>
    <row r="441" spans="1:16" x14ac:dyDescent="0.25">
      <c r="A441" s="6"/>
      <c r="B441" s="7"/>
      <c r="C441" s="8"/>
      <c r="D441" s="8"/>
      <c r="E441" s="9"/>
      <c r="F441" s="9"/>
      <c r="G441" s="17"/>
      <c r="H441" s="17"/>
      <c r="I441" s="9"/>
      <c r="J441" s="9"/>
      <c r="K441" s="10">
        <v>0</v>
      </c>
      <c r="L441" s="10"/>
      <c r="M441" s="11"/>
      <c r="N441" s="12"/>
      <c r="O441" s="13"/>
      <c r="P441" s="14"/>
    </row>
    <row r="442" spans="1:16" x14ac:dyDescent="0.25">
      <c r="A442" s="6"/>
      <c r="B442" s="7"/>
      <c r="C442" s="8"/>
      <c r="D442" s="8"/>
      <c r="E442" s="9"/>
      <c r="F442" s="9"/>
      <c r="G442" s="17"/>
      <c r="H442" s="17"/>
      <c r="I442" s="9"/>
      <c r="J442" s="9"/>
      <c r="K442" s="10">
        <v>0</v>
      </c>
      <c r="L442" s="10"/>
      <c r="M442" s="11"/>
      <c r="N442" s="12"/>
      <c r="O442" s="13"/>
      <c r="P442" s="14"/>
    </row>
    <row r="443" spans="1:16" x14ac:dyDescent="0.25">
      <c r="A443" s="6"/>
      <c r="B443" s="7"/>
      <c r="C443" s="8"/>
      <c r="D443" s="8"/>
      <c r="E443" s="9"/>
      <c r="F443" s="9"/>
      <c r="G443" s="17"/>
      <c r="H443" s="17"/>
      <c r="I443" s="9"/>
      <c r="J443" s="9"/>
      <c r="K443" s="10">
        <v>0</v>
      </c>
      <c r="L443" s="10"/>
      <c r="M443" s="11"/>
      <c r="N443" s="12"/>
      <c r="O443" s="13"/>
      <c r="P443" s="14"/>
    </row>
    <row r="444" spans="1:16" x14ac:dyDescent="0.25">
      <c r="A444" s="6"/>
      <c r="B444" s="7"/>
      <c r="C444" s="8"/>
      <c r="D444" s="8"/>
      <c r="E444" s="9"/>
      <c r="F444" s="9"/>
      <c r="G444" s="17"/>
      <c r="H444" s="17"/>
      <c r="I444" s="9"/>
      <c r="J444" s="9"/>
      <c r="K444" s="10">
        <v>0</v>
      </c>
      <c r="L444" s="10"/>
      <c r="M444" s="11"/>
      <c r="N444" s="12"/>
      <c r="O444" s="13"/>
      <c r="P444" s="14"/>
    </row>
    <row r="445" spans="1:16" x14ac:dyDescent="0.25">
      <c r="A445" s="6"/>
      <c r="B445" s="7"/>
      <c r="C445" s="8"/>
      <c r="D445" s="8"/>
      <c r="E445" s="9"/>
      <c r="F445" s="9"/>
      <c r="G445" s="17"/>
      <c r="H445" s="17"/>
      <c r="I445" s="9"/>
      <c r="J445" s="9"/>
      <c r="K445" s="10">
        <v>0</v>
      </c>
      <c r="L445" s="10"/>
      <c r="M445" s="11"/>
      <c r="N445" s="12"/>
      <c r="O445" s="13"/>
      <c r="P445" s="14"/>
    </row>
    <row r="446" spans="1:16" x14ac:dyDescent="0.25">
      <c r="A446" s="6"/>
      <c r="B446" s="7"/>
      <c r="C446" s="8"/>
      <c r="D446" s="8"/>
      <c r="E446" s="9"/>
      <c r="F446" s="9"/>
      <c r="G446" s="17"/>
      <c r="H446" s="17"/>
      <c r="I446" s="9"/>
      <c r="J446" s="9"/>
      <c r="K446" s="10">
        <v>0</v>
      </c>
      <c r="L446" s="10"/>
      <c r="M446" s="11"/>
      <c r="N446" s="12"/>
      <c r="O446" s="13"/>
      <c r="P446" s="14"/>
    </row>
    <row r="447" spans="1:16" x14ac:dyDescent="0.25">
      <c r="A447" s="6"/>
      <c r="B447" s="7"/>
      <c r="C447" s="8"/>
      <c r="D447" s="8"/>
      <c r="E447" s="9"/>
      <c r="F447" s="9"/>
      <c r="G447" s="17"/>
      <c r="H447" s="17"/>
      <c r="I447" s="9"/>
      <c r="J447" s="9"/>
      <c r="K447" s="10">
        <v>0</v>
      </c>
      <c r="L447" s="10"/>
      <c r="M447" s="11"/>
      <c r="N447" s="12"/>
      <c r="O447" s="13"/>
      <c r="P447" s="22"/>
    </row>
    <row r="448" spans="1:16" x14ac:dyDescent="0.25">
      <c r="A448" s="6"/>
      <c r="B448" s="7"/>
      <c r="C448" s="8"/>
      <c r="D448" s="8"/>
      <c r="E448" s="9"/>
      <c r="F448" s="9"/>
      <c r="G448" s="17"/>
      <c r="H448" s="17"/>
      <c r="I448" s="9"/>
      <c r="J448" s="9"/>
      <c r="K448" s="10">
        <v>0</v>
      </c>
      <c r="L448" s="10"/>
      <c r="M448" s="11"/>
      <c r="N448" s="12"/>
      <c r="O448" s="13"/>
      <c r="P448" s="14"/>
    </row>
    <row r="449" spans="1:16" x14ac:dyDescent="0.25">
      <c r="A449" s="6"/>
      <c r="B449" s="7"/>
      <c r="C449" s="8"/>
      <c r="D449" s="8"/>
      <c r="E449" s="9"/>
      <c r="F449" s="9"/>
      <c r="G449" s="17"/>
      <c r="H449" s="17"/>
      <c r="I449" s="9"/>
      <c r="J449" s="9"/>
      <c r="K449" s="10">
        <v>0</v>
      </c>
      <c r="L449" s="10"/>
      <c r="M449" s="11"/>
      <c r="N449" s="12"/>
      <c r="O449" s="13"/>
      <c r="P449" s="14"/>
    </row>
    <row r="450" spans="1:16" x14ac:dyDescent="0.25">
      <c r="A450" s="6"/>
      <c r="B450" s="7"/>
      <c r="C450" s="8"/>
      <c r="D450" s="8"/>
      <c r="E450" s="9"/>
      <c r="F450" s="9"/>
      <c r="G450" s="17"/>
      <c r="H450" s="17"/>
      <c r="I450" s="9"/>
      <c r="J450" s="9"/>
      <c r="K450" s="10">
        <v>0</v>
      </c>
      <c r="L450" s="10"/>
      <c r="M450" s="11"/>
      <c r="N450" s="12"/>
      <c r="O450" s="13"/>
      <c r="P450" s="14"/>
    </row>
    <row r="451" spans="1:16" x14ac:dyDescent="0.25">
      <c r="A451" s="6"/>
      <c r="B451" s="7"/>
      <c r="C451" s="8"/>
      <c r="D451" s="8"/>
      <c r="E451" s="9"/>
      <c r="F451" s="9"/>
      <c r="G451" s="17"/>
      <c r="H451" s="17"/>
      <c r="I451" s="9"/>
      <c r="J451" s="9"/>
      <c r="K451" s="10">
        <v>0</v>
      </c>
      <c r="L451" s="10"/>
      <c r="M451" s="11"/>
      <c r="N451" s="12"/>
      <c r="O451" s="13"/>
      <c r="P451" s="14"/>
    </row>
    <row r="452" spans="1:16" x14ac:dyDescent="0.25">
      <c r="A452" s="6"/>
      <c r="B452" s="7"/>
      <c r="C452" s="8"/>
      <c r="D452" s="8"/>
      <c r="E452" s="9"/>
      <c r="F452" s="9"/>
      <c r="G452" s="17"/>
      <c r="H452" s="17"/>
      <c r="I452" s="9"/>
      <c r="J452" s="9"/>
      <c r="K452" s="10">
        <v>0</v>
      </c>
      <c r="L452" s="10"/>
      <c r="M452" s="11"/>
      <c r="N452" s="12"/>
      <c r="O452" s="13"/>
      <c r="P452" s="14"/>
    </row>
    <row r="453" spans="1:16" x14ac:dyDescent="0.25">
      <c r="A453" s="6"/>
      <c r="B453" s="7"/>
      <c r="C453" s="8"/>
      <c r="D453" s="8"/>
      <c r="E453" s="9"/>
      <c r="F453" s="9"/>
      <c r="G453" s="17"/>
      <c r="H453" s="17"/>
      <c r="I453" s="9"/>
      <c r="J453" s="9"/>
      <c r="K453" s="10">
        <v>0</v>
      </c>
      <c r="L453" s="10"/>
      <c r="M453" s="11"/>
      <c r="N453" s="12"/>
      <c r="O453" s="13"/>
      <c r="P453" s="14"/>
    </row>
    <row r="454" spans="1:16" x14ac:dyDescent="0.25">
      <c r="A454" s="6"/>
      <c r="B454" s="7"/>
      <c r="C454" s="8"/>
      <c r="D454" s="8"/>
      <c r="E454" s="9"/>
      <c r="F454" s="9"/>
      <c r="G454" s="17"/>
      <c r="H454" s="17"/>
      <c r="I454" s="9"/>
      <c r="J454" s="9"/>
      <c r="K454" s="10">
        <v>0</v>
      </c>
      <c r="L454" s="10"/>
      <c r="M454" s="11"/>
      <c r="N454" s="12"/>
      <c r="O454" s="13"/>
      <c r="P454" s="14"/>
    </row>
    <row r="455" spans="1:16" x14ac:dyDescent="0.25">
      <c r="A455" s="6"/>
      <c r="B455" s="7"/>
      <c r="C455" s="8"/>
      <c r="D455" s="8"/>
      <c r="E455" s="9"/>
      <c r="F455" s="9"/>
      <c r="G455" s="17"/>
      <c r="H455" s="17"/>
      <c r="I455" s="9"/>
      <c r="J455" s="9"/>
      <c r="K455" s="10">
        <v>0</v>
      </c>
      <c r="L455" s="10"/>
      <c r="M455" s="11"/>
      <c r="N455" s="12"/>
      <c r="O455" s="13"/>
      <c r="P455" s="14"/>
    </row>
    <row r="456" spans="1:16" x14ac:dyDescent="0.25">
      <c r="A456" s="6"/>
      <c r="B456" s="7"/>
      <c r="C456" s="8"/>
      <c r="D456" s="8"/>
      <c r="E456" s="9"/>
      <c r="F456" s="9"/>
      <c r="G456" s="17"/>
      <c r="H456" s="17"/>
      <c r="I456" s="9"/>
      <c r="J456" s="9"/>
      <c r="K456" s="10">
        <v>0</v>
      </c>
      <c r="L456" s="10"/>
      <c r="M456" s="11"/>
      <c r="N456" s="12"/>
      <c r="O456" s="13"/>
      <c r="P456" s="14"/>
    </row>
    <row r="457" spans="1:16" x14ac:dyDescent="0.25">
      <c r="A457" s="6"/>
      <c r="B457" s="7"/>
      <c r="C457" s="8"/>
      <c r="D457" s="8"/>
      <c r="E457" s="9"/>
      <c r="F457" s="9"/>
      <c r="G457" s="17"/>
      <c r="H457" s="17"/>
      <c r="I457" s="9"/>
      <c r="J457" s="9"/>
      <c r="K457" s="10">
        <v>0</v>
      </c>
      <c r="L457" s="10"/>
      <c r="M457" s="11"/>
      <c r="N457" s="12"/>
      <c r="O457" s="13"/>
      <c r="P457" s="14"/>
    </row>
    <row r="458" spans="1:16" x14ac:dyDescent="0.25">
      <c r="A458" s="6"/>
      <c r="B458" s="7"/>
      <c r="C458" s="8"/>
      <c r="D458" s="8"/>
      <c r="E458" s="9"/>
      <c r="F458" s="9"/>
      <c r="G458" s="17"/>
      <c r="H458" s="17"/>
      <c r="I458" s="9"/>
      <c r="J458" s="9"/>
      <c r="K458" s="10">
        <v>0</v>
      </c>
      <c r="L458" s="10"/>
      <c r="M458" s="11"/>
      <c r="N458" s="12"/>
      <c r="O458" s="13"/>
      <c r="P458" s="14"/>
    </row>
    <row r="459" spans="1:16" x14ac:dyDescent="0.25">
      <c r="A459" s="6"/>
      <c r="B459" s="7"/>
      <c r="C459" s="8"/>
      <c r="D459" s="8"/>
      <c r="E459" s="9"/>
      <c r="F459" s="9"/>
      <c r="G459" s="17"/>
      <c r="H459" s="17"/>
      <c r="I459" s="9"/>
      <c r="J459" s="9"/>
      <c r="K459" s="10">
        <v>0</v>
      </c>
      <c r="L459" s="10"/>
      <c r="M459" s="11"/>
      <c r="N459" s="12"/>
      <c r="O459" s="13"/>
      <c r="P459" s="14"/>
    </row>
    <row r="460" spans="1:16" x14ac:dyDescent="0.25">
      <c r="A460" s="6"/>
      <c r="B460" s="7"/>
      <c r="C460" s="8"/>
      <c r="D460" s="8"/>
      <c r="E460" s="9"/>
      <c r="F460" s="9"/>
      <c r="G460" s="17"/>
      <c r="H460" s="17"/>
      <c r="I460" s="9"/>
      <c r="J460" s="9"/>
      <c r="K460" s="10">
        <v>0</v>
      </c>
      <c r="L460" s="10"/>
      <c r="M460" s="11"/>
      <c r="N460" s="12"/>
      <c r="O460" s="13"/>
      <c r="P460" s="14"/>
    </row>
    <row r="461" spans="1:16" x14ac:dyDescent="0.25">
      <c r="A461" s="6"/>
      <c r="B461" s="15"/>
      <c r="C461" s="16"/>
      <c r="D461" s="8"/>
      <c r="E461" s="9"/>
      <c r="F461" s="9"/>
      <c r="G461" s="17"/>
      <c r="H461" s="17"/>
      <c r="I461" s="9"/>
      <c r="J461" s="9"/>
      <c r="K461" s="10">
        <v>0</v>
      </c>
      <c r="L461" s="10"/>
      <c r="M461" s="11"/>
      <c r="N461" s="12"/>
      <c r="O461" s="13"/>
      <c r="P461" s="14"/>
    </row>
    <row r="462" spans="1:16" x14ac:dyDescent="0.25">
      <c r="A462" s="6"/>
      <c r="B462" s="7"/>
      <c r="C462" s="8"/>
      <c r="D462" s="8"/>
      <c r="E462" s="9"/>
      <c r="F462" s="9"/>
      <c r="G462" s="17"/>
      <c r="H462" s="17"/>
      <c r="I462" s="9"/>
      <c r="J462" s="9"/>
      <c r="K462" s="10">
        <v>0</v>
      </c>
      <c r="L462" s="10"/>
      <c r="M462" s="11"/>
      <c r="N462" s="12"/>
      <c r="O462" s="13"/>
      <c r="P462" s="14"/>
    </row>
    <row r="463" spans="1:16" x14ac:dyDescent="0.25">
      <c r="A463" s="6"/>
      <c r="B463" s="7"/>
      <c r="C463" s="8"/>
      <c r="D463" s="8"/>
      <c r="E463" s="9"/>
      <c r="F463" s="9"/>
      <c r="G463" s="17"/>
      <c r="H463" s="17"/>
      <c r="I463" s="9"/>
      <c r="J463" s="9"/>
      <c r="K463" s="10">
        <v>0</v>
      </c>
      <c r="L463" s="10"/>
      <c r="M463" s="11"/>
      <c r="N463" s="12"/>
      <c r="O463" s="13"/>
      <c r="P463" s="14"/>
    </row>
    <row r="464" spans="1:16" x14ac:dyDescent="0.25">
      <c r="A464" s="6"/>
      <c r="B464" s="7"/>
      <c r="C464" s="8"/>
      <c r="D464" s="8"/>
      <c r="E464" s="9"/>
      <c r="F464" s="9"/>
      <c r="G464" s="17"/>
      <c r="H464" s="17"/>
      <c r="I464" s="9"/>
      <c r="J464" s="9"/>
      <c r="K464" s="10">
        <v>0</v>
      </c>
      <c r="L464" s="10"/>
      <c r="M464" s="11"/>
      <c r="N464" s="12"/>
      <c r="O464" s="13"/>
      <c r="P464" s="14"/>
    </row>
    <row r="465" spans="1:16" x14ac:dyDescent="0.25">
      <c r="A465" s="6"/>
      <c r="B465" s="7"/>
      <c r="C465" s="8"/>
      <c r="D465" s="8"/>
      <c r="E465" s="9"/>
      <c r="F465" s="9"/>
      <c r="G465" s="17"/>
      <c r="H465" s="17"/>
      <c r="I465" s="9"/>
      <c r="J465" s="9"/>
      <c r="K465" s="10">
        <v>0</v>
      </c>
      <c r="L465" s="10"/>
      <c r="M465" s="11"/>
      <c r="N465" s="12"/>
      <c r="O465" s="13"/>
      <c r="P465" s="14"/>
    </row>
    <row r="466" spans="1:16" x14ac:dyDescent="0.25">
      <c r="A466" s="6"/>
      <c r="B466" s="7"/>
      <c r="C466" s="8"/>
      <c r="D466" s="8"/>
      <c r="E466" s="9"/>
      <c r="F466" s="9"/>
      <c r="G466" s="17"/>
      <c r="H466" s="17"/>
      <c r="I466" s="9"/>
      <c r="J466" s="9"/>
      <c r="K466" s="10">
        <v>0</v>
      </c>
      <c r="L466" s="10"/>
      <c r="M466" s="11"/>
      <c r="N466" s="12"/>
      <c r="O466" s="13"/>
      <c r="P466" s="14"/>
    </row>
    <row r="467" spans="1:16" x14ac:dyDescent="0.25">
      <c r="A467" s="6"/>
      <c r="B467" s="7"/>
      <c r="C467" s="8"/>
      <c r="D467" s="8"/>
      <c r="E467" s="9"/>
      <c r="F467" s="9"/>
      <c r="G467" s="17"/>
      <c r="H467" s="17"/>
      <c r="I467" s="9"/>
      <c r="J467" s="9"/>
      <c r="K467" s="10">
        <v>0</v>
      </c>
      <c r="L467" s="10"/>
      <c r="M467" s="11"/>
      <c r="N467" s="12"/>
      <c r="O467" s="13"/>
      <c r="P467" s="14"/>
    </row>
    <row r="468" spans="1:16" x14ac:dyDescent="0.25">
      <c r="A468" s="6"/>
      <c r="B468" s="7"/>
      <c r="C468" s="8"/>
      <c r="D468" s="8"/>
      <c r="E468" s="9"/>
      <c r="F468" s="9"/>
      <c r="G468" s="17"/>
      <c r="H468" s="17"/>
      <c r="I468" s="9"/>
      <c r="J468" s="9"/>
      <c r="K468" s="10">
        <v>0</v>
      </c>
      <c r="L468" s="10"/>
      <c r="M468" s="11"/>
      <c r="N468" s="12"/>
      <c r="O468" s="13"/>
      <c r="P468" s="14"/>
    </row>
    <row r="469" spans="1:16" x14ac:dyDescent="0.25">
      <c r="A469" s="6"/>
      <c r="B469" s="7"/>
      <c r="C469" s="8"/>
      <c r="D469" s="8"/>
      <c r="E469" s="9"/>
      <c r="F469" s="9"/>
      <c r="G469" s="17"/>
      <c r="H469" s="17"/>
      <c r="I469" s="9"/>
      <c r="J469" s="9"/>
      <c r="K469" s="10">
        <v>0</v>
      </c>
      <c r="L469" s="10"/>
      <c r="M469" s="11"/>
      <c r="N469" s="12"/>
      <c r="O469" s="13"/>
      <c r="P469" s="14"/>
    </row>
    <row r="470" spans="1:16" x14ac:dyDescent="0.25">
      <c r="A470" s="6"/>
      <c r="B470" s="7"/>
      <c r="C470" s="8"/>
      <c r="D470" s="8"/>
      <c r="E470" s="9"/>
      <c r="F470" s="9"/>
      <c r="G470" s="17"/>
      <c r="H470" s="17"/>
      <c r="I470" s="9"/>
      <c r="J470" s="9"/>
      <c r="K470" s="10">
        <v>0</v>
      </c>
      <c r="L470" s="10"/>
      <c r="M470" s="11"/>
      <c r="N470" s="12"/>
      <c r="O470" s="13"/>
      <c r="P470" s="14"/>
    </row>
    <row r="471" spans="1:16" x14ac:dyDescent="0.25">
      <c r="A471" s="6"/>
      <c r="B471" s="7"/>
      <c r="C471" s="8"/>
      <c r="D471" s="8"/>
      <c r="E471" s="9"/>
      <c r="F471" s="9"/>
      <c r="G471" s="17"/>
      <c r="H471" s="17"/>
      <c r="I471" s="9"/>
      <c r="J471" s="9"/>
      <c r="K471" s="10">
        <v>0</v>
      </c>
      <c r="L471" s="10"/>
      <c r="M471" s="11"/>
      <c r="N471" s="12"/>
      <c r="O471" s="13"/>
      <c r="P471" s="14"/>
    </row>
    <row r="472" spans="1:16" x14ac:dyDescent="0.25">
      <c r="A472" s="6"/>
      <c r="B472" s="7"/>
      <c r="C472" s="8"/>
      <c r="D472" s="8"/>
      <c r="E472" s="9"/>
      <c r="F472" s="9"/>
      <c r="G472" s="17"/>
      <c r="H472" s="17"/>
      <c r="I472" s="9"/>
      <c r="J472" s="9"/>
      <c r="K472" s="10">
        <v>0</v>
      </c>
      <c r="L472" s="10"/>
      <c r="M472" s="11"/>
      <c r="N472" s="12"/>
      <c r="O472" s="13"/>
      <c r="P472" s="14"/>
    </row>
    <row r="473" spans="1:16" x14ac:dyDescent="0.25">
      <c r="A473" s="6"/>
      <c r="B473" s="7"/>
      <c r="C473" s="8"/>
      <c r="D473" s="8"/>
      <c r="E473" s="9"/>
      <c r="F473" s="9"/>
      <c r="G473" s="17"/>
      <c r="H473" s="17"/>
      <c r="I473" s="9"/>
      <c r="J473" s="9"/>
      <c r="K473" s="10">
        <v>0</v>
      </c>
      <c r="L473" s="10"/>
      <c r="M473" s="11"/>
      <c r="N473" s="12"/>
      <c r="O473" s="13"/>
      <c r="P473" s="14"/>
    </row>
    <row r="474" spans="1:16" x14ac:dyDescent="0.25">
      <c r="A474" s="6"/>
      <c r="B474" s="7"/>
      <c r="C474" s="8"/>
      <c r="D474" s="8"/>
      <c r="E474" s="9"/>
      <c r="F474" s="9"/>
      <c r="G474" s="17"/>
      <c r="H474" s="17"/>
      <c r="I474" s="9"/>
      <c r="J474" s="9"/>
      <c r="K474" s="10">
        <v>0</v>
      </c>
      <c r="L474" s="10"/>
      <c r="M474" s="11"/>
      <c r="N474" s="12"/>
      <c r="O474" s="13"/>
      <c r="P474" s="14"/>
    </row>
    <row r="475" spans="1:16" x14ac:dyDescent="0.25">
      <c r="A475" s="6"/>
      <c r="B475" s="7"/>
      <c r="C475" s="8"/>
      <c r="D475" s="8"/>
      <c r="E475" s="9"/>
      <c r="F475" s="9"/>
      <c r="G475" s="17"/>
      <c r="H475" s="17"/>
      <c r="I475" s="9"/>
      <c r="J475" s="9"/>
      <c r="K475" s="10">
        <v>0</v>
      </c>
      <c r="L475" s="10"/>
      <c r="M475" s="11"/>
      <c r="N475" s="12"/>
      <c r="O475" s="13"/>
      <c r="P475" s="14"/>
    </row>
    <row r="476" spans="1:16" x14ac:dyDescent="0.25">
      <c r="A476" s="6"/>
      <c r="B476" s="7"/>
      <c r="C476" s="8"/>
      <c r="D476" s="8"/>
      <c r="E476" s="9"/>
      <c r="F476" s="9"/>
      <c r="G476" s="17"/>
      <c r="H476" s="17"/>
      <c r="I476" s="9"/>
      <c r="J476" s="9"/>
      <c r="K476" s="10">
        <v>0</v>
      </c>
      <c r="L476" s="10"/>
      <c r="M476" s="11"/>
      <c r="N476" s="12"/>
      <c r="O476" s="13"/>
      <c r="P476" s="14"/>
    </row>
    <row r="477" spans="1:16" x14ac:dyDescent="0.25">
      <c r="A477" s="6"/>
      <c r="B477" s="7"/>
      <c r="C477" s="8"/>
      <c r="D477" s="8"/>
      <c r="E477" s="9"/>
      <c r="F477" s="9"/>
      <c r="G477" s="17"/>
      <c r="H477" s="17"/>
      <c r="I477" s="9"/>
      <c r="J477" s="9"/>
      <c r="K477" s="10">
        <v>0</v>
      </c>
      <c r="L477" s="10"/>
      <c r="M477" s="11"/>
      <c r="N477" s="12"/>
      <c r="O477" s="13"/>
      <c r="P477" s="14"/>
    </row>
    <row r="478" spans="1:16" x14ac:dyDescent="0.25">
      <c r="A478" s="6"/>
      <c r="B478" s="7"/>
      <c r="C478" s="8"/>
      <c r="D478" s="8"/>
      <c r="E478" s="9"/>
      <c r="F478" s="9"/>
      <c r="G478" s="17"/>
      <c r="H478" s="17"/>
      <c r="I478" s="9"/>
      <c r="J478" s="9"/>
      <c r="K478" s="10">
        <v>0</v>
      </c>
      <c r="L478" s="10"/>
      <c r="M478" s="11"/>
      <c r="N478" s="12"/>
      <c r="O478" s="13"/>
      <c r="P478" s="14"/>
    </row>
    <row r="479" spans="1:16" x14ac:dyDescent="0.25">
      <c r="A479" s="6"/>
      <c r="B479" s="7"/>
      <c r="C479" s="8"/>
      <c r="D479" s="8"/>
      <c r="E479" s="9"/>
      <c r="F479" s="9"/>
      <c r="G479" s="17"/>
      <c r="H479" s="17"/>
      <c r="I479" s="9"/>
      <c r="J479" s="9"/>
      <c r="K479" s="10">
        <v>0</v>
      </c>
      <c r="L479" s="10"/>
      <c r="M479" s="11"/>
      <c r="N479" s="12"/>
      <c r="O479" s="13"/>
      <c r="P479" s="14"/>
    </row>
    <row r="480" spans="1:16" x14ac:dyDescent="0.25">
      <c r="A480" s="6"/>
      <c r="B480" s="7"/>
      <c r="C480" s="8"/>
      <c r="D480" s="8"/>
      <c r="E480" s="9"/>
      <c r="F480" s="9"/>
      <c r="G480" s="17"/>
      <c r="H480" s="17"/>
      <c r="I480" s="9"/>
      <c r="J480" s="9"/>
      <c r="K480" s="10">
        <v>0</v>
      </c>
      <c r="L480" s="10"/>
      <c r="M480" s="11"/>
      <c r="N480" s="12"/>
      <c r="O480" s="13"/>
      <c r="P480" s="14"/>
    </row>
    <row r="481" spans="1:16" x14ac:dyDescent="0.25">
      <c r="A481" s="6"/>
      <c r="B481" s="7"/>
      <c r="C481" s="8"/>
      <c r="D481" s="8"/>
      <c r="E481" s="9"/>
      <c r="F481" s="9"/>
      <c r="G481" s="17"/>
      <c r="H481" s="17"/>
      <c r="I481" s="9"/>
      <c r="J481" s="9"/>
      <c r="K481" s="10">
        <v>0</v>
      </c>
      <c r="L481" s="10"/>
      <c r="M481" s="11"/>
      <c r="N481" s="12"/>
      <c r="O481" s="13"/>
      <c r="P481" s="14"/>
    </row>
    <row r="482" spans="1:16" x14ac:dyDescent="0.25">
      <c r="A482" s="6"/>
      <c r="B482" s="7"/>
      <c r="C482" s="8"/>
      <c r="D482" s="8"/>
      <c r="E482" s="9"/>
      <c r="F482" s="9"/>
      <c r="G482" s="17"/>
      <c r="H482" s="17"/>
      <c r="I482" s="9"/>
      <c r="J482" s="9"/>
      <c r="K482" s="10">
        <v>0</v>
      </c>
      <c r="L482" s="10"/>
      <c r="M482" s="11"/>
      <c r="N482" s="12"/>
      <c r="O482" s="13"/>
      <c r="P482" s="14"/>
    </row>
    <row r="483" spans="1:16" x14ac:dyDescent="0.25">
      <c r="A483" s="6"/>
      <c r="B483" s="7"/>
      <c r="C483" s="8"/>
      <c r="D483" s="8"/>
      <c r="E483" s="9"/>
      <c r="F483" s="9"/>
      <c r="G483" s="17"/>
      <c r="H483" s="17"/>
      <c r="I483" s="9"/>
      <c r="J483" s="9"/>
      <c r="K483" s="10">
        <v>0</v>
      </c>
      <c r="L483" s="10"/>
      <c r="M483" s="11"/>
      <c r="N483" s="12"/>
      <c r="O483" s="13"/>
      <c r="P483" s="14"/>
    </row>
    <row r="484" spans="1:16" x14ac:dyDescent="0.25">
      <c r="A484" s="6"/>
      <c r="B484" s="7"/>
      <c r="C484" s="8"/>
      <c r="D484" s="8"/>
      <c r="E484" s="9"/>
      <c r="F484" s="9"/>
      <c r="G484" s="17"/>
      <c r="H484" s="17"/>
      <c r="I484" s="9"/>
      <c r="J484" s="9"/>
      <c r="K484" s="10">
        <v>0</v>
      </c>
      <c r="L484" s="10"/>
      <c r="M484" s="11"/>
      <c r="N484" s="12"/>
      <c r="O484" s="13"/>
      <c r="P484" s="14"/>
    </row>
    <row r="485" spans="1:16" x14ac:dyDescent="0.25">
      <c r="A485" s="6"/>
      <c r="B485" s="7"/>
      <c r="C485" s="8"/>
      <c r="D485" s="8"/>
      <c r="E485" s="9"/>
      <c r="F485" s="9"/>
      <c r="G485" s="17"/>
      <c r="H485" s="17"/>
      <c r="I485" s="9"/>
      <c r="J485" s="9"/>
      <c r="K485" s="10">
        <v>0</v>
      </c>
      <c r="L485" s="10"/>
      <c r="M485" s="11"/>
      <c r="N485" s="12"/>
      <c r="O485" s="13"/>
      <c r="P485" s="14"/>
    </row>
    <row r="486" spans="1:16" x14ac:dyDescent="0.25">
      <c r="A486" s="6"/>
      <c r="B486" s="7"/>
      <c r="C486" s="8"/>
      <c r="D486" s="8"/>
      <c r="E486" s="9"/>
      <c r="F486" s="9"/>
      <c r="G486" s="17"/>
      <c r="H486" s="17"/>
      <c r="I486" s="9"/>
      <c r="J486" s="9"/>
      <c r="K486" s="10">
        <v>0</v>
      </c>
      <c r="L486" s="10"/>
      <c r="M486" s="11"/>
      <c r="N486" s="12"/>
      <c r="O486" s="13"/>
      <c r="P486" s="14"/>
    </row>
    <row r="487" spans="1:16" x14ac:dyDescent="0.25">
      <c r="A487" s="6"/>
      <c r="B487" s="7"/>
      <c r="C487" s="8"/>
      <c r="D487" s="8"/>
      <c r="E487" s="9"/>
      <c r="F487" s="9"/>
      <c r="G487" s="17"/>
      <c r="H487" s="17"/>
      <c r="I487" s="9"/>
      <c r="J487" s="9"/>
      <c r="K487" s="10">
        <v>0</v>
      </c>
      <c r="L487" s="10"/>
      <c r="M487" s="11"/>
      <c r="N487" s="12"/>
      <c r="O487" s="13"/>
      <c r="P487" s="14"/>
    </row>
    <row r="488" spans="1:16" x14ac:dyDescent="0.25">
      <c r="A488" s="6"/>
      <c r="B488" s="7"/>
      <c r="C488" s="8"/>
      <c r="D488" s="8"/>
      <c r="E488" s="9"/>
      <c r="F488" s="9"/>
      <c r="G488" s="17"/>
      <c r="H488" s="17"/>
      <c r="I488" s="9"/>
      <c r="J488" s="9"/>
      <c r="K488" s="10">
        <v>0</v>
      </c>
      <c r="L488" s="10"/>
      <c r="M488" s="11"/>
      <c r="N488" s="12"/>
      <c r="O488" s="13"/>
      <c r="P488" s="14"/>
    </row>
    <row r="489" spans="1:16" x14ac:dyDescent="0.25">
      <c r="A489" s="6"/>
      <c r="B489" s="7"/>
      <c r="C489" s="8"/>
      <c r="D489" s="8"/>
      <c r="E489" s="9"/>
      <c r="F489" s="9"/>
      <c r="G489" s="17"/>
      <c r="H489" s="17"/>
      <c r="I489" s="9"/>
      <c r="J489" s="9"/>
      <c r="K489" s="10">
        <v>0</v>
      </c>
      <c r="L489" s="10"/>
      <c r="M489" s="11"/>
      <c r="N489" s="12"/>
      <c r="O489" s="13"/>
      <c r="P489" s="14"/>
    </row>
    <row r="490" spans="1:16" x14ac:dyDescent="0.25">
      <c r="A490" s="6"/>
      <c r="B490" s="7"/>
      <c r="C490" s="8"/>
      <c r="D490" s="8"/>
      <c r="E490" s="9"/>
      <c r="F490" s="9"/>
      <c r="G490" s="17"/>
      <c r="H490" s="17"/>
      <c r="I490" s="9"/>
      <c r="J490" s="9"/>
      <c r="K490" s="10">
        <v>0</v>
      </c>
      <c r="L490" s="10"/>
      <c r="M490" s="11"/>
      <c r="N490" s="12"/>
      <c r="O490" s="13"/>
      <c r="P490" s="14"/>
    </row>
    <row r="491" spans="1:16" x14ac:dyDescent="0.25">
      <c r="A491" s="6"/>
      <c r="B491" s="7"/>
      <c r="C491" s="8"/>
      <c r="D491" s="8"/>
      <c r="E491" s="9"/>
      <c r="F491" s="9"/>
      <c r="G491" s="17"/>
      <c r="H491" s="17"/>
      <c r="I491" s="9"/>
      <c r="J491" s="9"/>
      <c r="K491" s="10">
        <v>0</v>
      </c>
      <c r="L491" s="10"/>
      <c r="M491" s="11"/>
      <c r="N491" s="12"/>
      <c r="O491" s="13"/>
      <c r="P491" s="14"/>
    </row>
    <row r="492" spans="1:16" x14ac:dyDescent="0.25">
      <c r="A492" s="6"/>
      <c r="B492" s="7"/>
      <c r="C492" s="8"/>
      <c r="D492" s="8"/>
      <c r="E492" s="9"/>
      <c r="F492" s="9"/>
      <c r="G492" s="17"/>
      <c r="H492" s="17"/>
      <c r="I492" s="9"/>
      <c r="J492" s="9"/>
      <c r="K492" s="10">
        <v>0</v>
      </c>
      <c r="L492" s="10"/>
      <c r="M492" s="11"/>
      <c r="N492" s="12"/>
      <c r="O492" s="13"/>
      <c r="P492" s="14"/>
    </row>
    <row r="493" spans="1:16" x14ac:dyDescent="0.25">
      <c r="A493" s="6"/>
      <c r="B493" s="7"/>
      <c r="C493" s="8"/>
      <c r="D493" s="8"/>
      <c r="E493" s="9"/>
      <c r="F493" s="9"/>
      <c r="G493" s="17"/>
      <c r="H493" s="17"/>
      <c r="I493" s="9"/>
      <c r="J493" s="9"/>
      <c r="K493" s="10">
        <v>0</v>
      </c>
      <c r="L493" s="10"/>
      <c r="M493" s="11"/>
      <c r="N493" s="12"/>
      <c r="O493" s="13"/>
      <c r="P493" s="14"/>
    </row>
    <row r="494" spans="1:16" x14ac:dyDescent="0.25">
      <c r="A494" s="6"/>
      <c r="B494" s="7"/>
      <c r="C494" s="8"/>
      <c r="D494" s="8"/>
      <c r="E494" s="9"/>
      <c r="F494" s="9"/>
      <c r="G494" s="17"/>
      <c r="H494" s="17"/>
      <c r="I494" s="9"/>
      <c r="J494" s="9"/>
      <c r="K494" s="10">
        <v>0</v>
      </c>
      <c r="L494" s="10"/>
      <c r="M494" s="11"/>
      <c r="N494" s="12"/>
      <c r="O494" s="13"/>
      <c r="P494" s="14"/>
    </row>
    <row r="495" spans="1:16" x14ac:dyDescent="0.25">
      <c r="A495" s="6"/>
      <c r="B495" s="7"/>
      <c r="C495" s="8"/>
      <c r="D495" s="8"/>
      <c r="E495" s="9"/>
      <c r="F495" s="9"/>
      <c r="G495" s="17"/>
      <c r="H495" s="17"/>
      <c r="I495" s="9"/>
      <c r="J495" s="9"/>
      <c r="K495" s="10">
        <v>0</v>
      </c>
      <c r="L495" s="10"/>
      <c r="M495" s="11"/>
      <c r="N495" s="12"/>
      <c r="O495" s="13"/>
      <c r="P495" s="14"/>
    </row>
    <row r="496" spans="1:16" x14ac:dyDescent="0.25">
      <c r="A496" s="6"/>
      <c r="B496" s="7"/>
      <c r="C496" s="8"/>
      <c r="D496" s="8"/>
      <c r="E496" s="9"/>
      <c r="F496" s="9"/>
      <c r="G496" s="17"/>
      <c r="H496" s="17"/>
      <c r="I496" s="9"/>
      <c r="J496" s="9"/>
      <c r="K496" s="10">
        <v>0</v>
      </c>
      <c r="L496" s="10"/>
      <c r="M496" s="11"/>
      <c r="N496" s="12"/>
      <c r="O496" s="13"/>
      <c r="P496" s="14"/>
    </row>
    <row r="497" spans="1:17" x14ac:dyDescent="0.25">
      <c r="A497" s="6"/>
      <c r="B497" s="7"/>
      <c r="C497" s="8"/>
      <c r="D497" s="8"/>
      <c r="E497" s="9"/>
      <c r="F497" s="9"/>
      <c r="G497" s="17"/>
      <c r="H497" s="17"/>
      <c r="I497" s="9"/>
      <c r="J497" s="9"/>
      <c r="K497" s="10">
        <v>0</v>
      </c>
      <c r="L497" s="10"/>
      <c r="M497" s="11"/>
      <c r="N497" s="12"/>
      <c r="O497" s="13"/>
      <c r="P497" s="14"/>
    </row>
    <row r="498" spans="1:17" x14ac:dyDescent="0.25">
      <c r="A498" s="6"/>
      <c r="B498" s="7"/>
      <c r="C498" s="8"/>
      <c r="D498" s="8"/>
      <c r="E498" s="9"/>
      <c r="F498" s="9"/>
      <c r="G498" s="17"/>
      <c r="H498" s="17"/>
      <c r="I498" s="9"/>
      <c r="J498" s="9"/>
      <c r="K498" s="10">
        <v>0</v>
      </c>
      <c r="L498" s="10"/>
      <c r="M498" s="11"/>
      <c r="N498" s="12"/>
      <c r="O498" s="13"/>
      <c r="P498" s="14"/>
    </row>
    <row r="499" spans="1:17" x14ac:dyDescent="0.25">
      <c r="A499" s="6"/>
      <c r="B499" s="7"/>
      <c r="C499" s="8"/>
      <c r="D499" s="8"/>
      <c r="E499" s="9"/>
      <c r="F499" s="9"/>
      <c r="G499" s="17"/>
      <c r="H499" s="17"/>
      <c r="I499" s="9"/>
      <c r="J499" s="9"/>
      <c r="K499" s="10">
        <v>0</v>
      </c>
      <c r="L499" s="10"/>
      <c r="M499" s="11"/>
      <c r="N499" s="12"/>
      <c r="O499" s="13"/>
      <c r="P499" s="14"/>
    </row>
    <row r="500" spans="1:17" x14ac:dyDescent="0.25">
      <c r="A500" s="6"/>
      <c r="B500" s="7"/>
      <c r="C500" s="8"/>
      <c r="D500" s="8"/>
      <c r="E500" s="9"/>
      <c r="F500" s="9"/>
      <c r="G500" s="17"/>
      <c r="H500" s="17"/>
      <c r="I500" s="9"/>
      <c r="J500" s="9"/>
      <c r="K500" s="10">
        <v>0</v>
      </c>
      <c r="L500" s="10"/>
      <c r="M500" s="11"/>
      <c r="N500" s="12"/>
      <c r="O500" s="13"/>
      <c r="P500" s="14"/>
    </row>
    <row r="501" spans="1:17" x14ac:dyDescent="0.25">
      <c r="A501" s="6"/>
      <c r="B501" s="7"/>
      <c r="C501" s="8"/>
      <c r="D501" s="8"/>
      <c r="E501" s="9"/>
      <c r="F501" s="9"/>
      <c r="G501" s="17"/>
      <c r="H501" s="17"/>
      <c r="I501" s="9"/>
      <c r="J501" s="9"/>
      <c r="K501" s="10">
        <v>0</v>
      </c>
      <c r="L501" s="10"/>
      <c r="M501" s="11"/>
      <c r="N501" s="12"/>
      <c r="O501" s="13"/>
      <c r="P501" s="14"/>
    </row>
    <row r="502" spans="1:17" x14ac:dyDescent="0.25">
      <c r="A502" s="6"/>
      <c r="B502" s="7"/>
      <c r="C502" s="8"/>
      <c r="D502" s="8"/>
      <c r="E502" s="9"/>
      <c r="F502" s="9"/>
      <c r="G502" s="17"/>
      <c r="H502" s="17"/>
      <c r="I502" s="9"/>
      <c r="J502" s="9"/>
      <c r="K502" s="10">
        <v>0</v>
      </c>
      <c r="L502" s="10"/>
      <c r="M502" s="11"/>
      <c r="N502" s="12"/>
      <c r="O502" s="13"/>
      <c r="P502" s="14"/>
    </row>
    <row r="503" spans="1:17" x14ac:dyDescent="0.25">
      <c r="A503" s="6"/>
      <c r="B503" s="7"/>
      <c r="C503" s="8"/>
      <c r="D503" s="8"/>
      <c r="E503" s="9"/>
      <c r="F503" s="9"/>
      <c r="G503" s="17"/>
      <c r="H503" s="17"/>
      <c r="I503" s="9"/>
      <c r="J503" s="9"/>
      <c r="K503" s="10">
        <v>0</v>
      </c>
      <c r="L503" s="10"/>
      <c r="M503" s="11"/>
      <c r="N503" s="12"/>
      <c r="O503" s="13"/>
      <c r="P503" s="14"/>
    </row>
    <row r="504" spans="1:17" x14ac:dyDescent="0.25">
      <c r="A504" s="6"/>
      <c r="B504" s="7"/>
      <c r="C504" s="8"/>
      <c r="D504" s="8"/>
      <c r="E504" s="9"/>
      <c r="F504" s="9"/>
      <c r="G504" s="17"/>
      <c r="H504" s="17"/>
      <c r="I504" s="9"/>
      <c r="J504" s="9"/>
      <c r="K504" s="10">
        <v>0</v>
      </c>
      <c r="L504" s="10"/>
      <c r="M504" s="11"/>
      <c r="N504" s="12"/>
      <c r="O504" s="13"/>
      <c r="P504" s="14"/>
      <c r="Q504" s="2"/>
    </row>
    <row r="505" spans="1:17" x14ac:dyDescent="0.25">
      <c r="A505" s="6"/>
      <c r="B505" s="7"/>
      <c r="C505" s="8"/>
      <c r="D505" s="8"/>
      <c r="E505" s="9"/>
      <c r="F505" s="9"/>
      <c r="G505" s="17"/>
      <c r="H505" s="17"/>
      <c r="I505" s="9"/>
      <c r="J505" s="9"/>
      <c r="K505" s="10">
        <v>0</v>
      </c>
      <c r="L505" s="10"/>
      <c r="M505" s="11"/>
      <c r="N505" s="12"/>
      <c r="O505" s="13"/>
      <c r="P505" s="14"/>
    </row>
    <row r="506" spans="1:17" x14ac:dyDescent="0.25">
      <c r="A506" s="6"/>
      <c r="B506" s="7"/>
      <c r="C506" s="8"/>
      <c r="D506" s="8"/>
      <c r="E506" s="9"/>
      <c r="F506" s="9"/>
      <c r="G506" s="17"/>
      <c r="H506" s="17"/>
      <c r="I506" s="9"/>
      <c r="J506" s="9"/>
      <c r="K506" s="10">
        <v>0</v>
      </c>
      <c r="L506" s="10"/>
      <c r="M506" s="11"/>
      <c r="N506" s="12"/>
      <c r="O506" s="13"/>
      <c r="P506" s="14"/>
    </row>
    <row r="507" spans="1:17" x14ac:dyDescent="0.25">
      <c r="A507" s="6"/>
      <c r="B507" s="7"/>
      <c r="C507" s="8"/>
      <c r="D507" s="8"/>
      <c r="E507" s="9"/>
      <c r="F507" s="9"/>
      <c r="G507" s="17"/>
      <c r="H507" s="17"/>
      <c r="I507" s="9"/>
      <c r="J507" s="9"/>
      <c r="K507" s="10">
        <v>0</v>
      </c>
      <c r="L507" s="10"/>
      <c r="M507" s="11"/>
      <c r="N507" s="12"/>
      <c r="O507" s="13"/>
      <c r="P507" s="14"/>
    </row>
    <row r="508" spans="1:17" x14ac:dyDescent="0.25">
      <c r="A508" s="6"/>
      <c r="B508" s="7"/>
      <c r="C508" s="8"/>
      <c r="D508" s="8"/>
      <c r="E508" s="9"/>
      <c r="F508" s="9"/>
      <c r="G508" s="17"/>
      <c r="H508" s="17"/>
      <c r="I508" s="9"/>
      <c r="J508" s="9"/>
      <c r="K508" s="10">
        <v>0</v>
      </c>
      <c r="L508" s="10"/>
      <c r="M508" s="11"/>
      <c r="N508" s="12"/>
      <c r="O508" s="13"/>
      <c r="P508" s="14"/>
    </row>
    <row r="509" spans="1:17" x14ac:dyDescent="0.25">
      <c r="A509" s="6"/>
      <c r="B509" s="7"/>
      <c r="C509" s="8"/>
      <c r="D509" s="8"/>
      <c r="E509" s="9"/>
      <c r="F509" s="9"/>
      <c r="G509" s="17"/>
      <c r="H509" s="17"/>
      <c r="I509" s="9"/>
      <c r="J509" s="9"/>
      <c r="K509" s="10">
        <v>0</v>
      </c>
      <c r="L509" s="10"/>
      <c r="M509" s="11"/>
      <c r="N509" s="12"/>
      <c r="O509" s="13"/>
      <c r="P509" s="14"/>
    </row>
    <row r="510" spans="1:17" x14ac:dyDescent="0.25">
      <c r="A510" s="6"/>
      <c r="B510" s="7"/>
      <c r="C510" s="8"/>
      <c r="D510" s="8"/>
      <c r="E510" s="9"/>
      <c r="F510" s="9"/>
      <c r="G510" s="17"/>
      <c r="H510" s="17"/>
      <c r="I510" s="9"/>
      <c r="J510" s="9"/>
      <c r="K510" s="10">
        <v>0</v>
      </c>
      <c r="L510" s="10"/>
      <c r="M510" s="11"/>
      <c r="N510" s="12"/>
      <c r="O510" s="13"/>
      <c r="P510" s="14"/>
    </row>
    <row r="511" spans="1:17" x14ac:dyDescent="0.25">
      <c r="A511" s="6"/>
      <c r="B511" s="15"/>
      <c r="C511" s="16"/>
      <c r="D511" s="8"/>
      <c r="E511" s="9"/>
      <c r="F511" s="9"/>
      <c r="G511" s="17"/>
      <c r="H511" s="17"/>
      <c r="I511" s="9"/>
      <c r="J511" s="9"/>
      <c r="K511" s="10">
        <v>0</v>
      </c>
      <c r="L511" s="10"/>
      <c r="M511" s="11"/>
      <c r="N511" s="12"/>
      <c r="O511" s="13"/>
      <c r="P511" s="14"/>
    </row>
    <row r="512" spans="1:17" x14ac:dyDescent="0.25">
      <c r="A512" s="6"/>
      <c r="B512" s="7"/>
      <c r="C512" s="8"/>
      <c r="D512" s="8"/>
      <c r="E512" s="9"/>
      <c r="F512" s="9"/>
      <c r="G512" s="17"/>
      <c r="H512" s="17"/>
      <c r="I512" s="9"/>
      <c r="J512" s="9"/>
      <c r="K512" s="10">
        <v>0</v>
      </c>
      <c r="L512" s="10"/>
      <c r="M512" s="11"/>
      <c r="N512" s="12"/>
      <c r="O512" s="13"/>
      <c r="P512" s="14"/>
    </row>
    <row r="513" spans="1:16" x14ac:dyDescent="0.25">
      <c r="A513" s="6"/>
      <c r="B513" s="7"/>
      <c r="C513" s="8"/>
      <c r="D513" s="8"/>
      <c r="E513" s="9"/>
      <c r="F513" s="9"/>
      <c r="G513" s="17"/>
      <c r="H513" s="17"/>
      <c r="I513" s="9"/>
      <c r="J513" s="9"/>
      <c r="K513" s="10">
        <v>0</v>
      </c>
      <c r="L513" s="10"/>
      <c r="M513" s="11"/>
      <c r="N513" s="12"/>
      <c r="O513" s="13"/>
      <c r="P513" s="14"/>
    </row>
    <row r="514" spans="1:16" x14ac:dyDescent="0.25">
      <c r="A514" s="6"/>
      <c r="B514" s="7"/>
      <c r="C514" s="8"/>
      <c r="D514" s="8"/>
      <c r="E514" s="9"/>
      <c r="F514" s="9"/>
      <c r="G514" s="17"/>
      <c r="H514" s="17"/>
      <c r="I514" s="9"/>
      <c r="J514" s="9"/>
      <c r="K514" s="10">
        <v>0</v>
      </c>
      <c r="L514" s="10"/>
      <c r="M514" s="11"/>
      <c r="N514" s="12"/>
      <c r="O514" s="13"/>
      <c r="P514" s="14"/>
    </row>
    <row r="515" spans="1:16" x14ac:dyDescent="0.25">
      <c r="A515" s="6"/>
      <c r="B515" s="7"/>
      <c r="C515" s="8"/>
      <c r="D515" s="8"/>
      <c r="E515" s="9"/>
      <c r="F515" s="9"/>
      <c r="G515" s="17"/>
      <c r="H515" s="17"/>
      <c r="I515" s="9"/>
      <c r="J515" s="9"/>
      <c r="K515" s="10">
        <v>0</v>
      </c>
      <c r="L515" s="10"/>
      <c r="M515" s="11"/>
      <c r="N515" s="12"/>
      <c r="O515" s="13"/>
      <c r="P515" s="14"/>
    </row>
    <row r="516" spans="1:16" x14ac:dyDescent="0.25">
      <c r="A516" s="6"/>
      <c r="B516" s="7"/>
      <c r="C516" s="8"/>
      <c r="D516" s="8"/>
      <c r="E516" s="9"/>
      <c r="F516" s="17"/>
      <c r="G516" s="17"/>
      <c r="H516" s="17"/>
      <c r="I516" s="9"/>
      <c r="J516" s="9"/>
      <c r="K516" s="10">
        <v>0</v>
      </c>
      <c r="L516" s="10"/>
      <c r="M516" s="11"/>
      <c r="N516" s="12"/>
      <c r="O516" s="13"/>
      <c r="P516" s="14"/>
    </row>
    <row r="517" spans="1:16" x14ac:dyDescent="0.25">
      <c r="A517" s="6"/>
      <c r="B517" s="7"/>
      <c r="C517" s="8"/>
      <c r="D517" s="8"/>
      <c r="E517" s="9"/>
      <c r="F517" s="9"/>
      <c r="G517" s="17"/>
      <c r="H517" s="17"/>
      <c r="I517" s="9"/>
      <c r="J517" s="9"/>
      <c r="K517" s="10">
        <v>0</v>
      </c>
      <c r="L517" s="10"/>
      <c r="M517" s="11"/>
      <c r="N517" s="12"/>
      <c r="O517" s="13"/>
      <c r="P517" s="14"/>
    </row>
    <row r="518" spans="1:16" x14ac:dyDescent="0.25">
      <c r="A518" s="6"/>
      <c r="B518" s="7"/>
      <c r="C518" s="8"/>
      <c r="D518" s="8"/>
      <c r="E518" s="9"/>
      <c r="F518" s="9"/>
      <c r="G518" s="17"/>
      <c r="H518" s="17"/>
      <c r="I518" s="9"/>
      <c r="J518" s="9"/>
      <c r="K518" s="10">
        <v>0</v>
      </c>
      <c r="L518" s="10"/>
      <c r="M518" s="11"/>
      <c r="N518" s="12"/>
      <c r="O518" s="13"/>
      <c r="P518" s="14"/>
    </row>
    <row r="519" spans="1:16" x14ac:dyDescent="0.25">
      <c r="A519" s="6"/>
      <c r="B519" s="7"/>
      <c r="C519" s="8"/>
      <c r="D519" s="8"/>
      <c r="E519" s="9"/>
      <c r="F519" s="9"/>
      <c r="G519" s="17"/>
      <c r="H519" s="17"/>
      <c r="I519" s="9"/>
      <c r="J519" s="9"/>
      <c r="K519" s="10">
        <v>0</v>
      </c>
      <c r="L519" s="10"/>
      <c r="M519" s="11"/>
      <c r="N519" s="12"/>
      <c r="O519" s="13"/>
      <c r="P519" s="14"/>
    </row>
    <row r="520" spans="1:16" x14ac:dyDescent="0.25">
      <c r="A520" s="6"/>
      <c r="B520" s="7"/>
      <c r="C520" s="8"/>
      <c r="D520" s="8"/>
      <c r="E520" s="9"/>
      <c r="F520" s="9"/>
      <c r="G520" s="17"/>
      <c r="H520" s="17"/>
      <c r="I520" s="9"/>
      <c r="J520" s="9"/>
      <c r="K520" s="10">
        <v>0</v>
      </c>
      <c r="L520" s="10"/>
      <c r="M520" s="11"/>
      <c r="N520" s="12"/>
      <c r="O520" s="13"/>
      <c r="P520" s="14"/>
    </row>
    <row r="521" spans="1:16" x14ac:dyDescent="0.25">
      <c r="A521" s="6"/>
      <c r="B521" s="7"/>
      <c r="C521" s="8"/>
      <c r="D521" s="8"/>
      <c r="E521" s="9"/>
      <c r="F521" s="9"/>
      <c r="G521" s="17"/>
      <c r="H521" s="17"/>
      <c r="I521" s="9"/>
      <c r="J521" s="9"/>
      <c r="K521" s="10">
        <v>0</v>
      </c>
      <c r="L521" s="10"/>
      <c r="M521" s="11"/>
      <c r="N521" s="12"/>
      <c r="O521" s="13"/>
      <c r="P521" s="14"/>
    </row>
    <row r="522" spans="1:16" x14ac:dyDescent="0.25">
      <c r="A522" s="6"/>
      <c r="B522" s="7"/>
      <c r="C522" s="8"/>
      <c r="D522" s="8"/>
      <c r="E522" s="9"/>
      <c r="F522" s="9"/>
      <c r="G522" s="17"/>
      <c r="H522" s="17"/>
      <c r="I522" s="9"/>
      <c r="J522" s="9"/>
      <c r="K522" s="10">
        <v>0</v>
      </c>
      <c r="L522" s="10"/>
      <c r="M522" s="11"/>
      <c r="N522" s="12"/>
      <c r="O522" s="13"/>
      <c r="P522" s="14"/>
    </row>
    <row r="523" spans="1:16" x14ac:dyDescent="0.25">
      <c r="A523" s="6"/>
      <c r="B523" s="7"/>
      <c r="C523" s="8"/>
      <c r="D523" s="8"/>
      <c r="E523" s="9"/>
      <c r="F523" s="9"/>
      <c r="G523" s="17"/>
      <c r="H523" s="17"/>
      <c r="I523" s="9"/>
      <c r="J523" s="9"/>
      <c r="K523" s="10">
        <v>0</v>
      </c>
      <c r="L523" s="10"/>
      <c r="M523" s="11"/>
      <c r="N523" s="12"/>
      <c r="O523" s="13"/>
      <c r="P523" s="14"/>
    </row>
    <row r="524" spans="1:16" x14ac:dyDescent="0.25">
      <c r="A524" s="6"/>
      <c r="B524" s="7"/>
      <c r="C524" s="8"/>
      <c r="D524" s="8"/>
      <c r="E524" s="9"/>
      <c r="F524" s="9"/>
      <c r="G524" s="17"/>
      <c r="H524" s="17"/>
      <c r="I524" s="9"/>
      <c r="J524" s="9"/>
      <c r="K524" s="10">
        <v>0</v>
      </c>
      <c r="L524" s="10"/>
      <c r="M524" s="11"/>
      <c r="N524" s="12"/>
      <c r="O524" s="13"/>
      <c r="P524" s="14"/>
    </row>
    <row r="525" spans="1:16" x14ac:dyDescent="0.25">
      <c r="A525" s="6"/>
      <c r="B525" s="7"/>
      <c r="C525" s="8"/>
      <c r="D525" s="8"/>
      <c r="E525" s="9"/>
      <c r="F525" s="9"/>
      <c r="G525" s="17"/>
      <c r="H525" s="17"/>
      <c r="I525" s="9"/>
      <c r="J525" s="9"/>
      <c r="K525" s="10">
        <v>0</v>
      </c>
      <c r="L525" s="10"/>
      <c r="M525" s="11"/>
      <c r="N525" s="12"/>
      <c r="O525" s="13"/>
      <c r="P525" s="14"/>
    </row>
    <row r="526" spans="1:16" x14ac:dyDescent="0.25">
      <c r="A526" s="6"/>
      <c r="B526" s="7"/>
      <c r="C526" s="8"/>
      <c r="D526" s="8"/>
      <c r="E526" s="9"/>
      <c r="F526" s="9"/>
      <c r="G526" s="17"/>
      <c r="H526" s="17"/>
      <c r="I526" s="9"/>
      <c r="J526" s="9"/>
      <c r="K526" s="10">
        <v>0</v>
      </c>
      <c r="L526" s="10"/>
      <c r="M526" s="11"/>
      <c r="N526" s="12"/>
      <c r="O526" s="13"/>
      <c r="P526" s="14"/>
    </row>
    <row r="527" spans="1:16" x14ac:dyDescent="0.25">
      <c r="A527" s="6"/>
      <c r="B527" s="7"/>
      <c r="C527" s="8"/>
      <c r="D527" s="8"/>
      <c r="E527" s="9"/>
      <c r="F527" s="9"/>
      <c r="G527" s="17"/>
      <c r="H527" s="17"/>
      <c r="I527" s="9"/>
      <c r="J527" s="9"/>
      <c r="K527" s="10">
        <v>0</v>
      </c>
      <c r="L527" s="10"/>
      <c r="M527" s="11"/>
      <c r="N527" s="12"/>
      <c r="O527" s="13"/>
      <c r="P527" s="14"/>
    </row>
    <row r="528" spans="1:16" x14ac:dyDescent="0.25">
      <c r="A528" s="6"/>
      <c r="B528" s="7"/>
      <c r="C528" s="8"/>
      <c r="D528" s="8"/>
      <c r="E528" s="9"/>
      <c r="F528" s="9"/>
      <c r="G528" s="17"/>
      <c r="H528" s="17"/>
      <c r="I528" s="9"/>
      <c r="J528" s="9"/>
      <c r="K528" s="10">
        <v>0</v>
      </c>
      <c r="L528" s="10"/>
      <c r="M528" s="11"/>
      <c r="N528" s="12"/>
      <c r="O528" s="13"/>
      <c r="P528" s="14"/>
    </row>
    <row r="529" spans="1:27" x14ac:dyDescent="0.25">
      <c r="A529" s="6"/>
      <c r="B529" s="7"/>
      <c r="C529" s="8"/>
      <c r="D529" s="8"/>
      <c r="E529" s="9"/>
      <c r="F529" s="9"/>
      <c r="G529" s="17"/>
      <c r="H529" s="17"/>
      <c r="I529" s="9"/>
      <c r="J529" s="9"/>
      <c r="K529" s="10">
        <v>0</v>
      </c>
      <c r="L529" s="10"/>
      <c r="M529" s="11"/>
      <c r="N529" s="12"/>
      <c r="O529" s="13"/>
      <c r="P529" s="14"/>
    </row>
    <row r="530" spans="1:27" x14ac:dyDescent="0.25">
      <c r="A530" s="6"/>
      <c r="B530" s="7"/>
      <c r="C530" s="8"/>
      <c r="D530" s="8"/>
      <c r="E530" s="9"/>
      <c r="F530" s="9"/>
      <c r="G530" s="17"/>
      <c r="H530" s="17"/>
      <c r="I530" s="9"/>
      <c r="J530" s="9"/>
      <c r="K530" s="10">
        <v>0</v>
      </c>
      <c r="L530" s="10"/>
      <c r="M530" s="11"/>
      <c r="N530" s="12"/>
      <c r="O530" s="13"/>
      <c r="P530" s="14"/>
      <c r="V530" s="1">
        <v>0</v>
      </c>
    </row>
    <row r="531" spans="1:27" x14ac:dyDescent="0.25">
      <c r="A531" s="6"/>
      <c r="B531" s="7"/>
      <c r="C531" s="8"/>
      <c r="D531" s="8"/>
      <c r="E531" s="9"/>
      <c r="F531" s="9"/>
      <c r="G531" s="17"/>
      <c r="H531" s="17"/>
      <c r="I531" s="9"/>
      <c r="J531" s="9"/>
      <c r="K531" s="10">
        <v>0</v>
      </c>
      <c r="L531" s="10"/>
      <c r="M531" s="11"/>
      <c r="N531" s="12"/>
      <c r="O531" s="13"/>
      <c r="P531" s="14"/>
      <c r="V531" s="1">
        <v>14350</v>
      </c>
      <c r="X531" s="1">
        <v>0</v>
      </c>
    </row>
    <row r="532" spans="1:27" x14ac:dyDescent="0.25">
      <c r="A532" s="6"/>
      <c r="B532" s="7"/>
      <c r="C532" s="8"/>
      <c r="D532" s="8"/>
      <c r="E532" s="9"/>
      <c r="F532" s="9"/>
      <c r="G532" s="17"/>
      <c r="H532" s="17"/>
      <c r="I532" s="9"/>
      <c r="J532" s="9"/>
      <c r="K532" s="10">
        <v>0</v>
      </c>
      <c r="L532" s="10"/>
      <c r="M532" s="11"/>
      <c r="N532" s="12"/>
      <c r="O532" s="13"/>
      <c r="P532" s="14"/>
      <c r="X532" s="1">
        <v>40110</v>
      </c>
    </row>
    <row r="533" spans="1:27" x14ac:dyDescent="0.25">
      <c r="A533" s="6"/>
      <c r="B533" s="7"/>
      <c r="C533" s="8"/>
      <c r="D533" s="8"/>
      <c r="E533" s="9"/>
      <c r="F533" s="9"/>
      <c r="G533" s="17"/>
      <c r="H533" s="17"/>
      <c r="I533" s="9"/>
      <c r="J533" s="9"/>
      <c r="K533" s="10">
        <v>0</v>
      </c>
      <c r="L533" s="10"/>
      <c r="M533" s="11"/>
      <c r="N533" s="12"/>
      <c r="O533" s="13"/>
      <c r="P533" s="14"/>
      <c r="X533" s="1">
        <v>14350</v>
      </c>
      <c r="Y533" s="25">
        <v>35.776614310645726</v>
      </c>
    </row>
    <row r="534" spans="1:27" x14ac:dyDescent="0.25">
      <c r="A534" s="6"/>
      <c r="B534" s="7"/>
      <c r="C534" s="8"/>
      <c r="D534" s="8"/>
      <c r="E534" s="9"/>
      <c r="F534" s="9"/>
      <c r="G534" s="17"/>
      <c r="H534" s="17"/>
      <c r="I534" s="9"/>
      <c r="J534" s="9"/>
      <c r="K534" s="10">
        <v>0</v>
      </c>
      <c r="L534" s="10"/>
      <c r="M534" s="11"/>
      <c r="N534" s="12"/>
      <c r="O534" s="13"/>
      <c r="P534" s="14"/>
      <c r="W534" s="1">
        <v>2576</v>
      </c>
      <c r="X534" s="1">
        <v>25760</v>
      </c>
      <c r="Y534" s="25">
        <v>64.223385689354274</v>
      </c>
      <c r="AA534" s="1">
        <v>2576</v>
      </c>
    </row>
    <row r="535" spans="1:27" x14ac:dyDescent="0.25">
      <c r="A535" s="6"/>
      <c r="B535" s="7"/>
      <c r="C535" s="8"/>
      <c r="D535" s="8"/>
      <c r="E535" s="9"/>
      <c r="F535" s="9"/>
      <c r="G535" s="17"/>
      <c r="H535" s="17"/>
      <c r="I535" s="9"/>
      <c r="J535" s="9"/>
      <c r="K535" s="10">
        <v>0</v>
      </c>
      <c r="L535" s="10"/>
      <c r="M535" s="11"/>
      <c r="N535" s="12"/>
      <c r="O535" s="13"/>
      <c r="P535" s="14"/>
      <c r="X535" s="1">
        <v>40110</v>
      </c>
      <c r="Y535" s="25">
        <v>100</v>
      </c>
      <c r="AA535" s="1" t="s">
        <v>22</v>
      </c>
    </row>
    <row r="536" spans="1:27" x14ac:dyDescent="0.25">
      <c r="A536" s="6"/>
      <c r="B536" s="7"/>
      <c r="C536" s="8"/>
      <c r="D536" s="8"/>
      <c r="E536" s="9"/>
      <c r="F536" s="9"/>
      <c r="G536" s="17"/>
      <c r="H536" s="17"/>
      <c r="I536" s="9"/>
      <c r="J536" s="9"/>
      <c r="K536" s="10">
        <v>0</v>
      </c>
      <c r="L536" s="10"/>
      <c r="M536" s="11"/>
      <c r="N536" s="12"/>
      <c r="O536" s="13"/>
      <c r="P536" s="14"/>
    </row>
    <row r="537" spans="1:27" x14ac:dyDescent="0.25">
      <c r="A537" s="6"/>
      <c r="B537" s="7"/>
      <c r="C537" s="8"/>
      <c r="D537" s="8"/>
      <c r="E537" s="9"/>
      <c r="F537" s="9"/>
      <c r="G537" s="17"/>
      <c r="H537" s="17"/>
      <c r="I537" s="9"/>
      <c r="J537" s="9"/>
      <c r="K537" s="10">
        <v>0</v>
      </c>
      <c r="L537" s="10"/>
      <c r="M537" s="11"/>
      <c r="N537" s="12"/>
      <c r="O537" s="13"/>
      <c r="P537" s="14"/>
    </row>
    <row r="538" spans="1:27" x14ac:dyDescent="0.25">
      <c r="A538" s="6"/>
      <c r="B538" s="7"/>
      <c r="C538" s="8"/>
      <c r="D538" s="8"/>
      <c r="E538" s="9"/>
      <c r="F538" s="9"/>
      <c r="G538" s="17"/>
      <c r="H538" s="17"/>
      <c r="I538" s="9"/>
      <c r="J538" s="9"/>
      <c r="K538" s="10">
        <v>0</v>
      </c>
      <c r="L538" s="10"/>
      <c r="M538" s="11"/>
      <c r="N538" s="12"/>
      <c r="O538" s="13"/>
      <c r="P538" s="14"/>
      <c r="Y538" s="25" t="e">
        <v>#DIV/0!</v>
      </c>
      <c r="Z538" s="1" t="s">
        <v>23</v>
      </c>
    </row>
    <row r="539" spans="1:27" x14ac:dyDescent="0.25">
      <c r="A539" s="6"/>
      <c r="B539" s="7"/>
      <c r="C539" s="8"/>
      <c r="D539" s="8"/>
      <c r="E539" s="9"/>
      <c r="F539" s="9"/>
      <c r="G539" s="17"/>
      <c r="H539" s="17"/>
      <c r="I539" s="9"/>
      <c r="J539" s="9"/>
      <c r="K539" s="10">
        <v>0</v>
      </c>
      <c r="L539" s="10"/>
      <c r="M539" s="11"/>
      <c r="N539" s="12"/>
      <c r="O539" s="13"/>
      <c r="P539" s="14"/>
      <c r="Y539" s="25" t="e">
        <v>#DIV/0!</v>
      </c>
      <c r="Z539" s="1" t="s">
        <v>24</v>
      </c>
    </row>
    <row r="540" spans="1:27" x14ac:dyDescent="0.25">
      <c r="A540" s="6"/>
      <c r="B540" s="7"/>
      <c r="C540" s="8"/>
      <c r="D540" s="8"/>
      <c r="E540" s="9"/>
      <c r="F540" s="9"/>
      <c r="G540" s="17"/>
      <c r="H540" s="17"/>
      <c r="I540" s="9"/>
      <c r="J540" s="9"/>
      <c r="K540" s="10">
        <v>0</v>
      </c>
      <c r="L540" s="10"/>
      <c r="M540" s="11"/>
      <c r="N540" s="12"/>
      <c r="O540" s="13"/>
      <c r="P540" s="14"/>
      <c r="Y540" s="25" t="e">
        <v>#DIV/0!</v>
      </c>
      <c r="Z540" s="1" t="s">
        <v>25</v>
      </c>
      <c r="AA540" s="1">
        <v>100</v>
      </c>
    </row>
    <row r="541" spans="1:27" x14ac:dyDescent="0.25">
      <c r="A541" s="6"/>
      <c r="B541" s="7"/>
      <c r="C541" s="8"/>
      <c r="D541" s="8"/>
      <c r="E541" s="9"/>
      <c r="F541" s="9"/>
      <c r="G541" s="17"/>
      <c r="H541" s="17"/>
      <c r="I541" s="9"/>
      <c r="J541" s="9"/>
      <c r="K541" s="10">
        <v>0</v>
      </c>
      <c r="L541" s="10"/>
      <c r="M541" s="11"/>
      <c r="N541" s="12"/>
      <c r="O541" s="13"/>
      <c r="P541" s="14"/>
      <c r="U541" s="25"/>
    </row>
    <row r="542" spans="1:27" x14ac:dyDescent="0.25">
      <c r="A542" s="6"/>
      <c r="B542" s="7"/>
      <c r="C542" s="8"/>
      <c r="D542" s="8"/>
      <c r="E542" s="9"/>
      <c r="F542" s="9"/>
      <c r="G542" s="17"/>
      <c r="H542" s="17"/>
      <c r="I542" s="9"/>
      <c r="J542" s="9"/>
      <c r="K542" s="10">
        <v>0</v>
      </c>
      <c r="L542" s="10"/>
      <c r="M542" s="11"/>
      <c r="N542" s="12"/>
      <c r="O542" s="13"/>
      <c r="P542" s="14"/>
      <c r="U542" s="25"/>
    </row>
    <row r="543" spans="1:27" x14ac:dyDescent="0.25">
      <c r="A543" s="6"/>
      <c r="B543" s="7"/>
      <c r="C543" s="8"/>
      <c r="D543" s="8"/>
      <c r="E543" s="9"/>
      <c r="F543" s="9"/>
      <c r="G543" s="17"/>
      <c r="H543" s="17"/>
      <c r="I543" s="9"/>
      <c r="J543" s="9"/>
      <c r="K543" s="10">
        <v>0</v>
      </c>
      <c r="L543" s="10"/>
      <c r="M543" s="11"/>
      <c r="N543" s="12"/>
      <c r="O543" s="13"/>
      <c r="P543" s="14"/>
      <c r="U543" s="25"/>
    </row>
    <row r="544" spans="1:27" x14ac:dyDescent="0.25">
      <c r="A544" s="6"/>
      <c r="B544" s="7"/>
      <c r="C544" s="8"/>
      <c r="D544" s="8"/>
      <c r="E544" s="9"/>
      <c r="F544" s="9"/>
      <c r="G544" s="17"/>
      <c r="H544" s="17"/>
      <c r="I544" s="9"/>
      <c r="J544" s="9"/>
      <c r="K544" s="10">
        <v>0</v>
      </c>
      <c r="L544" s="10"/>
      <c r="M544" s="11"/>
      <c r="N544" s="12"/>
      <c r="O544" s="13"/>
      <c r="P544" s="14"/>
    </row>
    <row r="545" spans="1:25" x14ac:dyDescent="0.25">
      <c r="A545" s="6"/>
      <c r="B545" s="7"/>
      <c r="C545" s="8"/>
      <c r="D545" s="8"/>
      <c r="E545" s="9"/>
      <c r="F545" s="9"/>
      <c r="G545" s="17"/>
      <c r="H545" s="17"/>
      <c r="I545" s="9"/>
      <c r="J545" s="9"/>
      <c r="K545" s="10">
        <v>0</v>
      </c>
      <c r="L545" s="10"/>
      <c r="M545" s="11"/>
      <c r="N545" s="12"/>
      <c r="O545" s="13"/>
      <c r="P545" s="14"/>
    </row>
    <row r="546" spans="1:25" x14ac:dyDescent="0.25">
      <c r="A546" s="6"/>
      <c r="B546" s="7"/>
      <c r="C546" s="8"/>
      <c r="D546" s="8"/>
      <c r="E546" s="9"/>
      <c r="F546" s="9"/>
      <c r="G546" s="17"/>
      <c r="H546" s="17"/>
      <c r="I546" s="9"/>
      <c r="J546" s="9"/>
      <c r="K546" s="10">
        <v>0</v>
      </c>
      <c r="L546" s="10"/>
      <c r="M546" s="11"/>
      <c r="N546" s="12"/>
      <c r="O546" s="13"/>
      <c r="P546" s="14"/>
    </row>
    <row r="547" spans="1:25" x14ac:dyDescent="0.25">
      <c r="A547" s="6"/>
      <c r="B547" s="7"/>
      <c r="C547" s="8"/>
      <c r="D547" s="8"/>
      <c r="E547" s="9"/>
      <c r="F547" s="9"/>
      <c r="G547" s="17"/>
      <c r="H547" s="17"/>
      <c r="I547" s="9"/>
      <c r="J547" s="9"/>
      <c r="K547" s="10">
        <v>0</v>
      </c>
      <c r="L547" s="10"/>
      <c r="M547" s="11"/>
      <c r="N547" s="12"/>
      <c r="O547" s="13"/>
      <c r="P547" s="14"/>
    </row>
    <row r="548" spans="1:25" x14ac:dyDescent="0.25">
      <c r="A548" s="6"/>
      <c r="B548" s="7"/>
      <c r="C548" s="8"/>
      <c r="D548" s="8"/>
      <c r="E548" s="9"/>
      <c r="F548" s="9"/>
      <c r="G548" s="17"/>
      <c r="H548" s="17"/>
      <c r="I548" s="9"/>
      <c r="J548" s="9"/>
      <c r="K548" s="10">
        <v>0</v>
      </c>
      <c r="L548" s="10"/>
      <c r="M548" s="11"/>
      <c r="N548" s="12"/>
      <c r="O548" s="13"/>
      <c r="P548" s="14"/>
      <c r="Y548" s="1">
        <v>0</v>
      </c>
    </row>
    <row r="549" spans="1:25" x14ac:dyDescent="0.25">
      <c r="A549" s="7"/>
      <c r="B549" s="7"/>
      <c r="C549" s="8"/>
      <c r="D549" s="8"/>
      <c r="E549" s="9"/>
      <c r="F549" s="9"/>
      <c r="G549" s="17"/>
      <c r="H549" s="17"/>
      <c r="I549" s="9"/>
      <c r="J549" s="9"/>
      <c r="K549" s="10">
        <v>0</v>
      </c>
      <c r="L549" s="10"/>
      <c r="M549" s="11"/>
      <c r="N549" s="12"/>
      <c r="O549" s="13"/>
      <c r="P549" s="14"/>
    </row>
    <row r="550" spans="1:25" x14ac:dyDescent="0.25">
      <c r="A550" s="7"/>
      <c r="B550" s="7"/>
      <c r="C550" s="8"/>
      <c r="D550" s="8"/>
      <c r="E550" s="9"/>
      <c r="F550" s="9"/>
      <c r="G550" s="17"/>
      <c r="H550" s="17"/>
      <c r="I550" s="9"/>
      <c r="J550" s="9"/>
      <c r="K550" s="10">
        <v>0</v>
      </c>
      <c r="L550" s="10"/>
      <c r="M550" s="11"/>
      <c r="N550" s="12"/>
      <c r="O550" s="13"/>
      <c r="P550" s="14"/>
    </row>
    <row r="551" spans="1:25" x14ac:dyDescent="0.25">
      <c r="A551" s="7"/>
      <c r="B551" s="7"/>
      <c r="C551" s="8"/>
      <c r="D551" s="8"/>
      <c r="E551" s="9"/>
      <c r="F551" s="9"/>
      <c r="G551" s="17"/>
      <c r="H551" s="17"/>
      <c r="I551" s="9"/>
      <c r="J551" s="9"/>
      <c r="K551" s="10">
        <v>0</v>
      </c>
      <c r="L551" s="10"/>
      <c r="M551" s="11"/>
      <c r="N551" s="12"/>
      <c r="O551" s="13"/>
      <c r="P551" s="14"/>
      <c r="U551" s="1">
        <v>0.25</v>
      </c>
      <c r="W551" s="1">
        <v>0.5</v>
      </c>
    </row>
    <row r="552" spans="1:25" x14ac:dyDescent="0.25">
      <c r="A552" s="7"/>
      <c r="B552" s="7"/>
      <c r="C552" s="8"/>
      <c r="D552" s="8"/>
      <c r="E552" s="9"/>
      <c r="F552" s="9"/>
      <c r="G552" s="17"/>
      <c r="H552" s="17"/>
      <c r="I552" s="9"/>
      <c r="J552" s="9"/>
      <c r="K552" s="10">
        <v>0</v>
      </c>
      <c r="L552" s="10"/>
      <c r="M552" s="11"/>
      <c r="N552" s="12"/>
      <c r="O552" s="13"/>
      <c r="P552" s="14"/>
    </row>
    <row r="553" spans="1:25" x14ac:dyDescent="0.25">
      <c r="A553" s="7"/>
      <c r="B553" s="7"/>
      <c r="C553" s="8"/>
      <c r="D553" s="8"/>
      <c r="E553" s="9"/>
      <c r="F553" s="9"/>
      <c r="G553" s="17"/>
      <c r="H553" s="17"/>
      <c r="I553" s="9"/>
      <c r="J553" s="9"/>
      <c r="K553" s="10">
        <v>0</v>
      </c>
      <c r="L553" s="10"/>
      <c r="M553" s="11"/>
      <c r="N553" s="12"/>
      <c r="O553" s="13"/>
      <c r="P553" s="14"/>
    </row>
    <row r="554" spans="1:25" x14ac:dyDescent="0.25">
      <c r="A554" s="7"/>
      <c r="B554" s="7"/>
      <c r="C554" s="8"/>
      <c r="D554" s="8"/>
      <c r="E554" s="9"/>
      <c r="F554" s="9"/>
      <c r="G554" s="17"/>
      <c r="H554" s="17"/>
      <c r="I554" s="9"/>
      <c r="J554" s="9"/>
      <c r="K554" s="10">
        <v>0</v>
      </c>
      <c r="L554" s="10"/>
      <c r="M554" s="11"/>
      <c r="N554" s="12"/>
      <c r="O554" s="13"/>
      <c r="P554" s="14"/>
    </row>
    <row r="555" spans="1:25" x14ac:dyDescent="0.25">
      <c r="A555" s="7"/>
      <c r="B555" s="7"/>
      <c r="C555" s="8"/>
      <c r="D555" s="8"/>
      <c r="E555" s="9"/>
      <c r="F555" s="9"/>
      <c r="G555" s="17"/>
      <c r="H555" s="17"/>
      <c r="I555" s="9"/>
      <c r="J555" s="9"/>
      <c r="K555" s="10">
        <v>0</v>
      </c>
      <c r="L555" s="10"/>
      <c r="M555" s="11"/>
      <c r="N555" s="12"/>
      <c r="O555" s="13"/>
      <c r="P555" s="14"/>
    </row>
    <row r="556" spans="1:25" x14ac:dyDescent="0.25">
      <c r="A556" s="7"/>
      <c r="B556" s="7"/>
      <c r="C556" s="8"/>
      <c r="D556" s="8"/>
      <c r="E556" s="9"/>
      <c r="F556" s="9"/>
      <c r="G556" s="17"/>
      <c r="H556" s="17"/>
      <c r="I556" s="9"/>
      <c r="J556" s="9"/>
      <c r="K556" s="10">
        <v>0</v>
      </c>
      <c r="L556" s="10"/>
      <c r="M556" s="11"/>
      <c r="N556" s="12"/>
      <c r="O556" s="13"/>
      <c r="P556" s="14"/>
    </row>
    <row r="557" spans="1:25" x14ac:dyDescent="0.25">
      <c r="A557" s="7"/>
      <c r="B557" s="7"/>
      <c r="C557" s="8"/>
      <c r="D557" s="8"/>
      <c r="E557" s="9"/>
      <c r="F557" s="9"/>
      <c r="G557" s="17"/>
      <c r="H557" s="17"/>
      <c r="I557" s="9"/>
      <c r="J557" s="9"/>
      <c r="K557" s="10">
        <v>0</v>
      </c>
      <c r="L557" s="10"/>
      <c r="M557" s="11"/>
      <c r="N557" s="12"/>
      <c r="O557" s="13"/>
      <c r="P557" s="14"/>
    </row>
    <row r="558" spans="1:25" x14ac:dyDescent="0.25">
      <c r="A558" s="7"/>
      <c r="B558" s="7"/>
      <c r="C558" s="8"/>
      <c r="D558" s="8"/>
      <c r="E558" s="9"/>
      <c r="F558" s="9"/>
      <c r="G558" s="17"/>
      <c r="H558" s="17"/>
      <c r="I558" s="9"/>
      <c r="J558" s="9"/>
      <c r="K558" s="10">
        <v>0</v>
      </c>
      <c r="L558" s="10"/>
      <c r="M558" s="11"/>
      <c r="N558" s="12"/>
      <c r="O558" s="13"/>
      <c r="P558" s="14"/>
    </row>
    <row r="559" spans="1:25" x14ac:dyDescent="0.25">
      <c r="A559" s="7"/>
      <c r="B559" s="7"/>
      <c r="C559" s="8"/>
      <c r="D559" s="8"/>
      <c r="E559" s="9"/>
      <c r="F559" s="9"/>
      <c r="G559" s="17"/>
      <c r="H559" s="17"/>
      <c r="I559" s="9"/>
      <c r="J559" s="9"/>
      <c r="K559" s="10">
        <v>0</v>
      </c>
      <c r="L559" s="10"/>
      <c r="M559" s="11"/>
      <c r="N559" s="12"/>
      <c r="O559" s="13"/>
      <c r="P559" s="14"/>
    </row>
    <row r="560" spans="1:25" x14ac:dyDescent="0.25">
      <c r="A560" s="7"/>
      <c r="B560" s="7"/>
      <c r="C560" s="8"/>
      <c r="D560" s="8"/>
      <c r="E560" s="9"/>
      <c r="F560" s="9"/>
      <c r="G560" s="17"/>
      <c r="H560" s="17"/>
      <c r="I560" s="9"/>
      <c r="J560" s="9"/>
      <c r="K560" s="10">
        <v>0</v>
      </c>
      <c r="L560" s="10"/>
      <c r="M560" s="11"/>
      <c r="N560" s="12"/>
      <c r="O560" s="13"/>
      <c r="P560" s="14"/>
    </row>
    <row r="561" spans="1:16" x14ac:dyDescent="0.25">
      <c r="A561" s="7"/>
      <c r="B561" s="7"/>
      <c r="C561" s="8"/>
      <c r="D561" s="8"/>
      <c r="E561" s="9"/>
      <c r="F561" s="9"/>
      <c r="G561" s="17"/>
      <c r="H561" s="17"/>
      <c r="I561" s="9"/>
      <c r="J561" s="9"/>
      <c r="K561" s="10">
        <v>0</v>
      </c>
      <c r="L561" s="10"/>
      <c r="M561" s="11"/>
      <c r="N561" s="12"/>
      <c r="O561" s="13"/>
      <c r="P561" s="14"/>
    </row>
    <row r="562" spans="1:16" x14ac:dyDescent="0.25">
      <c r="A562" s="7"/>
      <c r="B562" s="7"/>
      <c r="C562" s="8"/>
      <c r="D562" s="8"/>
      <c r="E562" s="9"/>
      <c r="F562" s="9"/>
      <c r="G562" s="17"/>
      <c r="H562" s="17"/>
      <c r="I562" s="9"/>
      <c r="J562" s="9"/>
      <c r="K562" s="10">
        <v>0</v>
      </c>
      <c r="L562" s="10"/>
      <c r="M562" s="11"/>
      <c r="N562" s="12"/>
      <c r="O562" s="13"/>
      <c r="P562" s="14"/>
    </row>
    <row r="563" spans="1:16" x14ac:dyDescent="0.25">
      <c r="A563" s="7"/>
      <c r="B563" s="7"/>
      <c r="C563" s="8"/>
      <c r="D563" s="8"/>
      <c r="E563" s="9"/>
      <c r="F563" s="9"/>
      <c r="G563" s="17"/>
      <c r="H563" s="17"/>
      <c r="I563" s="9"/>
      <c r="J563" s="9"/>
      <c r="K563" s="10">
        <v>0</v>
      </c>
      <c r="L563" s="10"/>
      <c r="M563" s="11"/>
      <c r="N563" s="12"/>
      <c r="O563" s="13"/>
      <c r="P563" s="14"/>
    </row>
    <row r="564" spans="1:16" x14ac:dyDescent="0.25">
      <c r="A564" s="7"/>
      <c r="B564" s="7"/>
      <c r="C564" s="8"/>
      <c r="D564" s="8"/>
      <c r="E564" s="9"/>
      <c r="F564" s="9"/>
      <c r="G564" s="17"/>
      <c r="H564" s="17"/>
      <c r="I564" s="9"/>
      <c r="J564" s="9"/>
      <c r="K564" s="10">
        <v>0</v>
      </c>
      <c r="L564" s="10"/>
      <c r="M564" s="11"/>
      <c r="N564" s="12"/>
      <c r="O564" s="13"/>
      <c r="P564" s="14"/>
    </row>
    <row r="565" spans="1:16" x14ac:dyDescent="0.25">
      <c r="A565" s="6"/>
      <c r="B565" s="15"/>
      <c r="C565" s="8"/>
      <c r="D565" s="8"/>
      <c r="E565" s="9"/>
      <c r="F565" s="9"/>
      <c r="G565" s="17"/>
      <c r="H565" s="17"/>
      <c r="I565" s="9"/>
      <c r="J565" s="9"/>
      <c r="K565" s="10">
        <v>0</v>
      </c>
      <c r="L565" s="10"/>
      <c r="M565" s="11"/>
      <c r="N565" s="12"/>
      <c r="O565" s="13"/>
      <c r="P565" s="14"/>
    </row>
    <row r="566" spans="1:16" x14ac:dyDescent="0.25">
      <c r="A566" s="6"/>
      <c r="B566" s="7"/>
      <c r="C566" s="8"/>
      <c r="D566" s="8"/>
      <c r="E566" s="9"/>
      <c r="F566" s="9"/>
      <c r="G566" s="17"/>
      <c r="H566" s="17"/>
      <c r="I566" s="9"/>
      <c r="J566" s="9"/>
      <c r="K566" s="10">
        <v>0</v>
      </c>
      <c r="L566" s="10"/>
      <c r="M566" s="11"/>
      <c r="N566" s="12"/>
      <c r="O566" s="13"/>
      <c r="P566" s="14"/>
    </row>
    <row r="567" spans="1:16" x14ac:dyDescent="0.25">
      <c r="A567" s="6"/>
      <c r="B567" s="7"/>
      <c r="C567" s="8"/>
      <c r="D567" s="8"/>
      <c r="E567" s="9"/>
      <c r="F567" s="9"/>
      <c r="G567" s="17"/>
      <c r="H567" s="17"/>
      <c r="I567" s="9"/>
      <c r="J567" s="9"/>
      <c r="K567" s="10">
        <v>0</v>
      </c>
      <c r="L567" s="10"/>
      <c r="M567" s="11"/>
      <c r="N567" s="12"/>
      <c r="O567" s="13"/>
      <c r="P567" s="14"/>
    </row>
    <row r="568" spans="1:16" x14ac:dyDescent="0.25">
      <c r="A568" s="6"/>
      <c r="B568" s="7"/>
      <c r="C568" s="8"/>
      <c r="D568" s="8"/>
      <c r="E568" s="9"/>
      <c r="F568" s="9"/>
      <c r="G568" s="17"/>
      <c r="H568" s="17"/>
      <c r="I568" s="9"/>
      <c r="J568" s="9"/>
      <c r="K568" s="10">
        <v>0</v>
      </c>
      <c r="L568" s="10"/>
      <c r="M568" s="11"/>
      <c r="N568" s="12"/>
      <c r="O568" s="13"/>
      <c r="P568" s="14"/>
    </row>
    <row r="569" spans="1:16" x14ac:dyDescent="0.25">
      <c r="A569" s="6"/>
      <c r="B569" s="7"/>
      <c r="C569" s="8"/>
      <c r="D569" s="8"/>
      <c r="E569" s="9"/>
      <c r="F569" s="9"/>
      <c r="G569" s="17"/>
      <c r="H569" s="17"/>
      <c r="I569" s="9"/>
      <c r="J569" s="9"/>
      <c r="K569" s="10">
        <v>0</v>
      </c>
      <c r="L569" s="10"/>
      <c r="M569" s="11"/>
      <c r="N569" s="12"/>
      <c r="O569" s="13"/>
      <c r="P569" s="14"/>
    </row>
    <row r="570" spans="1:16" x14ac:dyDescent="0.25">
      <c r="A570" s="6"/>
      <c r="B570" s="7"/>
      <c r="C570" s="8"/>
      <c r="D570" s="8"/>
      <c r="E570" s="9"/>
      <c r="F570" s="9"/>
      <c r="G570" s="17"/>
      <c r="H570" s="17"/>
      <c r="I570" s="9"/>
      <c r="J570" s="9"/>
      <c r="K570" s="10">
        <v>0</v>
      </c>
      <c r="L570" s="10"/>
      <c r="M570" s="11"/>
      <c r="N570" s="12"/>
      <c r="O570" s="13"/>
      <c r="P570" s="14"/>
    </row>
    <row r="571" spans="1:16" x14ac:dyDescent="0.25">
      <c r="A571" s="6"/>
      <c r="B571" s="7"/>
      <c r="C571" s="8"/>
      <c r="D571" s="8"/>
      <c r="E571" s="9"/>
      <c r="F571" s="9"/>
      <c r="G571" s="17"/>
      <c r="H571" s="17"/>
      <c r="I571" s="9"/>
      <c r="J571" s="9"/>
      <c r="K571" s="10">
        <v>0</v>
      </c>
      <c r="L571" s="10"/>
      <c r="M571" s="11"/>
      <c r="N571" s="12"/>
      <c r="O571" s="13"/>
      <c r="P571" s="14"/>
    </row>
    <row r="572" spans="1:16" x14ac:dyDescent="0.25">
      <c r="A572" s="6"/>
      <c r="B572" s="7"/>
      <c r="C572" s="8"/>
      <c r="D572" s="8"/>
      <c r="E572" s="9"/>
      <c r="F572" s="9"/>
      <c r="G572" s="17"/>
      <c r="H572" s="17"/>
      <c r="I572" s="9"/>
      <c r="J572" s="9"/>
      <c r="K572" s="10">
        <v>0</v>
      </c>
      <c r="L572" s="10"/>
      <c r="M572" s="11"/>
      <c r="N572" s="12"/>
      <c r="O572" s="13"/>
      <c r="P572" s="14"/>
    </row>
    <row r="573" spans="1:16" x14ac:dyDescent="0.25">
      <c r="A573" s="6"/>
      <c r="B573" s="7"/>
      <c r="C573" s="8"/>
      <c r="D573" s="8"/>
      <c r="E573" s="9"/>
      <c r="F573" s="9"/>
      <c r="G573" s="17"/>
      <c r="H573" s="17"/>
      <c r="I573" s="9"/>
      <c r="J573" s="9"/>
      <c r="K573" s="10">
        <v>0</v>
      </c>
      <c r="L573" s="10"/>
      <c r="M573" s="11"/>
      <c r="N573" s="12"/>
      <c r="O573" s="13"/>
      <c r="P573" s="14"/>
    </row>
    <row r="574" spans="1:16" x14ac:dyDescent="0.25">
      <c r="A574" s="6"/>
      <c r="B574" s="7"/>
      <c r="C574" s="8"/>
      <c r="D574" s="8"/>
      <c r="E574" s="9"/>
      <c r="F574" s="9"/>
      <c r="G574" s="17"/>
      <c r="H574" s="17"/>
      <c r="I574" s="9"/>
      <c r="J574" s="9"/>
      <c r="K574" s="10">
        <v>0</v>
      </c>
      <c r="L574" s="10"/>
      <c r="M574" s="11"/>
      <c r="N574" s="12"/>
      <c r="O574" s="13"/>
      <c r="P574" s="14"/>
    </row>
    <row r="575" spans="1:16" x14ac:dyDescent="0.25">
      <c r="A575" s="6"/>
      <c r="B575" s="7"/>
      <c r="C575" s="8"/>
      <c r="D575" s="8"/>
      <c r="E575" s="9"/>
      <c r="F575" s="9"/>
      <c r="G575" s="17"/>
      <c r="H575" s="17"/>
      <c r="I575" s="9"/>
      <c r="J575" s="9"/>
      <c r="K575" s="10">
        <v>0</v>
      </c>
      <c r="L575" s="10"/>
      <c r="M575" s="11"/>
      <c r="N575" s="12"/>
      <c r="O575" s="13"/>
      <c r="P575" s="14"/>
    </row>
    <row r="576" spans="1:16" x14ac:dyDescent="0.25">
      <c r="A576" s="6"/>
      <c r="B576" s="7"/>
      <c r="C576" s="8"/>
      <c r="D576" s="8"/>
      <c r="E576" s="9"/>
      <c r="F576" s="9"/>
      <c r="G576" s="17"/>
      <c r="H576" s="17"/>
      <c r="I576" s="9"/>
      <c r="J576" s="9"/>
      <c r="K576" s="10">
        <v>0</v>
      </c>
      <c r="L576" s="10"/>
      <c r="M576" s="11"/>
      <c r="N576" s="12"/>
      <c r="O576" s="13"/>
      <c r="P576" s="14"/>
    </row>
    <row r="577" spans="1:16" x14ac:dyDescent="0.25">
      <c r="A577" s="6"/>
      <c r="B577" s="7"/>
      <c r="C577" s="8"/>
      <c r="D577" s="8"/>
      <c r="E577" s="9"/>
      <c r="F577" s="9"/>
      <c r="G577" s="17"/>
      <c r="H577" s="17"/>
      <c r="I577" s="9"/>
      <c r="J577" s="9"/>
      <c r="K577" s="10">
        <v>0</v>
      </c>
      <c r="L577" s="10"/>
      <c r="M577" s="11"/>
      <c r="N577" s="12"/>
      <c r="O577" s="13"/>
      <c r="P577" s="14"/>
    </row>
    <row r="578" spans="1:16" x14ac:dyDescent="0.25">
      <c r="A578" s="6"/>
      <c r="B578" s="7"/>
      <c r="C578" s="8"/>
      <c r="D578" s="8"/>
      <c r="E578" s="9"/>
      <c r="F578" s="9"/>
      <c r="G578" s="17"/>
      <c r="H578" s="17"/>
      <c r="I578" s="9"/>
      <c r="J578" s="9"/>
      <c r="K578" s="10">
        <v>0</v>
      </c>
      <c r="L578" s="10"/>
      <c r="M578" s="11"/>
      <c r="N578" s="12"/>
      <c r="O578" s="13"/>
      <c r="P578" s="14"/>
    </row>
    <row r="579" spans="1:16" x14ac:dyDescent="0.25">
      <c r="A579" s="6"/>
      <c r="B579" s="7"/>
      <c r="C579" s="8"/>
      <c r="D579" s="8"/>
      <c r="E579" s="9"/>
      <c r="F579" s="9"/>
      <c r="G579" s="17"/>
      <c r="H579" s="17"/>
      <c r="I579" s="9"/>
      <c r="J579" s="9"/>
      <c r="K579" s="10">
        <v>0</v>
      </c>
      <c r="L579" s="10"/>
      <c r="M579" s="11"/>
      <c r="N579" s="12"/>
      <c r="O579" s="13"/>
      <c r="P579" s="14"/>
    </row>
    <row r="580" spans="1:16" x14ac:dyDescent="0.25">
      <c r="A580" s="6"/>
      <c r="B580" s="7"/>
      <c r="C580" s="8"/>
      <c r="D580" s="8"/>
      <c r="E580" s="9"/>
      <c r="F580" s="9"/>
      <c r="G580" s="17"/>
      <c r="H580" s="17"/>
      <c r="I580" s="9"/>
      <c r="J580" s="9"/>
      <c r="K580" s="10">
        <v>0</v>
      </c>
      <c r="L580" s="10"/>
      <c r="M580" s="11"/>
      <c r="N580" s="12"/>
      <c r="O580" s="13"/>
      <c r="P580" s="14"/>
    </row>
    <row r="581" spans="1:16" x14ac:dyDescent="0.25">
      <c r="A581" s="6"/>
      <c r="B581" s="7"/>
      <c r="C581" s="8"/>
      <c r="D581" s="8"/>
      <c r="E581" s="9"/>
      <c r="F581" s="9"/>
      <c r="G581" s="17"/>
      <c r="H581" s="17"/>
      <c r="I581" s="9"/>
      <c r="J581" s="9"/>
      <c r="K581" s="10">
        <v>0</v>
      </c>
      <c r="L581" s="10"/>
      <c r="M581" s="11"/>
      <c r="N581" s="12"/>
      <c r="O581" s="13"/>
      <c r="P581" s="14"/>
    </row>
    <row r="582" spans="1:16" x14ac:dyDescent="0.25">
      <c r="A582" s="6"/>
      <c r="B582" s="7"/>
      <c r="C582" s="8"/>
      <c r="D582" s="8"/>
      <c r="E582" s="9"/>
      <c r="F582" s="9"/>
      <c r="G582" s="17"/>
      <c r="H582" s="17"/>
      <c r="I582" s="9"/>
      <c r="J582" s="9"/>
      <c r="K582" s="10">
        <v>0</v>
      </c>
      <c r="L582" s="10"/>
      <c r="M582" s="11"/>
      <c r="N582" s="12"/>
      <c r="O582" s="13"/>
      <c r="P582" s="14"/>
    </row>
    <row r="583" spans="1:16" x14ac:dyDescent="0.25">
      <c r="A583" s="6"/>
      <c r="B583" s="7"/>
      <c r="C583" s="8"/>
      <c r="D583" s="8"/>
      <c r="E583" s="9"/>
      <c r="F583" s="9"/>
      <c r="G583" s="17"/>
      <c r="H583" s="17"/>
      <c r="I583" s="9"/>
      <c r="J583" s="9"/>
      <c r="K583" s="10">
        <v>0</v>
      </c>
      <c r="L583" s="10"/>
      <c r="M583" s="11"/>
      <c r="N583" s="12"/>
      <c r="O583" s="13"/>
      <c r="P583" s="14"/>
    </row>
    <row r="584" spans="1:16" x14ac:dyDescent="0.25">
      <c r="A584" s="6"/>
      <c r="B584" s="7"/>
      <c r="C584" s="8"/>
      <c r="D584" s="8"/>
      <c r="E584" s="9"/>
      <c r="F584" s="9"/>
      <c r="G584" s="17"/>
      <c r="H584" s="17"/>
      <c r="I584" s="9"/>
      <c r="J584" s="9"/>
      <c r="K584" s="10">
        <v>0</v>
      </c>
      <c r="L584" s="10"/>
      <c r="M584" s="11"/>
      <c r="N584" s="12"/>
      <c r="O584" s="13"/>
      <c r="P584" s="14"/>
    </row>
    <row r="585" spans="1:16" x14ac:dyDescent="0.25">
      <c r="A585" s="6"/>
      <c r="B585" s="7"/>
      <c r="C585" s="8"/>
      <c r="D585" s="8"/>
      <c r="E585" s="9"/>
      <c r="F585" s="9"/>
      <c r="G585" s="17"/>
      <c r="H585" s="17"/>
      <c r="I585" s="9"/>
      <c r="J585" s="9"/>
      <c r="K585" s="10">
        <v>0</v>
      </c>
      <c r="L585" s="10"/>
      <c r="M585" s="11"/>
      <c r="N585" s="12"/>
      <c r="O585" s="13"/>
      <c r="P585" s="14"/>
    </row>
    <row r="586" spans="1:16" x14ac:dyDescent="0.25">
      <c r="A586" s="6"/>
      <c r="B586" s="7"/>
      <c r="C586" s="8"/>
      <c r="D586" s="8"/>
      <c r="E586" s="9"/>
      <c r="F586" s="9"/>
      <c r="G586" s="17"/>
      <c r="H586" s="17"/>
      <c r="I586" s="9"/>
      <c r="J586" s="9"/>
      <c r="K586" s="10">
        <v>0</v>
      </c>
      <c r="L586" s="10"/>
      <c r="M586" s="11"/>
      <c r="N586" s="12"/>
      <c r="O586" s="13"/>
      <c r="P586" s="14"/>
    </row>
    <row r="587" spans="1:16" x14ac:dyDescent="0.25">
      <c r="A587" s="6"/>
      <c r="B587" s="7"/>
      <c r="C587" s="8"/>
      <c r="D587" s="8"/>
      <c r="E587" s="9"/>
      <c r="F587" s="9"/>
      <c r="G587" s="17"/>
      <c r="H587" s="17"/>
      <c r="I587" s="9"/>
      <c r="J587" s="9"/>
      <c r="K587" s="10">
        <v>0</v>
      </c>
      <c r="L587" s="10"/>
      <c r="M587" s="11"/>
      <c r="N587" s="12"/>
      <c r="O587" s="13"/>
      <c r="P587" s="14"/>
    </row>
    <row r="588" spans="1:16" x14ac:dyDescent="0.25">
      <c r="A588" s="6"/>
      <c r="B588" s="7"/>
      <c r="C588" s="8"/>
      <c r="D588" s="8"/>
      <c r="E588" s="9"/>
      <c r="F588" s="9"/>
      <c r="G588" s="17"/>
      <c r="H588" s="17"/>
      <c r="I588" s="9"/>
      <c r="J588" s="9"/>
      <c r="K588" s="10">
        <v>0</v>
      </c>
      <c r="L588" s="10"/>
      <c r="M588" s="11"/>
      <c r="N588" s="12"/>
      <c r="O588" s="13"/>
      <c r="P588" s="14"/>
    </row>
    <row r="589" spans="1:16" x14ac:dyDescent="0.25">
      <c r="A589" s="6"/>
      <c r="B589" s="7"/>
      <c r="C589" s="8"/>
      <c r="D589" s="8"/>
      <c r="E589" s="9"/>
      <c r="F589" s="9"/>
      <c r="G589" s="17"/>
      <c r="H589" s="17"/>
      <c r="I589" s="9"/>
      <c r="J589" s="9"/>
      <c r="K589" s="10">
        <v>0</v>
      </c>
      <c r="L589" s="10"/>
      <c r="M589" s="11"/>
      <c r="N589" s="12"/>
      <c r="O589" s="13"/>
      <c r="P589" s="14"/>
    </row>
    <row r="590" spans="1:16" x14ac:dyDescent="0.25">
      <c r="A590" s="6"/>
      <c r="B590" s="7"/>
      <c r="C590" s="8"/>
      <c r="D590" s="8"/>
      <c r="E590" s="9"/>
      <c r="F590" s="9"/>
      <c r="G590" s="17"/>
      <c r="H590" s="17"/>
      <c r="I590" s="9"/>
      <c r="J590" s="9"/>
      <c r="K590" s="10">
        <v>0</v>
      </c>
      <c r="L590" s="10"/>
      <c r="M590" s="11"/>
      <c r="N590" s="12"/>
      <c r="O590" s="13"/>
      <c r="P590" s="14"/>
    </row>
    <row r="591" spans="1:16" x14ac:dyDescent="0.25">
      <c r="A591" s="6"/>
      <c r="B591" s="7"/>
      <c r="C591" s="8"/>
      <c r="D591" s="8"/>
      <c r="E591" s="9"/>
      <c r="F591" s="9"/>
      <c r="G591" s="17"/>
      <c r="H591" s="17"/>
      <c r="I591" s="9"/>
      <c r="J591" s="9"/>
      <c r="K591" s="10">
        <v>0</v>
      </c>
      <c r="L591" s="10"/>
      <c r="M591" s="11"/>
      <c r="N591" s="12"/>
      <c r="O591" s="13"/>
      <c r="P591" s="14"/>
    </row>
    <row r="592" spans="1:16" x14ac:dyDescent="0.25">
      <c r="A592" s="6"/>
      <c r="B592" s="7"/>
      <c r="C592" s="8"/>
      <c r="D592" s="8"/>
      <c r="E592" s="9"/>
      <c r="F592" s="9"/>
      <c r="G592" s="17"/>
      <c r="H592" s="17"/>
      <c r="I592" s="9"/>
      <c r="J592" s="9"/>
      <c r="K592" s="10">
        <v>0</v>
      </c>
      <c r="L592" s="10"/>
      <c r="M592" s="11"/>
      <c r="N592" s="12"/>
      <c r="O592" s="13"/>
      <c r="P592" s="14"/>
    </row>
    <row r="593" spans="1:16" x14ac:dyDescent="0.25">
      <c r="A593" s="6"/>
      <c r="B593" s="7"/>
      <c r="C593" s="8"/>
      <c r="D593" s="8"/>
      <c r="E593" s="9"/>
      <c r="F593" s="9"/>
      <c r="G593" s="17"/>
      <c r="H593" s="17"/>
      <c r="I593" s="9"/>
      <c r="J593" s="9"/>
      <c r="K593" s="10">
        <v>0</v>
      </c>
      <c r="L593" s="10"/>
      <c r="M593" s="11"/>
      <c r="N593" s="12"/>
      <c r="O593" s="13"/>
      <c r="P593" s="14"/>
    </row>
    <row r="594" spans="1:16" x14ac:dyDescent="0.25">
      <c r="A594" s="6"/>
      <c r="B594" s="7"/>
      <c r="C594" s="8"/>
      <c r="D594" s="8"/>
      <c r="E594" s="9"/>
      <c r="F594" s="9"/>
      <c r="G594" s="17"/>
      <c r="H594" s="17"/>
      <c r="I594" s="9"/>
      <c r="J594" s="9"/>
      <c r="K594" s="10">
        <v>0</v>
      </c>
      <c r="L594" s="10"/>
      <c r="M594" s="11"/>
      <c r="N594" s="12"/>
      <c r="O594" s="13"/>
      <c r="P594" s="14"/>
    </row>
    <row r="595" spans="1:16" x14ac:dyDescent="0.25">
      <c r="A595" s="6"/>
      <c r="B595" s="7"/>
      <c r="C595" s="8"/>
      <c r="D595" s="8"/>
      <c r="E595" s="9"/>
      <c r="F595" s="9"/>
      <c r="G595" s="17"/>
      <c r="H595" s="17"/>
      <c r="I595" s="9"/>
      <c r="J595" s="9"/>
      <c r="K595" s="10">
        <v>0</v>
      </c>
      <c r="L595" s="10"/>
      <c r="M595" s="11"/>
      <c r="N595" s="12"/>
      <c r="O595" s="13"/>
      <c r="P595" s="14"/>
    </row>
    <row r="596" spans="1:16" x14ac:dyDescent="0.25">
      <c r="A596" s="6"/>
      <c r="B596" s="7"/>
      <c r="C596" s="8"/>
      <c r="D596" s="8"/>
      <c r="E596" s="9"/>
      <c r="F596" s="9"/>
      <c r="G596" s="17"/>
      <c r="H596" s="17"/>
      <c r="I596" s="9"/>
      <c r="J596" s="9"/>
      <c r="K596" s="10">
        <v>0</v>
      </c>
      <c r="L596" s="10"/>
      <c r="M596" s="11"/>
      <c r="N596" s="12"/>
      <c r="O596" s="13"/>
      <c r="P596" s="14"/>
    </row>
    <row r="597" spans="1:16" x14ac:dyDescent="0.25">
      <c r="A597" s="6"/>
      <c r="B597" s="7"/>
      <c r="C597" s="8"/>
      <c r="D597" s="8"/>
      <c r="E597" s="9"/>
      <c r="F597" s="9"/>
      <c r="G597" s="17"/>
      <c r="H597" s="17"/>
      <c r="I597" s="9"/>
      <c r="J597" s="9"/>
      <c r="K597" s="10">
        <v>0</v>
      </c>
      <c r="L597" s="10"/>
      <c r="M597" s="11"/>
      <c r="N597" s="12"/>
      <c r="O597" s="13"/>
      <c r="P597" s="14"/>
    </row>
    <row r="598" spans="1:16" x14ac:dyDescent="0.25">
      <c r="A598" s="6"/>
      <c r="B598" s="7"/>
      <c r="C598" s="8"/>
      <c r="D598" s="8"/>
      <c r="E598" s="9"/>
      <c r="F598" s="9"/>
      <c r="G598" s="17"/>
      <c r="H598" s="17"/>
      <c r="I598" s="9"/>
      <c r="J598" s="9"/>
      <c r="K598" s="10">
        <v>0</v>
      </c>
      <c r="L598" s="10"/>
      <c r="M598" s="11"/>
      <c r="N598" s="12"/>
      <c r="O598" s="13"/>
      <c r="P598" s="14"/>
    </row>
    <row r="599" spans="1:16" x14ac:dyDescent="0.25">
      <c r="A599" s="6"/>
      <c r="B599" s="7"/>
      <c r="C599" s="8"/>
      <c r="D599" s="8"/>
      <c r="E599" s="9"/>
      <c r="F599" s="9"/>
      <c r="G599" s="17"/>
      <c r="H599" s="17"/>
      <c r="I599" s="9"/>
      <c r="J599" s="9"/>
      <c r="K599" s="10">
        <v>0</v>
      </c>
      <c r="L599" s="10"/>
      <c r="M599" s="11"/>
      <c r="N599" s="12"/>
      <c r="O599" s="13"/>
      <c r="P599" s="14"/>
    </row>
    <row r="600" spans="1:16" x14ac:dyDescent="0.25">
      <c r="A600" s="6"/>
      <c r="B600" s="7"/>
      <c r="C600" s="8"/>
      <c r="D600" s="8"/>
      <c r="E600" s="9"/>
      <c r="F600" s="9"/>
      <c r="G600" s="17"/>
      <c r="H600" s="17"/>
      <c r="I600" s="9"/>
      <c r="J600" s="9"/>
      <c r="K600" s="10">
        <v>0</v>
      </c>
      <c r="L600" s="10"/>
      <c r="M600" s="11"/>
      <c r="N600" s="12"/>
      <c r="O600" s="13"/>
      <c r="P600" s="14"/>
    </row>
    <row r="601" spans="1:16" x14ac:dyDescent="0.25">
      <c r="A601" s="6"/>
      <c r="B601" s="7"/>
      <c r="C601" s="8"/>
      <c r="D601" s="8"/>
      <c r="E601" s="9"/>
      <c r="F601" s="9"/>
      <c r="G601" s="17"/>
      <c r="H601" s="17"/>
      <c r="I601" s="9"/>
      <c r="J601" s="9"/>
      <c r="K601" s="10">
        <v>0</v>
      </c>
      <c r="L601" s="10"/>
      <c r="M601" s="11"/>
      <c r="N601" s="12"/>
      <c r="O601" s="13"/>
      <c r="P601" s="14"/>
    </row>
    <row r="602" spans="1:16" x14ac:dyDescent="0.25">
      <c r="A602" s="6"/>
      <c r="B602" s="7"/>
      <c r="C602" s="8"/>
      <c r="D602" s="8"/>
      <c r="E602" s="9"/>
      <c r="F602" s="9"/>
      <c r="G602" s="17"/>
      <c r="H602" s="17"/>
      <c r="I602" s="9"/>
      <c r="J602" s="9"/>
      <c r="K602" s="10">
        <v>0</v>
      </c>
      <c r="L602" s="10"/>
      <c r="M602" s="11"/>
      <c r="N602" s="12"/>
      <c r="O602" s="13"/>
      <c r="P602" s="14"/>
    </row>
    <row r="603" spans="1:16" x14ac:dyDescent="0.25">
      <c r="A603" s="6"/>
      <c r="B603" s="7"/>
      <c r="C603" s="8"/>
      <c r="D603" s="8"/>
      <c r="E603" s="9"/>
      <c r="F603" s="9"/>
      <c r="G603" s="17"/>
      <c r="H603" s="17"/>
      <c r="I603" s="9"/>
      <c r="J603" s="9"/>
      <c r="K603" s="10">
        <v>0</v>
      </c>
      <c r="L603" s="10"/>
      <c r="M603" s="11"/>
      <c r="N603" s="12"/>
      <c r="O603" s="13"/>
      <c r="P603" s="14"/>
    </row>
    <row r="604" spans="1:16" x14ac:dyDescent="0.25">
      <c r="A604" s="6"/>
      <c r="B604" s="7"/>
      <c r="C604" s="8"/>
      <c r="D604" s="8"/>
      <c r="E604" s="9"/>
      <c r="F604" s="9"/>
      <c r="G604" s="17"/>
      <c r="H604" s="17"/>
      <c r="I604" s="9"/>
      <c r="J604" s="9"/>
      <c r="K604" s="10">
        <v>0</v>
      </c>
      <c r="L604" s="10"/>
      <c r="M604" s="11"/>
      <c r="N604" s="12"/>
      <c r="O604" s="13"/>
      <c r="P604" s="14"/>
    </row>
    <row r="605" spans="1:16" x14ac:dyDescent="0.25">
      <c r="A605" s="6"/>
      <c r="B605" s="7"/>
      <c r="C605" s="8"/>
      <c r="D605" s="8"/>
      <c r="E605" s="9"/>
      <c r="F605" s="9"/>
      <c r="G605" s="17"/>
      <c r="H605" s="17"/>
      <c r="I605" s="9"/>
      <c r="J605" s="9"/>
      <c r="K605" s="10">
        <v>0</v>
      </c>
      <c r="L605" s="10"/>
      <c r="M605" s="11"/>
      <c r="N605" s="12"/>
      <c r="O605" s="13"/>
      <c r="P605" s="14"/>
    </row>
    <row r="606" spans="1:16" x14ac:dyDescent="0.25">
      <c r="A606" s="6"/>
      <c r="B606" s="7"/>
      <c r="C606" s="8"/>
      <c r="D606" s="8"/>
      <c r="E606" s="9"/>
      <c r="F606" s="9"/>
      <c r="G606" s="17"/>
      <c r="H606" s="17"/>
      <c r="I606" s="9"/>
      <c r="J606" s="9"/>
      <c r="K606" s="10">
        <v>0</v>
      </c>
      <c r="L606" s="10"/>
      <c r="M606" s="11"/>
      <c r="N606" s="12"/>
      <c r="O606" s="13"/>
      <c r="P606" s="14"/>
    </row>
    <row r="607" spans="1:16" x14ac:dyDescent="0.25">
      <c r="A607" s="6"/>
      <c r="B607" s="7"/>
      <c r="C607" s="8"/>
      <c r="D607" s="8"/>
      <c r="E607" s="9"/>
      <c r="F607" s="9"/>
      <c r="G607" s="17"/>
      <c r="H607" s="17"/>
      <c r="I607" s="9"/>
      <c r="J607" s="9"/>
      <c r="K607" s="10">
        <v>0</v>
      </c>
      <c r="L607" s="10"/>
      <c r="M607" s="11"/>
      <c r="N607" s="12"/>
      <c r="O607" s="13"/>
      <c r="P607" s="14"/>
    </row>
    <row r="608" spans="1:16" x14ac:dyDescent="0.25">
      <c r="A608" s="6"/>
      <c r="B608" s="7"/>
      <c r="C608" s="8"/>
      <c r="D608" s="8"/>
      <c r="E608" s="9"/>
      <c r="F608" s="9"/>
      <c r="G608" s="17"/>
      <c r="H608" s="17"/>
      <c r="I608" s="9"/>
      <c r="J608" s="9"/>
      <c r="K608" s="10">
        <v>0</v>
      </c>
      <c r="L608" s="10"/>
      <c r="M608" s="11"/>
      <c r="N608" s="12"/>
      <c r="O608" s="13"/>
      <c r="P608" s="14"/>
    </row>
    <row r="609" spans="1:16" x14ac:dyDescent="0.25">
      <c r="A609" s="6"/>
      <c r="B609" s="7"/>
      <c r="C609" s="8"/>
      <c r="D609" s="8"/>
      <c r="E609" s="9"/>
      <c r="F609" s="9"/>
      <c r="G609" s="17"/>
      <c r="H609" s="17"/>
      <c r="I609" s="9"/>
      <c r="J609" s="9"/>
      <c r="K609" s="10">
        <v>0</v>
      </c>
      <c r="L609" s="10"/>
      <c r="M609" s="11"/>
      <c r="N609" s="12"/>
      <c r="O609" s="13"/>
      <c r="P609" s="14"/>
    </row>
    <row r="610" spans="1:16" x14ac:dyDescent="0.25">
      <c r="A610" s="6"/>
      <c r="B610" s="7"/>
      <c r="C610" s="8"/>
      <c r="D610" s="8"/>
      <c r="E610" s="9"/>
      <c r="F610" s="9"/>
      <c r="G610" s="17"/>
      <c r="H610" s="17"/>
      <c r="I610" s="9"/>
      <c r="J610" s="9"/>
      <c r="K610" s="10">
        <v>0</v>
      </c>
      <c r="L610" s="10"/>
      <c r="M610" s="11"/>
      <c r="N610" s="12"/>
      <c r="O610" s="13"/>
      <c r="P610" s="14"/>
    </row>
    <row r="611" spans="1:16" x14ac:dyDescent="0.25">
      <c r="A611" s="6"/>
      <c r="B611" s="7"/>
      <c r="C611" s="8"/>
      <c r="D611" s="8"/>
      <c r="E611" s="9"/>
      <c r="F611" s="9"/>
      <c r="G611" s="17"/>
      <c r="H611" s="17"/>
      <c r="I611" s="9"/>
      <c r="J611" s="9"/>
      <c r="K611" s="10">
        <v>0</v>
      </c>
      <c r="L611" s="10"/>
      <c r="M611" s="11"/>
      <c r="N611" s="12"/>
      <c r="O611" s="13"/>
      <c r="P611" s="14"/>
    </row>
    <row r="612" spans="1:16" x14ac:dyDescent="0.25">
      <c r="A612" s="6"/>
      <c r="B612" s="7"/>
      <c r="C612" s="8"/>
      <c r="D612" s="8"/>
      <c r="E612" s="9"/>
      <c r="F612" s="9"/>
      <c r="G612" s="17"/>
      <c r="H612" s="17"/>
      <c r="I612" s="9"/>
      <c r="J612" s="9"/>
      <c r="K612" s="10">
        <v>0</v>
      </c>
      <c r="L612" s="10"/>
      <c r="M612" s="11"/>
      <c r="N612" s="12"/>
      <c r="O612" s="13"/>
      <c r="P612" s="14"/>
    </row>
    <row r="613" spans="1:16" x14ac:dyDescent="0.25">
      <c r="A613" s="6"/>
      <c r="B613" s="7"/>
      <c r="C613" s="8"/>
      <c r="D613" s="8"/>
      <c r="E613" s="9"/>
      <c r="F613" s="9"/>
      <c r="G613" s="17"/>
      <c r="H613" s="17"/>
      <c r="I613" s="9"/>
      <c r="J613" s="9"/>
      <c r="K613" s="10">
        <v>0</v>
      </c>
      <c r="L613" s="10"/>
      <c r="M613" s="11"/>
      <c r="N613" s="12"/>
      <c r="O613" s="13"/>
      <c r="P613" s="14"/>
    </row>
    <row r="614" spans="1:16" x14ac:dyDescent="0.25">
      <c r="A614" s="6"/>
      <c r="B614" s="7"/>
      <c r="C614" s="8"/>
      <c r="D614" s="8"/>
      <c r="E614" s="9"/>
      <c r="F614" s="9"/>
      <c r="G614" s="17"/>
      <c r="H614" s="17"/>
      <c r="I614" s="9"/>
      <c r="J614" s="9"/>
      <c r="K614" s="10">
        <v>0</v>
      </c>
      <c r="L614" s="10"/>
      <c r="M614" s="11"/>
      <c r="N614" s="12"/>
      <c r="O614" s="13"/>
      <c r="P614" s="14"/>
    </row>
    <row r="615" spans="1:16" x14ac:dyDescent="0.25">
      <c r="A615" s="6"/>
      <c r="B615" s="15"/>
      <c r="C615" s="16"/>
      <c r="D615" s="8"/>
      <c r="E615" s="9"/>
      <c r="F615" s="9"/>
      <c r="G615" s="17"/>
      <c r="H615" s="17"/>
      <c r="I615" s="9"/>
      <c r="J615" s="9"/>
      <c r="K615" s="10">
        <v>0</v>
      </c>
      <c r="L615" s="10"/>
      <c r="M615" s="11"/>
      <c r="N615" s="12"/>
      <c r="O615" s="13"/>
      <c r="P615" s="14"/>
    </row>
    <row r="616" spans="1:16" x14ac:dyDescent="0.25">
      <c r="A616" s="6"/>
      <c r="B616" s="7"/>
      <c r="C616" s="8"/>
      <c r="D616" s="8"/>
      <c r="E616" s="9"/>
      <c r="F616" s="9"/>
      <c r="G616" s="17"/>
      <c r="H616" s="17"/>
      <c r="I616" s="9"/>
      <c r="J616" s="9"/>
      <c r="K616" s="10">
        <v>0</v>
      </c>
      <c r="L616" s="10"/>
      <c r="M616" s="11"/>
      <c r="N616" s="12"/>
      <c r="O616" s="13"/>
      <c r="P616" s="14"/>
    </row>
    <row r="617" spans="1:16" x14ac:dyDescent="0.25">
      <c r="A617" s="6"/>
      <c r="B617" s="7"/>
      <c r="C617" s="8"/>
      <c r="D617" s="8"/>
      <c r="E617" s="9"/>
      <c r="F617" s="9"/>
      <c r="G617" s="17"/>
      <c r="H617" s="17"/>
      <c r="I617" s="9"/>
      <c r="J617" s="9"/>
      <c r="K617" s="10">
        <v>0</v>
      </c>
      <c r="L617" s="10"/>
      <c r="M617" s="11"/>
      <c r="N617" s="12"/>
      <c r="O617" s="13"/>
      <c r="P617" s="14"/>
    </row>
    <row r="618" spans="1:16" x14ac:dyDescent="0.25">
      <c r="A618" s="6"/>
      <c r="B618" s="7"/>
      <c r="C618" s="8"/>
      <c r="D618" s="8"/>
      <c r="E618" s="9"/>
      <c r="F618" s="9"/>
      <c r="G618" s="17"/>
      <c r="H618" s="17"/>
      <c r="I618" s="9"/>
      <c r="J618" s="9"/>
      <c r="K618" s="10">
        <v>0</v>
      </c>
      <c r="L618" s="10"/>
      <c r="M618" s="11"/>
      <c r="N618" s="12"/>
      <c r="O618" s="13"/>
      <c r="P618" s="14"/>
    </row>
    <row r="619" spans="1:16" x14ac:dyDescent="0.25">
      <c r="A619" s="6"/>
      <c r="B619" s="7"/>
      <c r="C619" s="8"/>
      <c r="D619" s="8"/>
      <c r="E619" s="9"/>
      <c r="F619" s="9"/>
      <c r="G619" s="17"/>
      <c r="H619" s="17"/>
      <c r="I619" s="9"/>
      <c r="J619" s="9"/>
      <c r="K619" s="10">
        <v>0</v>
      </c>
      <c r="L619" s="10"/>
      <c r="M619" s="11"/>
      <c r="N619" s="12"/>
      <c r="O619" s="13"/>
      <c r="P619" s="14"/>
    </row>
    <row r="620" spans="1:16" x14ac:dyDescent="0.25">
      <c r="A620" s="6"/>
      <c r="B620" s="7"/>
      <c r="C620" s="8"/>
      <c r="D620" s="8"/>
      <c r="E620" s="9"/>
      <c r="F620" s="9"/>
      <c r="G620" s="17"/>
      <c r="H620" s="17"/>
      <c r="I620" s="9"/>
      <c r="J620" s="9"/>
      <c r="K620" s="10">
        <v>0</v>
      </c>
      <c r="L620" s="10"/>
      <c r="M620" s="11"/>
      <c r="N620" s="12"/>
      <c r="O620" s="13"/>
      <c r="P620" s="14"/>
    </row>
    <row r="621" spans="1:16" x14ac:dyDescent="0.25">
      <c r="A621" s="6"/>
      <c r="B621" s="7"/>
      <c r="C621" s="8"/>
      <c r="D621" s="8"/>
      <c r="E621" s="9"/>
      <c r="F621" s="9"/>
      <c r="G621" s="17"/>
      <c r="H621" s="17"/>
      <c r="I621" s="9"/>
      <c r="J621" s="9"/>
      <c r="K621" s="10">
        <v>0</v>
      </c>
      <c r="L621" s="10"/>
      <c r="M621" s="11"/>
      <c r="N621" s="12"/>
      <c r="O621" s="13"/>
      <c r="P621" s="14"/>
    </row>
    <row r="622" spans="1:16" x14ac:dyDescent="0.25">
      <c r="A622" s="6"/>
      <c r="B622" s="7"/>
      <c r="C622" s="8"/>
      <c r="D622" s="8"/>
      <c r="E622" s="9"/>
      <c r="F622" s="9"/>
      <c r="G622" s="17"/>
      <c r="H622" s="17"/>
      <c r="I622" s="9"/>
      <c r="J622" s="9"/>
      <c r="K622" s="10">
        <v>0</v>
      </c>
      <c r="L622" s="10"/>
      <c r="M622" s="11"/>
      <c r="N622" s="12"/>
      <c r="O622" s="13"/>
      <c r="P622" s="14"/>
    </row>
    <row r="623" spans="1:16" x14ac:dyDescent="0.25">
      <c r="A623" s="6"/>
      <c r="B623" s="7"/>
      <c r="C623" s="8"/>
      <c r="D623" s="8"/>
      <c r="E623" s="9"/>
      <c r="F623" s="9"/>
      <c r="G623" s="17"/>
      <c r="H623" s="17"/>
      <c r="I623" s="9"/>
      <c r="J623" s="9"/>
      <c r="K623" s="10">
        <v>0</v>
      </c>
      <c r="L623" s="10"/>
      <c r="M623" s="11"/>
      <c r="N623" s="12"/>
      <c r="O623" s="13"/>
      <c r="P623" s="14"/>
    </row>
    <row r="624" spans="1:16" x14ac:dyDescent="0.25">
      <c r="A624" s="6"/>
      <c r="B624" s="7"/>
      <c r="C624" s="8"/>
      <c r="D624" s="8"/>
      <c r="E624" s="9"/>
      <c r="F624" s="9"/>
      <c r="G624" s="17"/>
      <c r="H624" s="17"/>
      <c r="I624" s="9"/>
      <c r="J624" s="9"/>
      <c r="K624" s="10">
        <v>0</v>
      </c>
      <c r="L624" s="10"/>
      <c r="M624" s="11"/>
      <c r="N624" s="12"/>
      <c r="O624" s="13"/>
      <c r="P624" s="14"/>
    </row>
    <row r="625" spans="1:17" x14ac:dyDescent="0.25">
      <c r="A625" s="6"/>
      <c r="B625" s="7"/>
      <c r="C625" s="8"/>
      <c r="D625" s="8"/>
      <c r="E625" s="9"/>
      <c r="F625" s="9"/>
      <c r="G625" s="17"/>
      <c r="H625" s="17"/>
      <c r="I625" s="9"/>
      <c r="J625" s="9"/>
      <c r="K625" s="10">
        <v>0</v>
      </c>
      <c r="L625" s="10"/>
      <c r="M625" s="11"/>
      <c r="N625" s="12"/>
      <c r="O625" s="13"/>
      <c r="P625" s="14"/>
    </row>
    <row r="626" spans="1:17" x14ac:dyDescent="0.25">
      <c r="A626" s="6"/>
      <c r="B626" s="7"/>
      <c r="C626" s="8"/>
      <c r="D626" s="8"/>
      <c r="E626" s="9"/>
      <c r="F626" s="9"/>
      <c r="G626" s="17"/>
      <c r="H626" s="17"/>
      <c r="I626" s="9"/>
      <c r="J626" s="9"/>
      <c r="K626" s="10">
        <v>0</v>
      </c>
      <c r="L626" s="10"/>
      <c r="M626" s="11"/>
      <c r="N626" s="12"/>
      <c r="O626" s="13"/>
      <c r="P626" s="14"/>
    </row>
    <row r="627" spans="1:17" x14ac:dyDescent="0.25">
      <c r="A627" s="6"/>
      <c r="B627" s="7"/>
      <c r="C627" s="8"/>
      <c r="D627" s="8"/>
      <c r="E627" s="9"/>
      <c r="F627" s="9"/>
      <c r="G627" s="17"/>
      <c r="H627" s="17"/>
      <c r="I627" s="9"/>
      <c r="J627" s="9"/>
      <c r="K627" s="10">
        <v>0</v>
      </c>
      <c r="L627" s="10"/>
      <c r="M627" s="11"/>
      <c r="N627" s="12"/>
      <c r="O627" s="13"/>
      <c r="P627" s="14"/>
      <c r="Q627" s="2"/>
    </row>
    <row r="628" spans="1:17" x14ac:dyDescent="0.25">
      <c r="A628" s="6"/>
      <c r="B628" s="7"/>
      <c r="C628" s="8"/>
      <c r="D628" s="8"/>
      <c r="E628" s="9"/>
      <c r="F628" s="9"/>
      <c r="G628" s="17"/>
      <c r="H628" s="17"/>
      <c r="I628" s="9"/>
      <c r="J628" s="9"/>
      <c r="K628" s="10">
        <v>0</v>
      </c>
      <c r="L628" s="10"/>
      <c r="M628" s="11"/>
      <c r="N628" s="12"/>
      <c r="O628" s="13"/>
      <c r="P628" s="14"/>
    </row>
    <row r="629" spans="1:17" x14ac:dyDescent="0.25">
      <c r="A629" s="6"/>
      <c r="B629" s="7"/>
      <c r="C629" s="8"/>
      <c r="D629" s="8"/>
      <c r="E629" s="9"/>
      <c r="F629" s="9"/>
      <c r="G629" s="17"/>
      <c r="H629" s="17"/>
      <c r="I629" s="9"/>
      <c r="J629" s="9"/>
      <c r="K629" s="10">
        <v>0</v>
      </c>
      <c r="L629" s="10"/>
      <c r="M629" s="11"/>
      <c r="N629" s="12"/>
      <c r="O629" s="13"/>
      <c r="P629" s="14"/>
    </row>
    <row r="630" spans="1:17" x14ac:dyDescent="0.25">
      <c r="A630" s="6"/>
      <c r="B630" s="7"/>
      <c r="C630" s="8"/>
      <c r="D630" s="8"/>
      <c r="E630" s="9"/>
      <c r="F630" s="9"/>
      <c r="G630" s="17"/>
      <c r="H630" s="17"/>
      <c r="I630" s="9"/>
      <c r="J630" s="9"/>
      <c r="K630" s="10">
        <v>0</v>
      </c>
      <c r="L630" s="10"/>
      <c r="M630" s="11"/>
      <c r="N630" s="12"/>
      <c r="O630" s="13"/>
      <c r="P630" s="14"/>
    </row>
    <row r="631" spans="1:17" x14ac:dyDescent="0.25">
      <c r="A631" s="6"/>
      <c r="B631" s="7"/>
      <c r="C631" s="8"/>
      <c r="D631" s="8"/>
      <c r="E631" s="9"/>
      <c r="F631" s="9"/>
      <c r="G631" s="17"/>
      <c r="H631" s="17"/>
      <c r="I631" s="9"/>
      <c r="J631" s="9"/>
      <c r="K631" s="10">
        <v>0</v>
      </c>
      <c r="L631" s="10"/>
      <c r="M631" s="11"/>
      <c r="N631" s="12"/>
      <c r="O631" s="13"/>
      <c r="P631" s="14"/>
    </row>
    <row r="632" spans="1:17" x14ac:dyDescent="0.25">
      <c r="A632" s="29"/>
      <c r="B632" s="30"/>
      <c r="C632" s="31"/>
      <c r="D632" s="31"/>
      <c r="E632" s="32"/>
      <c r="F632" s="32"/>
      <c r="G632" s="33"/>
      <c r="H632" s="33"/>
      <c r="I632" s="32"/>
      <c r="J632" s="32"/>
      <c r="K632" s="10">
        <v>0</v>
      </c>
      <c r="L632" s="34"/>
      <c r="M632" s="35"/>
      <c r="N632" s="36"/>
      <c r="O632" s="37"/>
      <c r="P632" s="38"/>
      <c r="Q632" s="39"/>
    </row>
    <row r="633" spans="1:17" x14ac:dyDescent="0.25">
      <c r="A633" s="6"/>
      <c r="B633" s="7"/>
      <c r="C633" s="8"/>
      <c r="D633" s="8"/>
      <c r="E633" s="9"/>
      <c r="F633" s="9"/>
      <c r="G633" s="17"/>
      <c r="H633" s="17"/>
      <c r="I633" s="9"/>
      <c r="J633" s="9"/>
      <c r="K633" s="10">
        <v>0</v>
      </c>
      <c r="L633" s="10"/>
      <c r="M633" s="11"/>
      <c r="N633" s="12"/>
      <c r="O633" s="13"/>
      <c r="P633" s="14"/>
    </row>
    <row r="634" spans="1:17" x14ac:dyDescent="0.25">
      <c r="A634" s="6"/>
      <c r="B634" s="7"/>
      <c r="C634" s="8"/>
      <c r="D634" s="8"/>
      <c r="E634" s="9"/>
      <c r="F634" s="9"/>
      <c r="G634" s="17"/>
      <c r="H634" s="17"/>
      <c r="I634" s="9"/>
      <c r="J634" s="9"/>
      <c r="K634" s="10">
        <v>0</v>
      </c>
      <c r="L634" s="10"/>
      <c r="M634" s="11"/>
      <c r="N634" s="12"/>
      <c r="O634" s="13"/>
      <c r="P634" s="14"/>
    </row>
    <row r="635" spans="1:17" x14ac:dyDescent="0.25">
      <c r="A635" s="6"/>
      <c r="B635" s="7"/>
      <c r="C635" s="8"/>
      <c r="D635" s="8"/>
      <c r="E635" s="9"/>
      <c r="F635" s="9"/>
      <c r="G635" s="17"/>
      <c r="H635" s="17"/>
      <c r="I635" s="9"/>
      <c r="J635" s="9"/>
      <c r="K635" s="10">
        <v>0</v>
      </c>
      <c r="L635" s="10"/>
      <c r="M635" s="11"/>
      <c r="N635" s="12"/>
      <c r="O635" s="13"/>
      <c r="P635" s="14"/>
    </row>
    <row r="636" spans="1:17" x14ac:dyDescent="0.25">
      <c r="A636" s="6"/>
      <c r="B636" s="7"/>
      <c r="C636" s="8"/>
      <c r="D636" s="8"/>
      <c r="E636" s="9"/>
      <c r="F636" s="9"/>
      <c r="G636" s="17"/>
      <c r="H636" s="17"/>
      <c r="I636" s="9"/>
      <c r="J636" s="9"/>
      <c r="K636" s="10">
        <v>0</v>
      </c>
      <c r="L636" s="10"/>
      <c r="M636" s="11"/>
      <c r="N636" s="12"/>
      <c r="O636" s="13"/>
      <c r="P636" s="14"/>
    </row>
    <row r="637" spans="1:17" x14ac:dyDescent="0.25">
      <c r="A637" s="6"/>
      <c r="B637" s="7"/>
      <c r="C637" s="8"/>
      <c r="D637" s="8"/>
      <c r="E637" s="9"/>
      <c r="F637" s="9"/>
      <c r="G637" s="17"/>
      <c r="H637" s="17"/>
      <c r="I637" s="9"/>
      <c r="J637" s="9"/>
      <c r="K637" s="10">
        <v>0</v>
      </c>
      <c r="L637" s="10"/>
      <c r="M637" s="11"/>
      <c r="N637" s="12"/>
      <c r="O637" s="13"/>
      <c r="P637" s="14"/>
    </row>
    <row r="638" spans="1:17" x14ac:dyDescent="0.25">
      <c r="A638" s="6"/>
      <c r="B638" s="7"/>
      <c r="C638" s="8"/>
      <c r="D638" s="8"/>
      <c r="E638" s="9"/>
      <c r="F638" s="9"/>
      <c r="G638" s="17"/>
      <c r="H638" s="17"/>
      <c r="I638" s="9"/>
      <c r="J638" s="9"/>
      <c r="K638" s="10">
        <v>0</v>
      </c>
      <c r="L638" s="10"/>
      <c r="M638" s="11"/>
      <c r="N638" s="12"/>
      <c r="O638" s="13"/>
      <c r="P638" s="14"/>
    </row>
    <row r="639" spans="1:17" x14ac:dyDescent="0.25">
      <c r="A639" s="6"/>
      <c r="B639" s="7"/>
      <c r="C639" s="8"/>
      <c r="D639" s="8"/>
      <c r="E639" s="9"/>
      <c r="F639" s="9"/>
      <c r="G639" s="17"/>
      <c r="H639" s="17"/>
      <c r="I639" s="9"/>
      <c r="J639" s="9"/>
      <c r="K639" s="10">
        <v>0</v>
      </c>
      <c r="L639" s="10"/>
      <c r="M639" s="11"/>
      <c r="N639" s="12"/>
      <c r="O639" s="13"/>
      <c r="P639" s="14"/>
    </row>
    <row r="640" spans="1:17" x14ac:dyDescent="0.25">
      <c r="A640" s="6"/>
      <c r="B640" s="7"/>
      <c r="C640" s="8"/>
      <c r="D640" s="8"/>
      <c r="E640" s="9"/>
      <c r="F640" s="9"/>
      <c r="G640" s="17"/>
      <c r="H640" s="17"/>
      <c r="I640" s="9"/>
      <c r="J640" s="9"/>
      <c r="K640" s="10">
        <v>0</v>
      </c>
      <c r="L640" s="10"/>
      <c r="M640" s="11"/>
      <c r="N640" s="12"/>
      <c r="O640" s="13"/>
      <c r="P640" s="14"/>
    </row>
    <row r="641" spans="1:16" x14ac:dyDescent="0.25">
      <c r="A641" s="6"/>
      <c r="B641" s="7"/>
      <c r="C641" s="8"/>
      <c r="D641" s="8"/>
      <c r="E641" s="9"/>
      <c r="F641" s="9"/>
      <c r="G641" s="17"/>
      <c r="H641" s="17"/>
      <c r="I641" s="9"/>
      <c r="J641" s="9"/>
      <c r="K641" s="10">
        <v>0</v>
      </c>
      <c r="L641" s="10"/>
      <c r="M641" s="11"/>
      <c r="N641" s="12"/>
      <c r="O641" s="13"/>
      <c r="P641" s="14"/>
    </row>
    <row r="642" spans="1:16" x14ac:dyDescent="0.25">
      <c r="A642" s="6"/>
      <c r="B642" s="7"/>
      <c r="C642" s="8"/>
      <c r="D642" s="8"/>
      <c r="E642" s="9"/>
      <c r="F642" s="9"/>
      <c r="G642" s="17"/>
      <c r="H642" s="17"/>
      <c r="I642" s="9"/>
      <c r="J642" s="9"/>
      <c r="K642" s="10">
        <v>0</v>
      </c>
      <c r="L642" s="10"/>
      <c r="M642" s="11"/>
      <c r="N642" s="12"/>
      <c r="O642" s="13"/>
      <c r="P642" s="14"/>
    </row>
    <row r="643" spans="1:16" x14ac:dyDescent="0.25">
      <c r="A643" s="6"/>
      <c r="B643" s="7"/>
      <c r="C643" s="8"/>
      <c r="D643" s="8"/>
      <c r="E643" s="9"/>
      <c r="F643" s="9"/>
      <c r="G643" s="17"/>
      <c r="H643" s="17"/>
      <c r="I643" s="9"/>
      <c r="J643" s="9"/>
      <c r="K643" s="10">
        <v>0</v>
      </c>
      <c r="L643" s="10"/>
      <c r="M643" s="11"/>
      <c r="N643" s="12"/>
      <c r="O643" s="13"/>
      <c r="P643" s="14"/>
    </row>
    <row r="644" spans="1:16" x14ac:dyDescent="0.25">
      <c r="A644" s="6"/>
      <c r="B644" s="7"/>
      <c r="C644" s="8"/>
      <c r="D644" s="8"/>
      <c r="E644" s="9"/>
      <c r="F644" s="9"/>
      <c r="G644" s="17"/>
      <c r="H644" s="17"/>
      <c r="I644" s="9"/>
      <c r="J644" s="9"/>
      <c r="K644" s="10">
        <v>0</v>
      </c>
      <c r="L644" s="10"/>
      <c r="M644" s="11"/>
      <c r="N644" s="12"/>
      <c r="O644" s="13"/>
      <c r="P644" s="14"/>
    </row>
    <row r="645" spans="1:16" x14ac:dyDescent="0.25">
      <c r="A645" s="6"/>
      <c r="B645" s="7"/>
      <c r="C645" s="8"/>
      <c r="D645" s="8"/>
      <c r="E645" s="9"/>
      <c r="F645" s="9"/>
      <c r="G645" s="17"/>
      <c r="H645" s="17"/>
      <c r="I645" s="9"/>
      <c r="J645" s="9"/>
      <c r="K645" s="10">
        <v>0</v>
      </c>
      <c r="L645" s="10"/>
      <c r="M645" s="11"/>
      <c r="N645" s="12"/>
      <c r="O645" s="13"/>
      <c r="P645" s="14"/>
    </row>
    <row r="646" spans="1:16" x14ac:dyDescent="0.25">
      <c r="A646" s="6"/>
      <c r="B646" s="15"/>
      <c r="C646" s="8"/>
      <c r="D646" s="8"/>
      <c r="E646" s="9"/>
      <c r="F646" s="9"/>
      <c r="G646" s="17"/>
      <c r="H646" s="17"/>
      <c r="I646" s="9"/>
      <c r="J646" s="9"/>
      <c r="K646" s="10">
        <v>0</v>
      </c>
      <c r="L646" s="10"/>
      <c r="M646" s="11"/>
      <c r="N646" s="12"/>
      <c r="O646" s="13"/>
      <c r="P646" s="14"/>
    </row>
    <row r="647" spans="1:16" x14ac:dyDescent="0.25">
      <c r="A647" s="6"/>
      <c r="B647" s="7"/>
      <c r="C647" s="8"/>
      <c r="D647" s="8"/>
      <c r="E647" s="9"/>
      <c r="F647" s="9"/>
      <c r="G647" s="17"/>
      <c r="H647" s="17"/>
      <c r="I647" s="9"/>
      <c r="J647" s="9"/>
      <c r="K647" s="10">
        <v>0</v>
      </c>
      <c r="L647" s="10"/>
      <c r="M647" s="11"/>
      <c r="N647" s="12"/>
      <c r="O647" s="13"/>
      <c r="P647" s="14"/>
    </row>
    <row r="648" spans="1:16" x14ac:dyDescent="0.25">
      <c r="A648" s="6"/>
      <c r="B648" s="7"/>
      <c r="C648" s="8"/>
      <c r="D648" s="8"/>
      <c r="E648" s="9"/>
      <c r="F648" s="9"/>
      <c r="G648" s="17"/>
      <c r="H648" s="17"/>
      <c r="I648" s="9"/>
      <c r="J648" s="9"/>
      <c r="K648" s="10">
        <v>0</v>
      </c>
      <c r="L648" s="10"/>
      <c r="M648" s="11"/>
      <c r="N648" s="12"/>
      <c r="O648" s="13"/>
      <c r="P648" s="14"/>
    </row>
    <row r="649" spans="1:16" x14ac:dyDescent="0.25">
      <c r="A649" s="6"/>
      <c r="B649" s="7"/>
      <c r="C649" s="8"/>
      <c r="D649" s="8"/>
      <c r="E649" s="9"/>
      <c r="F649" s="9"/>
      <c r="G649" s="17"/>
      <c r="H649" s="17"/>
      <c r="I649" s="9"/>
      <c r="J649" s="9"/>
      <c r="K649" s="10">
        <v>0</v>
      </c>
      <c r="L649" s="10"/>
      <c r="M649" s="11"/>
      <c r="N649" s="12"/>
      <c r="O649" s="13"/>
      <c r="P649" s="14"/>
    </row>
    <row r="650" spans="1:16" x14ac:dyDescent="0.25">
      <c r="A650" s="6"/>
      <c r="B650" s="7"/>
      <c r="C650" s="8"/>
      <c r="D650" s="8"/>
      <c r="E650" s="9"/>
      <c r="F650" s="9"/>
      <c r="G650" s="17"/>
      <c r="H650" s="17"/>
      <c r="I650" s="9"/>
      <c r="J650" s="9"/>
      <c r="K650" s="10">
        <v>0</v>
      </c>
      <c r="L650" s="10"/>
      <c r="M650" s="11"/>
      <c r="N650" s="12"/>
      <c r="O650" s="13"/>
      <c r="P650" s="14"/>
    </row>
    <row r="651" spans="1:16" x14ac:dyDescent="0.25">
      <c r="A651" s="6"/>
      <c r="B651" s="7"/>
      <c r="C651" s="8"/>
      <c r="D651" s="8"/>
      <c r="E651" s="9"/>
      <c r="F651" s="9"/>
      <c r="G651" s="17"/>
      <c r="H651" s="17"/>
      <c r="I651" s="9"/>
      <c r="J651" s="9"/>
      <c r="K651" s="10">
        <v>0</v>
      </c>
      <c r="L651" s="10"/>
      <c r="M651" s="11"/>
      <c r="N651" s="12"/>
      <c r="O651" s="13"/>
      <c r="P651" s="14"/>
    </row>
    <row r="652" spans="1:16" x14ac:dyDescent="0.25">
      <c r="A652" s="6"/>
      <c r="B652" s="7"/>
      <c r="C652" s="8"/>
      <c r="D652" s="8"/>
      <c r="E652" s="9"/>
      <c r="F652" s="9"/>
      <c r="G652" s="17"/>
      <c r="H652" s="17"/>
      <c r="I652" s="9"/>
      <c r="J652" s="9"/>
      <c r="K652" s="10">
        <v>0</v>
      </c>
      <c r="L652" s="10"/>
      <c r="M652" s="11"/>
      <c r="N652" s="12"/>
      <c r="O652" s="13"/>
      <c r="P652" s="14"/>
    </row>
    <row r="653" spans="1:16" x14ac:dyDescent="0.25">
      <c r="A653" s="6"/>
      <c r="B653" s="7"/>
      <c r="C653" s="8"/>
      <c r="D653" s="8"/>
      <c r="E653" s="9"/>
      <c r="F653" s="9"/>
      <c r="G653" s="17"/>
      <c r="H653" s="17"/>
      <c r="I653" s="9"/>
      <c r="J653" s="9"/>
      <c r="K653" s="10">
        <v>0</v>
      </c>
      <c r="L653" s="10"/>
      <c r="M653" s="11"/>
      <c r="N653" s="12"/>
      <c r="O653" s="13"/>
      <c r="P653" s="14"/>
    </row>
    <row r="654" spans="1:16" x14ac:dyDescent="0.25">
      <c r="A654" s="6"/>
      <c r="B654" s="7"/>
      <c r="C654" s="8"/>
      <c r="D654" s="8"/>
      <c r="E654" s="9"/>
      <c r="F654" s="9"/>
      <c r="G654" s="17"/>
      <c r="H654" s="17"/>
      <c r="I654" s="9"/>
      <c r="J654" s="9"/>
      <c r="K654" s="10">
        <v>0</v>
      </c>
      <c r="L654" s="10"/>
      <c r="M654" s="11"/>
      <c r="N654" s="12"/>
      <c r="O654" s="13"/>
      <c r="P654" s="14"/>
    </row>
    <row r="655" spans="1:16" x14ac:dyDescent="0.25">
      <c r="A655" s="7"/>
      <c r="B655" s="7"/>
      <c r="C655" s="8"/>
      <c r="D655" s="8"/>
      <c r="E655" s="9"/>
      <c r="F655" s="9"/>
      <c r="G655" s="17"/>
      <c r="H655" s="17"/>
      <c r="I655" s="9"/>
      <c r="J655" s="9"/>
      <c r="K655" s="10">
        <v>0</v>
      </c>
      <c r="L655" s="10"/>
      <c r="M655" s="11"/>
      <c r="N655" s="12"/>
      <c r="O655" s="13"/>
      <c r="P655" s="14"/>
    </row>
    <row r="656" spans="1:16" x14ac:dyDescent="0.25">
      <c r="A656" s="7"/>
      <c r="B656" s="7"/>
      <c r="C656" s="8"/>
      <c r="D656" s="8"/>
      <c r="E656" s="9"/>
      <c r="F656" s="9"/>
      <c r="G656" s="17"/>
      <c r="H656" s="17"/>
      <c r="I656" s="9"/>
      <c r="J656" s="9"/>
      <c r="K656" s="10">
        <v>0</v>
      </c>
      <c r="L656" s="10"/>
      <c r="M656" s="11"/>
      <c r="N656" s="12"/>
      <c r="O656" s="13"/>
      <c r="P656" s="14"/>
    </row>
    <row r="657" spans="1:37" x14ac:dyDescent="0.25">
      <c r="A657" s="7"/>
      <c r="B657" s="7"/>
      <c r="C657" s="8"/>
      <c r="D657" s="8"/>
      <c r="E657" s="9"/>
      <c r="F657" s="9"/>
      <c r="G657" s="17"/>
      <c r="H657" s="17"/>
      <c r="I657" s="9"/>
      <c r="J657" s="9"/>
      <c r="K657" s="10">
        <v>0</v>
      </c>
      <c r="L657" s="10"/>
      <c r="M657" s="11"/>
      <c r="N657" s="12"/>
      <c r="O657" s="13"/>
      <c r="P657" s="14"/>
    </row>
    <row r="658" spans="1:37" x14ac:dyDescent="0.25">
      <c r="A658" s="7"/>
      <c r="B658" s="7"/>
      <c r="C658" s="8"/>
      <c r="D658" s="8"/>
      <c r="E658" s="9"/>
      <c r="F658" s="9"/>
      <c r="G658" s="17"/>
      <c r="H658" s="17"/>
      <c r="I658" s="9"/>
      <c r="J658" s="9"/>
      <c r="K658" s="10">
        <v>0</v>
      </c>
      <c r="L658" s="10"/>
      <c r="M658" s="11"/>
      <c r="N658" s="12"/>
      <c r="O658" s="13"/>
      <c r="P658" s="14"/>
    </row>
    <row r="659" spans="1:37" x14ac:dyDescent="0.25">
      <c r="A659" s="7"/>
      <c r="B659" s="7"/>
      <c r="C659" s="8"/>
      <c r="D659" s="8"/>
      <c r="E659" s="9"/>
      <c r="F659" s="9"/>
      <c r="G659" s="17"/>
      <c r="H659" s="17"/>
      <c r="I659" s="9"/>
      <c r="J659" s="9"/>
      <c r="K659" s="10">
        <v>0</v>
      </c>
      <c r="L659" s="10"/>
      <c r="M659" s="11"/>
      <c r="N659" s="12"/>
      <c r="O659" s="13"/>
      <c r="P659" s="14"/>
    </row>
    <row r="660" spans="1:37" x14ac:dyDescent="0.25">
      <c r="A660" s="7"/>
      <c r="B660" s="7"/>
      <c r="C660" s="8"/>
      <c r="D660" s="8"/>
      <c r="E660" s="9"/>
      <c r="F660" s="9"/>
      <c r="G660" s="17"/>
      <c r="H660" s="17"/>
      <c r="I660" s="9"/>
      <c r="J660" s="9"/>
      <c r="K660" s="10">
        <v>0</v>
      </c>
      <c r="L660" s="10"/>
      <c r="M660" s="11"/>
      <c r="N660" s="12"/>
      <c r="O660" s="13"/>
      <c r="P660" s="14"/>
    </row>
    <row r="661" spans="1:37" x14ac:dyDescent="0.25">
      <c r="A661" s="7"/>
      <c r="B661" s="7"/>
      <c r="C661" s="8"/>
      <c r="D661" s="8"/>
      <c r="E661" s="9"/>
      <c r="F661" s="9"/>
      <c r="G661" s="17"/>
      <c r="H661" s="17"/>
      <c r="I661" s="9"/>
      <c r="J661" s="9"/>
      <c r="K661" s="10">
        <v>0</v>
      </c>
      <c r="L661" s="10"/>
      <c r="M661" s="11"/>
      <c r="N661" s="12"/>
      <c r="O661" s="13"/>
      <c r="P661" s="14"/>
    </row>
    <row r="662" spans="1:37" x14ac:dyDescent="0.25">
      <c r="A662" s="6"/>
      <c r="B662" s="7"/>
      <c r="C662" s="8"/>
      <c r="D662" s="8"/>
      <c r="E662" s="9"/>
      <c r="F662" s="9"/>
      <c r="G662" s="17"/>
      <c r="H662" s="17"/>
      <c r="I662" s="9"/>
      <c r="J662" s="9"/>
      <c r="K662" s="10">
        <v>0</v>
      </c>
      <c r="L662" s="10"/>
      <c r="M662" s="11"/>
      <c r="N662" s="12"/>
      <c r="O662" s="13"/>
      <c r="P662" s="14"/>
    </row>
    <row r="663" spans="1:37" x14ac:dyDescent="0.25">
      <c r="A663" s="6"/>
      <c r="B663" s="7"/>
      <c r="C663" s="8"/>
      <c r="D663" s="8"/>
      <c r="E663" s="9"/>
      <c r="F663" s="9"/>
      <c r="G663" s="17"/>
      <c r="H663" s="17"/>
      <c r="I663" s="9"/>
      <c r="J663" s="9"/>
      <c r="K663" s="10">
        <v>0</v>
      </c>
      <c r="L663" s="10"/>
      <c r="M663" s="11"/>
      <c r="N663" s="12"/>
      <c r="O663" s="13"/>
      <c r="P663" s="14"/>
    </row>
    <row r="664" spans="1:37" x14ac:dyDescent="0.25">
      <c r="A664" s="6"/>
      <c r="B664" s="7"/>
      <c r="C664" s="8"/>
      <c r="D664" s="8"/>
      <c r="E664" s="9"/>
      <c r="F664" s="9"/>
      <c r="G664" s="17"/>
      <c r="H664" s="17"/>
      <c r="I664" s="9"/>
      <c r="J664" s="9"/>
      <c r="K664" s="10">
        <v>0</v>
      </c>
      <c r="L664" s="10"/>
      <c r="M664" s="11"/>
      <c r="N664" s="12"/>
      <c r="O664" s="13"/>
      <c r="P664" s="14"/>
    </row>
    <row r="665" spans="1:37" x14ac:dyDescent="0.25">
      <c r="A665" s="6"/>
      <c r="B665" s="15"/>
      <c r="C665" s="8"/>
      <c r="D665" s="8"/>
      <c r="E665" s="9"/>
      <c r="F665" s="9"/>
      <c r="G665" s="17"/>
      <c r="H665" s="17"/>
      <c r="I665" s="9"/>
      <c r="J665" s="9"/>
      <c r="K665" s="10">
        <v>0</v>
      </c>
      <c r="L665" s="10"/>
      <c r="M665" s="11"/>
      <c r="N665" s="12"/>
      <c r="O665" s="13"/>
      <c r="P665" s="14"/>
      <c r="AG665" s="25"/>
      <c r="AH665" s="25"/>
      <c r="AI665" s="25"/>
      <c r="AJ665" s="25"/>
      <c r="AK665" s="25"/>
    </row>
    <row r="666" spans="1:37" x14ac:dyDescent="0.25">
      <c r="A666" s="6"/>
      <c r="B666" s="7"/>
      <c r="C666" s="8"/>
      <c r="D666" s="8"/>
      <c r="E666" s="9"/>
      <c r="F666" s="9"/>
      <c r="G666" s="17"/>
      <c r="H666" s="17"/>
      <c r="I666" s="9"/>
      <c r="J666" s="9"/>
      <c r="K666" s="10">
        <v>0</v>
      </c>
      <c r="L666" s="10"/>
      <c r="M666" s="11"/>
      <c r="N666" s="12"/>
      <c r="O666" s="13"/>
      <c r="P666" s="14"/>
    </row>
    <row r="667" spans="1:37" x14ac:dyDescent="0.25">
      <c r="A667" s="6"/>
      <c r="B667" s="7"/>
      <c r="C667" s="8"/>
      <c r="D667" s="8"/>
      <c r="E667" s="9"/>
      <c r="F667" s="9"/>
      <c r="G667" s="17"/>
      <c r="H667" s="17"/>
      <c r="I667" s="9"/>
      <c r="J667" s="9"/>
      <c r="K667" s="10">
        <v>0</v>
      </c>
      <c r="L667" s="10"/>
      <c r="M667" s="11"/>
      <c r="N667" s="12"/>
      <c r="O667" s="13"/>
      <c r="P667" s="14"/>
    </row>
    <row r="668" spans="1:37" x14ac:dyDescent="0.25">
      <c r="A668" s="6"/>
      <c r="B668" s="7"/>
      <c r="C668" s="8"/>
      <c r="D668" s="8"/>
      <c r="E668" s="9"/>
      <c r="F668" s="9"/>
      <c r="G668" s="17"/>
      <c r="H668" s="17"/>
      <c r="I668" s="9"/>
      <c r="J668" s="9"/>
      <c r="K668" s="10">
        <v>0</v>
      </c>
      <c r="L668" s="10"/>
      <c r="M668" s="11"/>
      <c r="N668" s="12"/>
      <c r="O668" s="13"/>
      <c r="P668" s="14"/>
    </row>
    <row r="669" spans="1:37" x14ac:dyDescent="0.25">
      <c r="A669" s="6"/>
      <c r="B669" s="7"/>
      <c r="C669" s="8"/>
      <c r="D669" s="8"/>
      <c r="E669" s="9"/>
      <c r="F669" s="9"/>
      <c r="G669" s="17"/>
      <c r="H669" s="17"/>
      <c r="I669" s="9"/>
      <c r="J669" s="9"/>
      <c r="K669" s="10">
        <v>0</v>
      </c>
      <c r="L669" s="10"/>
      <c r="M669" s="11"/>
      <c r="N669" s="12"/>
      <c r="O669" s="13"/>
      <c r="P669" s="14"/>
    </row>
    <row r="670" spans="1:37" x14ac:dyDescent="0.25">
      <c r="A670" s="6"/>
      <c r="B670" s="7"/>
      <c r="C670" s="8"/>
      <c r="D670" s="8"/>
      <c r="E670" s="9"/>
      <c r="F670" s="9"/>
      <c r="G670" s="17"/>
      <c r="H670" s="17"/>
      <c r="I670" s="9"/>
      <c r="J670" s="9"/>
      <c r="K670" s="10">
        <v>0</v>
      </c>
      <c r="L670" s="10"/>
      <c r="M670" s="11"/>
      <c r="N670" s="12"/>
      <c r="O670" s="13"/>
      <c r="P670" s="14"/>
    </row>
    <row r="671" spans="1:37" x14ac:dyDescent="0.25">
      <c r="A671" s="6"/>
      <c r="B671" s="7"/>
      <c r="C671" s="8"/>
      <c r="D671" s="8"/>
      <c r="E671" s="9"/>
      <c r="F671" s="9"/>
      <c r="G671" s="17"/>
      <c r="H671" s="17"/>
      <c r="I671" s="9"/>
      <c r="J671" s="9"/>
      <c r="K671" s="10">
        <v>0</v>
      </c>
      <c r="L671" s="10"/>
      <c r="M671" s="11"/>
      <c r="N671" s="12"/>
      <c r="O671" s="13"/>
      <c r="P671" s="14"/>
    </row>
    <row r="672" spans="1:37" x14ac:dyDescent="0.25">
      <c r="A672" s="6"/>
      <c r="B672" s="7"/>
      <c r="C672" s="8"/>
      <c r="D672" s="8"/>
      <c r="E672" s="9"/>
      <c r="F672" s="9"/>
      <c r="G672" s="17"/>
      <c r="H672" s="17"/>
      <c r="I672" s="9"/>
      <c r="J672" s="9"/>
      <c r="K672" s="10">
        <v>0</v>
      </c>
      <c r="L672" s="10"/>
      <c r="M672" s="11"/>
      <c r="N672" s="12"/>
      <c r="O672" s="13"/>
      <c r="P672" s="14"/>
    </row>
    <row r="673" spans="1:16" x14ac:dyDescent="0.25">
      <c r="A673" s="6"/>
      <c r="B673" s="7"/>
      <c r="C673" s="8"/>
      <c r="D673" s="8"/>
      <c r="E673" s="9"/>
      <c r="F673" s="9"/>
      <c r="G673" s="17"/>
      <c r="H673" s="17"/>
      <c r="I673" s="9"/>
      <c r="J673" s="9"/>
      <c r="K673" s="10">
        <v>0</v>
      </c>
      <c r="L673" s="10"/>
      <c r="M673" s="11"/>
      <c r="N673" s="12"/>
      <c r="O673" s="13"/>
      <c r="P673" s="14"/>
    </row>
    <row r="674" spans="1:16" x14ac:dyDescent="0.25">
      <c r="A674" s="6"/>
      <c r="B674" s="7"/>
      <c r="C674" s="8"/>
      <c r="D674" s="8"/>
      <c r="E674" s="9"/>
      <c r="F674" s="9"/>
      <c r="G674" s="17"/>
      <c r="H674" s="17"/>
      <c r="I674" s="9"/>
      <c r="J674" s="9"/>
      <c r="K674" s="10">
        <v>0</v>
      </c>
      <c r="L674" s="10"/>
      <c r="M674" s="11"/>
      <c r="N674" s="12"/>
      <c r="O674" s="13"/>
      <c r="P674" s="14"/>
    </row>
    <row r="675" spans="1:16" x14ac:dyDescent="0.25">
      <c r="A675" s="6"/>
      <c r="B675" s="7"/>
      <c r="C675" s="8"/>
      <c r="D675" s="8"/>
      <c r="E675" s="9"/>
      <c r="F675" s="9"/>
      <c r="G675" s="17"/>
      <c r="H675" s="17"/>
      <c r="I675" s="9"/>
      <c r="J675" s="9"/>
      <c r="K675" s="10">
        <v>0</v>
      </c>
      <c r="L675" s="10"/>
      <c r="M675" s="11"/>
      <c r="N675" s="12"/>
      <c r="O675" s="13"/>
      <c r="P675" s="14"/>
    </row>
    <row r="676" spans="1:16" x14ac:dyDescent="0.25">
      <c r="A676" s="6"/>
      <c r="B676" s="7"/>
      <c r="C676" s="8"/>
      <c r="D676" s="8"/>
      <c r="E676" s="9"/>
      <c r="F676" s="9"/>
      <c r="G676" s="17"/>
      <c r="H676" s="17"/>
      <c r="I676" s="9"/>
      <c r="J676" s="9"/>
      <c r="K676" s="10">
        <v>0</v>
      </c>
      <c r="L676" s="10"/>
      <c r="M676" s="11"/>
      <c r="N676" s="12"/>
      <c r="O676" s="13"/>
      <c r="P676" s="14"/>
    </row>
    <row r="677" spans="1:16" x14ac:dyDescent="0.25">
      <c r="A677" s="7"/>
      <c r="B677" s="7"/>
      <c r="C677" s="8"/>
      <c r="D677" s="8"/>
      <c r="E677" s="9"/>
      <c r="F677" s="9"/>
      <c r="G677" s="17"/>
      <c r="H677" s="17"/>
      <c r="I677" s="9"/>
      <c r="J677" s="9"/>
      <c r="K677" s="10">
        <v>0</v>
      </c>
      <c r="L677" s="10"/>
      <c r="M677" s="11"/>
      <c r="N677" s="12"/>
      <c r="O677" s="13"/>
      <c r="P677" s="14"/>
    </row>
    <row r="678" spans="1:16" x14ac:dyDescent="0.25">
      <c r="A678" s="7"/>
      <c r="B678" s="15"/>
      <c r="C678" s="8"/>
      <c r="D678" s="8"/>
      <c r="E678" s="9"/>
      <c r="F678" s="9"/>
      <c r="G678" s="17"/>
      <c r="H678" s="17"/>
      <c r="I678" s="9"/>
      <c r="J678" s="9"/>
      <c r="K678" s="10">
        <v>0</v>
      </c>
      <c r="L678" s="10"/>
      <c r="M678" s="11"/>
      <c r="N678" s="12"/>
      <c r="O678" s="13"/>
      <c r="P678" s="14"/>
    </row>
    <row r="679" spans="1:16" x14ac:dyDescent="0.25">
      <c r="A679" s="7"/>
      <c r="B679" s="7"/>
      <c r="C679" s="8"/>
      <c r="D679" s="8"/>
      <c r="E679" s="9"/>
      <c r="F679" s="9"/>
      <c r="G679" s="17"/>
      <c r="H679" s="17"/>
      <c r="I679" s="9"/>
      <c r="J679" s="9"/>
      <c r="K679" s="10">
        <v>0</v>
      </c>
      <c r="L679" s="10"/>
      <c r="M679" s="11"/>
      <c r="N679" s="12"/>
      <c r="O679" s="13"/>
      <c r="P679" s="14"/>
    </row>
    <row r="680" spans="1:16" x14ac:dyDescent="0.25">
      <c r="A680" s="7"/>
      <c r="B680" s="7"/>
      <c r="C680" s="8"/>
      <c r="D680" s="8"/>
      <c r="E680" s="9"/>
      <c r="F680" s="9"/>
      <c r="G680" s="17"/>
      <c r="H680" s="17"/>
      <c r="I680" s="9"/>
      <c r="J680" s="9"/>
      <c r="K680" s="10">
        <v>0</v>
      </c>
      <c r="L680" s="10"/>
      <c r="M680" s="11"/>
      <c r="N680" s="12"/>
      <c r="O680" s="13"/>
      <c r="P680" s="14"/>
    </row>
    <row r="681" spans="1:16" x14ac:dyDescent="0.25">
      <c r="A681" s="7"/>
      <c r="B681" s="7"/>
      <c r="C681" s="8"/>
      <c r="D681" s="8"/>
      <c r="E681" s="9"/>
      <c r="F681" s="9"/>
      <c r="G681" s="17"/>
      <c r="H681" s="17"/>
      <c r="I681" s="9"/>
      <c r="J681" s="9"/>
      <c r="K681" s="10">
        <v>0</v>
      </c>
      <c r="L681" s="10"/>
      <c r="M681" s="11"/>
      <c r="N681" s="12"/>
      <c r="O681" s="13"/>
      <c r="P681" s="14"/>
    </row>
    <row r="682" spans="1:16" x14ac:dyDescent="0.25">
      <c r="A682" s="7"/>
      <c r="B682" s="7"/>
      <c r="C682" s="8"/>
      <c r="D682" s="8"/>
      <c r="E682" s="9"/>
      <c r="F682" s="9"/>
      <c r="G682" s="17"/>
      <c r="H682" s="17"/>
      <c r="I682" s="9"/>
      <c r="J682" s="9"/>
      <c r="K682" s="10">
        <v>0</v>
      </c>
      <c r="L682" s="10"/>
      <c r="M682" s="11"/>
      <c r="N682" s="12"/>
      <c r="O682" s="13"/>
      <c r="P682" s="14"/>
    </row>
    <row r="683" spans="1:16" x14ac:dyDescent="0.25">
      <c r="A683" s="7"/>
      <c r="B683" s="7"/>
      <c r="C683" s="8"/>
      <c r="D683" s="8"/>
      <c r="E683" s="9"/>
      <c r="F683" s="9"/>
      <c r="G683" s="17"/>
      <c r="H683" s="17"/>
      <c r="I683" s="9"/>
      <c r="J683" s="9"/>
      <c r="K683" s="10">
        <v>0</v>
      </c>
      <c r="L683" s="10"/>
      <c r="M683" s="11"/>
      <c r="N683" s="12"/>
      <c r="O683" s="13"/>
      <c r="P683" s="14"/>
    </row>
    <row r="684" spans="1:16" x14ac:dyDescent="0.25">
      <c r="A684" s="7"/>
      <c r="B684" s="7"/>
      <c r="C684" s="8"/>
      <c r="D684" s="8"/>
      <c r="E684" s="9"/>
      <c r="F684" s="9"/>
      <c r="G684" s="17"/>
      <c r="H684" s="17"/>
      <c r="I684" s="9"/>
      <c r="J684" s="9"/>
      <c r="K684" s="10">
        <v>0</v>
      </c>
      <c r="L684" s="10"/>
      <c r="M684" s="11"/>
      <c r="N684" s="12"/>
      <c r="O684" s="13"/>
      <c r="P684" s="14"/>
    </row>
    <row r="685" spans="1:16" x14ac:dyDescent="0.25">
      <c r="A685" s="7"/>
      <c r="B685" s="7"/>
      <c r="C685" s="8"/>
      <c r="D685" s="8"/>
      <c r="E685" s="9"/>
      <c r="F685" s="9"/>
      <c r="G685" s="17"/>
      <c r="H685" s="17"/>
      <c r="I685" s="9"/>
      <c r="J685" s="9"/>
      <c r="K685" s="10">
        <v>0</v>
      </c>
      <c r="L685" s="10"/>
      <c r="M685" s="11"/>
      <c r="N685" s="12"/>
      <c r="O685" s="13"/>
      <c r="P685" s="14"/>
    </row>
    <row r="686" spans="1:16" x14ac:dyDescent="0.25">
      <c r="A686" s="7"/>
      <c r="B686" s="7"/>
      <c r="C686" s="8"/>
      <c r="D686" s="8"/>
      <c r="E686" s="9"/>
      <c r="F686" s="9"/>
      <c r="G686" s="17"/>
      <c r="H686" s="17"/>
      <c r="I686" s="9"/>
      <c r="J686" s="9"/>
      <c r="K686" s="10">
        <v>0</v>
      </c>
      <c r="L686" s="10"/>
      <c r="M686" s="11"/>
      <c r="N686" s="12"/>
      <c r="O686" s="13"/>
      <c r="P686" s="14"/>
    </row>
    <row r="687" spans="1:16" x14ac:dyDescent="0.25">
      <c r="A687" s="7"/>
      <c r="B687" s="7"/>
      <c r="C687" s="8"/>
      <c r="D687" s="8"/>
      <c r="E687" s="9"/>
      <c r="F687" s="9"/>
      <c r="G687" s="17"/>
      <c r="H687" s="17"/>
      <c r="I687" s="9"/>
      <c r="J687" s="9"/>
      <c r="K687" s="10">
        <v>0</v>
      </c>
      <c r="L687" s="10"/>
      <c r="M687" s="11"/>
      <c r="N687" s="12"/>
      <c r="O687" s="13"/>
      <c r="P687" s="14"/>
    </row>
    <row r="688" spans="1:16" x14ac:dyDescent="0.25">
      <c r="A688" s="7"/>
      <c r="B688" s="7"/>
      <c r="C688" s="8"/>
      <c r="D688" s="8"/>
      <c r="E688" s="9"/>
      <c r="F688" s="9"/>
      <c r="G688" s="17"/>
      <c r="H688" s="17"/>
      <c r="I688" s="9"/>
      <c r="J688" s="9"/>
      <c r="K688" s="10">
        <v>0</v>
      </c>
      <c r="L688" s="10"/>
      <c r="M688" s="11"/>
      <c r="N688" s="12"/>
      <c r="O688" s="13"/>
      <c r="P688" s="14"/>
    </row>
    <row r="689" spans="1:16" x14ac:dyDescent="0.25">
      <c r="A689" s="7"/>
      <c r="B689" s="15"/>
      <c r="C689" s="16"/>
      <c r="D689" s="8"/>
      <c r="E689" s="9"/>
      <c r="F689" s="9"/>
      <c r="G689" s="17"/>
      <c r="H689" s="17"/>
      <c r="I689" s="9"/>
      <c r="J689" s="9"/>
      <c r="K689" s="10">
        <v>0</v>
      </c>
      <c r="L689" s="10"/>
      <c r="M689" s="11"/>
      <c r="N689" s="12"/>
      <c r="O689" s="13"/>
      <c r="P689" s="14"/>
    </row>
    <row r="690" spans="1:16" x14ac:dyDescent="0.25">
      <c r="A690" s="7"/>
      <c r="B690" s="7"/>
      <c r="C690" s="8"/>
      <c r="D690" s="8"/>
      <c r="E690" s="9"/>
      <c r="F690" s="9"/>
      <c r="G690" s="17"/>
      <c r="H690" s="17"/>
      <c r="I690" s="9"/>
      <c r="J690" s="9"/>
      <c r="K690" s="10">
        <v>0</v>
      </c>
      <c r="L690" s="10"/>
      <c r="M690" s="11"/>
      <c r="N690" s="12"/>
      <c r="O690" s="13"/>
      <c r="P690" s="14"/>
    </row>
    <row r="691" spans="1:16" x14ac:dyDescent="0.25">
      <c r="A691" s="7"/>
      <c r="B691" s="7"/>
      <c r="C691" s="8"/>
      <c r="D691" s="8"/>
      <c r="E691" s="9"/>
      <c r="F691" s="9"/>
      <c r="G691" s="17"/>
      <c r="H691" s="17"/>
      <c r="I691" s="9"/>
      <c r="J691" s="9"/>
      <c r="K691" s="10">
        <v>0</v>
      </c>
      <c r="L691" s="10"/>
      <c r="M691" s="11"/>
      <c r="N691" s="12"/>
      <c r="O691" s="13"/>
      <c r="P691" s="14"/>
    </row>
    <row r="692" spans="1:16" x14ac:dyDescent="0.25">
      <c r="A692" s="7"/>
      <c r="B692" s="7"/>
      <c r="C692" s="8"/>
      <c r="D692" s="8"/>
      <c r="E692" s="9"/>
      <c r="F692" s="9"/>
      <c r="G692" s="17"/>
      <c r="H692" s="17"/>
      <c r="I692" s="9"/>
      <c r="J692" s="9"/>
      <c r="K692" s="10">
        <v>0</v>
      </c>
      <c r="L692" s="10"/>
      <c r="M692" s="11"/>
      <c r="N692" s="12"/>
      <c r="O692" s="13"/>
      <c r="P692" s="14"/>
    </row>
    <row r="693" spans="1:16" x14ac:dyDescent="0.25">
      <c r="A693" s="7"/>
      <c r="B693" s="7"/>
      <c r="C693" s="8"/>
      <c r="D693" s="8"/>
      <c r="E693" s="9"/>
      <c r="F693" s="9"/>
      <c r="G693" s="17"/>
      <c r="H693" s="17"/>
      <c r="I693" s="9"/>
      <c r="J693" s="9"/>
      <c r="K693" s="10">
        <v>0</v>
      </c>
      <c r="L693" s="10"/>
      <c r="M693" s="11"/>
      <c r="N693" s="12"/>
      <c r="O693" s="13"/>
      <c r="P693" s="14"/>
    </row>
    <row r="694" spans="1:16" x14ac:dyDescent="0.25">
      <c r="A694" s="6"/>
      <c r="B694" s="7"/>
      <c r="C694" s="8"/>
      <c r="D694" s="8"/>
      <c r="E694" s="9"/>
      <c r="F694" s="9"/>
      <c r="G694" s="17"/>
      <c r="H694" s="17"/>
      <c r="I694" s="9"/>
      <c r="J694" s="9"/>
      <c r="K694" s="10">
        <v>0</v>
      </c>
      <c r="L694" s="10"/>
      <c r="M694" s="11"/>
      <c r="N694" s="12"/>
      <c r="O694" s="13"/>
      <c r="P694" s="14"/>
    </row>
    <row r="695" spans="1:16" x14ac:dyDescent="0.25">
      <c r="A695" s="6"/>
      <c r="B695" s="7"/>
      <c r="C695" s="8"/>
      <c r="D695" s="8"/>
      <c r="E695" s="9"/>
      <c r="F695" s="9"/>
      <c r="G695" s="17"/>
      <c r="H695" s="17"/>
      <c r="I695" s="9"/>
      <c r="J695" s="9"/>
      <c r="K695" s="10">
        <v>0</v>
      </c>
      <c r="L695" s="10"/>
      <c r="M695" s="11"/>
      <c r="N695" s="12"/>
      <c r="O695" s="13"/>
      <c r="P695" s="14"/>
    </row>
    <row r="696" spans="1:16" x14ac:dyDescent="0.25">
      <c r="A696" s="6"/>
      <c r="B696" s="7"/>
      <c r="C696" s="8"/>
      <c r="D696" s="8"/>
      <c r="E696" s="9"/>
      <c r="F696" s="9"/>
      <c r="G696" s="17"/>
      <c r="H696" s="17"/>
      <c r="I696" s="9"/>
      <c r="J696" s="9"/>
      <c r="K696" s="10">
        <v>0</v>
      </c>
      <c r="L696" s="10"/>
      <c r="M696" s="11"/>
      <c r="N696" s="12"/>
      <c r="O696" s="13"/>
      <c r="P696" s="14"/>
    </row>
    <row r="697" spans="1:16" x14ac:dyDescent="0.25">
      <c r="A697" s="6"/>
      <c r="B697" s="7"/>
      <c r="C697" s="8"/>
      <c r="D697" s="8"/>
      <c r="E697" s="9"/>
      <c r="F697" s="9"/>
      <c r="G697" s="17"/>
      <c r="H697" s="17"/>
      <c r="I697" s="9"/>
      <c r="J697" s="9"/>
      <c r="K697" s="10">
        <v>0</v>
      </c>
      <c r="L697" s="10"/>
      <c r="M697" s="11"/>
      <c r="N697" s="12"/>
      <c r="O697" s="13"/>
      <c r="P697" s="14"/>
    </row>
    <row r="698" spans="1:16" x14ac:dyDescent="0.25">
      <c r="A698" s="6"/>
      <c r="B698" s="7"/>
      <c r="C698" s="8"/>
      <c r="D698" s="8"/>
      <c r="E698" s="9"/>
      <c r="F698" s="9"/>
      <c r="G698" s="17"/>
      <c r="H698" s="17"/>
      <c r="I698" s="9"/>
      <c r="J698" s="9"/>
      <c r="K698" s="10">
        <v>0</v>
      </c>
      <c r="L698" s="10"/>
      <c r="M698" s="11"/>
      <c r="N698" s="12"/>
      <c r="O698" s="13"/>
      <c r="P698" s="14"/>
    </row>
    <row r="699" spans="1:16" x14ac:dyDescent="0.25">
      <c r="A699" s="6"/>
      <c r="B699" s="7"/>
      <c r="C699" s="8"/>
      <c r="D699" s="8"/>
      <c r="E699" s="9"/>
      <c r="F699" s="9"/>
      <c r="G699" s="17"/>
      <c r="H699" s="17"/>
      <c r="I699" s="9"/>
      <c r="J699" s="9"/>
      <c r="K699" s="10">
        <v>0</v>
      </c>
      <c r="L699" s="10"/>
      <c r="M699" s="11"/>
      <c r="N699" s="12"/>
      <c r="O699" s="13"/>
      <c r="P699" s="14"/>
    </row>
    <row r="700" spans="1:16" x14ac:dyDescent="0.25">
      <c r="A700" s="6"/>
      <c r="B700" s="7"/>
      <c r="C700" s="8"/>
      <c r="D700" s="8"/>
      <c r="E700" s="9"/>
      <c r="F700" s="9"/>
      <c r="G700" s="17"/>
      <c r="H700" s="17"/>
      <c r="I700" s="9"/>
      <c r="J700" s="9"/>
      <c r="K700" s="10">
        <v>0</v>
      </c>
      <c r="L700" s="10"/>
      <c r="M700" s="11"/>
      <c r="N700" s="12"/>
      <c r="O700" s="13"/>
      <c r="P700" s="14"/>
    </row>
    <row r="701" spans="1:16" x14ac:dyDescent="0.25">
      <c r="A701" s="6"/>
      <c r="B701" s="15"/>
      <c r="C701" s="8"/>
      <c r="D701" s="8"/>
      <c r="E701" s="9"/>
      <c r="F701" s="9"/>
      <c r="G701" s="17"/>
      <c r="H701" s="17"/>
      <c r="I701" s="9"/>
      <c r="J701" s="9"/>
      <c r="K701" s="10">
        <v>0</v>
      </c>
      <c r="L701" s="10"/>
      <c r="M701" s="11"/>
      <c r="N701" s="12"/>
      <c r="O701" s="13"/>
      <c r="P701" s="14"/>
    </row>
    <row r="702" spans="1:16" x14ac:dyDescent="0.25">
      <c r="A702" s="6"/>
      <c r="B702" s="7"/>
      <c r="C702" s="8"/>
      <c r="D702" s="8"/>
      <c r="E702" s="9"/>
      <c r="F702" s="9"/>
      <c r="G702" s="17"/>
      <c r="H702" s="17"/>
      <c r="I702" s="9"/>
      <c r="J702" s="9"/>
      <c r="K702" s="10">
        <v>0</v>
      </c>
      <c r="L702" s="10"/>
      <c r="M702" s="11"/>
      <c r="N702" s="12"/>
      <c r="O702" s="13"/>
      <c r="P702" s="14"/>
    </row>
    <row r="703" spans="1:16" x14ac:dyDescent="0.25">
      <c r="A703" s="6"/>
      <c r="B703" s="7"/>
      <c r="C703" s="8"/>
      <c r="D703" s="8"/>
      <c r="E703" s="9"/>
      <c r="F703" s="9"/>
      <c r="G703" s="17"/>
      <c r="H703" s="17"/>
      <c r="I703" s="9"/>
      <c r="J703" s="9"/>
      <c r="K703" s="10">
        <v>0</v>
      </c>
      <c r="L703" s="10"/>
      <c r="M703" s="11"/>
      <c r="N703" s="12"/>
      <c r="O703" s="13"/>
      <c r="P703" s="14"/>
    </row>
    <row r="704" spans="1:16" x14ac:dyDescent="0.25">
      <c r="A704" s="6"/>
      <c r="B704" s="7"/>
      <c r="C704" s="8"/>
      <c r="D704" s="8"/>
      <c r="E704" s="9"/>
      <c r="F704" s="9"/>
      <c r="G704" s="17"/>
      <c r="H704" s="17"/>
      <c r="I704" s="9"/>
      <c r="J704" s="9"/>
      <c r="K704" s="10">
        <v>0</v>
      </c>
      <c r="L704" s="10"/>
      <c r="M704" s="11"/>
      <c r="N704" s="12"/>
      <c r="O704" s="13"/>
      <c r="P704" s="14"/>
    </row>
    <row r="705" spans="1:17" x14ac:dyDescent="0.25">
      <c r="A705" s="6"/>
      <c r="B705" s="7"/>
      <c r="C705" s="8"/>
      <c r="D705" s="8"/>
      <c r="E705" s="9"/>
      <c r="F705" s="9"/>
      <c r="G705" s="17"/>
      <c r="H705" s="17"/>
      <c r="I705" s="9"/>
      <c r="J705" s="9"/>
      <c r="K705" s="10">
        <v>0</v>
      </c>
      <c r="L705" s="10"/>
      <c r="M705" s="11"/>
      <c r="N705" s="12"/>
      <c r="O705" s="13"/>
      <c r="P705" s="14"/>
    </row>
    <row r="706" spans="1:17" x14ac:dyDescent="0.25">
      <c r="A706" s="6"/>
      <c r="B706" s="7"/>
      <c r="C706" s="8"/>
      <c r="D706" s="8"/>
      <c r="E706" s="9"/>
      <c r="F706" s="9"/>
      <c r="G706" s="17"/>
      <c r="H706" s="17"/>
      <c r="I706" s="9"/>
      <c r="J706" s="9"/>
      <c r="K706" s="10">
        <v>0</v>
      </c>
      <c r="L706" s="10"/>
      <c r="M706" s="11"/>
      <c r="N706" s="12"/>
      <c r="O706" s="13"/>
      <c r="P706" s="14"/>
    </row>
    <row r="707" spans="1:17" x14ac:dyDescent="0.25">
      <c r="A707" s="6"/>
      <c r="B707" s="7"/>
      <c r="C707" s="8"/>
      <c r="D707" s="8"/>
      <c r="E707" s="9"/>
      <c r="F707" s="9"/>
      <c r="G707" s="17"/>
      <c r="H707" s="17"/>
      <c r="I707" s="9"/>
      <c r="J707" s="9"/>
      <c r="K707" s="10">
        <v>0</v>
      </c>
      <c r="L707" s="10"/>
      <c r="M707" s="11"/>
      <c r="N707" s="12"/>
      <c r="O707" s="13"/>
      <c r="P707" s="14"/>
    </row>
    <row r="708" spans="1:17" x14ac:dyDescent="0.25">
      <c r="A708" s="6"/>
      <c r="B708" s="15"/>
      <c r="C708" s="16"/>
      <c r="D708" s="8"/>
      <c r="E708" s="9"/>
      <c r="F708" s="9"/>
      <c r="G708" s="17"/>
      <c r="H708" s="17"/>
      <c r="I708" s="9"/>
      <c r="J708" s="9"/>
      <c r="K708" s="10">
        <v>0</v>
      </c>
      <c r="L708" s="10"/>
      <c r="M708" s="11"/>
      <c r="N708" s="12"/>
      <c r="O708" s="13"/>
      <c r="P708" s="14"/>
    </row>
    <row r="709" spans="1:17" x14ac:dyDescent="0.25">
      <c r="A709" s="6"/>
      <c r="B709" s="7"/>
      <c r="C709" s="8"/>
      <c r="D709" s="8"/>
      <c r="E709" s="9"/>
      <c r="F709" s="9"/>
      <c r="G709" s="17"/>
      <c r="H709" s="17"/>
      <c r="I709" s="9"/>
      <c r="J709" s="9"/>
      <c r="K709" s="10">
        <v>0</v>
      </c>
      <c r="L709" s="10"/>
      <c r="M709" s="11"/>
      <c r="N709" s="12"/>
      <c r="O709" s="13"/>
      <c r="P709" s="14"/>
    </row>
    <row r="710" spans="1:17" x14ac:dyDescent="0.25">
      <c r="A710" s="6"/>
      <c r="B710" s="7"/>
      <c r="C710" s="8"/>
      <c r="D710" s="8"/>
      <c r="E710" s="9"/>
      <c r="F710" s="9"/>
      <c r="G710" s="17"/>
      <c r="H710" s="17"/>
      <c r="I710" s="9"/>
      <c r="J710" s="9"/>
      <c r="K710" s="10">
        <v>0</v>
      </c>
      <c r="L710" s="10"/>
      <c r="M710" s="11"/>
      <c r="N710" s="12"/>
      <c r="O710" s="13"/>
      <c r="P710" s="14"/>
      <c r="Q710" s="2"/>
    </row>
    <row r="711" spans="1:17" x14ac:dyDescent="0.25">
      <c r="A711" s="6"/>
      <c r="B711" s="7"/>
      <c r="C711" s="8"/>
      <c r="D711" s="8"/>
      <c r="E711" s="9"/>
      <c r="F711" s="9"/>
      <c r="G711" s="17"/>
      <c r="H711" s="17"/>
      <c r="I711" s="9"/>
      <c r="J711" s="9"/>
      <c r="K711" s="10">
        <v>0</v>
      </c>
      <c r="L711" s="10"/>
      <c r="M711" s="11"/>
      <c r="N711" s="12"/>
      <c r="O711" s="13"/>
      <c r="P711" s="14"/>
    </row>
    <row r="712" spans="1:17" x14ac:dyDescent="0.25">
      <c r="A712" s="6"/>
      <c r="B712" s="7"/>
      <c r="C712" s="8"/>
      <c r="D712" s="8"/>
      <c r="E712" s="9"/>
      <c r="F712" s="9"/>
      <c r="G712" s="17"/>
      <c r="H712" s="17"/>
      <c r="I712" s="9"/>
      <c r="J712" s="9"/>
      <c r="K712" s="10">
        <v>0</v>
      </c>
      <c r="L712" s="10"/>
      <c r="M712" s="11"/>
      <c r="N712" s="12"/>
      <c r="O712" s="13"/>
      <c r="P712" s="14"/>
    </row>
    <row r="713" spans="1:17" x14ac:dyDescent="0.25">
      <c r="A713" s="6"/>
      <c r="B713" s="7"/>
      <c r="C713" s="8"/>
      <c r="D713" s="8"/>
      <c r="E713" s="9"/>
      <c r="F713" s="9"/>
      <c r="G713" s="17"/>
      <c r="H713" s="17"/>
      <c r="I713" s="9"/>
      <c r="J713" s="9"/>
      <c r="K713" s="10">
        <v>0</v>
      </c>
      <c r="L713" s="10"/>
      <c r="M713" s="11"/>
      <c r="N713" s="12"/>
      <c r="O713" s="13"/>
      <c r="P713" s="14"/>
    </row>
    <row r="714" spans="1:17" x14ac:dyDescent="0.25">
      <c r="A714" s="6"/>
      <c r="B714" s="7"/>
      <c r="C714" s="8"/>
      <c r="D714" s="8"/>
      <c r="E714" s="9"/>
      <c r="F714" s="9"/>
      <c r="G714" s="17"/>
      <c r="H714" s="17"/>
      <c r="I714" s="9"/>
      <c r="J714" s="9"/>
      <c r="K714" s="10">
        <v>0</v>
      </c>
      <c r="L714" s="10"/>
      <c r="M714" s="11"/>
      <c r="N714" s="12"/>
      <c r="O714" s="13"/>
      <c r="P714" s="14"/>
    </row>
    <row r="715" spans="1:17" x14ac:dyDescent="0.25">
      <c r="A715" s="6"/>
      <c r="B715" s="7"/>
      <c r="C715" s="8"/>
      <c r="D715" s="8"/>
      <c r="E715" s="9"/>
      <c r="F715" s="9"/>
      <c r="G715" s="17"/>
      <c r="H715" s="17"/>
      <c r="I715" s="9"/>
      <c r="J715" s="9"/>
      <c r="K715" s="10">
        <v>0</v>
      </c>
      <c r="L715" s="10"/>
      <c r="M715" s="11"/>
      <c r="N715" s="12"/>
      <c r="O715" s="13"/>
      <c r="P715" s="14"/>
    </row>
    <row r="716" spans="1:17" x14ac:dyDescent="0.25">
      <c r="A716" s="6"/>
      <c r="B716" s="7"/>
      <c r="C716" s="8"/>
      <c r="D716" s="8"/>
      <c r="E716" s="9"/>
      <c r="F716" s="9"/>
      <c r="G716" s="17"/>
      <c r="H716" s="17"/>
      <c r="I716" s="9"/>
      <c r="J716" s="9"/>
      <c r="K716" s="10">
        <v>0</v>
      </c>
      <c r="L716" s="10"/>
      <c r="M716" s="11"/>
      <c r="N716" s="12"/>
      <c r="O716" s="13"/>
      <c r="P716" s="14"/>
    </row>
    <row r="717" spans="1:17" x14ac:dyDescent="0.25">
      <c r="A717" s="6"/>
      <c r="B717" s="15"/>
      <c r="C717" s="16"/>
      <c r="D717" s="8"/>
      <c r="E717" s="9"/>
      <c r="F717" s="9"/>
      <c r="G717" s="17"/>
      <c r="H717" s="17"/>
      <c r="I717" s="9"/>
      <c r="J717" s="9"/>
      <c r="K717" s="10">
        <v>0</v>
      </c>
      <c r="L717" s="10"/>
      <c r="M717" s="11"/>
      <c r="N717" s="12"/>
      <c r="O717" s="13"/>
      <c r="P717" s="14"/>
    </row>
    <row r="718" spans="1:17" x14ac:dyDescent="0.25">
      <c r="A718" s="6"/>
      <c r="B718" s="7"/>
      <c r="C718" s="8"/>
      <c r="D718" s="8"/>
      <c r="E718" s="9"/>
      <c r="F718" s="9"/>
      <c r="G718" s="17"/>
      <c r="H718" s="17"/>
      <c r="I718" s="9"/>
      <c r="J718" s="9"/>
      <c r="K718" s="10">
        <v>0</v>
      </c>
      <c r="L718" s="10"/>
      <c r="M718" s="11"/>
      <c r="N718" s="12"/>
      <c r="O718" s="13"/>
      <c r="P718" s="14"/>
    </row>
    <row r="719" spans="1:17" x14ac:dyDescent="0.25">
      <c r="A719" s="6"/>
      <c r="B719" s="7"/>
      <c r="C719" s="8"/>
      <c r="D719" s="8"/>
      <c r="E719" s="9"/>
      <c r="F719" s="9"/>
      <c r="G719" s="17"/>
      <c r="H719" s="17"/>
      <c r="I719" s="9"/>
      <c r="J719" s="9"/>
      <c r="K719" s="10">
        <v>0</v>
      </c>
      <c r="L719" s="10"/>
      <c r="M719" s="11"/>
      <c r="N719" s="12"/>
      <c r="O719" s="13"/>
      <c r="P719" s="14"/>
    </row>
    <row r="720" spans="1:17" x14ac:dyDescent="0.25">
      <c r="A720" s="6"/>
      <c r="B720" s="7"/>
      <c r="C720" s="8"/>
      <c r="D720" s="8"/>
      <c r="E720" s="9"/>
      <c r="F720" s="9"/>
      <c r="G720" s="17"/>
      <c r="H720" s="17"/>
      <c r="I720" s="9"/>
      <c r="J720" s="9"/>
      <c r="K720" s="10">
        <v>0</v>
      </c>
      <c r="L720" s="10"/>
      <c r="M720" s="11"/>
      <c r="N720" s="12"/>
      <c r="O720" s="13"/>
      <c r="P720" s="14"/>
    </row>
    <row r="721" spans="1:16" x14ac:dyDescent="0.25">
      <c r="A721" s="6"/>
      <c r="B721" s="7"/>
      <c r="C721" s="8"/>
      <c r="D721" s="8"/>
      <c r="E721" s="9"/>
      <c r="F721" s="9"/>
      <c r="G721" s="17"/>
      <c r="H721" s="17"/>
      <c r="I721" s="9"/>
      <c r="J721" s="9"/>
      <c r="K721" s="10">
        <v>0</v>
      </c>
      <c r="L721" s="10"/>
      <c r="M721" s="11"/>
      <c r="N721" s="12"/>
      <c r="O721" s="13"/>
      <c r="P721" s="14"/>
    </row>
    <row r="722" spans="1:16" x14ac:dyDescent="0.25">
      <c r="A722" s="6"/>
      <c r="B722" s="7"/>
      <c r="C722" s="8"/>
      <c r="D722" s="8"/>
      <c r="E722" s="9"/>
      <c r="F722" s="9"/>
      <c r="G722" s="17"/>
      <c r="H722" s="17"/>
      <c r="I722" s="9"/>
      <c r="J722" s="9"/>
      <c r="K722" s="10">
        <v>0</v>
      </c>
      <c r="L722" s="10"/>
      <c r="M722" s="11"/>
      <c r="N722" s="12"/>
      <c r="O722" s="13"/>
      <c r="P722" s="14"/>
    </row>
    <row r="723" spans="1:16" x14ac:dyDescent="0.25">
      <c r="A723" s="6"/>
      <c r="B723" s="7"/>
      <c r="C723" s="8"/>
      <c r="D723" s="8"/>
      <c r="E723" s="9"/>
      <c r="F723" s="9"/>
      <c r="G723" s="17"/>
      <c r="H723" s="17"/>
      <c r="I723" s="9"/>
      <c r="J723" s="9"/>
      <c r="K723" s="10">
        <v>0</v>
      </c>
      <c r="L723" s="10"/>
      <c r="M723" s="11"/>
      <c r="N723" s="12"/>
      <c r="O723" s="13"/>
      <c r="P723" s="14"/>
    </row>
    <row r="724" spans="1:16" x14ac:dyDescent="0.25">
      <c r="A724" s="6"/>
      <c r="B724" s="7"/>
      <c r="C724" s="8"/>
      <c r="D724" s="8"/>
      <c r="E724" s="9"/>
      <c r="F724" s="9"/>
      <c r="G724" s="17"/>
      <c r="H724" s="17"/>
      <c r="I724" s="9"/>
      <c r="J724" s="9"/>
      <c r="K724" s="10">
        <v>0</v>
      </c>
      <c r="L724" s="10"/>
      <c r="M724" s="11"/>
      <c r="N724" s="12"/>
      <c r="O724" s="13"/>
      <c r="P724" s="14"/>
    </row>
    <row r="725" spans="1:16" x14ac:dyDescent="0.25">
      <c r="A725" s="6"/>
      <c r="B725" s="7"/>
      <c r="C725" s="8"/>
      <c r="D725" s="8"/>
      <c r="E725" s="9"/>
      <c r="F725" s="9"/>
      <c r="G725" s="17"/>
      <c r="H725" s="17"/>
      <c r="I725" s="9"/>
      <c r="J725" s="9"/>
      <c r="K725" s="10">
        <v>0</v>
      </c>
      <c r="L725" s="10"/>
      <c r="M725" s="11"/>
      <c r="N725" s="12"/>
      <c r="O725" s="13"/>
      <c r="P725" s="14"/>
    </row>
    <row r="726" spans="1:16" x14ac:dyDescent="0.25">
      <c r="A726" s="6"/>
      <c r="B726" s="7"/>
      <c r="C726" s="8"/>
      <c r="D726" s="8"/>
      <c r="E726" s="9"/>
      <c r="F726" s="9"/>
      <c r="G726" s="17"/>
      <c r="H726" s="17"/>
      <c r="I726" s="9"/>
      <c r="J726" s="9"/>
      <c r="K726" s="10">
        <v>0</v>
      </c>
      <c r="L726" s="10"/>
      <c r="M726" s="11"/>
      <c r="N726" s="12"/>
      <c r="O726" s="13"/>
      <c r="P726" s="14"/>
    </row>
    <row r="727" spans="1:16" x14ac:dyDescent="0.25">
      <c r="A727" s="6"/>
      <c r="B727" s="7"/>
      <c r="C727" s="8"/>
      <c r="D727" s="8"/>
      <c r="E727" s="9"/>
      <c r="F727" s="9"/>
      <c r="G727" s="17"/>
      <c r="H727" s="17"/>
      <c r="I727" s="9"/>
      <c r="J727" s="9"/>
      <c r="K727" s="10">
        <v>0</v>
      </c>
      <c r="L727" s="10"/>
      <c r="M727" s="11"/>
      <c r="N727" s="12"/>
      <c r="O727" s="13"/>
      <c r="P727" s="14"/>
    </row>
    <row r="728" spans="1:16" x14ac:dyDescent="0.25">
      <c r="A728" s="6"/>
      <c r="B728" s="7"/>
      <c r="C728" s="8"/>
      <c r="D728" s="8"/>
      <c r="E728" s="9"/>
      <c r="F728" s="9"/>
      <c r="G728" s="17"/>
      <c r="H728" s="17"/>
      <c r="I728" s="9"/>
      <c r="J728" s="9"/>
      <c r="K728" s="10">
        <v>0</v>
      </c>
      <c r="L728" s="10"/>
      <c r="M728" s="11"/>
      <c r="N728" s="12"/>
      <c r="O728" s="13"/>
      <c r="P728" s="14"/>
    </row>
    <row r="729" spans="1:16" x14ac:dyDescent="0.25">
      <c r="A729" s="6"/>
      <c r="B729" s="7"/>
      <c r="C729" s="8"/>
      <c r="D729" s="8"/>
      <c r="E729" s="9"/>
      <c r="F729" s="9"/>
      <c r="G729" s="17"/>
      <c r="H729" s="17"/>
      <c r="I729" s="9"/>
      <c r="J729" s="9"/>
      <c r="K729" s="10">
        <v>0</v>
      </c>
      <c r="L729" s="10"/>
      <c r="M729" s="11"/>
      <c r="N729" s="12"/>
      <c r="O729" s="13"/>
      <c r="P729" s="14"/>
    </row>
    <row r="730" spans="1:16" x14ac:dyDescent="0.25">
      <c r="A730" s="6"/>
      <c r="B730" s="15"/>
      <c r="C730" s="16"/>
      <c r="D730" s="8"/>
      <c r="E730" s="9"/>
      <c r="F730" s="9"/>
      <c r="G730" s="17"/>
      <c r="H730" s="17"/>
      <c r="I730" s="9"/>
      <c r="J730" s="9"/>
      <c r="K730" s="10">
        <v>0</v>
      </c>
      <c r="L730" s="10"/>
      <c r="M730" s="11"/>
      <c r="N730" s="12"/>
      <c r="O730" s="13"/>
      <c r="P730" s="14"/>
    </row>
    <row r="731" spans="1:16" x14ac:dyDescent="0.25">
      <c r="A731" s="6"/>
      <c r="B731" s="7"/>
      <c r="C731" s="8"/>
      <c r="D731" s="8"/>
      <c r="E731" s="9"/>
      <c r="F731" s="9"/>
      <c r="G731" s="17"/>
      <c r="H731" s="17"/>
      <c r="I731" s="9"/>
      <c r="J731" s="9"/>
      <c r="K731" s="10">
        <v>0</v>
      </c>
      <c r="L731" s="10"/>
      <c r="M731" s="11"/>
      <c r="N731" s="12"/>
      <c r="O731" s="13"/>
      <c r="P731" s="14"/>
    </row>
    <row r="732" spans="1:16" x14ac:dyDescent="0.25">
      <c r="A732" s="6"/>
      <c r="B732" s="7"/>
      <c r="C732" s="8"/>
      <c r="D732" s="8"/>
      <c r="E732" s="9"/>
      <c r="F732" s="9"/>
      <c r="G732" s="17"/>
      <c r="H732" s="17"/>
      <c r="I732" s="9"/>
      <c r="J732" s="9"/>
      <c r="K732" s="10">
        <v>0</v>
      </c>
      <c r="L732" s="10"/>
      <c r="M732" s="11"/>
      <c r="N732" s="12"/>
      <c r="O732" s="13"/>
      <c r="P732" s="14"/>
    </row>
    <row r="733" spans="1:16" x14ac:dyDescent="0.25">
      <c r="A733" s="6"/>
      <c r="B733" s="7"/>
      <c r="C733" s="8"/>
      <c r="D733" s="8"/>
      <c r="E733" s="9"/>
      <c r="F733" s="9"/>
      <c r="G733" s="17"/>
      <c r="H733" s="17"/>
      <c r="I733" s="9"/>
      <c r="J733" s="9"/>
      <c r="K733" s="10">
        <v>0</v>
      </c>
      <c r="L733" s="10"/>
      <c r="M733" s="11"/>
      <c r="N733" s="12"/>
      <c r="O733" s="13"/>
      <c r="P733" s="14"/>
    </row>
    <row r="734" spans="1:16" x14ac:dyDescent="0.25">
      <c r="A734" s="6"/>
      <c r="B734" s="7"/>
      <c r="C734" s="8"/>
      <c r="D734" s="8"/>
      <c r="E734" s="9"/>
      <c r="F734" s="9"/>
      <c r="G734" s="17"/>
      <c r="H734" s="17"/>
      <c r="I734" s="9"/>
      <c r="J734" s="9"/>
      <c r="K734" s="10">
        <v>0</v>
      </c>
      <c r="L734" s="10"/>
      <c r="M734" s="11"/>
      <c r="N734" s="12"/>
      <c r="O734" s="13"/>
      <c r="P734" s="14"/>
    </row>
    <row r="735" spans="1:16" x14ac:dyDescent="0.25">
      <c r="A735" s="6"/>
      <c r="B735" s="7"/>
      <c r="C735" s="8"/>
      <c r="D735" s="8"/>
      <c r="E735" s="9"/>
      <c r="F735" s="9"/>
      <c r="G735" s="17"/>
      <c r="H735" s="17"/>
      <c r="I735" s="9"/>
      <c r="J735" s="9"/>
      <c r="K735" s="10">
        <v>0</v>
      </c>
      <c r="L735" s="10"/>
      <c r="M735" s="11"/>
      <c r="N735" s="12"/>
      <c r="O735" s="13"/>
      <c r="P735" s="14"/>
    </row>
    <row r="736" spans="1:16" x14ac:dyDescent="0.25">
      <c r="A736" s="6"/>
      <c r="B736" s="7"/>
      <c r="C736" s="8"/>
      <c r="D736" s="8"/>
      <c r="E736" s="9"/>
      <c r="F736" s="9"/>
      <c r="G736" s="17"/>
      <c r="H736" s="17"/>
      <c r="I736" s="9"/>
      <c r="J736" s="9"/>
      <c r="K736" s="10">
        <v>0</v>
      </c>
      <c r="L736" s="10"/>
      <c r="M736" s="11"/>
      <c r="N736" s="12"/>
      <c r="O736" s="13"/>
      <c r="P736" s="14"/>
    </row>
    <row r="737" spans="1:16" x14ac:dyDescent="0.25">
      <c r="A737" s="6"/>
      <c r="B737" s="7"/>
      <c r="C737" s="8"/>
      <c r="D737" s="8"/>
      <c r="E737" s="9"/>
      <c r="F737" s="9"/>
      <c r="G737" s="17"/>
      <c r="H737" s="17"/>
      <c r="I737" s="9"/>
      <c r="J737" s="9"/>
      <c r="K737" s="10">
        <v>0</v>
      </c>
      <c r="L737" s="10"/>
      <c r="M737" s="11"/>
      <c r="N737" s="12"/>
      <c r="O737" s="13"/>
      <c r="P737" s="14"/>
    </row>
    <row r="738" spans="1:16" x14ac:dyDescent="0.25">
      <c r="A738" s="6"/>
      <c r="B738" s="7"/>
      <c r="C738" s="8"/>
      <c r="D738" s="8"/>
      <c r="E738" s="9"/>
      <c r="F738" s="9"/>
      <c r="G738" s="17"/>
      <c r="H738" s="17"/>
      <c r="I738" s="9"/>
      <c r="J738" s="9"/>
      <c r="K738" s="10">
        <v>0</v>
      </c>
      <c r="L738" s="10"/>
      <c r="M738" s="11"/>
      <c r="N738" s="12"/>
      <c r="O738" s="13"/>
      <c r="P738" s="14"/>
    </row>
    <row r="739" spans="1:16" x14ac:dyDescent="0.25">
      <c r="A739" s="6"/>
      <c r="B739" s="7"/>
      <c r="C739" s="8"/>
      <c r="D739" s="8"/>
      <c r="E739" s="9"/>
      <c r="F739" s="9"/>
      <c r="G739" s="17"/>
      <c r="H739" s="17"/>
      <c r="I739" s="9"/>
      <c r="J739" s="9"/>
      <c r="K739" s="10">
        <v>0</v>
      </c>
      <c r="L739" s="10"/>
      <c r="M739" s="11"/>
      <c r="N739" s="12"/>
      <c r="O739" s="13"/>
      <c r="P739" s="14"/>
    </row>
    <row r="740" spans="1:16" x14ac:dyDescent="0.25">
      <c r="A740" s="6"/>
      <c r="B740" s="7"/>
      <c r="C740" s="8"/>
      <c r="D740" s="8"/>
      <c r="E740" s="9"/>
      <c r="F740" s="9"/>
      <c r="G740" s="17"/>
      <c r="H740" s="17"/>
      <c r="I740" s="9"/>
      <c r="J740" s="9"/>
      <c r="K740" s="10">
        <v>0</v>
      </c>
      <c r="L740" s="10"/>
      <c r="M740" s="11"/>
      <c r="N740" s="12"/>
      <c r="O740" s="13"/>
      <c r="P740" s="14"/>
    </row>
    <row r="741" spans="1:16" x14ac:dyDescent="0.25">
      <c r="A741" s="6"/>
      <c r="B741" s="7"/>
      <c r="C741" s="8"/>
      <c r="D741" s="8"/>
      <c r="E741" s="9"/>
      <c r="F741" s="9"/>
      <c r="G741" s="17"/>
      <c r="H741" s="17"/>
      <c r="I741" s="9"/>
      <c r="J741" s="9"/>
      <c r="K741" s="10">
        <v>0</v>
      </c>
      <c r="L741" s="10"/>
      <c r="M741" s="11"/>
      <c r="N741" s="12"/>
      <c r="O741" s="13"/>
      <c r="P741" s="14"/>
    </row>
    <row r="742" spans="1:16" x14ac:dyDescent="0.25">
      <c r="A742" s="6"/>
      <c r="B742" s="7"/>
      <c r="C742" s="8"/>
      <c r="D742" s="8"/>
      <c r="E742" s="9"/>
      <c r="F742" s="9"/>
      <c r="G742" s="17"/>
      <c r="H742" s="17"/>
      <c r="I742" s="9"/>
      <c r="J742" s="9"/>
      <c r="K742" s="10">
        <v>0</v>
      </c>
      <c r="L742" s="10"/>
      <c r="M742" s="11"/>
      <c r="N742" s="12"/>
      <c r="O742" s="13"/>
      <c r="P742" s="14"/>
    </row>
    <row r="743" spans="1:16" x14ac:dyDescent="0.25">
      <c r="A743" s="6"/>
      <c r="B743" s="7"/>
      <c r="C743" s="8"/>
      <c r="D743" s="8"/>
      <c r="E743" s="9"/>
      <c r="F743" s="9"/>
      <c r="G743" s="17"/>
      <c r="H743" s="17"/>
      <c r="I743" s="9"/>
      <c r="J743" s="9"/>
      <c r="K743" s="10">
        <v>0</v>
      </c>
      <c r="L743" s="10"/>
      <c r="M743" s="11"/>
      <c r="N743" s="12"/>
      <c r="O743" s="13"/>
      <c r="P743" s="14"/>
    </row>
    <row r="744" spans="1:16" x14ac:dyDescent="0.25">
      <c r="A744" s="6"/>
      <c r="B744" s="7"/>
      <c r="C744" s="8"/>
      <c r="D744" s="8"/>
      <c r="E744" s="9"/>
      <c r="F744" s="9"/>
      <c r="G744" s="17"/>
      <c r="H744" s="17"/>
      <c r="I744" s="9"/>
      <c r="J744" s="9"/>
      <c r="K744" s="10">
        <v>0</v>
      </c>
      <c r="L744" s="10"/>
      <c r="M744" s="11"/>
      <c r="N744" s="12"/>
      <c r="O744" s="13"/>
      <c r="P744" s="14"/>
    </row>
    <row r="745" spans="1:16" x14ac:dyDescent="0.25">
      <c r="A745" s="6"/>
      <c r="B745" s="7"/>
      <c r="C745" s="8"/>
      <c r="D745" s="8"/>
      <c r="E745" s="9"/>
      <c r="F745" s="9"/>
      <c r="G745" s="17"/>
      <c r="H745" s="17"/>
      <c r="I745" s="9"/>
      <c r="J745" s="9"/>
      <c r="K745" s="10">
        <v>0</v>
      </c>
      <c r="L745" s="10"/>
      <c r="M745" s="11"/>
      <c r="N745" s="12"/>
      <c r="O745" s="13"/>
      <c r="P745" s="14"/>
    </row>
    <row r="746" spans="1:16" x14ac:dyDescent="0.25">
      <c r="A746" s="6"/>
      <c r="B746" s="7"/>
      <c r="C746" s="8"/>
      <c r="D746" s="8"/>
      <c r="E746" s="9"/>
      <c r="F746" s="9"/>
      <c r="G746" s="17"/>
      <c r="H746" s="17"/>
      <c r="I746" s="9"/>
      <c r="J746" s="9"/>
      <c r="K746" s="10">
        <v>0</v>
      </c>
      <c r="L746" s="10"/>
      <c r="M746" s="11"/>
      <c r="N746" s="12"/>
      <c r="O746" s="13"/>
      <c r="P746" s="14"/>
    </row>
    <row r="747" spans="1:16" x14ac:dyDescent="0.25">
      <c r="A747" s="6"/>
      <c r="B747" s="7"/>
      <c r="C747" s="8"/>
      <c r="D747" s="8"/>
      <c r="E747" s="9"/>
      <c r="F747" s="9"/>
      <c r="G747" s="17"/>
      <c r="H747" s="17"/>
      <c r="I747" s="9"/>
      <c r="J747" s="9"/>
      <c r="K747" s="10">
        <v>0</v>
      </c>
      <c r="L747" s="10"/>
      <c r="M747" s="11"/>
      <c r="N747" s="12"/>
      <c r="O747" s="13"/>
      <c r="P747" s="14"/>
    </row>
    <row r="748" spans="1:16" x14ac:dyDescent="0.25">
      <c r="A748" s="6"/>
      <c r="B748" s="7"/>
      <c r="C748" s="8"/>
      <c r="D748" s="8"/>
      <c r="E748" s="9"/>
      <c r="F748" s="9"/>
      <c r="G748" s="17"/>
      <c r="H748" s="17"/>
      <c r="I748" s="9"/>
      <c r="J748" s="9"/>
      <c r="K748" s="10">
        <v>0</v>
      </c>
      <c r="L748" s="10"/>
      <c r="M748" s="11"/>
      <c r="N748" s="12"/>
      <c r="O748" s="13"/>
      <c r="P748" s="14"/>
    </row>
    <row r="749" spans="1:16" x14ac:dyDescent="0.25">
      <c r="A749" s="6"/>
      <c r="B749" s="7"/>
      <c r="C749" s="8"/>
      <c r="D749" s="8"/>
      <c r="E749" s="9"/>
      <c r="F749" s="9"/>
      <c r="G749" s="17"/>
      <c r="H749" s="17"/>
      <c r="I749" s="9"/>
      <c r="J749" s="9"/>
      <c r="K749" s="10">
        <v>0</v>
      </c>
      <c r="L749" s="10"/>
      <c r="M749" s="11"/>
      <c r="N749" s="12"/>
      <c r="O749" s="13"/>
      <c r="P749" s="14"/>
    </row>
    <row r="750" spans="1:16" x14ac:dyDescent="0.25">
      <c r="A750" s="6"/>
      <c r="B750" s="7"/>
      <c r="C750" s="8"/>
      <c r="D750" s="8"/>
      <c r="E750" s="9"/>
      <c r="F750" s="9"/>
      <c r="G750" s="17"/>
      <c r="H750" s="17"/>
      <c r="I750" s="9"/>
      <c r="J750" s="9"/>
      <c r="K750" s="10">
        <v>0</v>
      </c>
      <c r="L750" s="10"/>
      <c r="M750" s="11"/>
      <c r="N750" s="12"/>
      <c r="O750" s="13"/>
      <c r="P750" s="14"/>
    </row>
    <row r="751" spans="1:16" x14ac:dyDescent="0.25">
      <c r="A751" s="6"/>
      <c r="B751" s="7"/>
      <c r="C751" s="8"/>
      <c r="D751" s="8"/>
      <c r="E751" s="9"/>
      <c r="F751" s="9"/>
      <c r="G751" s="17"/>
      <c r="H751" s="17"/>
      <c r="I751" s="9"/>
      <c r="J751" s="9"/>
      <c r="K751" s="10">
        <v>0</v>
      </c>
      <c r="L751" s="10"/>
      <c r="M751" s="11"/>
      <c r="N751" s="12"/>
      <c r="O751" s="13"/>
      <c r="P751" s="14"/>
    </row>
    <row r="752" spans="1:16" x14ac:dyDescent="0.25">
      <c r="A752" s="6"/>
      <c r="B752" s="15"/>
      <c r="C752" s="16"/>
      <c r="D752" s="8"/>
      <c r="E752" s="9"/>
      <c r="F752" s="9"/>
      <c r="G752" s="17"/>
      <c r="H752" s="17"/>
      <c r="I752" s="9"/>
      <c r="J752" s="9"/>
      <c r="K752" s="10">
        <v>0</v>
      </c>
      <c r="L752" s="10"/>
      <c r="M752" s="11"/>
      <c r="N752" s="12"/>
      <c r="O752" s="13"/>
      <c r="P752" s="14"/>
    </row>
    <row r="753" spans="1:16" x14ac:dyDescent="0.25">
      <c r="A753" s="6"/>
      <c r="B753" s="7"/>
      <c r="C753" s="8"/>
      <c r="D753" s="8"/>
      <c r="E753" s="9"/>
      <c r="F753" s="9"/>
      <c r="G753" s="17"/>
      <c r="H753" s="17"/>
      <c r="I753" s="9"/>
      <c r="J753" s="9"/>
      <c r="K753" s="10">
        <v>0</v>
      </c>
      <c r="L753" s="10"/>
      <c r="M753" s="11"/>
      <c r="N753" s="12"/>
      <c r="O753" s="13"/>
      <c r="P753" s="14"/>
    </row>
    <row r="754" spans="1:16" x14ac:dyDescent="0.25">
      <c r="A754" s="6"/>
      <c r="B754" s="7"/>
      <c r="C754" s="8"/>
      <c r="D754" s="8"/>
      <c r="E754" s="9"/>
      <c r="F754" s="9"/>
      <c r="G754" s="17"/>
      <c r="H754" s="17"/>
      <c r="I754" s="9"/>
      <c r="J754" s="9"/>
      <c r="K754" s="10">
        <v>0</v>
      </c>
      <c r="L754" s="10"/>
      <c r="M754" s="11"/>
      <c r="N754" s="12"/>
      <c r="O754" s="13"/>
      <c r="P754" s="14"/>
    </row>
    <row r="755" spans="1:16" x14ac:dyDescent="0.25">
      <c r="A755" s="6"/>
      <c r="B755" s="7"/>
      <c r="C755" s="8"/>
      <c r="D755" s="8"/>
      <c r="E755" s="9"/>
      <c r="F755" s="9"/>
      <c r="G755" s="17"/>
      <c r="H755" s="17"/>
      <c r="I755" s="9"/>
      <c r="J755" s="9"/>
      <c r="K755" s="10">
        <v>0</v>
      </c>
      <c r="L755" s="10"/>
      <c r="M755" s="11"/>
      <c r="N755" s="12"/>
      <c r="O755" s="13"/>
      <c r="P755" s="14"/>
    </row>
    <row r="756" spans="1:16" x14ac:dyDescent="0.25">
      <c r="A756" s="6"/>
      <c r="B756" s="7"/>
      <c r="C756" s="8"/>
      <c r="D756" s="8"/>
      <c r="E756" s="9"/>
      <c r="F756" s="9"/>
      <c r="G756" s="17"/>
      <c r="H756" s="17"/>
      <c r="I756" s="9"/>
      <c r="J756" s="9"/>
      <c r="K756" s="10">
        <v>0</v>
      </c>
      <c r="L756" s="10"/>
      <c r="M756" s="11"/>
      <c r="N756" s="12"/>
      <c r="O756" s="13"/>
      <c r="P756" s="14"/>
    </row>
    <row r="757" spans="1:16" x14ac:dyDescent="0.25">
      <c r="A757" s="6"/>
      <c r="B757" s="7"/>
      <c r="C757" s="8"/>
      <c r="D757" s="8"/>
      <c r="E757" s="9"/>
      <c r="F757" s="9"/>
      <c r="G757" s="17"/>
      <c r="H757" s="17"/>
      <c r="I757" s="9"/>
      <c r="J757" s="9"/>
      <c r="K757" s="10">
        <v>0</v>
      </c>
      <c r="L757" s="10"/>
      <c r="M757" s="11"/>
      <c r="N757" s="12"/>
      <c r="O757" s="13"/>
      <c r="P757" s="14"/>
    </row>
    <row r="758" spans="1:16" x14ac:dyDescent="0.25">
      <c r="A758" s="6"/>
      <c r="B758" s="7"/>
      <c r="C758" s="8"/>
      <c r="D758" s="8"/>
      <c r="E758" s="9"/>
      <c r="F758" s="9"/>
      <c r="G758" s="17"/>
      <c r="H758" s="17"/>
      <c r="I758" s="9"/>
      <c r="J758" s="9"/>
      <c r="K758" s="10">
        <v>0</v>
      </c>
      <c r="L758" s="10"/>
      <c r="M758" s="11"/>
      <c r="N758" s="12"/>
      <c r="O758" s="13"/>
      <c r="P758" s="14"/>
    </row>
    <row r="759" spans="1:16" x14ac:dyDescent="0.25">
      <c r="A759" s="6"/>
      <c r="B759" s="7"/>
      <c r="C759" s="8"/>
      <c r="D759" s="8"/>
      <c r="E759" s="9"/>
      <c r="F759" s="9"/>
      <c r="G759" s="17"/>
      <c r="H759" s="17"/>
      <c r="I759" s="9"/>
      <c r="J759" s="9"/>
      <c r="K759" s="10">
        <v>0</v>
      </c>
      <c r="L759" s="10"/>
      <c r="M759" s="11"/>
      <c r="N759" s="12"/>
      <c r="O759" s="13"/>
      <c r="P759" s="14"/>
    </row>
    <row r="760" spans="1:16" x14ac:dyDescent="0.25">
      <c r="A760" s="6"/>
      <c r="B760" s="7"/>
      <c r="C760" s="8"/>
      <c r="D760" s="8"/>
      <c r="E760" s="9"/>
      <c r="F760" s="9"/>
      <c r="G760" s="17"/>
      <c r="H760" s="17"/>
      <c r="I760" s="9"/>
      <c r="J760" s="9"/>
      <c r="K760" s="10">
        <v>0</v>
      </c>
      <c r="L760" s="10"/>
      <c r="M760" s="11"/>
      <c r="N760" s="12"/>
      <c r="O760" s="13"/>
      <c r="P760" s="14"/>
    </row>
    <row r="761" spans="1:16" x14ac:dyDescent="0.25">
      <c r="A761" s="6"/>
      <c r="B761" s="7"/>
      <c r="C761" s="8"/>
      <c r="D761" s="8"/>
      <c r="E761" s="9"/>
      <c r="F761" s="9"/>
      <c r="G761" s="17"/>
      <c r="H761" s="17"/>
      <c r="I761" s="9"/>
      <c r="J761" s="9"/>
      <c r="K761" s="10">
        <v>0</v>
      </c>
      <c r="L761" s="10"/>
      <c r="M761" s="11"/>
      <c r="N761" s="12"/>
      <c r="O761" s="13"/>
      <c r="P761" s="14"/>
    </row>
    <row r="762" spans="1:16" x14ac:dyDescent="0.25">
      <c r="A762" s="6"/>
      <c r="B762" s="7"/>
      <c r="C762" s="8"/>
      <c r="D762" s="8"/>
      <c r="E762" s="9"/>
      <c r="F762" s="9"/>
      <c r="G762" s="17"/>
      <c r="H762" s="17"/>
      <c r="I762" s="9"/>
      <c r="J762" s="9"/>
      <c r="K762" s="10">
        <v>0</v>
      </c>
      <c r="L762" s="10"/>
      <c r="M762" s="11"/>
      <c r="N762" s="12"/>
      <c r="O762" s="13"/>
      <c r="P762" s="14"/>
    </row>
    <row r="763" spans="1:16" x14ac:dyDescent="0.25">
      <c r="A763" s="6"/>
      <c r="B763" s="7"/>
      <c r="C763" s="8"/>
      <c r="D763" s="8"/>
      <c r="E763" s="9"/>
      <c r="F763" s="9"/>
      <c r="G763" s="17"/>
      <c r="H763" s="17"/>
      <c r="I763" s="9"/>
      <c r="J763" s="9"/>
      <c r="K763" s="10">
        <v>0</v>
      </c>
      <c r="L763" s="10"/>
      <c r="M763" s="11"/>
      <c r="N763" s="12"/>
      <c r="O763" s="13"/>
      <c r="P763" s="14"/>
    </row>
    <row r="764" spans="1:16" x14ac:dyDescent="0.25">
      <c r="A764" s="6"/>
      <c r="B764" s="7"/>
      <c r="C764" s="8"/>
      <c r="D764" s="8"/>
      <c r="E764" s="9"/>
      <c r="F764" s="9"/>
      <c r="G764" s="17"/>
      <c r="H764" s="17"/>
      <c r="I764" s="9"/>
      <c r="J764" s="9"/>
      <c r="K764" s="10">
        <v>0</v>
      </c>
      <c r="L764" s="10"/>
      <c r="M764" s="11"/>
      <c r="N764" s="12"/>
      <c r="O764" s="13"/>
      <c r="P764" s="14"/>
    </row>
    <row r="765" spans="1:16" x14ac:dyDescent="0.25">
      <c r="A765" s="6"/>
      <c r="B765" s="7"/>
      <c r="C765" s="7"/>
      <c r="D765" s="8"/>
      <c r="E765" s="9"/>
      <c r="F765" s="9"/>
      <c r="G765" s="17"/>
      <c r="H765" s="17"/>
      <c r="I765" s="9"/>
      <c r="J765" s="9"/>
      <c r="K765" s="10">
        <v>0</v>
      </c>
      <c r="L765" s="10"/>
      <c r="M765" s="11"/>
      <c r="N765" s="12"/>
      <c r="O765" s="13"/>
      <c r="P765" s="14"/>
    </row>
    <row r="766" spans="1:16" x14ac:dyDescent="0.25">
      <c r="A766" s="6"/>
      <c r="B766" s="7"/>
      <c r="C766" s="7"/>
      <c r="D766" s="8"/>
      <c r="E766" s="9"/>
      <c r="F766" s="9"/>
      <c r="G766" s="17"/>
      <c r="H766" s="17"/>
      <c r="I766" s="9"/>
      <c r="J766" s="9"/>
      <c r="K766" s="10">
        <v>0</v>
      </c>
      <c r="L766" s="10"/>
      <c r="M766" s="11"/>
      <c r="N766" s="12"/>
      <c r="O766" s="13"/>
      <c r="P766" s="14"/>
    </row>
    <row r="767" spans="1:16" x14ac:dyDescent="0.25">
      <c r="A767" s="6"/>
      <c r="B767" s="7"/>
      <c r="C767" s="7"/>
      <c r="D767" s="8"/>
      <c r="E767" s="9"/>
      <c r="F767" s="9"/>
      <c r="G767" s="17"/>
      <c r="H767" s="17"/>
      <c r="I767" s="9"/>
      <c r="J767" s="9"/>
      <c r="K767" s="10">
        <v>0</v>
      </c>
      <c r="L767" s="10"/>
      <c r="M767" s="11"/>
      <c r="N767" s="12"/>
      <c r="O767" s="13"/>
      <c r="P767" s="14"/>
    </row>
    <row r="768" spans="1:16" x14ac:dyDescent="0.25">
      <c r="A768" s="6"/>
      <c r="B768" s="7"/>
      <c r="C768" s="7"/>
      <c r="D768" s="8"/>
      <c r="E768" s="9"/>
      <c r="F768" s="9"/>
      <c r="G768" s="17"/>
      <c r="H768" s="17"/>
      <c r="I768" s="9"/>
      <c r="J768" s="9"/>
      <c r="K768" s="10">
        <v>0</v>
      </c>
      <c r="L768" s="10"/>
      <c r="M768" s="11"/>
      <c r="N768" s="12"/>
      <c r="O768" s="13"/>
      <c r="P768" s="14"/>
    </row>
    <row r="769" spans="1:20" x14ac:dyDescent="0.25">
      <c r="A769" s="6"/>
      <c r="B769" s="7"/>
      <c r="C769" s="7"/>
      <c r="D769" s="8"/>
      <c r="E769" s="9"/>
      <c r="F769" s="9"/>
      <c r="G769" s="17"/>
      <c r="H769" s="17"/>
      <c r="I769" s="9"/>
      <c r="J769" s="9"/>
      <c r="K769" s="10">
        <v>0</v>
      </c>
      <c r="L769" s="10"/>
      <c r="M769" s="11"/>
      <c r="N769" s="12"/>
      <c r="O769" s="13"/>
      <c r="P769" s="14"/>
    </row>
    <row r="770" spans="1:20" x14ac:dyDescent="0.25">
      <c r="A770" s="6"/>
      <c r="B770" s="7"/>
      <c r="C770" s="7"/>
      <c r="D770" s="8"/>
      <c r="E770" s="9"/>
      <c r="F770" s="9"/>
      <c r="G770" s="17"/>
      <c r="H770" s="17"/>
      <c r="I770" s="9"/>
      <c r="J770" s="9"/>
      <c r="K770" s="10">
        <v>0</v>
      </c>
      <c r="L770" s="10"/>
      <c r="M770" s="11"/>
      <c r="N770" s="12"/>
      <c r="O770" s="13"/>
      <c r="P770" s="14"/>
    </row>
    <row r="771" spans="1:20" x14ac:dyDescent="0.25">
      <c r="A771" s="6"/>
      <c r="B771" s="7"/>
      <c r="C771" s="7"/>
      <c r="D771" s="8"/>
      <c r="E771" s="9"/>
      <c r="F771" s="9"/>
      <c r="G771" s="17"/>
      <c r="H771" s="17"/>
      <c r="I771" s="9"/>
      <c r="J771" s="9"/>
      <c r="K771" s="10">
        <v>0</v>
      </c>
      <c r="L771" s="10"/>
      <c r="M771" s="11"/>
      <c r="N771" s="12"/>
      <c r="O771" s="13"/>
      <c r="P771" s="14"/>
    </row>
    <row r="772" spans="1:20" x14ac:dyDescent="0.25">
      <c r="A772" s="6"/>
      <c r="B772" s="7"/>
      <c r="C772" s="7"/>
      <c r="D772" s="8"/>
      <c r="E772" s="9"/>
      <c r="F772" s="9"/>
      <c r="G772" s="17"/>
      <c r="H772" s="17"/>
      <c r="I772" s="9"/>
      <c r="J772" s="9"/>
      <c r="K772" s="10">
        <v>0</v>
      </c>
      <c r="L772" s="10"/>
      <c r="M772" s="11"/>
      <c r="N772" s="12"/>
      <c r="O772" s="13"/>
      <c r="P772" s="14"/>
    </row>
    <row r="773" spans="1:20" x14ac:dyDescent="0.25">
      <c r="A773" s="6"/>
      <c r="B773" s="7"/>
      <c r="C773" s="7"/>
      <c r="D773" s="8"/>
      <c r="E773" s="9"/>
      <c r="F773" s="9"/>
      <c r="G773" s="17"/>
      <c r="H773" s="17"/>
      <c r="I773" s="9"/>
      <c r="J773" s="9"/>
      <c r="K773" s="10">
        <v>0</v>
      </c>
      <c r="L773" s="10"/>
      <c r="M773" s="11"/>
      <c r="N773" s="12"/>
      <c r="O773" s="13"/>
      <c r="P773" s="14"/>
    </row>
    <row r="774" spans="1:20" x14ac:dyDescent="0.25">
      <c r="A774" s="6"/>
      <c r="B774" s="7"/>
      <c r="C774" s="8"/>
      <c r="D774" s="8"/>
      <c r="E774" s="9"/>
      <c r="F774" s="9"/>
      <c r="G774" s="17"/>
      <c r="H774" s="17"/>
      <c r="I774" s="9"/>
      <c r="J774" s="9"/>
      <c r="K774" s="10">
        <v>0</v>
      </c>
      <c r="L774" s="10"/>
      <c r="M774" s="11"/>
      <c r="N774" s="12"/>
      <c r="O774" s="13"/>
      <c r="P774" s="14"/>
    </row>
    <row r="775" spans="1:20" x14ac:dyDescent="0.25">
      <c r="A775" s="6"/>
      <c r="B775" s="7"/>
      <c r="C775" s="8"/>
      <c r="D775" s="8"/>
      <c r="E775" s="9"/>
      <c r="F775" s="9"/>
      <c r="G775" s="17"/>
      <c r="H775" s="17"/>
      <c r="I775" s="9"/>
      <c r="J775" s="9"/>
      <c r="K775" s="10">
        <v>0</v>
      </c>
      <c r="L775" s="10"/>
      <c r="M775" s="11"/>
      <c r="N775" s="12"/>
      <c r="O775" s="13"/>
      <c r="P775" s="14"/>
    </row>
    <row r="776" spans="1:20" x14ac:dyDescent="0.25">
      <c r="A776" s="6"/>
      <c r="B776" s="7"/>
      <c r="C776" s="8"/>
      <c r="D776" s="8"/>
      <c r="E776" s="9"/>
      <c r="F776" s="9"/>
      <c r="G776" s="17"/>
      <c r="H776" s="17"/>
      <c r="I776" s="9"/>
      <c r="J776" s="9"/>
      <c r="K776" s="10">
        <v>0</v>
      </c>
      <c r="L776" s="10"/>
      <c r="M776" s="11"/>
      <c r="N776" s="12"/>
      <c r="O776" s="13"/>
      <c r="P776" s="14"/>
    </row>
    <row r="777" spans="1:20" x14ac:dyDescent="0.25">
      <c r="A777" s="6"/>
      <c r="B777" s="7"/>
      <c r="C777" s="8"/>
      <c r="D777" s="8"/>
      <c r="E777" s="9"/>
      <c r="F777" s="9"/>
      <c r="G777" s="17"/>
      <c r="H777" s="17"/>
      <c r="I777" s="9"/>
      <c r="J777" s="9"/>
      <c r="K777" s="10">
        <v>0</v>
      </c>
      <c r="L777" s="10"/>
      <c r="M777" s="11"/>
      <c r="N777" s="12"/>
      <c r="O777" s="13"/>
      <c r="P777" s="14"/>
    </row>
    <row r="778" spans="1:20" x14ac:dyDescent="0.25">
      <c r="A778" s="6"/>
      <c r="B778" s="7"/>
      <c r="C778" s="8"/>
      <c r="D778" s="8"/>
      <c r="E778" s="9"/>
      <c r="F778" s="9"/>
      <c r="G778" s="17"/>
      <c r="H778" s="17"/>
      <c r="I778" s="9"/>
      <c r="J778" s="9"/>
      <c r="K778" s="10">
        <v>0</v>
      </c>
      <c r="L778" s="10"/>
      <c r="M778" s="11"/>
      <c r="N778" s="12"/>
      <c r="O778" s="13"/>
      <c r="P778" s="14"/>
    </row>
    <row r="779" spans="1:20" x14ac:dyDescent="0.25">
      <c r="A779" s="6"/>
      <c r="B779" s="7"/>
      <c r="C779" s="8"/>
      <c r="D779" s="8"/>
      <c r="E779" s="9"/>
      <c r="F779" s="9"/>
      <c r="G779" s="17"/>
      <c r="H779" s="17"/>
      <c r="I779" s="9"/>
      <c r="J779" s="9"/>
      <c r="K779" s="10">
        <v>0</v>
      </c>
      <c r="L779" s="10"/>
      <c r="M779" s="11"/>
      <c r="N779" s="12"/>
      <c r="O779" s="13"/>
      <c r="P779" s="14"/>
    </row>
    <row r="780" spans="1:20" x14ac:dyDescent="0.25">
      <c r="A780" s="6"/>
      <c r="B780" s="7"/>
      <c r="C780" s="8"/>
      <c r="D780" s="8"/>
      <c r="E780" s="9"/>
      <c r="F780" s="9"/>
      <c r="G780" s="17"/>
      <c r="H780" s="17"/>
      <c r="I780" s="9"/>
      <c r="J780" s="9"/>
      <c r="K780" s="10">
        <v>0</v>
      </c>
      <c r="L780" s="10"/>
      <c r="M780" s="11"/>
      <c r="N780" s="12"/>
      <c r="O780" s="13"/>
      <c r="P780" s="14"/>
    </row>
    <row r="781" spans="1:20" x14ac:dyDescent="0.25">
      <c r="A781" s="6"/>
      <c r="B781" s="7"/>
      <c r="C781" s="8"/>
      <c r="D781" s="8"/>
      <c r="E781" s="9"/>
      <c r="F781" s="9"/>
      <c r="G781" s="17"/>
      <c r="H781" s="17"/>
      <c r="I781" s="9"/>
      <c r="J781" s="9"/>
      <c r="K781" s="10">
        <v>0</v>
      </c>
      <c r="L781" s="10"/>
      <c r="M781" s="11"/>
      <c r="N781" s="12"/>
      <c r="O781" s="13"/>
      <c r="P781" s="14"/>
    </row>
    <row r="782" spans="1:20" x14ac:dyDescent="0.25">
      <c r="A782" s="6"/>
      <c r="B782" s="7"/>
      <c r="C782" s="8"/>
      <c r="D782" s="8"/>
      <c r="E782" s="9"/>
      <c r="F782" s="9"/>
      <c r="G782" s="17"/>
      <c r="H782" s="17"/>
      <c r="I782" s="9"/>
      <c r="J782" s="9"/>
      <c r="K782" s="10">
        <v>0</v>
      </c>
      <c r="L782" s="10"/>
      <c r="M782" s="11"/>
      <c r="N782" s="12"/>
      <c r="O782" s="13"/>
      <c r="P782" s="14"/>
    </row>
    <row r="783" spans="1:20" x14ac:dyDescent="0.25">
      <c r="A783" s="6"/>
      <c r="B783" s="7"/>
      <c r="C783" s="8"/>
      <c r="D783" s="8"/>
      <c r="E783" s="9"/>
      <c r="F783" s="9"/>
      <c r="G783" s="17"/>
      <c r="H783" s="17"/>
      <c r="I783" s="9"/>
      <c r="J783" s="9"/>
      <c r="K783" s="10">
        <v>0</v>
      </c>
      <c r="L783" s="10"/>
      <c r="M783" s="11"/>
      <c r="N783" s="12"/>
      <c r="O783" s="13"/>
      <c r="P783" s="14"/>
    </row>
    <row r="784" spans="1:20" x14ac:dyDescent="0.25">
      <c r="A784" s="6"/>
      <c r="B784" s="7"/>
      <c r="C784" s="8"/>
      <c r="D784" s="8"/>
      <c r="E784" s="9"/>
      <c r="F784" s="9"/>
      <c r="G784" s="17"/>
      <c r="H784" s="17"/>
      <c r="I784" s="9"/>
      <c r="J784" s="9"/>
      <c r="K784" s="10">
        <v>0</v>
      </c>
      <c r="L784" s="10"/>
      <c r="M784" s="11"/>
      <c r="N784" s="12"/>
      <c r="O784" s="13"/>
      <c r="P784" s="14"/>
      <c r="T784" s="1">
        <v>-20359</v>
      </c>
    </row>
    <row r="785" spans="1:16" x14ac:dyDescent="0.25">
      <c r="A785" s="6"/>
      <c r="B785" s="7"/>
      <c r="C785" s="8"/>
      <c r="D785" s="8"/>
      <c r="E785" s="9"/>
      <c r="F785" s="9"/>
      <c r="G785" s="17"/>
      <c r="H785" s="17"/>
      <c r="I785" s="9"/>
      <c r="J785" s="9"/>
      <c r="K785" s="10">
        <v>0</v>
      </c>
      <c r="L785" s="10"/>
      <c r="M785" s="11"/>
      <c r="N785" s="12"/>
      <c r="O785" s="13"/>
      <c r="P785" s="14"/>
    </row>
    <row r="786" spans="1:16" x14ac:dyDescent="0.25">
      <c r="A786" s="6"/>
      <c r="B786" s="7"/>
      <c r="C786" s="8"/>
      <c r="D786" s="8"/>
      <c r="E786" s="9"/>
      <c r="F786" s="9"/>
      <c r="G786" s="17"/>
      <c r="H786" s="17"/>
      <c r="I786" s="9"/>
      <c r="J786" s="9"/>
      <c r="K786" s="10">
        <v>0</v>
      </c>
      <c r="L786" s="10"/>
      <c r="M786" s="11"/>
      <c r="N786" s="12"/>
      <c r="O786" s="13"/>
      <c r="P786" s="14"/>
    </row>
    <row r="787" spans="1:16" x14ac:dyDescent="0.25">
      <c r="A787" s="6"/>
      <c r="B787" s="7"/>
      <c r="C787" s="8"/>
      <c r="D787" s="8"/>
      <c r="E787" s="9"/>
      <c r="F787" s="9"/>
      <c r="G787" s="17"/>
      <c r="H787" s="17"/>
      <c r="I787" s="9"/>
      <c r="J787" s="9"/>
      <c r="K787" s="10">
        <v>0</v>
      </c>
      <c r="L787" s="10"/>
      <c r="M787" s="11"/>
      <c r="N787" s="12"/>
      <c r="O787" s="13"/>
      <c r="P787" s="14"/>
    </row>
    <row r="788" spans="1:16" x14ac:dyDescent="0.25">
      <c r="A788" s="6"/>
      <c r="B788" s="7"/>
      <c r="C788" s="8"/>
      <c r="D788" s="8"/>
      <c r="E788" s="9"/>
      <c r="F788" s="9"/>
      <c r="G788" s="17"/>
      <c r="H788" s="17"/>
      <c r="I788" s="9"/>
      <c r="J788" s="9"/>
      <c r="K788" s="10">
        <v>0</v>
      </c>
      <c r="L788" s="10"/>
      <c r="M788" s="11"/>
      <c r="N788" s="12"/>
      <c r="O788" s="13"/>
      <c r="P788" s="14"/>
    </row>
    <row r="789" spans="1:16" x14ac:dyDescent="0.25">
      <c r="A789" s="6"/>
      <c r="B789" s="7"/>
      <c r="C789" s="8"/>
      <c r="D789" s="8"/>
      <c r="E789" s="9"/>
      <c r="F789" s="9"/>
      <c r="G789" s="17"/>
      <c r="H789" s="17"/>
      <c r="I789" s="9"/>
      <c r="J789" s="9"/>
      <c r="K789" s="10">
        <v>0</v>
      </c>
      <c r="L789" s="10"/>
      <c r="M789" s="11"/>
      <c r="N789" s="12"/>
      <c r="O789" s="13"/>
      <c r="P789" s="14"/>
    </row>
    <row r="790" spans="1:16" x14ac:dyDescent="0.25">
      <c r="A790" s="6"/>
      <c r="B790" s="7"/>
      <c r="C790" s="8"/>
      <c r="D790" s="8"/>
      <c r="E790" s="9"/>
      <c r="F790" s="9"/>
      <c r="G790" s="17"/>
      <c r="H790" s="17"/>
      <c r="I790" s="9"/>
      <c r="J790" s="9"/>
      <c r="K790" s="10">
        <v>0</v>
      </c>
      <c r="L790" s="10"/>
      <c r="M790" s="11"/>
      <c r="N790" s="12"/>
      <c r="O790" s="13"/>
      <c r="P790" s="14"/>
    </row>
    <row r="791" spans="1:16" x14ac:dyDescent="0.25">
      <c r="A791" s="6"/>
      <c r="B791" s="7"/>
      <c r="C791" s="8"/>
      <c r="D791" s="8"/>
      <c r="E791" s="9"/>
      <c r="F791" s="9"/>
      <c r="G791" s="17"/>
      <c r="H791" s="17"/>
      <c r="I791" s="9"/>
      <c r="J791" s="9"/>
      <c r="K791" s="10">
        <v>0</v>
      </c>
      <c r="L791" s="10"/>
      <c r="M791" s="11"/>
      <c r="N791" s="12"/>
      <c r="O791" s="13"/>
      <c r="P791" s="14"/>
    </row>
    <row r="792" spans="1:16" x14ac:dyDescent="0.25">
      <c r="A792" s="6"/>
      <c r="B792" s="7"/>
      <c r="C792" s="8"/>
      <c r="D792" s="8"/>
      <c r="E792" s="9"/>
      <c r="F792" s="9"/>
      <c r="G792" s="17"/>
      <c r="H792" s="17"/>
      <c r="I792" s="9"/>
      <c r="J792" s="9"/>
      <c r="K792" s="10">
        <v>0</v>
      </c>
      <c r="L792" s="10"/>
      <c r="M792" s="11"/>
      <c r="N792" s="12"/>
      <c r="O792" s="13"/>
      <c r="P792" s="14"/>
    </row>
    <row r="793" spans="1:16" x14ac:dyDescent="0.25">
      <c r="A793" s="6"/>
      <c r="B793" s="7"/>
      <c r="C793" s="8"/>
      <c r="D793" s="8"/>
      <c r="E793" s="9"/>
      <c r="F793" s="9"/>
      <c r="G793" s="17"/>
      <c r="H793" s="17"/>
      <c r="I793" s="9"/>
      <c r="J793" s="9"/>
      <c r="K793" s="10">
        <v>0</v>
      </c>
      <c r="L793" s="10"/>
      <c r="M793" s="11"/>
      <c r="N793" s="12"/>
      <c r="O793" s="13"/>
      <c r="P793" s="14"/>
    </row>
    <row r="794" spans="1:16" x14ac:dyDescent="0.25">
      <c r="A794" s="6"/>
      <c r="B794" s="7"/>
      <c r="C794" s="8"/>
      <c r="D794" s="8"/>
      <c r="E794" s="9"/>
      <c r="F794" s="9"/>
      <c r="G794" s="17"/>
      <c r="H794" s="17"/>
      <c r="I794" s="9"/>
      <c r="J794" s="9"/>
      <c r="K794" s="10">
        <v>0</v>
      </c>
      <c r="L794" s="10"/>
      <c r="M794" s="11"/>
      <c r="N794" s="12"/>
      <c r="O794" s="13"/>
      <c r="P794" s="14"/>
    </row>
    <row r="795" spans="1:16" x14ac:dyDescent="0.25">
      <c r="A795" s="6"/>
      <c r="B795" s="7"/>
      <c r="C795" s="8"/>
      <c r="D795" s="8"/>
      <c r="E795" s="9"/>
      <c r="F795" s="9"/>
      <c r="G795" s="17"/>
      <c r="H795" s="17"/>
      <c r="I795" s="9"/>
      <c r="J795" s="9"/>
      <c r="K795" s="10">
        <v>0</v>
      </c>
      <c r="L795" s="10"/>
      <c r="M795" s="11"/>
      <c r="N795" s="12"/>
      <c r="O795" s="13"/>
      <c r="P795" s="14"/>
    </row>
    <row r="796" spans="1:16" x14ac:dyDescent="0.25">
      <c r="A796" s="6"/>
      <c r="B796" s="7"/>
      <c r="C796" s="8"/>
      <c r="D796" s="8"/>
      <c r="E796" s="9"/>
      <c r="F796" s="9"/>
      <c r="G796" s="17"/>
      <c r="H796" s="17"/>
      <c r="I796" s="9"/>
      <c r="J796" s="9"/>
      <c r="K796" s="10">
        <v>0</v>
      </c>
      <c r="L796" s="10"/>
      <c r="M796" s="11"/>
      <c r="N796" s="12"/>
      <c r="O796" s="13"/>
      <c r="P796" s="14"/>
    </row>
    <row r="797" spans="1:16" x14ac:dyDescent="0.25">
      <c r="A797" s="6"/>
      <c r="B797" s="7"/>
      <c r="C797" s="8"/>
      <c r="D797" s="8"/>
      <c r="E797" s="9"/>
      <c r="F797" s="9"/>
      <c r="G797" s="17"/>
      <c r="H797" s="17"/>
      <c r="I797" s="9"/>
      <c r="J797" s="9"/>
      <c r="K797" s="10">
        <v>0</v>
      </c>
      <c r="L797" s="10"/>
      <c r="M797" s="11"/>
      <c r="N797" s="12"/>
      <c r="O797" s="13"/>
      <c r="P797" s="14"/>
    </row>
    <row r="798" spans="1:16" x14ac:dyDescent="0.25">
      <c r="A798" s="6"/>
      <c r="B798" s="7"/>
      <c r="C798" s="8"/>
      <c r="D798" s="8"/>
      <c r="E798" s="9"/>
      <c r="F798" s="9"/>
      <c r="G798" s="17"/>
      <c r="H798" s="17"/>
      <c r="I798" s="9"/>
      <c r="J798" s="9"/>
      <c r="K798" s="10">
        <v>0</v>
      </c>
      <c r="L798" s="10"/>
      <c r="M798" s="11"/>
      <c r="N798" s="12"/>
      <c r="O798" s="13"/>
      <c r="P798" s="14"/>
    </row>
    <row r="799" spans="1:16" x14ac:dyDescent="0.25">
      <c r="A799" s="6"/>
      <c r="B799" s="7"/>
      <c r="C799" s="8"/>
      <c r="D799" s="8"/>
      <c r="E799" s="9"/>
      <c r="F799" s="9"/>
      <c r="G799" s="17"/>
      <c r="H799" s="17"/>
      <c r="I799" s="9"/>
      <c r="J799" s="9"/>
      <c r="K799" s="10">
        <v>0</v>
      </c>
      <c r="L799" s="10"/>
      <c r="M799" s="11"/>
      <c r="N799" s="12"/>
      <c r="O799" s="13"/>
      <c r="P799" s="14"/>
    </row>
    <row r="800" spans="1:16" x14ac:dyDescent="0.25">
      <c r="A800" s="6"/>
      <c r="B800" s="7"/>
      <c r="C800" s="8"/>
      <c r="D800" s="8"/>
      <c r="E800" s="9"/>
      <c r="F800" s="9"/>
      <c r="G800" s="17"/>
      <c r="H800" s="17"/>
      <c r="I800" s="9"/>
      <c r="J800" s="9"/>
      <c r="K800" s="10">
        <v>0</v>
      </c>
      <c r="L800" s="10"/>
      <c r="M800" s="11"/>
      <c r="N800" s="12"/>
      <c r="O800" s="13"/>
      <c r="P800" s="14"/>
    </row>
    <row r="801" spans="1:16" x14ac:dyDescent="0.25">
      <c r="A801" s="6"/>
      <c r="B801" s="7"/>
      <c r="C801" s="8"/>
      <c r="D801" s="8"/>
      <c r="E801" s="9"/>
      <c r="F801" s="9"/>
      <c r="G801" s="17"/>
      <c r="H801" s="17"/>
      <c r="I801" s="9"/>
      <c r="J801" s="9"/>
      <c r="K801" s="10">
        <v>0</v>
      </c>
      <c r="L801" s="10"/>
      <c r="M801" s="11"/>
      <c r="N801" s="12"/>
      <c r="O801" s="13"/>
      <c r="P801" s="14"/>
    </row>
    <row r="802" spans="1:16" x14ac:dyDescent="0.25">
      <c r="A802" s="6"/>
      <c r="B802" s="7"/>
      <c r="C802" s="8"/>
      <c r="D802" s="8"/>
      <c r="E802" s="9"/>
      <c r="F802" s="9"/>
      <c r="G802" s="17"/>
      <c r="H802" s="17"/>
      <c r="I802" s="9"/>
      <c r="J802" s="9"/>
      <c r="K802" s="10">
        <v>0</v>
      </c>
      <c r="L802" s="10"/>
      <c r="M802" s="11"/>
      <c r="N802" s="12"/>
      <c r="O802" s="13"/>
      <c r="P802" s="14"/>
    </row>
    <row r="803" spans="1:16" x14ac:dyDescent="0.25">
      <c r="A803" s="6"/>
      <c r="B803" s="7"/>
      <c r="C803" s="8"/>
      <c r="D803" s="8"/>
      <c r="E803" s="9"/>
      <c r="F803" s="9"/>
      <c r="G803" s="17"/>
      <c r="H803" s="17"/>
      <c r="I803" s="9"/>
      <c r="J803" s="9"/>
      <c r="K803" s="10">
        <v>0</v>
      </c>
      <c r="L803" s="10"/>
      <c r="M803" s="11"/>
      <c r="N803" s="12"/>
      <c r="O803" s="13"/>
      <c r="P803" s="14"/>
    </row>
    <row r="804" spans="1:16" x14ac:dyDescent="0.25">
      <c r="A804" s="6"/>
      <c r="B804" s="7"/>
      <c r="C804" s="8"/>
      <c r="D804" s="8"/>
      <c r="E804" s="9"/>
      <c r="F804" s="9"/>
      <c r="G804" s="17"/>
      <c r="H804" s="17"/>
      <c r="I804" s="9"/>
      <c r="J804" s="9"/>
      <c r="K804" s="10">
        <v>0</v>
      </c>
      <c r="L804" s="10"/>
      <c r="M804" s="11"/>
      <c r="N804" s="12"/>
      <c r="O804" s="13"/>
      <c r="P804" s="14"/>
    </row>
    <row r="805" spans="1:16" x14ac:dyDescent="0.25">
      <c r="A805" s="6"/>
      <c r="B805" s="7"/>
      <c r="C805" s="8"/>
      <c r="D805" s="8"/>
      <c r="E805" s="9"/>
      <c r="F805" s="9"/>
      <c r="G805" s="17"/>
      <c r="H805" s="17"/>
      <c r="I805" s="9"/>
      <c r="J805" s="9"/>
      <c r="K805" s="10">
        <v>0</v>
      </c>
      <c r="L805" s="10"/>
      <c r="M805" s="11"/>
      <c r="N805" s="12"/>
      <c r="O805" s="13"/>
      <c r="P805" s="14"/>
    </row>
    <row r="806" spans="1:16" x14ac:dyDescent="0.25">
      <c r="A806" s="6"/>
      <c r="B806" s="7"/>
      <c r="C806" s="8"/>
      <c r="D806" s="8"/>
      <c r="E806" s="9"/>
      <c r="F806" s="9"/>
      <c r="G806" s="17"/>
      <c r="H806" s="17"/>
      <c r="I806" s="9"/>
      <c r="J806" s="9"/>
      <c r="K806" s="10">
        <v>0</v>
      </c>
      <c r="L806" s="10"/>
      <c r="M806" s="11"/>
      <c r="N806" s="12"/>
      <c r="O806" s="13"/>
      <c r="P806" s="14"/>
    </row>
    <row r="807" spans="1:16" x14ac:dyDescent="0.25">
      <c r="B807" s="7"/>
      <c r="C807" s="8"/>
      <c r="D807" s="8"/>
      <c r="E807" s="9"/>
      <c r="F807" s="9"/>
      <c r="G807" s="17"/>
      <c r="H807" s="17"/>
      <c r="I807" s="9"/>
      <c r="J807" s="9"/>
      <c r="K807" s="10">
        <v>0</v>
      </c>
      <c r="L807" s="10"/>
      <c r="M807" s="11"/>
      <c r="N807" s="12"/>
      <c r="O807" s="13"/>
      <c r="P807" s="14"/>
    </row>
    <row r="808" spans="1:16" x14ac:dyDescent="0.25">
      <c r="B808" s="7"/>
      <c r="C808" s="8"/>
      <c r="D808" s="8"/>
      <c r="E808" s="9"/>
      <c r="F808" s="9"/>
      <c r="G808" s="17"/>
      <c r="H808" s="17"/>
      <c r="I808" s="9"/>
      <c r="J808" s="9"/>
      <c r="K808" s="10">
        <v>0</v>
      </c>
      <c r="L808" s="10"/>
      <c r="M808" s="11"/>
      <c r="N808" s="12"/>
      <c r="O808" s="13"/>
      <c r="P808" s="14"/>
    </row>
    <row r="809" spans="1:16" x14ac:dyDescent="0.25">
      <c r="B809" s="7"/>
      <c r="C809" s="8"/>
      <c r="D809" s="8"/>
      <c r="E809" s="9"/>
      <c r="F809" s="9"/>
      <c r="G809" s="17"/>
      <c r="H809" s="17"/>
      <c r="I809" s="9"/>
      <c r="J809" s="9"/>
      <c r="K809" s="10">
        <v>0</v>
      </c>
      <c r="L809" s="10"/>
      <c r="M809" s="11"/>
      <c r="N809" s="12"/>
      <c r="O809" s="13"/>
      <c r="P809" s="14"/>
    </row>
    <row r="810" spans="1:16" x14ac:dyDescent="0.25">
      <c r="B810" s="7"/>
      <c r="C810" s="8"/>
      <c r="D810" s="8"/>
      <c r="E810" s="9"/>
      <c r="F810" s="9"/>
      <c r="G810" s="17"/>
      <c r="H810" s="17"/>
      <c r="I810" s="9"/>
      <c r="J810" s="9"/>
      <c r="K810" s="10">
        <v>0</v>
      </c>
      <c r="L810" s="10"/>
      <c r="M810" s="11"/>
      <c r="N810" s="12"/>
      <c r="O810" s="13"/>
      <c r="P810" s="14"/>
    </row>
    <row r="811" spans="1:16" x14ac:dyDescent="0.25">
      <c r="B811" s="7"/>
      <c r="C811" s="8"/>
      <c r="D811" s="8"/>
      <c r="E811" s="9"/>
      <c r="F811" s="9"/>
      <c r="G811" s="17"/>
      <c r="H811" s="17"/>
      <c r="I811" s="9"/>
      <c r="J811" s="9"/>
      <c r="K811" s="10">
        <v>0</v>
      </c>
      <c r="L811" s="10"/>
      <c r="M811" s="11"/>
      <c r="N811" s="12"/>
      <c r="O811" s="13"/>
      <c r="P811" s="14"/>
    </row>
    <row r="812" spans="1:16" x14ac:dyDescent="0.25">
      <c r="B812" s="7"/>
      <c r="C812" s="8"/>
      <c r="D812" s="8"/>
      <c r="E812" s="9"/>
      <c r="F812" s="9"/>
      <c r="G812" s="17"/>
      <c r="H812" s="17"/>
      <c r="I812" s="9"/>
      <c r="J812" s="9"/>
      <c r="K812" s="10">
        <v>0</v>
      </c>
      <c r="L812" s="10"/>
      <c r="M812" s="11"/>
      <c r="N812" s="12"/>
      <c r="O812" s="13"/>
      <c r="P812" s="14"/>
    </row>
    <row r="813" spans="1:16" x14ac:dyDescent="0.25">
      <c r="B813" s="7"/>
      <c r="C813" s="8"/>
      <c r="D813" s="8"/>
      <c r="E813" s="9"/>
      <c r="F813" s="9"/>
      <c r="G813" s="17"/>
      <c r="H813" s="17"/>
      <c r="I813" s="9"/>
      <c r="J813" s="9"/>
      <c r="K813" s="10">
        <v>0</v>
      </c>
      <c r="L813" s="10"/>
      <c r="M813" s="11"/>
      <c r="N813" s="12"/>
      <c r="O813" s="13"/>
      <c r="P813" s="14"/>
    </row>
    <row r="814" spans="1:16" x14ac:dyDescent="0.25">
      <c r="B814" s="7"/>
      <c r="C814" s="8"/>
      <c r="D814" s="8"/>
      <c r="E814" s="9"/>
      <c r="F814" s="9"/>
      <c r="G814" s="17"/>
      <c r="H814" s="17"/>
      <c r="I814" s="9"/>
      <c r="J814" s="9"/>
      <c r="K814" s="10">
        <v>0</v>
      </c>
      <c r="L814" s="10"/>
      <c r="M814" s="11"/>
      <c r="N814" s="12"/>
      <c r="O814" s="13"/>
      <c r="P814" s="14"/>
    </row>
    <row r="815" spans="1:16" x14ac:dyDescent="0.25">
      <c r="B815" s="7"/>
      <c r="C815" s="8"/>
      <c r="D815" s="8"/>
      <c r="E815" s="9"/>
      <c r="F815" s="9"/>
      <c r="G815" s="17"/>
      <c r="H815" s="17"/>
      <c r="I815" s="9"/>
      <c r="J815" s="9"/>
      <c r="K815" s="10">
        <v>0</v>
      </c>
      <c r="L815" s="10"/>
      <c r="M815" s="11"/>
      <c r="N815" s="12"/>
      <c r="O815" s="13"/>
      <c r="P815" s="14"/>
    </row>
    <row r="816" spans="1:16" x14ac:dyDescent="0.25">
      <c r="B816" s="7"/>
      <c r="C816" s="8"/>
      <c r="D816" s="8"/>
      <c r="E816" s="9"/>
      <c r="F816" s="9"/>
      <c r="G816" s="17"/>
      <c r="H816" s="17"/>
      <c r="I816" s="9"/>
      <c r="J816" s="9"/>
      <c r="K816" s="10">
        <v>0</v>
      </c>
      <c r="L816" s="10"/>
      <c r="M816" s="11"/>
      <c r="N816" s="12"/>
      <c r="O816" s="13"/>
      <c r="P816" s="14"/>
    </row>
    <row r="817" spans="1:16" x14ac:dyDescent="0.25">
      <c r="B817" s="7"/>
      <c r="C817" s="8"/>
      <c r="D817" s="8"/>
      <c r="E817" s="9"/>
      <c r="F817" s="9"/>
      <c r="G817" s="17"/>
      <c r="H817" s="17"/>
      <c r="I817" s="9"/>
      <c r="J817" s="9"/>
      <c r="K817" s="10">
        <v>0</v>
      </c>
      <c r="L817" s="10"/>
      <c r="M817" s="11"/>
      <c r="N817" s="12"/>
      <c r="O817" s="13"/>
      <c r="P817" s="14"/>
    </row>
    <row r="818" spans="1:16" x14ac:dyDescent="0.25">
      <c r="A818" s="7"/>
      <c r="B818" s="7"/>
      <c r="C818" s="8"/>
      <c r="D818" s="8"/>
      <c r="E818" s="9"/>
      <c r="F818" s="9"/>
      <c r="G818" s="17"/>
      <c r="H818" s="17"/>
      <c r="I818" s="9"/>
      <c r="J818" s="9"/>
      <c r="K818" s="10">
        <v>0</v>
      </c>
      <c r="L818" s="10"/>
      <c r="M818" s="11"/>
      <c r="N818" s="12"/>
      <c r="O818" s="13"/>
      <c r="P818" s="14"/>
    </row>
    <row r="819" spans="1:16" x14ac:dyDescent="0.25">
      <c r="A819" s="7"/>
      <c r="B819" s="7"/>
      <c r="C819" s="8"/>
      <c r="D819" s="8"/>
      <c r="E819" s="9"/>
      <c r="F819" s="9"/>
      <c r="G819" s="17"/>
      <c r="H819" s="17"/>
      <c r="I819" s="9"/>
      <c r="J819" s="9"/>
      <c r="K819" s="10">
        <v>0</v>
      </c>
      <c r="L819" s="10"/>
      <c r="M819" s="11"/>
      <c r="N819" s="12"/>
      <c r="O819" s="13"/>
      <c r="P819" s="14"/>
    </row>
    <row r="820" spans="1:16" x14ac:dyDescent="0.25">
      <c r="A820" s="7"/>
      <c r="B820" s="7"/>
      <c r="C820" s="8"/>
      <c r="D820" s="8"/>
      <c r="E820" s="9"/>
      <c r="F820" s="9"/>
      <c r="G820" s="17"/>
      <c r="H820" s="17"/>
      <c r="I820" s="9"/>
      <c r="J820" s="9"/>
      <c r="K820" s="10">
        <v>0</v>
      </c>
      <c r="L820" s="10"/>
      <c r="M820" s="11"/>
      <c r="N820" s="12"/>
      <c r="O820" s="13"/>
      <c r="P820" s="14"/>
    </row>
    <row r="821" spans="1:16" x14ac:dyDescent="0.25">
      <c r="A821" s="7"/>
      <c r="B821" s="7"/>
      <c r="C821" s="8"/>
      <c r="D821" s="8"/>
      <c r="E821" s="9"/>
      <c r="F821" s="9"/>
      <c r="G821" s="17"/>
      <c r="H821" s="17"/>
      <c r="I821" s="9"/>
      <c r="J821" s="9"/>
      <c r="K821" s="10">
        <v>0</v>
      </c>
      <c r="L821" s="10"/>
      <c r="M821" s="11"/>
      <c r="N821" s="12"/>
      <c r="O821" s="13"/>
      <c r="P821" s="14"/>
    </row>
    <row r="822" spans="1:16" x14ac:dyDescent="0.25">
      <c r="A822" s="7"/>
      <c r="B822" s="7"/>
      <c r="C822" s="8"/>
      <c r="D822" s="8"/>
      <c r="E822" s="9"/>
      <c r="F822" s="9"/>
      <c r="G822" s="17"/>
      <c r="H822" s="17"/>
      <c r="I822" s="9"/>
      <c r="J822" s="9"/>
      <c r="K822" s="10">
        <v>0</v>
      </c>
      <c r="L822" s="10"/>
      <c r="M822" s="11"/>
      <c r="N822" s="12"/>
      <c r="O822" s="13"/>
      <c r="P822" s="14"/>
    </row>
    <row r="823" spans="1:16" x14ac:dyDescent="0.25">
      <c r="A823" s="7"/>
      <c r="B823" s="7"/>
      <c r="C823" s="8"/>
      <c r="D823" s="8"/>
      <c r="E823" s="9"/>
      <c r="F823" s="9"/>
      <c r="G823" s="17"/>
      <c r="H823" s="17"/>
      <c r="I823" s="9"/>
      <c r="J823" s="9"/>
      <c r="K823" s="10">
        <v>0</v>
      </c>
      <c r="L823" s="10"/>
      <c r="M823" s="11"/>
      <c r="N823" s="12"/>
      <c r="O823" s="13"/>
      <c r="P823" s="14"/>
    </row>
    <row r="824" spans="1:16" x14ac:dyDescent="0.25">
      <c r="A824" s="7"/>
      <c r="B824" s="7"/>
      <c r="C824" s="8"/>
      <c r="D824" s="8"/>
      <c r="E824" s="9"/>
      <c r="F824" s="9"/>
      <c r="G824" s="17"/>
      <c r="H824" s="17"/>
      <c r="I824" s="9"/>
      <c r="J824" s="9"/>
      <c r="K824" s="10">
        <v>0</v>
      </c>
      <c r="L824" s="10"/>
      <c r="M824" s="11"/>
      <c r="N824" s="12"/>
      <c r="O824" s="13"/>
      <c r="P824" s="14"/>
    </row>
    <row r="825" spans="1:16" x14ac:dyDescent="0.25">
      <c r="A825" s="7"/>
      <c r="B825" s="7"/>
      <c r="C825" s="8"/>
      <c r="D825" s="8"/>
      <c r="E825" s="9"/>
      <c r="F825" s="9"/>
      <c r="G825" s="17"/>
      <c r="H825" s="17"/>
      <c r="I825" s="9"/>
      <c r="J825" s="9"/>
      <c r="K825" s="10">
        <v>0</v>
      </c>
      <c r="L825" s="10"/>
      <c r="M825" s="11"/>
      <c r="N825" s="12"/>
      <c r="O825" s="13"/>
      <c r="P825" s="14"/>
    </row>
    <row r="826" spans="1:16" x14ac:dyDescent="0.25">
      <c r="A826" s="7"/>
      <c r="B826" s="7"/>
      <c r="C826" s="8"/>
      <c r="D826" s="8"/>
      <c r="E826" s="9"/>
      <c r="F826" s="9"/>
      <c r="G826" s="17"/>
      <c r="H826" s="17"/>
      <c r="I826" s="9"/>
      <c r="J826" s="9"/>
      <c r="K826" s="10">
        <v>0</v>
      </c>
      <c r="L826" s="10"/>
      <c r="M826" s="11"/>
      <c r="N826" s="12"/>
      <c r="O826" s="13"/>
      <c r="P826" s="14"/>
    </row>
    <row r="827" spans="1:16" x14ac:dyDescent="0.25">
      <c r="A827" s="7"/>
      <c r="B827" s="7"/>
      <c r="C827" s="8"/>
      <c r="D827" s="8"/>
      <c r="E827" s="9"/>
      <c r="F827" s="9"/>
      <c r="G827" s="17"/>
      <c r="H827" s="17"/>
      <c r="I827" s="9"/>
      <c r="J827" s="9"/>
      <c r="K827" s="10">
        <v>0</v>
      </c>
      <c r="L827" s="10"/>
      <c r="M827" s="11"/>
      <c r="N827" s="12"/>
      <c r="O827" s="13"/>
      <c r="P827" s="14"/>
    </row>
    <row r="828" spans="1:16" x14ac:dyDescent="0.25">
      <c r="A828" s="7"/>
      <c r="B828" s="7"/>
      <c r="C828" s="8"/>
      <c r="D828" s="8"/>
      <c r="E828" s="9"/>
      <c r="F828" s="9"/>
      <c r="G828" s="17"/>
      <c r="H828" s="17"/>
      <c r="I828" s="9"/>
      <c r="J828" s="9"/>
      <c r="K828" s="10">
        <v>0</v>
      </c>
      <c r="L828" s="10"/>
      <c r="M828" s="11"/>
      <c r="N828" s="12"/>
      <c r="O828" s="13"/>
      <c r="P828" s="14"/>
    </row>
    <row r="829" spans="1:16" x14ac:dyDescent="0.25">
      <c r="A829" s="7"/>
      <c r="B829" s="7"/>
      <c r="C829" s="8"/>
      <c r="D829" s="8"/>
      <c r="E829" s="9"/>
      <c r="F829" s="9"/>
      <c r="G829" s="17"/>
      <c r="H829" s="17"/>
      <c r="I829" s="9"/>
      <c r="J829" s="9"/>
      <c r="K829" s="10">
        <v>0</v>
      </c>
      <c r="L829" s="10"/>
      <c r="M829" s="11"/>
      <c r="N829" s="12"/>
      <c r="O829" s="13"/>
      <c r="P829" s="14"/>
    </row>
    <row r="830" spans="1:16" x14ac:dyDescent="0.25">
      <c r="A830" s="7"/>
      <c r="B830" s="7"/>
      <c r="C830" s="8"/>
      <c r="D830" s="8"/>
      <c r="E830" s="9"/>
      <c r="F830" s="9"/>
      <c r="G830" s="17"/>
      <c r="H830" s="17"/>
      <c r="I830" s="9"/>
      <c r="J830" s="9"/>
      <c r="K830" s="10">
        <v>0</v>
      </c>
      <c r="L830" s="10"/>
      <c r="M830" s="11"/>
      <c r="N830" s="12"/>
      <c r="O830" s="13"/>
      <c r="P830" s="14"/>
    </row>
    <row r="831" spans="1:16" x14ac:dyDescent="0.25">
      <c r="A831" s="7"/>
      <c r="B831" s="7"/>
      <c r="C831" s="8"/>
      <c r="D831" s="8"/>
      <c r="E831" s="9"/>
      <c r="F831" s="9"/>
      <c r="G831" s="17"/>
      <c r="H831" s="17"/>
      <c r="I831" s="9"/>
      <c r="J831" s="9"/>
      <c r="K831" s="10">
        <v>0</v>
      </c>
      <c r="L831" s="10"/>
      <c r="M831" s="11"/>
      <c r="N831" s="12"/>
      <c r="O831" s="13"/>
      <c r="P831" s="14"/>
    </row>
    <row r="832" spans="1:16" x14ac:dyDescent="0.25">
      <c r="A832" s="7"/>
      <c r="B832" s="7"/>
      <c r="C832" s="8"/>
      <c r="D832" s="8"/>
      <c r="E832" s="9"/>
      <c r="F832" s="9"/>
      <c r="G832" s="17"/>
      <c r="H832" s="17"/>
      <c r="I832" s="9"/>
      <c r="J832" s="9"/>
      <c r="K832" s="10">
        <v>0</v>
      </c>
      <c r="L832" s="10"/>
      <c r="M832" s="11"/>
      <c r="N832" s="12"/>
      <c r="O832" s="13"/>
      <c r="P832" s="14"/>
    </row>
    <row r="833" spans="2:16" x14ac:dyDescent="0.25">
      <c r="B833" s="7"/>
      <c r="C833" s="8"/>
      <c r="D833" s="8"/>
      <c r="E833" s="9"/>
      <c r="F833" s="9"/>
      <c r="G833" s="17"/>
      <c r="H833" s="17"/>
      <c r="I833" s="9"/>
      <c r="J833" s="9"/>
      <c r="K833" s="10">
        <v>0</v>
      </c>
      <c r="L833" s="10"/>
      <c r="M833" s="11"/>
      <c r="N833" s="12"/>
      <c r="O833" s="13"/>
      <c r="P833" s="14"/>
    </row>
    <row r="834" spans="2:16" x14ac:dyDescent="0.25">
      <c r="B834" s="7"/>
      <c r="C834" s="8"/>
      <c r="D834" s="8"/>
      <c r="E834" s="9"/>
      <c r="F834" s="9"/>
      <c r="G834" s="17"/>
      <c r="H834" s="17"/>
      <c r="I834" s="9"/>
      <c r="J834" s="9"/>
      <c r="K834" s="10">
        <v>0</v>
      </c>
      <c r="L834" s="10"/>
      <c r="M834" s="11"/>
      <c r="N834" s="12"/>
      <c r="O834" s="13"/>
      <c r="P834" s="14"/>
    </row>
    <row r="835" spans="2:16" x14ac:dyDescent="0.25">
      <c r="B835" s="7"/>
      <c r="C835" s="8"/>
      <c r="D835" s="8"/>
      <c r="E835" s="9"/>
      <c r="F835" s="9"/>
      <c r="G835" s="17"/>
      <c r="H835" s="17"/>
      <c r="I835" s="9"/>
      <c r="J835" s="9"/>
      <c r="K835" s="10">
        <v>0</v>
      </c>
      <c r="L835" s="10"/>
      <c r="M835" s="11"/>
      <c r="N835" s="12"/>
      <c r="O835" s="13"/>
      <c r="P835" s="14"/>
    </row>
    <row r="836" spans="2:16" x14ac:dyDescent="0.25">
      <c r="B836" s="7"/>
      <c r="C836" s="8"/>
      <c r="D836" s="8"/>
      <c r="E836" s="9"/>
      <c r="F836" s="9"/>
      <c r="G836" s="17"/>
      <c r="H836" s="17"/>
      <c r="I836" s="9"/>
      <c r="J836" s="9"/>
      <c r="K836" s="10">
        <v>0</v>
      </c>
      <c r="L836" s="10"/>
      <c r="M836" s="11"/>
      <c r="N836" s="12"/>
      <c r="O836" s="13"/>
      <c r="P836" s="14"/>
    </row>
    <row r="837" spans="2:16" x14ac:dyDescent="0.25">
      <c r="B837" s="7"/>
      <c r="C837" s="8"/>
      <c r="D837" s="8"/>
      <c r="E837" s="9"/>
      <c r="F837" s="9"/>
      <c r="G837" s="17"/>
      <c r="H837" s="17"/>
      <c r="I837" s="9"/>
      <c r="J837" s="9"/>
      <c r="K837" s="10">
        <v>0</v>
      </c>
      <c r="L837" s="10"/>
      <c r="M837" s="11"/>
      <c r="N837" s="12"/>
      <c r="O837" s="13"/>
      <c r="P837" s="14"/>
    </row>
    <row r="838" spans="2:16" x14ac:dyDescent="0.25">
      <c r="B838" s="7"/>
      <c r="C838" s="8"/>
      <c r="D838" s="8"/>
      <c r="E838" s="9"/>
      <c r="F838" s="9"/>
      <c r="G838" s="17"/>
      <c r="H838" s="17"/>
      <c r="I838" s="9"/>
      <c r="J838" s="9"/>
      <c r="K838" s="10">
        <v>0</v>
      </c>
      <c r="L838" s="10"/>
      <c r="M838" s="11"/>
      <c r="N838" s="12"/>
      <c r="O838" s="13"/>
      <c r="P838" s="14"/>
    </row>
    <row r="839" spans="2:16" x14ac:dyDescent="0.25">
      <c r="B839" s="7"/>
      <c r="C839" s="8"/>
      <c r="D839" s="8"/>
      <c r="E839" s="9"/>
      <c r="F839" s="9"/>
      <c r="G839" s="17"/>
      <c r="H839" s="17"/>
      <c r="I839" s="9"/>
      <c r="J839" s="9"/>
      <c r="K839" s="10">
        <v>0</v>
      </c>
      <c r="L839" s="10"/>
      <c r="M839" s="11"/>
      <c r="N839" s="12"/>
      <c r="O839" s="13"/>
      <c r="P839" s="14"/>
    </row>
    <row r="840" spans="2:16" x14ac:dyDescent="0.25">
      <c r="B840" s="7"/>
      <c r="C840" s="8"/>
      <c r="D840" s="8"/>
      <c r="E840" s="9"/>
      <c r="F840" s="9"/>
      <c r="G840" s="17"/>
      <c r="H840" s="17"/>
      <c r="I840" s="9"/>
      <c r="J840" s="9"/>
      <c r="K840" s="10">
        <v>0</v>
      </c>
      <c r="L840" s="10"/>
      <c r="M840" s="11"/>
      <c r="N840" s="12"/>
      <c r="O840" s="13"/>
      <c r="P840" s="14"/>
    </row>
    <row r="841" spans="2:16" x14ac:dyDescent="0.25">
      <c r="B841" s="7"/>
      <c r="C841" s="8"/>
      <c r="D841" s="8"/>
      <c r="E841" s="9"/>
      <c r="F841" s="9"/>
      <c r="G841" s="17"/>
      <c r="H841" s="17"/>
      <c r="I841" s="9"/>
      <c r="J841" s="9"/>
      <c r="K841" s="10">
        <v>0</v>
      </c>
      <c r="L841" s="10"/>
      <c r="M841" s="11"/>
      <c r="N841" s="12"/>
      <c r="O841" s="13"/>
      <c r="P841" s="14"/>
    </row>
    <row r="842" spans="2:16" x14ac:dyDescent="0.25">
      <c r="B842" s="7"/>
      <c r="C842" s="8"/>
      <c r="D842" s="8"/>
      <c r="E842" s="9"/>
      <c r="F842" s="9"/>
      <c r="G842" s="17"/>
      <c r="H842" s="17"/>
      <c r="I842" s="9"/>
      <c r="J842" s="9"/>
      <c r="K842" s="10">
        <v>0</v>
      </c>
      <c r="L842" s="10"/>
      <c r="M842" s="11"/>
      <c r="N842" s="12"/>
      <c r="O842" s="13"/>
      <c r="P842" s="14"/>
    </row>
    <row r="843" spans="2:16" x14ac:dyDescent="0.25">
      <c r="B843" s="7"/>
      <c r="C843" s="8"/>
      <c r="D843" s="8"/>
      <c r="E843" s="9"/>
      <c r="F843" s="9"/>
      <c r="G843" s="17"/>
      <c r="H843" s="17"/>
      <c r="I843" s="9"/>
      <c r="J843" s="9"/>
      <c r="K843" s="10">
        <v>0</v>
      </c>
      <c r="L843" s="10"/>
      <c r="M843" s="11"/>
      <c r="N843" s="12"/>
      <c r="O843" s="13"/>
      <c r="P843" s="14"/>
    </row>
    <row r="844" spans="2:16" x14ac:dyDescent="0.25">
      <c r="B844" s="7"/>
      <c r="C844" s="8"/>
      <c r="D844" s="8"/>
      <c r="E844" s="9"/>
      <c r="F844" s="9"/>
      <c r="G844" s="17"/>
      <c r="H844" s="17"/>
      <c r="I844" s="9"/>
      <c r="J844" s="9"/>
      <c r="K844" s="10">
        <v>0</v>
      </c>
      <c r="L844" s="10"/>
      <c r="M844" s="11"/>
      <c r="N844" s="12"/>
      <c r="O844" s="13"/>
      <c r="P844" s="14"/>
    </row>
    <row r="845" spans="2:16" x14ac:dyDescent="0.25">
      <c r="B845" s="7"/>
      <c r="C845" s="8"/>
      <c r="D845" s="8"/>
      <c r="E845" s="9"/>
      <c r="F845" s="9"/>
      <c r="G845" s="17"/>
      <c r="H845" s="17"/>
      <c r="I845" s="9"/>
      <c r="J845" s="9"/>
      <c r="K845" s="10">
        <v>0</v>
      </c>
      <c r="L845" s="10"/>
      <c r="M845" s="11"/>
      <c r="N845" s="12"/>
      <c r="O845" s="13"/>
      <c r="P845" s="14"/>
    </row>
    <row r="846" spans="2:16" x14ac:dyDescent="0.25">
      <c r="B846" s="7"/>
      <c r="C846" s="8"/>
      <c r="D846" s="8"/>
      <c r="E846" s="9"/>
      <c r="F846" s="9"/>
      <c r="G846" s="17"/>
      <c r="H846" s="17"/>
      <c r="I846" s="9"/>
      <c r="J846" s="9"/>
      <c r="K846" s="10">
        <v>0</v>
      </c>
      <c r="L846" s="10"/>
      <c r="M846" s="11"/>
      <c r="N846" s="12"/>
      <c r="O846" s="13"/>
      <c r="P846" s="14"/>
    </row>
    <row r="847" spans="2:16" x14ac:dyDescent="0.25">
      <c r="B847" s="7"/>
      <c r="C847" s="8"/>
      <c r="D847" s="8"/>
      <c r="E847" s="9"/>
      <c r="F847" s="9"/>
      <c r="G847" s="17"/>
      <c r="H847" s="17"/>
      <c r="I847" s="9"/>
      <c r="J847" s="9"/>
      <c r="K847" s="10">
        <v>0</v>
      </c>
      <c r="L847" s="10"/>
      <c r="M847" s="11"/>
      <c r="N847" s="12"/>
      <c r="O847" s="13"/>
      <c r="P847" s="14"/>
    </row>
    <row r="848" spans="2:16" x14ac:dyDescent="0.25">
      <c r="B848" s="7"/>
      <c r="C848" s="8"/>
      <c r="D848" s="8"/>
      <c r="E848" s="9"/>
      <c r="F848" s="9"/>
      <c r="G848" s="17"/>
      <c r="H848" s="17"/>
      <c r="I848" s="9"/>
      <c r="J848" s="9"/>
      <c r="K848" s="10">
        <v>0</v>
      </c>
      <c r="L848" s="10"/>
      <c r="M848" s="11"/>
      <c r="N848" s="12"/>
      <c r="O848" s="13"/>
      <c r="P848" s="14"/>
    </row>
    <row r="849" spans="2:17" x14ac:dyDescent="0.25">
      <c r="B849" s="7"/>
      <c r="C849" s="8"/>
      <c r="D849" s="8"/>
      <c r="E849" s="9"/>
      <c r="F849" s="9"/>
      <c r="G849" s="17"/>
      <c r="H849" s="17"/>
      <c r="I849" s="9"/>
      <c r="J849" s="9"/>
      <c r="K849" s="10">
        <v>0</v>
      </c>
      <c r="L849" s="10"/>
      <c r="M849" s="11"/>
      <c r="N849" s="12"/>
      <c r="O849" s="13"/>
      <c r="P849" s="14"/>
    </row>
    <row r="850" spans="2:17" x14ac:dyDescent="0.25">
      <c r="B850" s="7"/>
      <c r="C850" s="8"/>
      <c r="D850" s="8"/>
      <c r="E850" s="9"/>
      <c r="F850" s="9"/>
      <c r="G850" s="17"/>
      <c r="H850" s="17"/>
      <c r="I850" s="9"/>
      <c r="J850" s="9"/>
      <c r="K850" s="10">
        <v>0</v>
      </c>
      <c r="L850" s="10"/>
      <c r="M850" s="11"/>
      <c r="N850" s="12"/>
      <c r="O850" s="13"/>
      <c r="P850" s="14"/>
    </row>
    <row r="851" spans="2:17" x14ac:dyDescent="0.25">
      <c r="B851" s="7"/>
      <c r="C851" s="8"/>
      <c r="D851" s="8"/>
      <c r="E851" s="9"/>
      <c r="F851" s="9"/>
      <c r="G851" s="17"/>
      <c r="H851" s="17"/>
      <c r="I851" s="9"/>
      <c r="J851" s="9"/>
      <c r="K851" s="10">
        <v>0</v>
      </c>
      <c r="L851" s="10"/>
      <c r="M851" s="11"/>
      <c r="N851" s="12"/>
      <c r="O851" s="13"/>
      <c r="P851" s="14"/>
    </row>
    <row r="852" spans="2:17" x14ac:dyDescent="0.25">
      <c r="B852" s="7"/>
      <c r="C852" s="8"/>
      <c r="D852" s="8"/>
      <c r="E852" s="9"/>
      <c r="F852" s="9"/>
      <c r="G852" s="17"/>
      <c r="H852" s="17"/>
      <c r="I852" s="9"/>
      <c r="J852" s="9"/>
      <c r="K852" s="10">
        <v>0</v>
      </c>
      <c r="L852" s="10"/>
      <c r="M852" s="11"/>
      <c r="N852" s="12"/>
      <c r="O852" s="13"/>
      <c r="P852" s="14"/>
      <c r="Q852" s="2">
        <v>528</v>
      </c>
    </row>
    <row r="853" spans="2:17" x14ac:dyDescent="0.25">
      <c r="B853" s="7"/>
      <c r="C853" s="8"/>
      <c r="D853" s="8"/>
      <c r="E853" s="9"/>
      <c r="F853" s="9"/>
      <c r="G853" s="17"/>
      <c r="H853" s="17"/>
      <c r="I853" s="9"/>
      <c r="J853" s="9"/>
      <c r="K853" s="10">
        <v>0</v>
      </c>
      <c r="L853" s="10"/>
      <c r="M853" s="11"/>
      <c r="N853" s="12"/>
      <c r="O853" s="13"/>
      <c r="P853" s="14"/>
    </row>
    <row r="854" spans="2:17" x14ac:dyDescent="0.25">
      <c r="B854" s="7"/>
      <c r="C854" s="8"/>
      <c r="D854" s="8"/>
      <c r="E854" s="9"/>
      <c r="F854" s="9"/>
      <c r="G854" s="17"/>
      <c r="H854" s="17"/>
      <c r="I854" s="9"/>
      <c r="J854" s="9"/>
      <c r="K854" s="10">
        <v>0</v>
      </c>
      <c r="L854" s="10"/>
      <c r="M854" s="11"/>
      <c r="N854" s="12"/>
      <c r="O854" s="13"/>
      <c r="P854" s="14"/>
    </row>
    <row r="855" spans="2:17" x14ac:dyDescent="0.25">
      <c r="B855" s="7"/>
      <c r="C855" s="8"/>
      <c r="D855" s="8"/>
      <c r="E855" s="9"/>
      <c r="F855" s="9"/>
      <c r="G855" s="17"/>
      <c r="H855" s="17"/>
      <c r="I855" s="9"/>
      <c r="J855" s="9"/>
      <c r="K855" s="10">
        <v>0</v>
      </c>
      <c r="L855" s="10"/>
      <c r="M855" s="11"/>
      <c r="N855" s="12"/>
      <c r="O855" s="13"/>
      <c r="P855" s="14"/>
    </row>
    <row r="856" spans="2:17" x14ac:dyDescent="0.25">
      <c r="B856" s="7"/>
      <c r="C856" s="8"/>
      <c r="D856" s="8"/>
      <c r="E856" s="9"/>
      <c r="F856" s="9"/>
      <c r="G856" s="17"/>
      <c r="H856" s="17"/>
      <c r="I856" s="9"/>
      <c r="J856" s="9"/>
      <c r="K856" s="10">
        <v>0</v>
      </c>
      <c r="L856" s="10"/>
      <c r="M856" s="11"/>
      <c r="N856" s="12"/>
      <c r="O856" s="13"/>
      <c r="P856" s="14"/>
    </row>
    <row r="857" spans="2:17" x14ac:dyDescent="0.25">
      <c r="B857" s="7"/>
      <c r="C857" s="8"/>
      <c r="D857" s="8"/>
      <c r="E857" s="9"/>
      <c r="F857" s="9"/>
      <c r="G857" s="17"/>
      <c r="H857" s="17"/>
      <c r="I857" s="9"/>
      <c r="J857" s="9"/>
      <c r="K857" s="10">
        <v>0</v>
      </c>
      <c r="L857" s="10"/>
      <c r="M857" s="11"/>
      <c r="N857" s="12"/>
      <c r="O857" s="13"/>
      <c r="P857" s="14"/>
    </row>
    <row r="858" spans="2:17" x14ac:dyDescent="0.25">
      <c r="B858" s="7"/>
      <c r="C858" s="8"/>
      <c r="D858" s="8"/>
      <c r="E858" s="9"/>
      <c r="F858" s="9"/>
      <c r="G858" s="17"/>
      <c r="H858" s="17"/>
      <c r="I858" s="9"/>
      <c r="J858" s="9"/>
      <c r="K858" s="10">
        <v>0</v>
      </c>
      <c r="L858" s="10"/>
      <c r="M858" s="11"/>
      <c r="N858" s="12"/>
      <c r="O858" s="13"/>
      <c r="P858" s="14"/>
    </row>
    <row r="859" spans="2:17" x14ac:dyDescent="0.25">
      <c r="B859" s="7"/>
      <c r="C859" s="8"/>
      <c r="D859" s="8"/>
      <c r="E859" s="9"/>
      <c r="F859" s="9"/>
      <c r="G859" s="17"/>
      <c r="H859" s="17"/>
      <c r="I859" s="9"/>
      <c r="J859" s="9"/>
      <c r="K859" s="10">
        <v>0</v>
      </c>
      <c r="L859" s="10"/>
      <c r="M859" s="11"/>
      <c r="N859" s="12"/>
      <c r="O859" s="13"/>
      <c r="P859" s="14"/>
    </row>
    <row r="860" spans="2:17" x14ac:dyDescent="0.25">
      <c r="B860" s="7"/>
      <c r="C860" s="8"/>
      <c r="D860" s="8"/>
      <c r="E860" s="9"/>
      <c r="F860" s="9"/>
      <c r="G860" s="17"/>
      <c r="H860" s="17"/>
      <c r="I860" s="9"/>
      <c r="J860" s="9"/>
      <c r="K860" s="10">
        <v>0</v>
      </c>
      <c r="L860" s="10"/>
      <c r="M860" s="11"/>
      <c r="N860" s="12"/>
      <c r="O860" s="13"/>
      <c r="P860" s="14"/>
    </row>
    <row r="861" spans="2:17" x14ac:dyDescent="0.25">
      <c r="B861" s="7"/>
      <c r="C861" s="8"/>
      <c r="D861" s="8"/>
      <c r="E861" s="9"/>
      <c r="F861" s="9"/>
      <c r="G861" s="17"/>
      <c r="H861" s="17"/>
      <c r="I861" s="9"/>
      <c r="J861" s="9"/>
      <c r="K861" s="10">
        <v>0</v>
      </c>
      <c r="L861" s="10"/>
      <c r="M861" s="11"/>
      <c r="N861" s="12"/>
      <c r="O861" s="13"/>
      <c r="P861" s="14"/>
    </row>
    <row r="862" spans="2:17" x14ac:dyDescent="0.25">
      <c r="B862" s="7"/>
      <c r="C862" s="8"/>
      <c r="D862" s="8"/>
      <c r="E862" s="9"/>
      <c r="F862" s="9"/>
      <c r="G862" s="17"/>
      <c r="H862" s="17"/>
      <c r="I862" s="9"/>
      <c r="J862" s="9"/>
      <c r="K862" s="10">
        <v>0</v>
      </c>
      <c r="L862" s="10"/>
      <c r="M862" s="11"/>
      <c r="N862" s="12"/>
      <c r="O862" s="13"/>
      <c r="P862" s="14"/>
    </row>
    <row r="863" spans="2:17" x14ac:dyDescent="0.25">
      <c r="B863" s="7"/>
      <c r="C863" s="8"/>
      <c r="D863" s="8"/>
      <c r="E863" s="9"/>
      <c r="F863" s="9"/>
      <c r="G863" s="17"/>
      <c r="H863" s="17"/>
      <c r="I863" s="9"/>
      <c r="J863" s="9"/>
      <c r="K863" s="10">
        <v>0</v>
      </c>
      <c r="L863" s="10"/>
      <c r="M863" s="11"/>
      <c r="N863" s="12"/>
      <c r="O863" s="13"/>
      <c r="P863" s="14"/>
    </row>
    <row r="864" spans="2:17" x14ac:dyDescent="0.25">
      <c r="B864" s="7"/>
      <c r="C864" s="8"/>
      <c r="D864" s="8"/>
      <c r="E864" s="9"/>
      <c r="F864" s="9"/>
      <c r="G864" s="17"/>
      <c r="H864" s="17"/>
      <c r="I864" s="9"/>
      <c r="J864" s="9"/>
      <c r="K864" s="10">
        <v>0</v>
      </c>
      <c r="L864" s="10"/>
      <c r="M864" s="11"/>
      <c r="N864" s="12"/>
      <c r="O864" s="13"/>
      <c r="P864" s="14"/>
    </row>
    <row r="865" spans="1:17" x14ac:dyDescent="0.25">
      <c r="B865" s="7"/>
      <c r="C865" s="8"/>
      <c r="D865" s="8"/>
      <c r="E865" s="9"/>
      <c r="F865" s="9"/>
      <c r="G865" s="17"/>
      <c r="H865" s="17"/>
      <c r="I865" s="9"/>
      <c r="J865" s="9"/>
      <c r="K865" s="10">
        <v>0</v>
      </c>
      <c r="L865" s="10"/>
      <c r="M865" s="11"/>
      <c r="N865" s="12"/>
      <c r="O865" s="13"/>
      <c r="P865" s="14"/>
    </row>
    <row r="866" spans="1:17" x14ac:dyDescent="0.25">
      <c r="B866" s="7"/>
      <c r="C866" s="8"/>
      <c r="D866" s="8"/>
      <c r="E866" s="9"/>
      <c r="F866" s="9"/>
      <c r="G866" s="17"/>
      <c r="H866" s="17"/>
      <c r="I866" s="9"/>
      <c r="J866" s="9"/>
      <c r="K866" s="10">
        <v>0</v>
      </c>
      <c r="L866" s="10"/>
      <c r="M866" s="11"/>
      <c r="N866" s="12"/>
      <c r="O866" s="13"/>
      <c r="P866" s="14"/>
    </row>
    <row r="867" spans="1:17" x14ac:dyDescent="0.25">
      <c r="B867" s="7"/>
      <c r="C867" s="8"/>
      <c r="D867" s="8"/>
      <c r="E867" s="9"/>
      <c r="F867" s="9"/>
      <c r="G867" s="17"/>
      <c r="H867" s="17"/>
      <c r="I867" s="9"/>
      <c r="J867" s="9"/>
      <c r="K867" s="10">
        <v>0</v>
      </c>
      <c r="L867" s="10"/>
      <c r="M867" s="11"/>
      <c r="N867" s="12"/>
      <c r="O867" s="13"/>
      <c r="P867" s="14"/>
    </row>
    <row r="868" spans="1:17" x14ac:dyDescent="0.25">
      <c r="B868" s="7"/>
      <c r="C868" s="8"/>
      <c r="D868" s="8"/>
      <c r="E868" s="9"/>
      <c r="F868" s="9"/>
      <c r="G868" s="17"/>
      <c r="H868" s="17"/>
      <c r="I868" s="9"/>
      <c r="J868" s="9"/>
      <c r="K868" s="10">
        <v>0</v>
      </c>
      <c r="L868" s="10"/>
      <c r="M868" s="11"/>
      <c r="N868" s="12"/>
      <c r="O868" s="13"/>
      <c r="P868" s="14"/>
    </row>
    <row r="869" spans="1:17" x14ac:dyDescent="0.25">
      <c r="B869" s="7"/>
      <c r="C869" s="8"/>
      <c r="D869" s="8"/>
      <c r="E869" s="9"/>
      <c r="F869" s="9"/>
      <c r="G869" s="17"/>
      <c r="H869" s="17"/>
      <c r="I869" s="9"/>
      <c r="J869" s="9"/>
      <c r="K869" s="10">
        <v>0</v>
      </c>
      <c r="L869" s="10"/>
      <c r="M869" s="11"/>
      <c r="N869" s="12"/>
      <c r="O869" s="13"/>
      <c r="P869" s="14"/>
    </row>
    <row r="870" spans="1:17" x14ac:dyDescent="0.25">
      <c r="B870" s="7"/>
      <c r="C870" s="8"/>
      <c r="D870" s="8"/>
      <c r="E870" s="9"/>
      <c r="F870" s="9"/>
      <c r="G870" s="17"/>
      <c r="H870" s="17"/>
      <c r="I870" s="9"/>
      <c r="J870" s="9"/>
      <c r="K870" s="10">
        <v>0</v>
      </c>
      <c r="L870" s="10"/>
      <c r="M870" s="11"/>
      <c r="N870" s="12"/>
      <c r="O870" s="13"/>
      <c r="P870" s="14"/>
    </row>
    <row r="871" spans="1:17" x14ac:dyDescent="0.25">
      <c r="B871" s="7"/>
      <c r="C871" s="8"/>
      <c r="D871" s="8"/>
      <c r="E871" s="9"/>
      <c r="F871" s="9"/>
      <c r="G871" s="17"/>
      <c r="H871" s="17"/>
      <c r="I871" s="9"/>
      <c r="J871" s="9"/>
      <c r="K871" s="10">
        <v>0</v>
      </c>
      <c r="L871" s="10"/>
      <c r="M871" s="11"/>
      <c r="N871" s="12"/>
      <c r="O871" s="13"/>
      <c r="P871" s="14"/>
    </row>
    <row r="872" spans="1:17" x14ac:dyDescent="0.25">
      <c r="B872" s="7"/>
      <c r="C872" s="8"/>
      <c r="D872" s="8"/>
      <c r="E872" s="9"/>
      <c r="F872" s="9"/>
      <c r="G872" s="17"/>
      <c r="H872" s="17"/>
      <c r="I872" s="9"/>
      <c r="J872" s="9"/>
      <c r="K872" s="10">
        <v>0</v>
      </c>
      <c r="L872" s="10"/>
      <c r="M872" s="11"/>
      <c r="N872" s="12"/>
      <c r="O872" s="13"/>
      <c r="P872" s="14"/>
    </row>
    <row r="873" spans="1:17" x14ac:dyDescent="0.25">
      <c r="B873" s="7"/>
      <c r="C873" s="8"/>
      <c r="D873" s="8"/>
      <c r="E873" s="9"/>
      <c r="F873" s="9"/>
      <c r="G873" s="17"/>
      <c r="H873" s="17"/>
      <c r="I873" s="9"/>
      <c r="J873" s="9"/>
      <c r="K873" s="10">
        <v>0</v>
      </c>
      <c r="L873" s="10"/>
      <c r="M873" s="11"/>
      <c r="N873" s="12"/>
      <c r="O873" s="13"/>
      <c r="P873" s="14"/>
    </row>
    <row r="874" spans="1:17" x14ac:dyDescent="0.25">
      <c r="B874" s="7"/>
      <c r="C874" s="8"/>
      <c r="D874" s="8"/>
      <c r="E874" s="9"/>
      <c r="F874" s="9"/>
      <c r="G874" s="17"/>
      <c r="H874" s="17"/>
      <c r="I874" s="9"/>
      <c r="J874" s="9"/>
      <c r="K874" s="10">
        <v>0</v>
      </c>
      <c r="L874" s="10"/>
      <c r="M874" s="11"/>
      <c r="N874" s="12"/>
      <c r="O874" s="13"/>
      <c r="P874" s="14"/>
    </row>
    <row r="875" spans="1:17" x14ac:dyDescent="0.25">
      <c r="B875" s="7"/>
      <c r="C875" s="8"/>
      <c r="D875" s="8"/>
      <c r="E875" s="9"/>
      <c r="F875" s="9"/>
      <c r="G875" s="17"/>
      <c r="H875" s="17"/>
      <c r="I875" s="9"/>
      <c r="J875" s="9"/>
      <c r="K875" s="10">
        <v>0</v>
      </c>
      <c r="L875" s="10"/>
      <c r="M875" s="11"/>
      <c r="N875" s="12"/>
      <c r="O875" s="13"/>
      <c r="P875" s="14"/>
    </row>
    <row r="876" spans="1:17" x14ac:dyDescent="0.25">
      <c r="B876" s="7"/>
      <c r="C876" s="8"/>
      <c r="D876" s="8"/>
      <c r="E876" s="9"/>
      <c r="F876" s="9"/>
      <c r="G876" s="17"/>
      <c r="H876" s="17"/>
      <c r="I876" s="9"/>
      <c r="J876" s="9"/>
      <c r="K876" s="10">
        <v>0</v>
      </c>
      <c r="L876" s="10"/>
      <c r="M876" s="11"/>
      <c r="N876" s="12"/>
      <c r="O876" s="13"/>
      <c r="P876" s="14"/>
    </row>
    <row r="877" spans="1:17" x14ac:dyDescent="0.25">
      <c r="A877" s="26"/>
      <c r="B877" s="7"/>
      <c r="C877" s="8"/>
      <c r="D877" s="8"/>
      <c r="E877" s="9"/>
      <c r="F877" s="9"/>
      <c r="G877" s="17"/>
      <c r="H877" s="17"/>
      <c r="I877" s="9"/>
      <c r="J877" s="9"/>
      <c r="K877" s="10">
        <v>0</v>
      </c>
      <c r="L877" s="10"/>
      <c r="M877" s="11"/>
      <c r="N877" s="12"/>
      <c r="O877" s="13"/>
      <c r="P877" s="14"/>
      <c r="Q877" s="26"/>
    </row>
    <row r="878" spans="1:17" x14ac:dyDescent="0.25">
      <c r="B878" s="7"/>
      <c r="C878" s="8"/>
      <c r="D878" s="8"/>
      <c r="E878" s="9"/>
      <c r="F878" s="9"/>
      <c r="G878" s="17"/>
      <c r="H878" s="17"/>
      <c r="I878" s="9"/>
      <c r="J878" s="9"/>
      <c r="K878" s="10">
        <v>0</v>
      </c>
      <c r="L878" s="10"/>
      <c r="M878" s="11"/>
      <c r="N878" s="12"/>
      <c r="O878" s="13"/>
      <c r="P878" s="14"/>
    </row>
    <row r="879" spans="1:17" x14ac:dyDescent="0.25">
      <c r="B879" s="7"/>
      <c r="C879" s="8"/>
      <c r="D879" s="8"/>
      <c r="E879" s="9"/>
      <c r="F879" s="9"/>
      <c r="G879" s="17"/>
      <c r="H879" s="17"/>
      <c r="I879" s="9"/>
      <c r="J879" s="9"/>
      <c r="K879" s="10">
        <v>0</v>
      </c>
      <c r="L879" s="10"/>
      <c r="M879" s="11"/>
      <c r="N879" s="12"/>
      <c r="O879" s="13"/>
      <c r="P879" s="14"/>
    </row>
    <row r="880" spans="1:17" x14ac:dyDescent="0.25">
      <c r="B880" s="7"/>
      <c r="C880" s="8"/>
      <c r="D880" s="8"/>
      <c r="E880" s="9"/>
      <c r="F880" s="9"/>
      <c r="G880" s="17"/>
      <c r="H880" s="17"/>
      <c r="I880" s="9"/>
      <c r="J880" s="9"/>
      <c r="K880" s="10">
        <v>0</v>
      </c>
      <c r="L880" s="10"/>
      <c r="M880" s="11"/>
      <c r="N880" s="12"/>
      <c r="O880" s="13"/>
      <c r="P880" s="14"/>
    </row>
    <row r="881" spans="2:21" x14ac:dyDescent="0.25">
      <c r="B881" s="7"/>
      <c r="C881" s="8"/>
      <c r="D881" s="8"/>
      <c r="E881" s="9"/>
      <c r="F881" s="9"/>
      <c r="G881" s="17"/>
      <c r="H881" s="17"/>
      <c r="I881" s="9"/>
      <c r="J881" s="9"/>
      <c r="K881" s="10">
        <v>0</v>
      </c>
      <c r="L881" s="10"/>
      <c r="M881" s="11"/>
      <c r="N881" s="12"/>
      <c r="O881" s="13"/>
      <c r="P881" s="14"/>
    </row>
    <row r="882" spans="2:21" x14ac:dyDescent="0.25">
      <c r="B882" s="7"/>
      <c r="C882" s="8"/>
      <c r="D882" s="8"/>
      <c r="E882" s="9"/>
      <c r="F882" s="9"/>
      <c r="G882" s="17"/>
      <c r="H882" s="17"/>
      <c r="I882" s="9"/>
      <c r="J882" s="9"/>
      <c r="K882" s="10">
        <v>0</v>
      </c>
      <c r="L882" s="10"/>
      <c r="M882" s="11"/>
      <c r="N882" s="12"/>
      <c r="O882" s="13"/>
      <c r="P882" s="14"/>
    </row>
    <row r="883" spans="2:21" x14ac:dyDescent="0.25">
      <c r="B883" s="7"/>
      <c r="C883" s="8"/>
      <c r="D883" s="8"/>
      <c r="E883" s="9"/>
      <c r="F883" s="9"/>
      <c r="G883" s="17"/>
      <c r="H883" s="17"/>
      <c r="I883" s="9"/>
      <c r="J883" s="9"/>
      <c r="K883" s="10">
        <v>0</v>
      </c>
      <c r="L883" s="10"/>
      <c r="M883" s="11"/>
      <c r="N883" s="12"/>
      <c r="O883" s="13"/>
      <c r="P883" s="14"/>
    </row>
    <row r="884" spans="2:21" x14ac:dyDescent="0.25">
      <c r="B884" s="7"/>
      <c r="C884" s="8"/>
      <c r="D884" s="8"/>
      <c r="E884" s="9"/>
      <c r="F884" s="9"/>
      <c r="G884" s="17"/>
      <c r="H884" s="17"/>
      <c r="I884" s="9"/>
      <c r="J884" s="9"/>
      <c r="K884" s="10">
        <v>0</v>
      </c>
      <c r="L884" s="10"/>
      <c r="M884" s="11"/>
      <c r="N884" s="12"/>
      <c r="O884" s="13"/>
      <c r="P884" s="14"/>
    </row>
    <row r="885" spans="2:21" x14ac:dyDescent="0.25">
      <c r="B885" s="7"/>
      <c r="C885" s="8"/>
      <c r="D885" s="8"/>
      <c r="E885" s="9"/>
      <c r="F885" s="9"/>
      <c r="G885" s="17"/>
      <c r="H885" s="17"/>
      <c r="I885" s="9"/>
      <c r="J885" s="9"/>
      <c r="K885" s="10">
        <v>0</v>
      </c>
      <c r="L885" s="10"/>
      <c r="M885" s="11"/>
      <c r="N885" s="12"/>
      <c r="O885" s="13"/>
      <c r="P885" s="14"/>
    </row>
    <row r="886" spans="2:21" x14ac:dyDescent="0.25">
      <c r="B886" s="7"/>
      <c r="C886" s="8"/>
      <c r="D886" s="8"/>
      <c r="E886" s="9"/>
      <c r="F886" s="9"/>
      <c r="G886" s="17"/>
      <c r="H886" s="17"/>
      <c r="I886" s="9"/>
      <c r="J886" s="9"/>
      <c r="K886" s="10">
        <v>0</v>
      </c>
      <c r="L886" s="10"/>
      <c r="M886" s="11"/>
      <c r="N886" s="12"/>
      <c r="O886" s="13"/>
      <c r="P886" s="14"/>
    </row>
    <row r="887" spans="2:21" x14ac:dyDescent="0.25">
      <c r="B887" s="7"/>
      <c r="C887" s="8"/>
      <c r="D887" s="8"/>
      <c r="E887" s="9"/>
      <c r="F887" s="9"/>
      <c r="G887" s="17"/>
      <c r="H887" s="17"/>
      <c r="I887" s="9"/>
      <c r="J887" s="9"/>
      <c r="K887" s="10">
        <v>0</v>
      </c>
      <c r="L887" s="10"/>
      <c r="M887" s="11"/>
      <c r="N887" s="12"/>
      <c r="O887" s="13"/>
      <c r="P887" s="14"/>
    </row>
    <row r="888" spans="2:21" x14ac:dyDescent="0.25">
      <c r="B888" s="7"/>
      <c r="C888" s="8"/>
      <c r="D888" s="8"/>
      <c r="E888" s="9"/>
      <c r="F888" s="9"/>
      <c r="G888" s="17"/>
      <c r="H888" s="17"/>
      <c r="I888" s="9"/>
      <c r="J888" s="9"/>
      <c r="K888" s="10">
        <v>0</v>
      </c>
      <c r="L888" s="10"/>
      <c r="M888" s="11"/>
      <c r="N888" s="12"/>
      <c r="O888" s="13"/>
      <c r="P888" s="14"/>
      <c r="Q888" s="2">
        <v>45</v>
      </c>
      <c r="R888" s="1">
        <v>3</v>
      </c>
    </row>
    <row r="889" spans="2:21" x14ac:dyDescent="0.25">
      <c r="B889" s="7"/>
      <c r="C889" s="8"/>
      <c r="D889" s="8"/>
      <c r="E889" s="9"/>
      <c r="F889" s="9"/>
      <c r="G889" s="17"/>
      <c r="H889" s="17"/>
      <c r="I889" s="9"/>
      <c r="J889" s="9"/>
      <c r="K889" s="10">
        <v>0</v>
      </c>
      <c r="L889" s="10"/>
      <c r="M889" s="11"/>
      <c r="N889" s="12"/>
      <c r="O889" s="13"/>
      <c r="P889" s="14"/>
      <c r="Q889" s="2">
        <v>15</v>
      </c>
      <c r="R889" s="1">
        <v>5</v>
      </c>
    </row>
    <row r="890" spans="2:21" x14ac:dyDescent="0.25">
      <c r="B890" s="7"/>
      <c r="C890" s="8"/>
      <c r="D890" s="8"/>
      <c r="E890" s="9"/>
      <c r="F890" s="9"/>
      <c r="G890" s="17"/>
      <c r="H890" s="17"/>
      <c r="I890" s="9"/>
      <c r="J890" s="9"/>
      <c r="K890" s="10">
        <v>0</v>
      </c>
      <c r="L890" s="10"/>
      <c r="M890" s="11"/>
      <c r="N890" s="12"/>
      <c r="O890" s="13"/>
      <c r="P890" s="14"/>
      <c r="Q890" s="2">
        <v>0</v>
      </c>
    </row>
    <row r="891" spans="2:21" x14ac:dyDescent="0.25">
      <c r="B891" s="7"/>
      <c r="C891" s="8"/>
      <c r="D891" s="8"/>
      <c r="E891" s="9"/>
      <c r="F891" s="9"/>
      <c r="G891" s="17"/>
      <c r="H891" s="17"/>
      <c r="I891" s="9"/>
      <c r="J891" s="9"/>
      <c r="K891" s="10">
        <v>0</v>
      </c>
      <c r="L891" s="10"/>
      <c r="M891" s="11"/>
      <c r="N891" s="12"/>
      <c r="O891" s="13"/>
      <c r="P891" s="14"/>
    </row>
    <row r="892" spans="2:21" x14ac:dyDescent="0.25">
      <c r="B892" s="7"/>
      <c r="C892" s="8"/>
      <c r="D892" s="8"/>
      <c r="E892" s="9"/>
      <c r="F892" s="9"/>
      <c r="G892" s="17"/>
      <c r="H892" s="17"/>
      <c r="I892" s="9"/>
      <c r="J892" s="9"/>
      <c r="K892" s="10">
        <v>0</v>
      </c>
      <c r="L892" s="10"/>
      <c r="M892" s="11"/>
      <c r="N892" s="12"/>
      <c r="O892" s="13"/>
      <c r="P892" s="14"/>
    </row>
    <row r="893" spans="2:21" x14ac:dyDescent="0.25">
      <c r="B893" s="7"/>
      <c r="C893" s="8"/>
      <c r="D893" s="8"/>
      <c r="E893" s="9"/>
      <c r="F893" s="9"/>
      <c r="G893" s="17"/>
      <c r="H893" s="17"/>
      <c r="I893" s="9"/>
      <c r="J893" s="9"/>
      <c r="K893" s="10">
        <v>0</v>
      </c>
      <c r="L893" s="10"/>
      <c r="M893" s="11"/>
      <c r="N893" s="12"/>
      <c r="O893" s="13"/>
      <c r="P893" s="14"/>
      <c r="R893" s="1">
        <v>8890</v>
      </c>
      <c r="S893" s="1">
        <v>19558</v>
      </c>
      <c r="T893" s="1">
        <v>18358</v>
      </c>
      <c r="U893" s="1" t="s">
        <v>26</v>
      </c>
    </row>
    <row r="894" spans="2:21" x14ac:dyDescent="0.25">
      <c r="B894" s="7"/>
      <c r="C894" s="8"/>
      <c r="D894" s="8"/>
      <c r="E894" s="9"/>
      <c r="F894" s="9"/>
      <c r="G894" s="17"/>
      <c r="H894" s="17"/>
      <c r="I894" s="9"/>
      <c r="J894" s="9"/>
      <c r="K894" s="10">
        <v>0</v>
      </c>
      <c r="L894" s="10"/>
      <c r="M894" s="11"/>
      <c r="N894" s="12"/>
      <c r="O894" s="13"/>
      <c r="P894" s="14"/>
      <c r="T894" s="1">
        <v>1200</v>
      </c>
      <c r="U894" s="1" t="s">
        <v>27</v>
      </c>
    </row>
    <row r="895" spans="2:21" x14ac:dyDescent="0.25">
      <c r="B895" s="7"/>
      <c r="C895" s="8"/>
      <c r="D895" s="8"/>
      <c r="E895" s="9"/>
      <c r="F895" s="9"/>
      <c r="G895" s="17"/>
      <c r="H895" s="17"/>
      <c r="I895" s="9"/>
      <c r="J895" s="9"/>
      <c r="K895" s="10">
        <v>0</v>
      </c>
      <c r="L895" s="10"/>
      <c r="M895" s="11"/>
      <c r="N895" s="12"/>
      <c r="O895" s="13"/>
      <c r="P895" s="14"/>
      <c r="S895" s="1">
        <v>4390</v>
      </c>
      <c r="T895" s="1">
        <v>9658</v>
      </c>
    </row>
    <row r="896" spans="2:21" x14ac:dyDescent="0.25">
      <c r="B896" s="7"/>
      <c r="C896" s="8"/>
      <c r="D896" s="8"/>
      <c r="E896" s="9"/>
      <c r="F896" s="9"/>
      <c r="G896" s="17"/>
      <c r="H896" s="17"/>
      <c r="I896" s="9"/>
      <c r="J896" s="9"/>
      <c r="K896" s="10">
        <v>0</v>
      </c>
      <c r="L896" s="10"/>
      <c r="M896" s="11"/>
      <c r="N896" s="12"/>
      <c r="O896" s="13"/>
      <c r="P896" s="14"/>
      <c r="T896" s="1">
        <v>200</v>
      </c>
    </row>
    <row r="897" spans="2:23" x14ac:dyDescent="0.25">
      <c r="B897" s="7"/>
      <c r="C897" s="8"/>
      <c r="D897" s="8"/>
      <c r="E897" s="9"/>
      <c r="F897" s="9"/>
      <c r="G897" s="17"/>
      <c r="H897" s="17"/>
      <c r="I897" s="9"/>
      <c r="J897" s="9"/>
      <c r="K897" s="10">
        <v>0</v>
      </c>
      <c r="L897" s="10"/>
      <c r="M897" s="11"/>
      <c r="N897" s="12"/>
      <c r="O897" s="13"/>
      <c r="P897" s="14"/>
      <c r="T897" s="1">
        <v>-9458</v>
      </c>
      <c r="U897" s="1">
        <v>9658</v>
      </c>
    </row>
    <row r="898" spans="2:23" x14ac:dyDescent="0.25">
      <c r="B898" s="7"/>
      <c r="C898" s="8"/>
      <c r="D898" s="8"/>
      <c r="E898" s="9"/>
      <c r="F898" s="9"/>
      <c r="G898" s="17"/>
      <c r="H898" s="17"/>
      <c r="I898" s="9"/>
      <c r="J898" s="9"/>
      <c r="K898" s="10">
        <v>0</v>
      </c>
      <c r="L898" s="10"/>
      <c r="M898" s="11"/>
      <c r="N898" s="12"/>
      <c r="O898" s="13"/>
      <c r="P898" s="14"/>
    </row>
    <row r="899" spans="2:23" x14ac:dyDescent="0.25">
      <c r="B899" s="7"/>
      <c r="C899" s="8"/>
      <c r="D899" s="8"/>
      <c r="E899" s="9"/>
      <c r="F899" s="9"/>
      <c r="G899" s="17"/>
      <c r="H899" s="17"/>
      <c r="I899" s="9"/>
      <c r="J899" s="9"/>
      <c r="K899" s="10">
        <v>0</v>
      </c>
      <c r="L899" s="10"/>
      <c r="M899" s="11"/>
      <c r="N899" s="12"/>
      <c r="O899" s="13"/>
      <c r="P899" s="14"/>
      <c r="R899" s="1">
        <v>6080</v>
      </c>
      <c r="S899" s="1">
        <v>13376.000000000002</v>
      </c>
    </row>
    <row r="900" spans="2:23" x14ac:dyDescent="0.25">
      <c r="B900" s="7"/>
      <c r="C900" s="8"/>
      <c r="D900" s="8"/>
      <c r="E900" s="9"/>
      <c r="F900" s="9"/>
      <c r="G900" s="17"/>
      <c r="H900" s="17"/>
      <c r="I900" s="9"/>
      <c r="J900" s="9"/>
      <c r="K900" s="10">
        <v>0</v>
      </c>
      <c r="L900" s="10"/>
      <c r="M900" s="11"/>
      <c r="N900" s="12"/>
      <c r="O900" s="13"/>
      <c r="P900" s="14"/>
      <c r="S900" s="1">
        <v>11076.000000000002</v>
      </c>
    </row>
    <row r="901" spans="2:23" x14ac:dyDescent="0.25">
      <c r="B901" s="7"/>
      <c r="C901" s="8"/>
      <c r="D901" s="8"/>
      <c r="E901" s="9"/>
      <c r="F901" s="9"/>
      <c r="G901" s="17"/>
      <c r="H901" s="17"/>
      <c r="I901" s="9"/>
      <c r="J901" s="9"/>
      <c r="K901" s="10">
        <v>0</v>
      </c>
      <c r="L901" s="10"/>
      <c r="M901" s="11"/>
      <c r="N901" s="12"/>
      <c r="O901" s="13"/>
      <c r="P901" s="14"/>
      <c r="S901" s="1">
        <v>2300</v>
      </c>
    </row>
    <row r="902" spans="2:23" x14ac:dyDescent="0.25">
      <c r="B902" s="7"/>
      <c r="C902" s="8"/>
      <c r="D902" s="8"/>
      <c r="E902" s="9"/>
      <c r="F902" s="9"/>
      <c r="G902" s="17"/>
      <c r="H902" s="17"/>
      <c r="I902" s="9"/>
      <c r="J902" s="9"/>
      <c r="K902" s="10">
        <v>0</v>
      </c>
      <c r="L902" s="10"/>
      <c r="M902" s="11"/>
      <c r="N902" s="12"/>
      <c r="O902" s="13"/>
      <c r="P902" s="14"/>
    </row>
    <row r="903" spans="2:23" x14ac:dyDescent="0.25">
      <c r="B903" s="7"/>
      <c r="C903" s="8"/>
      <c r="D903" s="8"/>
      <c r="E903" s="9"/>
      <c r="F903" s="9"/>
      <c r="G903" s="17"/>
      <c r="H903" s="17"/>
      <c r="I903" s="9"/>
      <c r="J903" s="9"/>
      <c r="K903" s="10">
        <v>0</v>
      </c>
      <c r="L903" s="10"/>
      <c r="M903" s="11"/>
      <c r="N903" s="12"/>
      <c r="O903" s="13"/>
      <c r="P903" s="14"/>
    </row>
    <row r="904" spans="2:23" x14ac:dyDescent="0.25">
      <c r="B904" s="7"/>
      <c r="C904" s="8"/>
      <c r="D904" s="8"/>
      <c r="E904" s="9"/>
      <c r="F904" s="9"/>
      <c r="G904" s="17"/>
      <c r="H904" s="17"/>
      <c r="I904" s="9"/>
      <c r="J904" s="9"/>
      <c r="K904" s="10">
        <v>0</v>
      </c>
      <c r="L904" s="10"/>
      <c r="M904" s="11"/>
      <c r="N904" s="12"/>
      <c r="O904" s="13"/>
      <c r="P904" s="14"/>
      <c r="R904" s="1">
        <v>800</v>
      </c>
    </row>
    <row r="905" spans="2:23" x14ac:dyDescent="0.25">
      <c r="B905" s="7"/>
      <c r="C905" s="8"/>
      <c r="D905" s="8"/>
      <c r="E905" s="9"/>
      <c r="F905" s="9"/>
      <c r="G905" s="17"/>
      <c r="H905" s="17"/>
      <c r="I905" s="9"/>
      <c r="J905" s="9"/>
      <c r="K905" s="10">
        <v>0</v>
      </c>
      <c r="L905" s="10"/>
      <c r="M905" s="11"/>
      <c r="N905" s="12"/>
      <c r="O905" s="13"/>
      <c r="P905" s="14"/>
    </row>
    <row r="906" spans="2:23" x14ac:dyDescent="0.25">
      <c r="B906" s="7"/>
      <c r="C906" s="8"/>
      <c r="D906" s="8"/>
      <c r="E906" s="9"/>
      <c r="F906" s="9"/>
      <c r="G906" s="17"/>
      <c r="H906" s="17"/>
      <c r="I906" s="9"/>
      <c r="J906" s="9"/>
      <c r="K906" s="10">
        <v>0</v>
      </c>
      <c r="L906" s="10"/>
      <c r="M906" s="11"/>
      <c r="N906" s="12"/>
      <c r="O906" s="13"/>
      <c r="P906" s="14"/>
      <c r="R906" s="1">
        <v>2370</v>
      </c>
      <c r="S906" s="1">
        <v>5214</v>
      </c>
      <c r="T906" s="1">
        <v>4414</v>
      </c>
    </row>
    <row r="907" spans="2:23" x14ac:dyDescent="0.25">
      <c r="B907" s="7"/>
      <c r="C907" s="8"/>
      <c r="D907" s="8"/>
      <c r="E907" s="9"/>
      <c r="F907" s="9"/>
      <c r="G907" s="17"/>
      <c r="H907" s="17"/>
      <c r="I907" s="9"/>
      <c r="J907" s="9"/>
      <c r="K907" s="10">
        <v>0</v>
      </c>
      <c r="L907" s="10"/>
      <c r="M907" s="11"/>
      <c r="N907" s="12"/>
      <c r="O907" s="13"/>
      <c r="P907" s="14"/>
    </row>
    <row r="908" spans="2:23" x14ac:dyDescent="0.25">
      <c r="B908" s="7"/>
      <c r="C908" s="8"/>
      <c r="D908" s="8"/>
      <c r="E908" s="9"/>
      <c r="F908" s="9"/>
      <c r="G908" s="17"/>
      <c r="H908" s="17"/>
      <c r="I908" s="9"/>
      <c r="J908" s="9"/>
      <c r="K908" s="10">
        <v>0</v>
      </c>
      <c r="L908" s="10"/>
      <c r="M908" s="11"/>
      <c r="N908" s="12"/>
      <c r="O908" s="13"/>
      <c r="P908" s="14"/>
    </row>
    <row r="909" spans="2:23" x14ac:dyDescent="0.25">
      <c r="B909" s="7"/>
      <c r="C909" s="8"/>
      <c r="D909" s="8"/>
      <c r="E909" s="9"/>
      <c r="F909" s="9"/>
      <c r="G909" s="17"/>
      <c r="H909" s="17"/>
      <c r="I909" s="9"/>
      <c r="J909" s="9"/>
      <c r="K909" s="10">
        <v>0</v>
      </c>
      <c r="L909" s="10"/>
      <c r="M909" s="11"/>
      <c r="N909" s="12"/>
      <c r="O909" s="13"/>
      <c r="P909" s="14"/>
      <c r="R909" s="1">
        <v>5</v>
      </c>
    </row>
    <row r="910" spans="2:23" x14ac:dyDescent="0.25">
      <c r="B910" s="7"/>
      <c r="C910" s="8"/>
      <c r="D910" s="8"/>
      <c r="E910" s="9"/>
      <c r="F910" s="9"/>
      <c r="G910" s="17"/>
      <c r="H910" s="17"/>
      <c r="I910" s="9"/>
      <c r="J910" s="9"/>
      <c r="K910" s="10">
        <v>0</v>
      </c>
      <c r="L910" s="10"/>
      <c r="M910" s="11"/>
      <c r="N910" s="12"/>
      <c r="O910" s="13"/>
      <c r="P910" s="14"/>
    </row>
    <row r="911" spans="2:23" x14ac:dyDescent="0.25">
      <c r="B911" s="7"/>
      <c r="C911" s="8"/>
      <c r="D911" s="8"/>
      <c r="E911" s="9"/>
      <c r="F911" s="9"/>
      <c r="G911" s="17"/>
      <c r="H911" s="17"/>
      <c r="I911" s="9"/>
      <c r="J911" s="9"/>
      <c r="K911" s="10">
        <v>0</v>
      </c>
      <c r="L911" s="10"/>
      <c r="M911" s="11"/>
      <c r="N911" s="12"/>
      <c r="O911" s="13"/>
      <c r="P911" s="14"/>
      <c r="R911" s="1">
        <v>12056.000000000002</v>
      </c>
      <c r="S911" s="1">
        <v>1700</v>
      </c>
      <c r="T911" s="1">
        <v>150</v>
      </c>
      <c r="U911" s="1">
        <v>706</v>
      </c>
      <c r="V911" s="1">
        <v>2556</v>
      </c>
      <c r="W911" s="1">
        <v>-9500.0000000000018</v>
      </c>
    </row>
    <row r="912" spans="2:23" x14ac:dyDescent="0.25">
      <c r="B912" s="7"/>
      <c r="C912" s="8"/>
      <c r="D912" s="8"/>
      <c r="E912" s="9"/>
      <c r="F912" s="9"/>
      <c r="G912" s="17"/>
      <c r="H912" s="17"/>
      <c r="I912" s="9"/>
      <c r="J912" s="9"/>
      <c r="K912" s="10">
        <v>0</v>
      </c>
      <c r="L912" s="10"/>
      <c r="M912" s="11"/>
      <c r="N912" s="12"/>
      <c r="O912" s="13"/>
      <c r="P912" s="14"/>
      <c r="R912" s="1">
        <v>500</v>
      </c>
    </row>
    <row r="913" spans="2:20" x14ac:dyDescent="0.25">
      <c r="B913" s="7"/>
      <c r="C913" s="8"/>
      <c r="D913" s="8"/>
      <c r="E913" s="9"/>
      <c r="F913" s="9"/>
      <c r="G913" s="17"/>
      <c r="H913" s="17"/>
      <c r="I913" s="9"/>
      <c r="J913" s="9"/>
      <c r="K913" s="10">
        <v>0</v>
      </c>
      <c r="L913" s="10"/>
      <c r="M913" s="11"/>
      <c r="N913" s="12"/>
      <c r="O913" s="13"/>
      <c r="P913" s="14"/>
      <c r="T913" s="1">
        <v>3056</v>
      </c>
    </row>
    <row r="914" spans="2:20" x14ac:dyDescent="0.25">
      <c r="B914" s="7"/>
      <c r="C914" s="8"/>
      <c r="D914" s="8"/>
      <c r="E914" s="9"/>
      <c r="F914" s="9"/>
      <c r="G914" s="17"/>
      <c r="H914" s="17"/>
      <c r="I914" s="9"/>
      <c r="J914" s="9"/>
      <c r="K914" s="10">
        <v>0</v>
      </c>
      <c r="L914" s="10"/>
      <c r="M914" s="11"/>
      <c r="N914" s="12"/>
      <c r="O914" s="13"/>
      <c r="P914" s="14"/>
    </row>
    <row r="915" spans="2:20" x14ac:dyDescent="0.25">
      <c r="B915" s="7"/>
      <c r="C915" s="8"/>
      <c r="D915" s="8"/>
      <c r="E915" s="9"/>
      <c r="F915" s="9"/>
      <c r="G915" s="17"/>
      <c r="H915" s="17"/>
      <c r="I915" s="9"/>
      <c r="J915" s="9"/>
      <c r="K915" s="10">
        <v>0</v>
      </c>
      <c r="L915" s="10"/>
      <c r="M915" s="11"/>
      <c r="N915" s="12"/>
      <c r="O915" s="13"/>
      <c r="P915" s="14"/>
      <c r="Q915" s="2">
        <v>9677</v>
      </c>
    </row>
    <row r="916" spans="2:20" x14ac:dyDescent="0.25">
      <c r="B916" s="7"/>
      <c r="C916" s="8"/>
      <c r="D916" s="8"/>
      <c r="E916" s="9"/>
      <c r="F916" s="9"/>
      <c r="G916" s="17"/>
      <c r="H916" s="17"/>
      <c r="I916" s="9"/>
      <c r="J916" s="9"/>
      <c r="K916" s="10">
        <v>0</v>
      </c>
      <c r="L916" s="10"/>
      <c r="M916" s="11"/>
      <c r="N916" s="12"/>
      <c r="O916" s="13"/>
      <c r="P916" s="14"/>
      <c r="Q916" s="2">
        <v>459</v>
      </c>
    </row>
    <row r="917" spans="2:20" x14ac:dyDescent="0.25">
      <c r="B917" s="7"/>
      <c r="C917" s="8"/>
      <c r="D917" s="8"/>
      <c r="E917" s="9"/>
      <c r="F917" s="9"/>
      <c r="G917" s="17"/>
      <c r="H917" s="17"/>
      <c r="I917" s="9"/>
      <c r="J917" s="9"/>
      <c r="K917" s="10">
        <v>0</v>
      </c>
      <c r="L917" s="10"/>
      <c r="M917" s="11"/>
      <c r="N917" s="12"/>
      <c r="O917" s="13"/>
      <c r="P917" s="14"/>
    </row>
    <row r="918" spans="2:20" x14ac:dyDescent="0.25">
      <c r="B918" s="7"/>
      <c r="C918" s="8"/>
      <c r="D918" s="8"/>
      <c r="E918" s="9"/>
      <c r="F918" s="9"/>
      <c r="G918" s="17"/>
      <c r="H918" s="17"/>
      <c r="I918" s="9"/>
      <c r="J918" s="9"/>
      <c r="K918" s="10">
        <v>0</v>
      </c>
      <c r="L918" s="10"/>
      <c r="M918" s="11"/>
      <c r="N918" s="12"/>
      <c r="O918" s="13"/>
      <c r="P918" s="14"/>
    </row>
    <row r="919" spans="2:20" x14ac:dyDescent="0.25">
      <c r="B919" s="7"/>
      <c r="C919" s="8"/>
      <c r="D919" s="8"/>
      <c r="E919" s="9"/>
      <c r="F919" s="9"/>
      <c r="G919" s="17"/>
      <c r="H919" s="17"/>
      <c r="I919" s="9"/>
      <c r="J919" s="9"/>
      <c r="K919" s="10">
        <v>0</v>
      </c>
      <c r="L919" s="10"/>
      <c r="M919" s="11"/>
      <c r="N919" s="12"/>
      <c r="O919" s="13"/>
      <c r="P919" s="14"/>
    </row>
    <row r="920" spans="2:20" x14ac:dyDescent="0.25">
      <c r="B920" s="7"/>
      <c r="C920" s="8"/>
      <c r="D920" s="8"/>
      <c r="E920" s="9"/>
      <c r="F920" s="9"/>
      <c r="G920" s="17"/>
      <c r="H920" s="17"/>
      <c r="I920" s="9"/>
      <c r="J920" s="9"/>
      <c r="K920" s="10">
        <v>0</v>
      </c>
      <c r="L920" s="10"/>
      <c r="M920" s="11"/>
      <c r="N920" s="12"/>
      <c r="O920" s="13"/>
      <c r="P920" s="14"/>
    </row>
    <row r="921" spans="2:20" x14ac:dyDescent="0.25">
      <c r="B921" s="7"/>
      <c r="C921" s="8"/>
      <c r="D921" s="8"/>
      <c r="E921" s="9"/>
      <c r="F921" s="9"/>
      <c r="G921" s="17"/>
      <c r="H921" s="17"/>
      <c r="I921" s="9"/>
      <c r="J921" s="9"/>
      <c r="K921" s="10">
        <v>0</v>
      </c>
      <c r="L921" s="10"/>
      <c r="M921" s="11"/>
      <c r="N921" s="12"/>
      <c r="O921" s="13"/>
      <c r="P921" s="14"/>
    </row>
    <row r="922" spans="2:20" x14ac:dyDescent="0.25">
      <c r="B922" s="7"/>
      <c r="C922" s="8"/>
      <c r="D922" s="8"/>
      <c r="E922" s="9"/>
      <c r="F922" s="9"/>
      <c r="G922" s="17"/>
      <c r="H922" s="17"/>
      <c r="I922" s="9"/>
      <c r="J922" s="9"/>
      <c r="K922" s="10">
        <v>0</v>
      </c>
      <c r="L922" s="10"/>
      <c r="M922" s="11"/>
      <c r="N922" s="12"/>
      <c r="O922" s="13"/>
      <c r="P922" s="14"/>
    </row>
    <row r="923" spans="2:20" x14ac:dyDescent="0.25">
      <c r="B923" s="7"/>
      <c r="C923" s="8"/>
      <c r="D923" s="8"/>
      <c r="E923" s="9"/>
      <c r="F923" s="9"/>
      <c r="G923" s="17"/>
      <c r="H923" s="17"/>
      <c r="I923" s="9"/>
      <c r="J923" s="9"/>
      <c r="K923" s="10">
        <v>0</v>
      </c>
      <c r="L923" s="10"/>
      <c r="M923" s="11"/>
      <c r="N923" s="12"/>
      <c r="O923" s="13"/>
      <c r="P923" s="14"/>
    </row>
    <row r="924" spans="2:20" x14ac:dyDescent="0.25">
      <c r="B924" s="7"/>
      <c r="C924" s="8"/>
      <c r="D924" s="8"/>
      <c r="E924" s="9"/>
      <c r="F924" s="9"/>
      <c r="G924" s="17"/>
      <c r="H924" s="17"/>
      <c r="I924" s="9"/>
      <c r="J924" s="9"/>
      <c r="K924" s="10">
        <v>0</v>
      </c>
      <c r="L924" s="10"/>
      <c r="M924" s="11"/>
      <c r="N924" s="12"/>
      <c r="O924" s="13"/>
      <c r="P924" s="14"/>
    </row>
    <row r="925" spans="2:20" x14ac:dyDescent="0.25">
      <c r="B925" s="7"/>
      <c r="C925" s="8"/>
      <c r="D925" s="8"/>
      <c r="E925" s="9"/>
      <c r="F925" s="9"/>
      <c r="G925" s="17"/>
      <c r="H925" s="17"/>
      <c r="I925" s="9"/>
      <c r="J925" s="9"/>
      <c r="K925" s="10">
        <v>0</v>
      </c>
      <c r="L925" s="10"/>
      <c r="M925" s="11"/>
      <c r="N925" s="12"/>
      <c r="O925" s="13"/>
      <c r="P925" s="14"/>
    </row>
    <row r="926" spans="2:20" x14ac:dyDescent="0.25">
      <c r="B926" s="7"/>
      <c r="C926" s="8"/>
      <c r="D926" s="8"/>
      <c r="E926" s="9"/>
      <c r="F926" s="9"/>
      <c r="G926" s="17"/>
      <c r="H926" s="17"/>
      <c r="I926" s="9"/>
      <c r="J926" s="9"/>
      <c r="K926" s="10">
        <v>0</v>
      </c>
      <c r="L926" s="10"/>
      <c r="M926" s="11"/>
      <c r="N926" s="12"/>
      <c r="O926" s="13"/>
      <c r="P926" s="14"/>
    </row>
    <row r="927" spans="2:20" x14ac:dyDescent="0.25">
      <c r="B927" s="7"/>
      <c r="C927" s="8"/>
      <c r="D927" s="8"/>
      <c r="E927" s="9"/>
      <c r="F927" s="9"/>
      <c r="G927" s="17"/>
      <c r="H927" s="17"/>
      <c r="I927" s="9"/>
      <c r="J927" s="9"/>
      <c r="K927" s="10">
        <v>0</v>
      </c>
      <c r="L927" s="10"/>
      <c r="M927" s="11"/>
      <c r="N927" s="12"/>
      <c r="O927" s="13"/>
      <c r="P927" s="14"/>
    </row>
    <row r="928" spans="2:20" x14ac:dyDescent="0.25">
      <c r="P928" s="14"/>
    </row>
  </sheetData>
  <mergeCells count="15">
    <mergeCell ref="A1:P1"/>
    <mergeCell ref="A2:P2"/>
    <mergeCell ref="A3:P3"/>
    <mergeCell ref="A4:A5"/>
    <mergeCell ref="B4:B5"/>
    <mergeCell ref="C4:C5"/>
    <mergeCell ref="D4:D5"/>
    <mergeCell ref="E4:E5"/>
    <mergeCell ref="F4:H4"/>
    <mergeCell ref="I4:J4"/>
    <mergeCell ref="K4:K5"/>
    <mergeCell ref="L4:L5"/>
    <mergeCell ref="M4:M5"/>
    <mergeCell ref="N4:N5"/>
    <mergeCell ref="P4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ENERO</vt:lpstr>
      <vt:lpstr>FEBRERO</vt:lpstr>
      <vt:lpstr>MARZO</vt:lpstr>
      <vt:lpstr>ABRIL</vt:lpstr>
      <vt:lpstr>Hoja3</vt:lpstr>
      <vt:lpstr>Hoja4</vt:lpstr>
      <vt:lpstr>Hoja2</vt:lpstr>
      <vt:lpstr>Hoja1</vt:lpstr>
      <vt:lpstr>MAYO</vt:lpstr>
      <vt:lpstr>JUNIO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Bascula</dc:creator>
  <cp:lastModifiedBy>Rrhhdata</cp:lastModifiedBy>
  <dcterms:created xsi:type="dcterms:W3CDTF">2021-01-02T21:50:16Z</dcterms:created>
  <dcterms:modified xsi:type="dcterms:W3CDTF">2021-04-26T14:07:48Z</dcterms:modified>
</cp:coreProperties>
</file>