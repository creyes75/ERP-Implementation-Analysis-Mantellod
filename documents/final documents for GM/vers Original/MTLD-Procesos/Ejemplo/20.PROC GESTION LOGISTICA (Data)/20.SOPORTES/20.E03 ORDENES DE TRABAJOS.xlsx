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David Criollo\Desktop\HUNTER2021\"/>
    </mc:Choice>
  </mc:AlternateContent>
  <bookViews>
    <workbookView xWindow="0" yWindow="0" windowWidth="20490" windowHeight="6750"/>
  </bookViews>
  <sheets>
    <sheet name="ORDETRAB" sheetId="1" r:id="rId1"/>
    <sheet name="Hoja1" sheetId="4" state="hidden" r:id="rId2"/>
    <sheet name="CAMACEITE" sheetId="2" r:id="rId3"/>
    <sheet name="REQUI" sheetId="3" r:id="rId4"/>
    <sheet name="ALINEACION" sheetId="5" r:id="rId5"/>
  </sheets>
  <definedNames>
    <definedName name="_xlnm._FilterDatabase" localSheetId="0" hidden="1">ORDETRAB!$A$2:$R$203</definedName>
    <definedName name="_xlnm._FilterDatabase" localSheetId="3" hidden="1">REQUI!$B$3:$J$3</definedName>
    <definedName name="_xlnm.Print_Area" localSheetId="0">ORDETRAB!#REF!</definedName>
    <definedName name="_xlnm.Print_Area" localSheetId="3">REQUI!$B$3:$J$26</definedName>
  </definedNames>
  <calcPr calcId="162913"/>
</workbook>
</file>

<file path=xl/calcChain.xml><?xml version="1.0" encoding="utf-8"?>
<calcChain xmlns="http://schemas.openxmlformats.org/spreadsheetml/2006/main">
  <c r="M18" i="2" l="1"/>
  <c r="L23" i="2"/>
  <c r="E33" i="2" l="1"/>
  <c r="E40" i="2" l="1"/>
  <c r="E39" i="2"/>
  <c r="E38" i="2"/>
  <c r="E37" i="2"/>
  <c r="E36" i="2"/>
  <c r="E35" i="2"/>
  <c r="E34" i="2"/>
  <c r="E32" i="2"/>
  <c r="E31" i="2"/>
  <c r="E30" i="2"/>
  <c r="E29" i="2"/>
  <c r="E28" i="2"/>
  <c r="E27" i="2"/>
  <c r="E26" i="2"/>
  <c r="E25" i="2"/>
  <c r="E24" i="2"/>
  <c r="E23" i="2"/>
  <c r="E22" i="2"/>
  <c r="E21" i="2"/>
  <c r="E20" i="2"/>
  <c r="E19" i="2"/>
  <c r="E18" i="2"/>
  <c r="E17" i="2"/>
  <c r="E16" i="2"/>
  <c r="E15" i="2"/>
  <c r="E14" i="2"/>
  <c r="E13" i="2"/>
  <c r="E12" i="2"/>
  <c r="E11" i="2"/>
  <c r="E10" i="2"/>
  <c r="E9" i="2"/>
  <c r="E8" i="2"/>
  <c r="E7" i="2"/>
  <c r="E6" i="2"/>
</calcChain>
</file>

<file path=xl/sharedStrings.xml><?xml version="1.0" encoding="utf-8"?>
<sst xmlns="http://schemas.openxmlformats.org/spreadsheetml/2006/main" count="1082" uniqueCount="720">
  <si>
    <t>VEHICULO</t>
  </si>
  <si>
    <t>FECHA DE INICO</t>
  </si>
  <si>
    <t>FECHA TERMINO</t>
  </si>
  <si>
    <t>DIA</t>
  </si>
  <si>
    <t>KM / HR</t>
  </si>
  <si>
    <t>TECNICO</t>
  </si>
  <si>
    <t># ORDEN DE TRABAJO INTERNO</t>
  </si>
  <si>
    <t># GUIA TRASLADO  (INICIO-FIN)</t>
  </si>
  <si>
    <t># REQUISICION DE COMPRA</t>
  </si>
  <si>
    <t># INGRESO O/C</t>
  </si>
  <si>
    <t># ORDEN TRABAJOS EXTERNOS / TERCEROS</t>
  </si>
  <si>
    <t># INGRESO TRABAJOS EXTERNOS / TERCEROS</t>
  </si>
  <si>
    <t># EGRESOS DE BODEGA</t>
  </si>
  <si>
    <t>REPUESTOS UTILIZADOS</t>
  </si>
  <si>
    <t>OBSERVACION</t>
  </si>
  <si>
    <t>TRABAJOS A REALIZARSE O REALIZADOS</t>
  </si>
  <si>
    <t>TRABAJOS EXTERNO REALIZADOS</t>
  </si>
  <si>
    <t>REPORTE FALLA MECANICA O ELECTRICA</t>
  </si>
  <si>
    <t>RECORRIDOS KILOMETRAJE PARA CAMBIOS DE ACEITE Y FILTROS DE MOTOR</t>
  </si>
  <si>
    <t xml:space="preserve">VEHICULOS </t>
  </si>
  <si>
    <t>PREVIO ANTERIOR KM</t>
  </si>
  <si>
    <t>ACTUAL KM</t>
  </si>
  <si>
    <t>KM RECORRIDO</t>
  </si>
  <si>
    <t>CAMION 2</t>
  </si>
  <si>
    <t>CAMION 3</t>
  </si>
  <si>
    <t>CAMION 6</t>
  </si>
  <si>
    <t>CAMION 7</t>
  </si>
  <si>
    <t>CAMION 8</t>
  </si>
  <si>
    <t>CAMION 9</t>
  </si>
  <si>
    <t>VOLQUETA 1</t>
  </si>
  <si>
    <t>VOLQUETA 2</t>
  </si>
  <si>
    <t>VOLQUETA 3</t>
  </si>
  <si>
    <t>VOLQUETA 4</t>
  </si>
  <si>
    <t>CABEZAL 1</t>
  </si>
  <si>
    <t>CABEZAL 2</t>
  </si>
  <si>
    <t>CABEZAL 3</t>
  </si>
  <si>
    <t>CABEZAL 5</t>
  </si>
  <si>
    <t>CABEZAL 6</t>
  </si>
  <si>
    <t>CABEZAL 7</t>
  </si>
  <si>
    <t>CABEZAL 8</t>
  </si>
  <si>
    <t>CABEZAL 9</t>
  </si>
  <si>
    <t>CABEZAL 10</t>
  </si>
  <si>
    <t>CABEZAL 11</t>
  </si>
  <si>
    <t>CABEZAL 12</t>
  </si>
  <si>
    <t>CAMIONETA 1</t>
  </si>
  <si>
    <t>CAMIONETA 4</t>
  </si>
  <si>
    <t>MAHINDRA</t>
  </si>
  <si>
    <t>KIA MUELLE</t>
  </si>
  <si>
    <t>GALLINETA</t>
  </si>
  <si>
    <t>HORAS</t>
  </si>
  <si>
    <t>MONTACARGA 1</t>
  </si>
  <si>
    <t>MONTACARGA 2</t>
  </si>
  <si>
    <t>MONTACARGA 3</t>
  </si>
  <si>
    <t>MONTACARGA 4</t>
  </si>
  <si>
    <t>MONTACARGA 5</t>
  </si>
  <si>
    <t>OT</t>
  </si>
  <si>
    <t>SOLICITUD #</t>
  </si>
  <si>
    <t xml:space="preserve">FECHA </t>
  </si>
  <si>
    <t>EQUIPO</t>
  </si>
  <si>
    <t>ARTICULO</t>
  </si>
  <si>
    <t># REQ-BODEGA</t>
  </si>
  <si>
    <t>FECHA RECEPCION SOLIC</t>
  </si>
  <si>
    <t>DIAS</t>
  </si>
  <si>
    <t>BAÑERA 4</t>
  </si>
  <si>
    <t>BAÑERA 10</t>
  </si>
  <si>
    <t>LUIS SALINAS</t>
  </si>
  <si>
    <t>BAÑERAS</t>
  </si>
  <si>
    <t>CAJA Y CORONA</t>
  </si>
  <si>
    <t xml:space="preserve">                                                                                                                                                                                                                                                                                                                                                                                                                                                                                                                                                                                                                                                                                                                                                                                                                                                                                                                                                                                                                                                                                                                                                                                                                                                                                                                                                                                                                                                                                                                                                                                                                                                                                                                                                                                                                                                                                                                                                                                                                                                                                                                                                                                                                                                                                                                                                                                                                                                                                                                                                                                                                                                                                                                                                                                                                                                                                                                                                                                                                                                                                                                                                                                                                                                                                                                                                                                                                                                                                                                                                  </t>
  </si>
  <si>
    <t>TEMPLADORES DE EJE</t>
  </si>
  <si>
    <t>MONTACARGAS</t>
  </si>
  <si>
    <t>RETENEDORES DE TRANSMICION</t>
  </si>
  <si>
    <t>VEHICULOS</t>
  </si>
  <si>
    <t>RETENEDORES</t>
  </si>
  <si>
    <t>CAMION 4 PLATAF</t>
  </si>
  <si>
    <t>ANGULOS-PLANCHAS</t>
  </si>
  <si>
    <t>AROS TIPO ARAÑA</t>
  </si>
  <si>
    <t>SE DAÑO</t>
  </si>
  <si>
    <t>88853 CAMBIO DE ACEITE 27/10/20</t>
  </si>
  <si>
    <t>2 ESPEJOS RETROVISORES</t>
  </si>
  <si>
    <t>RETROVISORES RECTANGULARES Y REDONDOS</t>
  </si>
  <si>
    <t>RULIMAN 33213-13115-TAMBORES DE FRENO</t>
  </si>
  <si>
    <t>TEMPLADOR POSTERIOR ROTO-PROBLEMA ALTERNADOR</t>
  </si>
  <si>
    <t>SE SOLDO TEMPLADOR-SE LE INSTALO EL ALTERNADOR DEL CABEZAL 6(PRESTADO)</t>
  </si>
  <si>
    <t>NINO PINCAY/LUIS SALINAS</t>
  </si>
  <si>
    <t>SE LE CAMBIO ACEITE A LA TRANSMICION-SE LE CAMBIO ACEITE AL DIFERENCIAL-ALINEACION Y BALANCEO RUEDAS</t>
  </si>
  <si>
    <t>SE LE CAMBIO ACEITE A LA TRANSMICION-SE LE CAMBIO ACEITE AL DIFERENCIAL-ALINEACION Y BALANCEO RUEDAS-1 FILTRO DE ACEITE-1 FILTRO DE COMBUSTIBLE-1 FILTRO COMBUSTIBLE-1 WAYPE-1 AGUA DESTILADA PARA BATERIA-1 ANILLO TAPON VACIADO-1 FILTRO DE ACEITE COR/DIF-1 CENICERO-14 LTRS ACEITE TOTAL 10W30-12 LTRS ACEITE 80W90-12 LTRS ACEITE 85W140</t>
  </si>
  <si>
    <t>TALLER MAVESA FACT 001-003-000168310</t>
  </si>
  <si>
    <t>PERNOS PUENTE CHASIS DAÑADOS</t>
  </si>
  <si>
    <t xml:space="preserve">SE LES CAMBIO LOS 16 PERNOS 1/2 X 1 1/2 NUEVOS AL PUENTE DE CHASIS </t>
  </si>
  <si>
    <t>NINO PINCAY</t>
  </si>
  <si>
    <t>BAÑERA 7</t>
  </si>
  <si>
    <t>BAÑERA 2</t>
  </si>
  <si>
    <t>REPARACION GATO HIDRAULICO</t>
  </si>
  <si>
    <t>BAÑERA 9</t>
  </si>
  <si>
    <t>MANTENIMIENTO MECANISMO DE COMPUERTA</t>
  </si>
  <si>
    <t>PLAYAS DELIO GOMEZ</t>
  </si>
  <si>
    <t>AFINAMIENTO DE MOTOR-REVISION DE FRENOS-REPARAR CAJA DE CAMBIO(SE SALTA SEGUNDA)-REVISAR SUSPENSIÓN(ROSA LLANTA)-LIMPIEZA CARBURADOR</t>
  </si>
  <si>
    <t>TALLER TECNIFOR GQUIL 4245</t>
  </si>
  <si>
    <t>BAÑERA 5</t>
  </si>
  <si>
    <t>LLANTA 5 BAJA</t>
  </si>
  <si>
    <t>SE SACO LLANTA 5 Y TIENE PARTIDURA(LEVANTADO EL REENCAUCHE)-SE LE COLOCO UNA LLANTA MICHELIN X WORKS 12R 22.5 DE LA BAÑERA 4</t>
  </si>
  <si>
    <t>GERMAN AVEIGA</t>
  </si>
  <si>
    <t>CAMBIO DE ALTERNADOR -CAMBIO DE FILTROS Y ACEITE DEL MOTOR</t>
  </si>
  <si>
    <t>SE LE COLOCO EL ALTERNADOR REPARADO Y SE LE DEVOLVIO EL ALTERNADOR AL CABEZAL 6-SE LE CAMBIO FILTROS Y ACEITE AL MOTOR</t>
  </si>
  <si>
    <t>FUGA DE ACEITE EJE TRANSMICION</t>
  </si>
  <si>
    <t>SE COMLETO ACEITE A LA CORONA-SE AJUSTO PERNOS DE EJE DE TRANSMICION</t>
  </si>
  <si>
    <t>REVISION TOTAL</t>
  </si>
  <si>
    <t>AUTOMEKANO</t>
  </si>
  <si>
    <t>MANTENIMIENTO GENERAL</t>
  </si>
  <si>
    <t>PLATAFORMA 4</t>
  </si>
  <si>
    <t>ALINEAR</t>
  </si>
  <si>
    <t>TALLER TIWINTZA</t>
  </si>
  <si>
    <t>MANTENIMIENTO PREVENTIVO CAMBIO DE FILTRO Y ACEITE-MOTOR-TRANSMICION Y DIFERENCIAL</t>
  </si>
  <si>
    <t>MANTENIMIENTO PREVENTIVO CAMBIO DE FILTRO Y ACEITE DEL MOTOR</t>
  </si>
  <si>
    <t>SE CAMBIO FILTRO DE ACEITE-SE CAMBIO FILTRO COMB-SE CAMBIO ACEITE DEL MOTOR</t>
  </si>
  <si>
    <t>GERMAN AVEIGA/JULIO GARCIA</t>
  </si>
  <si>
    <t>SE ENVIO GQUIL MUESTRAS MASA DE ALTERNADOR-TAPA DE ALTERNADOR-RULIMAN DE ALTERNADOR-REGULADOR ALTERNADOR-PORTA CARBON-PLACA DE DIODO-TRIODO G/T15264(04/01/21)</t>
  </si>
  <si>
    <t>SE ENVIARON ZAPATAS A REVESTIR-MARTILLO DE FRENO-1 GATOS HIDRAULICO G/T 15268(06/01/21)</t>
  </si>
  <si>
    <t>SE ENVIO UN GATO HIDSRAULICO G/T 15268(06/01/21)</t>
  </si>
  <si>
    <t>POR REALIZAR UNA PISTA EN LA TAPA POSTERIOR FACT ALLAICA CARANQUI ISIDRO FLASH1 4519</t>
  </si>
  <si>
    <t>TANQUERO 2</t>
  </si>
  <si>
    <t>CAMBIO DE FILTRO Y ACEITE DEL MOTOR</t>
  </si>
  <si>
    <t>LUIS SALINAS/JULIO GARCIA</t>
  </si>
  <si>
    <t>SE CAMBIO FILTRO DE ACEITE-SE CAMBIO ACEITE DEL MOTOR</t>
  </si>
  <si>
    <t>JULIO GARCIA</t>
  </si>
  <si>
    <t>PROBLEMA EJE DELANTERO-CHEQUEO MANZANA</t>
  </si>
  <si>
    <t>SE CAMBIA TUERCA DE AJUSTE PUNTA DE EJE QUE AJUSTA A LA MANZANA</t>
  </si>
  <si>
    <t>MANTENIMIENTO PREVENTIVO-CAMBIO DE FILTRO Y ACEITE DEL MOTOR-CAMBIO DE ACEITE Y FILTRO DE LA CAJA-CAMBIO DE FILTRO Y ACEITE HIDRAULICO-CAMBIO ACEITE DEL DIFERENCIAL-CAMBIO DE FILTRO DE GAS-CAMBIO DE BUJIA,REFRIGERANTE Y FILTRO DE AIRE</t>
  </si>
  <si>
    <t>SE CAMBIO DE FILTRO Y ACEITE DEL MOTOR-CAMBIO DE ACEITE Y FILTRO DE LA CAJA-CAMBIO DE FILTRO Y ACEITE HIDRAULICO-CAMBIO ACEITE DEL DIFERENCIAL-CAMBIO DE FILTRO DE GAS-CAMBIO DE BUJIA,REFRIGERANTE Y FILTRO DE AIRE</t>
  </si>
  <si>
    <t>BAÑERA 11</t>
  </si>
  <si>
    <t>MANTENIMIENTO DEL SISTEMA DE FRENO</t>
  </si>
  <si>
    <t>BAÑERA 6</t>
  </si>
  <si>
    <t>MANTENIMIENTO DE LUCES DE STOP Y LUCES DE RUTA</t>
  </si>
  <si>
    <t>SE CAMBIARON LUCES DE STOP Y LUCES DE RUTA</t>
  </si>
  <si>
    <t>PROBLEMA DE MOTOR DE ARRANQUE</t>
  </si>
  <si>
    <t>SE CAMBIO MOTOR DE ARRANQUE-SE LE COLOCO UN MOTOR DE ARRANQUE QUE SE ENCONTRABA EN STOCK</t>
  </si>
  <si>
    <t>MANTENIMIENTO DE CABINA</t>
  </si>
  <si>
    <t>TALLER RAMIREZ PLAYAS</t>
  </si>
  <si>
    <t>CAMION 5 PLATAF</t>
  </si>
  <si>
    <t>1 FILTRO DE ACEITE(106145)-2 GLNS ACEITE 20W50-3 GLNS ACEITE HIDRAULICO ROJO-1 FILTRO DE TRANSMICION(310038)-1 FILTRO AIRE(306967)-10 GLNS ACEITE RANDO 68-03 GLNS ACEITE 80W90</t>
  </si>
  <si>
    <t>1 FILTRO ACEITE(106145)-2 GLNS ACEITE 20W50</t>
  </si>
  <si>
    <t>PROXIMO CAMBIO ACEITE FILTRO MOTOR 17698 PROXIMO CAMBIO ACEITE FILTRO DE LA CAJA 18477 PROXIMO CAMBIO ACEITE FILTRO HIDRAULICO 18477 PROXIMO CAMBIO ACEITE DIFERENCIAL 18477 CAMBIO FILTRO GAS 17698 PROXIMO CAMBIO BUJIA REFRIGERANTE Y FILTRO DE AIRE 18077</t>
  </si>
  <si>
    <t>2 FILTRO DE ACEITE(206715)-1 FILTRO COMBUSTIBLE(306994)-1 FILTRO RACOR(303584)-1 FILTRO AGUA(307158)-1 FILTRO DE CENTRIFUGA(308500)-10 GLNS ACEITE 15W40-1 LBR WAIPE</t>
  </si>
  <si>
    <t>15276-15277</t>
  </si>
  <si>
    <t>SE ENVIO A GQUIL ZAPATAS-TAMBOR-RETENEDOR-TUERCA G/T 15276(08/01/21)-SE ENVIO CARDAN GRANDE-CARDAN PEQUEÑO(PARA CAMBIO DE MATRIMONIO)-SE ENVIO BRIDA(G/T 15277 11/01/21)</t>
  </si>
  <si>
    <t>SE CAMBIO FILTRO DE ACEITE-FILTRO DE COMBUSTIBLE Y ACEITE DEL MOTOR</t>
  </si>
  <si>
    <t>BAÑERA 12</t>
  </si>
  <si>
    <t>CAMION 10</t>
  </si>
  <si>
    <t>MANTENIMIENTO PREVENTIVO-CAMBIO DE FILTRO Y ACEITE DEL MOTOR-CAMBIO DE ACEITE DE TRANSMICION-CAMBIO ACEITE DEL DIFERENCIAL-CALIBRACION DE VALVULAS-ALINEACION Y BALANCEO-SOPLETEAR RADIADOR INTERCOOLER</t>
  </si>
  <si>
    <t>MAVESA FACT:001-003-000169194</t>
  </si>
  <si>
    <t>MANTENIMIENTO PREVENTIVO-CAMBIO DE FILTRO Y ACEITE DEL MOTOR-CAMBIO DE ACEITE DE TRANSMICION-CAMBIO ACEITE DEL DIFERENCIAL-CALIBRACION DE VALVULAS-ALINEACION Y BALANCEO-SOPLETEAR RADIADOR INTERCOOLER-1 FILTRO COMBUSTIBLE-1 AGUA DESTILADA DE BATERIA-12 LTRS ACEITE RUBIA TIR 7900 10W30-1 FUNDA DE WAIPE-1 FILTRO DE ACEITE-1 FILTRO COMB PRIMARIO-6 LTRS ACEITE TRANSMICION 85W140-1 ANILLO TAPON VACIADO-1 LIMPIADOR INYECTORES DE DIESEL-1 FILTRO DE AIRE</t>
  </si>
  <si>
    <t>PROBLEMA CON PERNO DE MANO DE PORTA BALANCIN</t>
  </si>
  <si>
    <t>SE CAMBIO MANO DE PORTA BALANCIN-SE SACO TUERCA DEL BALANCIN DEL CABEZAL 6 PARA COLOCARSELO</t>
  </si>
  <si>
    <t>SE SACO CAJON PARA COLOCARLE PLATAFORMA QUE SE CONSTRUYE EN POSORJA</t>
  </si>
  <si>
    <t>LLANTA 3 SE ABERIO EN LA PARTE DE EN MEDIO</t>
  </si>
  <si>
    <t>SE SACO LLANTA 3 PARA COLOCARLE LA LLANTA DE EMERGENCIA</t>
  </si>
  <si>
    <t>CAMBIO DE FILTRO Y ACEITE DEL MOTOR-REVISION</t>
  </si>
  <si>
    <t>MANTENIMIENTO GENERAL-MANTENIMIENTO SISTEMA DE FRENO-CARDAN EN MAL ESTADO-MANTENIMIENTO MECANISMO DE PUERTA DE CABINA-PLUMAS LIMPIAPARABRISAS</t>
  </si>
  <si>
    <t>ALINEACION Y BALANCEO</t>
  </si>
  <si>
    <t>GUAYAQUIL TECNICAMION</t>
  </si>
  <si>
    <t>2 CAUCHO TEMPLADOR-6 PERNOS 5/8 X 2 1/2</t>
  </si>
  <si>
    <t>6 GLNS ACEITE SAE 40-1 FILTRO DE ACEITE(306931)-1 FILTRO(105182)-1 WAIPE</t>
  </si>
  <si>
    <t>EL 19/01/2021 SE LE COLOCO UN GATO USADO QUE SE ENCONTABA EN TALLER</t>
  </si>
  <si>
    <t>SE LE COLOCO LA PLATAFORMA EN TALLER POSORJA</t>
  </si>
  <si>
    <t>SE ALINEO Y SE BALANCEO EN GQUIL</t>
  </si>
  <si>
    <t>MANGUERA HIDRAULICA ROTA</t>
  </si>
  <si>
    <t>SE CAMBIO MANGUERA HIDRAULICA DE LA CAJA</t>
  </si>
  <si>
    <t>PERNOS DE PUENTES DAÑADO-PERNOS BASE RULIMAN CENTRO DAÑADO</t>
  </si>
  <si>
    <t>SE CAMBIARON Y SE LE COLOCARON NUEVOS PERNOS PUENTE-SE LE CAMBIARON Y SE LE COLOCARON NUEVOS PERNOS DE BASE DE RULIMAN DEL CENTRO</t>
  </si>
  <si>
    <t>TANQUERO REMOLQ 3</t>
  </si>
  <si>
    <t>PROBLEMA DE CIRCUITO</t>
  </si>
  <si>
    <t>REPARACION DE CIRCUITO DE CABLE DE LUCES</t>
  </si>
  <si>
    <t>MANTENIMIENTO ELECTRICO-PLUMA LIMPIA PARABRIZA-LUZ DIRECCIONAL</t>
  </si>
  <si>
    <t>SE CAMBIO UN BOCIN DEL BRAZO LADO IZQUIERDO DEL LIMPIA PARABRIZA-SE CAMBIO UNA LUZ DIRECCIONAL</t>
  </si>
  <si>
    <t>PAQUETE DE RESORTE-SE ALARGARON LOS TEMPLADORES DEL SEGUNDO EJE-LUEGO DESDE LAS 20:00 DEL 20/01/21 HASTA 01:00 DEL 21/01/2021 SE COLOCARON TOPES A BALANCIN POR QUE SE HABIAN DESCARRILADO LOS PAQUETES</t>
  </si>
  <si>
    <t>NINO PINCAY/JUAN LEON</t>
  </si>
  <si>
    <t>MANTENIMIENTO DE SISTEMA DE FRENO</t>
  </si>
  <si>
    <t>REVISION DE SISTEMA DE FRENO</t>
  </si>
  <si>
    <t>SE CAMBIO VALVULA DE PEDAL DE FRENO-SE COLOCO SILICON A LA TAPA LATERAL DE CAJA</t>
  </si>
  <si>
    <t>DERRAME DE DIESEL POR TANQUE DE COMBUSTIBLE</t>
  </si>
  <si>
    <t>SE SACO TANQUE DE COMBUSTIBLE PARA SOLDAR HUECOS</t>
  </si>
  <si>
    <t>MANTENIMIENTO ELECTRICO-GUIAS DE RUTA</t>
  </si>
  <si>
    <t>SE CAMBIARON 3 GUIAS DE RUTA</t>
  </si>
  <si>
    <t xml:space="preserve"> CAMION 10</t>
  </si>
  <si>
    <t>SE CAMBIARON 2 GUIAS DE RUTA</t>
  </si>
  <si>
    <t xml:space="preserve">LUIS SALINAS </t>
  </si>
  <si>
    <t>MANTENIMIENTO DE SISTEMA DE FRENO-SUSPENSIÓN-GATO HIDRAULICO</t>
  </si>
  <si>
    <t>CAMBIO LLANTA</t>
  </si>
  <si>
    <t>VULCANIZADORA JOEL TOMALA CATUTO FREDDY SANTA ELENA FACT 4966</t>
  </si>
  <si>
    <t>DISCO-TIZA-SOLDADURA</t>
  </si>
  <si>
    <t>3 PERNOS 1/4 X 1 1/2</t>
  </si>
  <si>
    <t>SE LE CAMBIA 4 RACHES-SE LE CAMBIA 2 PULMONES 30/30-2 PULMONES TIPO 30-CAMBIO DE 1 VALVULA RE6-SE CAMBIA NPLOS DE PULMONES-SE LIMPIA Y ENGRASA RULIMANES-MANTENIMIENTO SISTEMA ELECTRICO-SE CAMBIARON LUCES DE STOP-SE REGULARON LOS FRENOS-SE CHEQUEO MANZANA Y RULIMANES</t>
  </si>
  <si>
    <t>SE CAMBIARON 2 PULMONES TIPO 30 Y 4 RACHES DE FRENO DE 37 DIENTES-SE REGULARON LOS FRENOS-SE CHEQUEARON LAS LUCES</t>
  </si>
  <si>
    <t>1 GUIA DE RUTA-1 ENCHUFE-1 DISCO</t>
  </si>
  <si>
    <t>5 PERNOS 1/2-2 CINTA AISLANTE</t>
  </si>
  <si>
    <t>1-FILTRO ACEITE(101020)-1 FILTRO COMB(303015)-1 FILTRO DE ACEITE(100977)-1 FILTRO COMB(308362)-7 GLNS ACEITE SAE 40</t>
  </si>
  <si>
    <t>1 GLN ACEITE HIDRAULICO ROJO</t>
  </si>
  <si>
    <t>59743-59742-59671</t>
  </si>
  <si>
    <t>1 VALVULA RE6-5 MTRS MANGUERA DE AIRE-1 VALVULA E-6-TORNILLOS-PERNOS-SILICON</t>
  </si>
  <si>
    <t>15273-15451</t>
  </si>
  <si>
    <t>SE ENVIARON A GQUIL MUESTRAS DE ACCESORIO DE CABINAS G/T15454 20/01/21</t>
  </si>
  <si>
    <t>SE ALINEO Y SE BALANCEO</t>
  </si>
  <si>
    <t>ALINEACION DE TRANSPORTE DE CARGA FACTURA FERROMUNDO 019-304-000001366</t>
  </si>
  <si>
    <t>AFINAMIENTO DE MOTOR-CAMBIO DE BUJIAS Y FILTROS-LIMPIEZA DE CARBURADOR-REVISAR Y REPARAR FRENOS-LIMPIEZA Y REGULACION DE FRENOS-REVISAR Y REPARAR SUSPENSIÓN-CAMBIO DE CAUCHO DE BARRA ESTABILIZADORA-CAMBIO DE CAUCHO-CAMBIO DE CAUCHO DE TEMPLADORES-REAJUSTE DE SUSPENCION-REPARAR CAJA DE CAMBIO-REVISAR Y REPARAR EMBRAGUE-CAMBIO DE KIT DE EMBRAGUE-REVISAR FUGA DE ACEITE DE DIRECCION-REPARAR CAJA DE DIRECCION-ALINEAR RUEDAS-TAPA DE RADIADOR FACTURA DE TALLER MECANICO TECNIFOR 8457</t>
  </si>
  <si>
    <t>REVESTIDA DE 8 ZAPATAS DE FRENO-56 REMACHES COBRE 6X18-168 REMCHES COBRE 8X18-16 FORRO BLOQUE FACT FRENOSEGURO 004-001-000587532</t>
  </si>
  <si>
    <t>PROBLEMA EN TANQUE DE AIRE-PROBLEMA EN LIMPIAPARABRISAS</t>
  </si>
  <si>
    <t>SE SOLDO TANQUE DE AIRE-SE REPARO MOTOR DE LIMPIAPARABRIZA(SE SUAVIZO PIÑON)</t>
  </si>
  <si>
    <t>DAÑO ELECTRICO-CABLE PRINCIPAL DE CORRIENTE</t>
  </si>
  <si>
    <t>SE CAMBIO CABLE PRINCIPAL DE CORRIENTE</t>
  </si>
  <si>
    <t>PROBLEMA DE CABINA(GOLPE)</t>
  </si>
  <si>
    <t>NOLO TRABAJARON ESTE DIA(REGRESO A PLANTA)</t>
  </si>
  <si>
    <t>CARROCERIA POSORJA</t>
  </si>
  <si>
    <t>PROBLEMA ELECTRICO NO FUNCIONABA LUCES DELANTERAS-PROBLEMA EN RELAY(RESCATE EN PTO AZUL 03:00am REGRESABA DE MANTA CON ATUN)-SE LO REPARO PROVISIONALMENTE PARA QUE LLEGUE A PLANTA</t>
  </si>
  <si>
    <t>SE LE CAMBIO UN RELAY-SE LE CAMBIO UN FUSIBLE-SE LE ASEGURARON CABLE DE LUCES DELANTERAS(ESTE TRABAJO SE LO REALIZO EN PLANTA)</t>
  </si>
  <si>
    <t>RESCATE-VEHICULO BLOQUEADO EN VIA PASANDO PROGRESO(LA MONA)-TRANSPORTABA HIDROLIZADO A DURAN</t>
  </si>
  <si>
    <t>NINO PINCAY/JULIO GARCIA</t>
  </si>
  <si>
    <t>SE LE REALIZO LIMPIEZA A LA VALVULA GOVERNOL(SE DESPRENDIO MALLA DE RETENCION DE SUCIEDAD)-TRABAJO REALIZADO EN LA VIA</t>
  </si>
  <si>
    <t>LLANTA 6 BAJA</t>
  </si>
  <si>
    <t>SE SACO LLANTA 6 PARA CAMBIARLE TUBO DE LLANTA QUE ESTABA DAÑADO</t>
  </si>
  <si>
    <t>MANTENIMIENTO DE MECANISMO DE PUERTAS</t>
  </si>
  <si>
    <t>MANTENIMIENTO DE 2 MAQUINAS ELEVA VIDRIO-MANTENIMIENTO 2 CHAPAS DE PUERTA-REEMPLAZO DE 2 CILINDROS DE PUERTA-COLOCADA DE 2 MANUBRIOS</t>
  </si>
  <si>
    <t>PLAYAS MILTON VERA FACT 93</t>
  </si>
  <si>
    <t>MANTENIMIENTO DE 2 MAQUINAS ELEVA VIDRIO-MANTENIMIENTO 2 CHAPAS DE PUERTA-COLOCADA DE 2 MANUBRIOS</t>
  </si>
  <si>
    <t>PLAYAS MILTON VERA FACT 94</t>
  </si>
  <si>
    <t>NEPLO ROTO DE VALVULA DE PALANCA DE CAMBIO</t>
  </si>
  <si>
    <t>SE CAMBIO NEPLO A PALANCA DE CAMBIO</t>
  </si>
  <si>
    <t>CENTRAR CABINA</t>
  </si>
  <si>
    <t>REPUESTOS: 1 FILTRO DE GASOLINA-1 FILTRO DE AIRE-1 SPRAY DE SENSORES-3 ACEITE 80W90-1 TUBO DE SILICON-1 KIT DE EMBRAGUE-2 RETENEDORES DE CAJA-2 RULIMAN DE CAJA-1 KIT DE CAJETIN DE DIRECCION-1 ACEITE MERCON LV-4 CAUCHOS DE GEMELOS ESTABILIZADOR-2 CAUCHOS DE BARRA ESTABILIZADORA-2 CAUCHOS DE TEMPLADORES-1 REFRIGERANTE FACTURA DE TALLER MECANICO TECNIFOR 8457</t>
  </si>
  <si>
    <t>1 GLN ACEITE 40-CINTA AISLANTE</t>
  </si>
  <si>
    <t>3 MTRS CABLE 10-1 TERMINAL 18-1 TERMINAL 5/16-1 TERMINAL</t>
  </si>
  <si>
    <t>1 LIQUIDO DE FRENO-1 GLN ACEITE SAE 40-1 GLN ACEITE HIDRAULICO ROJO</t>
  </si>
  <si>
    <t>15458-15294</t>
  </si>
  <si>
    <t>SE ENVIO A TOTALINK GQUIL GATO HIDRAULICO G/T15458 22/01/21-SE ENVIARON 8 ZAPATAS A REVESTIR G/T 15294 25/01/21</t>
  </si>
  <si>
    <t>5 GLNS ACEITE SAE 140-1 CONO DE BRONCE-1 BUSHING-1 GUIA DE 1/4-2 LBR WAIPE</t>
  </si>
  <si>
    <t>60756-60772</t>
  </si>
  <si>
    <t>4 PERNO TRIPA DE PATO-3 TERMINAL AISLADO</t>
  </si>
  <si>
    <t>1 TUBO DE LLANTA 11.00</t>
  </si>
  <si>
    <t>1 CINTA AISLANTE-1 FUSIBLE 20 AMP-1 RELAY 12VOLT</t>
  </si>
  <si>
    <t>2 FILTRO ACEITE(206715)-1 FILTRO COMB(306924)-1 FILTRO CENTRIFUGA(309500)-1 FILTRO DE AGUA(305880)-1 FILTRO COMB(301629)-10 GLNS ACEITE 15W40</t>
  </si>
  <si>
    <t>MANTENIMIENTO PREVENTIVO-CAMBIO DE FILTRO Y ACEITE DEL MOTOR</t>
  </si>
  <si>
    <t>1 FILTRO DE ACEITE(205749)-1 FILTRO COMB(303344)-1 FILTRO COMB(206396)-1 FILTRO RACOR(316483)-10 GLNS ACEITE SAE 40</t>
  </si>
  <si>
    <t>SE LLEVO LA VALVULA DE BLOQUEO DEL CABEZAL 5 PARA COLOCARLA</t>
  </si>
  <si>
    <t>SE CAMBIO FILTRO DE COMBUSTIBLE-FILTRO DE CENTRIFUGA-FILTRO DE AGUA-CAMBIO DE ACEITE DEL MOTOR-MANTENIMIENTO DE BATERIAS</t>
  </si>
  <si>
    <t>LUIS SALINAS/GERMAN AVEIGA</t>
  </si>
  <si>
    <t>1 FILTRO DE COMBUSTIBLE(306994)-1 FILTRO DE CENTRIFUGA-1 FILTRO DE AGUA-10 GLNS ACEITE 15W40-WAIPE-1 AGUA DE BATERIA</t>
  </si>
  <si>
    <t>NO SE LE CAMBIO FILTRO DE ACEITE POR SOLAMENTE EXISTIR UNO EN BODEGA</t>
  </si>
  <si>
    <t>SE CAMBIO FILTRO DE ACEITE- DE COMBUSTIBLE-FILTRO DE CENTRIFUGA-CAMBIO DE ACEITE DEL MOTOR</t>
  </si>
  <si>
    <t>NINO PINCAY/GERMAN AVEIGA</t>
  </si>
  <si>
    <t>2 FILTRO DE ACEITE(206715)-1 FILTRO COMB(206714)-1 FILTRO CENTRIFUGA(206716)-9 GLNS ACEITE 40</t>
  </si>
  <si>
    <t>PROBLEMA EN CONO DE CARDAN DERRAMA ACEITE</t>
  </si>
  <si>
    <t>SE SACO BRIDA QUE SE HABIA COLOCADO NUEVA(TENIA EL DIAMETRO DE LA BASE DEL RETENEDOR MAS PEQUEÑA)-SE LE REALIZARA TRABAJOS EN EL TORNO-SE LE COLOCO LA BRIDA USADA PROVISIONALMENTE</t>
  </si>
  <si>
    <t>RESCATE EN PROGRESO-LLANTA 2 REBENTADA</t>
  </si>
  <si>
    <t>SE LO RESCATO EN PROGRESO SE LE REBENTO LLANTA 2-SE LO FUE A RESCATAR-SE LE COLOCO UNA LLANTA GOOD YEAR 11.00-20 C100 FTXT3910 USADA</t>
  </si>
  <si>
    <t>GERMAN AVEIGA/DANILO VELEZ</t>
  </si>
  <si>
    <t>REGRESO A GUAYAQUIL PARA REVISION EN TALLER-CAJA DE CAMBIO-CARBURADOR</t>
  </si>
  <si>
    <t>SE LE COLOCO CARBURADOR NUEVO-SE REVISO CAJA DE CAMBIO POR GARANTIA</t>
  </si>
  <si>
    <t>PROBLEMAS EN LLANTAS DELANTERAS</t>
  </si>
  <si>
    <t>SE LE COLOCO LAS DOS LLANTAS DEL CAMION 6(PRESTADAS)-SE LE TEMPLO BANDA DE ALTERNADOR-SE LE COLOCO 30CM DE TUBO DE ESCAPE(ACORDEEON)</t>
  </si>
  <si>
    <t>GERMAN AVEIGA/NINO PINCAY</t>
  </si>
  <si>
    <t>PROBLEMA DE BALANCIN</t>
  </si>
  <si>
    <t>SE SOLDO BALANCIN-SE COLOCO TAPA DEL EJE DELANTERO IZQUIERDO</t>
  </si>
  <si>
    <t>JUAN LEON/NINO PINCAY</t>
  </si>
  <si>
    <t>PROBLEMA DE ESCAPE</t>
  </si>
  <si>
    <t>SE LE INSTALO ACORDEON DE 4" AL ESCAPE</t>
  </si>
  <si>
    <t>PROBLEMA BASES DE MOTOR</t>
  </si>
  <si>
    <t>SE CAMBIARON BASES DE MOTOR(2 PIEZAS) NUEVAS</t>
  </si>
  <si>
    <t>PERCANCE EN GUAYAQUIL</t>
  </si>
  <si>
    <t>SUFRIO UN ROCE CON UN TAXI EN GUAYAQUIL EN LA PARTE DELANTERA DE LADO DEL CHOFER</t>
  </si>
  <si>
    <t>SE ROMPIO PERNO DE BASE DE CAJA-PERNOS DE CAJA CON CORAZA DE MOTOR FLOJOS ESTO OCASIONO DAÑO EN VENTILADOR DE RADIADOR Y RADIADOR DE CABEZAL-MANTENIMIENTO PREVENTIVO-CAMBIO DE FILTRO Y ACEITES DEL MOTOR-CAMBIO DE ACEITE DE TRANSMICION Y CORONA</t>
  </si>
  <si>
    <t>SE SOLDO RADIADOR EN PLAYAS</t>
  </si>
  <si>
    <t>PROBLEMA EN MANGUERA DE RADIADOR Y BANDA DE VENTILADOR</t>
  </si>
  <si>
    <t>SE CAMBIO LA BANDA DEL VENTILADOR Y SE CAMBIO MANGUERA DE RADIADOR</t>
  </si>
  <si>
    <t>1 BASE DE MOTOR-1 BASE DELANTERA DE MOTOR</t>
  </si>
  <si>
    <t xml:space="preserve">TALLER TECNIFOR GQUIL </t>
  </si>
  <si>
    <t>1 HALOGENO 12V-1 SOQUE TERMICO-1 FOCO 12V</t>
  </si>
  <si>
    <t>SE CAMBIO FILTRO Y ACEITE DEL MOTOR-SE LE COLOCO ACEITE HIDRAULICO ROJO</t>
  </si>
  <si>
    <t>1 FILTRO DE ACEITE-2 GLNS ACEITE 20W50-1 LTR DE ACEITE HIDRAULICO ROJO</t>
  </si>
  <si>
    <t>60790-60789-60787</t>
  </si>
  <si>
    <t>2 PINES Y BOCINES-1 TUERCA DE FUNDA-1 MATRIMONIO DE CARDAN-1 OREJA DE CRUCETA-1 MATRIMONIO DE CARDAN-1 OREJA DE CARDAN-3 TAMBORES-4 RACHE DE 10 ESTRIAS-1 KIT MARTILLO DE 1 1/2-8 RODILLOS DE ZAPATA-4 RETENEDORES DE RUEDA-2 PULMON DOBLE ACCION-2 CRUCETA DE CARDAN DE 6"-2 CRUCETA DE CARDAN DE 7"-1 VALVULA CENTRAL-1 BRIDA DE CONO-2 GUIAS 1/4-2 CONO 1/4-2 UNION DE 1/4-1 PENETRANTE</t>
  </si>
  <si>
    <t>60792-60791-59961</t>
  </si>
  <si>
    <t>2 RACHES-2 PULMON-2 BRAZOS DE LIMPIAPARABRIZA-2 DIAFRAGMA-4 RODILLOS DE CAJA-3 OREJA DE CARDAN-1 MATRIMONIO-3 CRUCETA-3 ACOPLADA-2 TUBO DE CARDAN-1 RULIMAN DE CARDAN-1 NUDO CENTRAL-1 FLAGER -1 VALVULA DE PEDAL-1 TAMBOR POSTERIOR-1 MTR MANGUERA DE CAUCHO Y LONA 3"</t>
  </si>
  <si>
    <t>2 ABRAZADERA DE 2"-1 SILICON GRIS-1 LIJA 120</t>
  </si>
  <si>
    <t>REVESTIMIENTO DE 4 ZAPATAS FACT FRENOSEGURO 004-001-0587072   REVESTIMIENTO DE 4 ZAPATAS FACT FRENOSEGURO 004-001-0587073  REPARACION DE CILINDRO Y CAMBIO DE KIT DE SELLOS HIDRAULICOS TRABAJO REALIZADO POR TOTALINK</t>
  </si>
  <si>
    <t>REPARACION DE CILINDRO Y CAMBIO DE KIT DE SELLOS HIDRAULICOS TRABAJO REALIZADO POR TOTALINK</t>
  </si>
  <si>
    <t>PLAYAS MILTON MITE</t>
  </si>
  <si>
    <t>MANTENIMIENTO ELECTRICO-PLUMA LIMPIA PARABRIZA-HALOGENO</t>
  </si>
  <si>
    <t>SE CAMBIO BOCIN DE BRAZO DE PLUMA LIMPIAPARABRIZA LADO DEL CHOFER-SE CAMBIO HALOGENO Y SOQUE</t>
  </si>
  <si>
    <t>MANTENIMIENTO PREVENTIVO MOTRANSA</t>
  </si>
  <si>
    <t>CAMBIO DE FILTRO Y ACEITE DEL MOTOR-CAMBIO DE AMORTIGUADORES DELANTERO Y POSTERIOR-CAMBIO DE ACEITE DE TRANSMICION Y CAMBIO DE ACEITE DE DIFERENCIALES</t>
  </si>
  <si>
    <t>MOTRANSA PREFACTURA 300065295</t>
  </si>
  <si>
    <t>44 LTRS ACEITE 15W40-1 FILTRO ACEITE-1 FILTRO DE COMBUSTIBLE SEPARADOR-1 FILTRO A/C-1 FILTRO AIRE PRIMARIO 7600/CON CAMISA-1 FILTRO AIRE SECUNDARIO 7600 DONALSON-3 LBRS GRASA MULTIFAK EP2-4 AMORTIGUADORES POSTERIOR 8600-1 PENETRANTE WD-40-16 LTRS ACEITE 80W90-42 LTRS ACEITE 85W140-1 FILTRO DE ACEITE DEL DIFERENCIAL</t>
  </si>
  <si>
    <t>MANGUERA DE RETORNO ROTA-MANTENIMIENTO ELECTRICO</t>
  </si>
  <si>
    <t>CAMBIO DE MANGUERA ELECTRICA(LUZ)-CAMBIO DE 4 LUCES DE STOP POSTERIOR-SE CAMBIO MANGUERA DE RETORNO BOMBA HIDRAULICA</t>
  </si>
  <si>
    <t>PERNOS ROTO DE MANO DE PAQUETE LADO DERECHO</t>
  </si>
  <si>
    <t>SE COLOCARON 3 PERNOS A MANO DE PAQUETE</t>
  </si>
  <si>
    <t>MANTENIMIENTO PREVENTIVO MAVESA</t>
  </si>
  <si>
    <t>MAVESA FACT:001-003-000171300</t>
  </si>
  <si>
    <t>CAMBIO DE FILTRO Y ACEITE-REPARACION DE FRENOS DELANTEROS Y POSTERIOR-PULIR 4 TAMBORES DE FRENO-CAMBIO DE TROMPO DE PEDAL DE EMBRAGUE-</t>
  </si>
  <si>
    <t>1 FILTRO COMBUSTIBLE-1 ANILLO DE TAPON VACIADO-1 BLOQUE DE FRENO X8 C/HUECO BLOQUE DE 5x5-1 LIMPIADOR DE FRENO SPRAY-1 FILTRO DE ACEITE-1 LBR GRASA CHASIS-1 AGUA DESTILADA DE BATERIA-14 LTRS DE ACEITE RUBIA TIR7900 10W30-2 RETENEDOR POSTERIOR INT-2 RETENEDOR RUEDA DELANTERA-2 RETENEDORES RUEDA POSTERIOR EXT-3 WAIPE-1 SWICHT PEDAL DE EMBRAGUE-1 BLOQUE DE FRENO C/HUECO BLOQUE-1 FILTRO DE COMBUSTIBLE RACOR-12 LBRS GRASA TOTAL MULTI EP2 TOTAL-1 WAIPE</t>
  </si>
  <si>
    <t>PROBLEMA DE ALTERNADOR</t>
  </si>
  <si>
    <t>SE LE CAMBIO REGULADOR DE VOLTAJE A ALTERNADOR</t>
  </si>
  <si>
    <t>PROBLEMA BOMBA DE AGUA</t>
  </si>
  <si>
    <t>SE LE COLOCO BOMBA DE AGUA NUEVA</t>
  </si>
  <si>
    <t>CAMBIO DE LLANTA 2</t>
  </si>
  <si>
    <t>SE SACO LLANTA 2 POR DAÑO-SE LE COLOCO LLANTA DE EMERGENCIA DEL CAMION 6 GOOD YEAR CT217 10.00-20</t>
  </si>
  <si>
    <t>TANQUERO REMOLQ 4</t>
  </si>
  <si>
    <t>MANTENIMIENTO</t>
  </si>
  <si>
    <t>TRABAJO CON FIBRA EN GUARDAFANGO PLASTICO DE LADO DERECHO-PARCHAR GUARDAFANGO DE LATA LADO DERECHO Y SOLDAR PARTES-ENDEREZAR GUARDAFANGO DE LATA Y PLASTICO DE LADO IZQUIERDO(CON PISTOLA DE CALOR)</t>
  </si>
  <si>
    <t>SE LIJO Y PINTO EN PUNTA DE CHASIS PARTES OXIDADAS-SE CAMBIARON LLANTAS 11 Y 12-SE LE COLOCARON 2 LLANTAS REENCAUCHADAS-SE PINTO GUARDAFANGO DE AMBOS LADO</t>
  </si>
  <si>
    <t>JUAN LEON/GERMAN AVEIGA</t>
  </si>
  <si>
    <t>RECOMIENDA MAVESA CAMBIAR ACEITE CADA 8000 A 9000 KM PARA EVALUAR CONSUMO</t>
  </si>
  <si>
    <t>SE CAMBIARON 4 PERNOS 3/4" X 2" A LA BASE DE CAJA MOTOR-SE LE CAMBIO MANGUERA COMPRESOR DE AIRE</t>
  </si>
  <si>
    <t>PROBLEMA CON PERNOS DE BASE DE MOTOR-CAJA(DAÑADO EN CHANDUY-SE LO TRAJO A PLANTA PARA TERMINAR TRABAJO)</t>
  </si>
  <si>
    <t>MANTENIMIENTO DE PUERTAS DE CABINA</t>
  </si>
  <si>
    <t>TALLER PLAYAS MILTON VERA</t>
  </si>
  <si>
    <t>PROBLEMA EN SISTEMA DE VOLTEO CON BAÑERA-ESTE CABEZAL LLEGO DE CRUCITA EL 07/02/2021 A LAS 20:00</t>
  </si>
  <si>
    <t>SE INVERTIERON LAS MANGUERAS HIDRAULICAS ESTABAN MAL COLOCADAS</t>
  </si>
  <si>
    <t>SE SACO LA LLANTA 4 Y 5 PARA COLOCARLE NUEVAS</t>
  </si>
  <si>
    <t>SE LE COLOCARON LLANTAS GOOD YEAR KMAX EXTREME 295/80R 22.5 FTDX19122020 NUEVAS</t>
  </si>
  <si>
    <t>PROBLEMA DE TEMPLADOR(TORCIDO)</t>
  </si>
  <si>
    <t>SE LE COLOCO TEMPLADOR NUEVO</t>
  </si>
  <si>
    <t>GERMAN AVEIGA/LUIS SALINAS</t>
  </si>
  <si>
    <t>SE SOLDO BASE DE CABINA-SE CAMBIO PERNOS DE BASE DE PAQUETE</t>
  </si>
  <si>
    <t>MANTENIMIENTO PREVENTIVO-CAMBIO DE FILTROS Y ACEITE DEL MOTOR</t>
  </si>
  <si>
    <t>SE CAMBIO FILTROS DE ACEITE-FILTRO DE COMBUSTIBLE-ACEITE-SE DIO MANTENIMIENTO A LAS BATERIAS</t>
  </si>
  <si>
    <t>JULIO GARCIA/LUIS SALINAS</t>
  </si>
  <si>
    <t>SE CAMBIO FILTRO DE ACEITE Y ACEITE DEL MOTOR</t>
  </si>
  <si>
    <t>PROXIMO CAMBIO ACEITE FILTRO MOTOR 17997 PROXIMO CAMBIO ACEITE FILTRO DE LA CAJA 18477 PROXIMO CAMBIO ACEITE FILTRO HIDRAULICO 18477 PROXIMO CAMBIO ACEITE DIFERENCIAL 18477 CAMBIO FILTRO GAS 17997 PROXIMO CAMBIO BUJIA REFRIGERANTE Y FILTRO DE AIRE 17997</t>
  </si>
  <si>
    <t>SE LE CAMBIO FILTROS DE ACEITE-FILTROS DE COMBUSTIBLE Y ACEITE DEL MOTOR</t>
  </si>
  <si>
    <t>SE CHEQUEO LINEAS Y VALVULAS DE AIRE DE FRENO-CAMBIO DE 4 PAQUETES DE SUSPENSIÓN NUEVOS-DESMONTAR 4 MANZANAS PARA LIMPIEZA Y REEMPLAZO DE GRASA-SE ENGRASO RULIMANES-SE REGULARON  LOS FRENOS-SE CAMBIARON 16 PERNOS DE LA BASE DE GATO HIDRAULICO-SE LE COLCO GATO HIDRAULICO REPARADO</t>
  </si>
  <si>
    <t>4 RACHES 10 ESTRIAS-2 PULMON DE UNA ACCION</t>
  </si>
  <si>
    <t>60161-60154</t>
  </si>
  <si>
    <t>1 INTERIORES DE VALVULAS-1 SOPORTE-2 LLANTAS GOOD YEAR NUEVAS</t>
  </si>
  <si>
    <t>1 FILTRO ACEITE(106145)-1 GLN ACEITE 20W50</t>
  </si>
  <si>
    <t>59433-60178</t>
  </si>
  <si>
    <t>4 GUIAS DE STOP-6 GUIAS PEQUEÑAS-1 PERNO 5/16-1 GRILLETE</t>
  </si>
  <si>
    <t>2 FAROS-2 MAQUINA ELEVAVIDRIO-2 MANUBRIO DE PUERTA-2 CHAPA DE PUERTA-2 OREJA DE PUERTA-8 MTRS CAUCHO DE PUERTA-1 BRAZO LIMPIA PARABRIZA-1 CINTURON DE SEGURIDAD-7 MTRS FELPA DE PÙERTA-2 ESPEJOS RETROVISORES</t>
  </si>
  <si>
    <t>1 TEMPLADOR-1 ABRAZADERA</t>
  </si>
  <si>
    <t>1 BOMBA DE AGUA NUEVA</t>
  </si>
  <si>
    <t>1 DISCO DE CORTE-2 BRUJITA-1 CINTA TEFLON</t>
  </si>
  <si>
    <t>RESCATE EN VIA ANTES DE LLEGAR A PROGRESO 07:00 AM PROBLEMA DE BLOQUEO-DAÑO EN VALVULA DE BLOQUEO-MANGUERA DE BUSTER Y CAJA DE CAMBIO ESTA ROTA HAY QUE CAMBIARLA</t>
  </si>
  <si>
    <t>SOLDADURA-2 LLANTAS REENCAUCHADAS-1 CEMENTO CONTACTO-1 LTR PINTURA GRIS-1 LTR DILUYENTE-1 BROCHA DE 3"-1 LBR WAIPE</t>
  </si>
  <si>
    <t>1 CAUCHO EMPAQUE PARA ACOPLE-1 PORTA CARBON-2 BOCIN DE MOTOR-1 AUTOMATICO DE ARRANQUE</t>
  </si>
  <si>
    <t>59988-59994</t>
  </si>
  <si>
    <t>4 GUIA-1 CABLE DE CARRETA-1 GLN ACEITE HIDRAULICO-15 GLNS ACEITE HIDRAULICO ROJO</t>
  </si>
  <si>
    <t>RESCATE-SE SALIERON LAS LLANTAS 1 Y 2 EN PLAYAS SECTOR CLINICA DEL PACIFICO(TRANSPORTABA MATERIAL)-SE LO TRASLADO A PLANTA PARA REVICION</t>
  </si>
  <si>
    <t>SE RELLENO Y RECTIFICO MANZANA DEL PRIMER EJE LADO IZQUIERDO-SE CAMBIARON PERNOS DE MANZANA</t>
  </si>
  <si>
    <t>NINO PIONCAY</t>
  </si>
  <si>
    <t>RESCATE EN SANTA ELENA-PROBLEMA EJE RUEDA O PIÑA</t>
  </si>
  <si>
    <t>SE LE CAMBIO EJE DE RUEDA DE TRANSMICION NUEVA</t>
  </si>
  <si>
    <t>DANILO VELEZ/JULIO GARCIA</t>
  </si>
  <si>
    <t>BAÑERA 3</t>
  </si>
  <si>
    <t>PAQUETES DE RESORTES LARGOS-RACHES DAÑADO</t>
  </si>
  <si>
    <t>CAMBIAR SISTEMA DE LONA</t>
  </si>
  <si>
    <t>SE ALZO MAS LOS CABLE PARA QUE LONA NO SE DAÑE</t>
  </si>
  <si>
    <t>MANTENIMIENTO PREVENTIVO-CAMBIO DE FILTRO Y ACEITE DEL MOTOR-CAMBIO DE PERNOS DE MANO DE PAQUETE</t>
  </si>
  <si>
    <t>SE CAMBIO FILTROS DE ACEITE-FILTROS DE COMBUSTIBLE Y ACEITE DEL MOTOR-SE CAMBIO 6 PERNOS COMPLETOS DE MANO DE PAQUETE LADO DERECHO</t>
  </si>
  <si>
    <t>JULIO GARCIA/NINO PINCAY</t>
  </si>
  <si>
    <t>MANTENIMIENTO ELECTRICO</t>
  </si>
  <si>
    <t>SE LE REPARO LAS LUCES DELANTERAS-SE LE PRESTO SOQUE Y HALOGENO DEL CABEZAL 10-SE LE PRESTO PALANCA DE CAMBIO DE LUZ Y DIRECCIONAL AL CAMION 6-SE LE CAMBIO 2 FOCOS DE 2 PUNTOS-SE LE COLOCO UN NEPLO DE MANGUERA DE AIRE</t>
  </si>
  <si>
    <t>LUIS SALINAS/NINO PINCAY</t>
  </si>
  <si>
    <t>1 EJE DE RUEDA-1 SILICO GRIS-1 LIMPIADOR DE CONTACTO</t>
  </si>
  <si>
    <t>60151-60199</t>
  </si>
  <si>
    <t>1 VENTILADOR PARA MOTOR-8 CAUCHOS PARA SOPORTE DE MOTOR-5 GLNS ACEITE 140-2 FILTRO DE ACEITE(206715)-1 FILTRO COMBUSTIBLE(306994)-1 FILTRO COMB(301629)-1 FILTRO RACOR(303584)-1 FILTRO AGUA(307158)-1 FILTRO DE CENTRIFUGA(309500)-10 GLNS ACEITE 15W40</t>
  </si>
  <si>
    <t>MANTENIMIENTO PREVENTIVO-CAMBIO DE ACEITE Y FILTRO DEL MOTOR</t>
  </si>
  <si>
    <t>1 FILTRO DE ACEITE(100977)-1 FILTRO COMB(102758)-6 GLNS ACEITE 15W40</t>
  </si>
  <si>
    <t>SE CORTARON HOJAS DE PAQUETES QUE ESTABAN LARGOS-SE CAMBIARON DOS RACHES(SE LE COLOCO USADOS)-SE CORRIJIO SISTEMA DE AIRE-MANTENIMIENTO DE LUCES</t>
  </si>
  <si>
    <t>NINO PINCAY/JUAN LEON/LUIS SALINAS</t>
  </si>
  <si>
    <t>1 CINTA AISLANTE-2 GUIA DE RUTA DE 12V-SOLDADURA 6011 1/8</t>
  </si>
  <si>
    <t>2 FOCOS 2P 24V-1 TERMINAL DE OJO</t>
  </si>
  <si>
    <t>SE ENCONTRABA EN PLANTA CARGADO DE HARINA Y QUISO PRENDER-MANGUERA DE COMBUSTIBLE CON PROBLEMA DE NEPLOS</t>
  </si>
  <si>
    <t>SE LE CAMBIO MANGUERA DE COMBUSTIBLE QUE DEL TANQUE AL FILTRO</t>
  </si>
  <si>
    <t>PROBAR BOMBA DE PRESION DE COMBUSTIBLE-MANGUERA DE ALIMENTACION DE COMBUSTIBLE-CAMBIAR TAPON DEL INTERCOOLER</t>
  </si>
  <si>
    <t>SE LE COLOCO BOMBA DE PRESION DE COMBUSTIBLE(USADA) ENVIADA DE CRUCITA-SE LE CAMBIO 2 MANGUERAS DE COMBUSTIBLE(1 QUE VA DEL FILTRO A LA BOMBA Y 1 QUE VA DE LA BOMBA AL SEGUNDO FILTRO SECUNDARIO)-SE LE CAMBIO EL TAPON 3/8 A LA ADMISION</t>
  </si>
  <si>
    <t>CAMBIO DE LLANTA 6 Y 7</t>
  </si>
  <si>
    <t>SE SACARON LLANTAS 6 Y 7 POR DEMASIADO DESGASTE-SE LE COLOCARON 2 LLANTAS REENCAUCHADAS GOOD YEAR G686 MSS 12 R22.5 FTD1272018(2018) EN POSICION 5 Y 6-SE REUBICARON LAS LLANTAS 8 PASO HACER 7 Y LA LLANTA 5 PASO HACER 8</t>
  </si>
  <si>
    <t>SE LIMPIO FILTRO DE BOMBA AUXILIAR</t>
  </si>
  <si>
    <t>DANILO VELEZ</t>
  </si>
  <si>
    <t>GERMAN AVEIGA/JULIO GARCIA/LUIS SALINAS</t>
  </si>
  <si>
    <t>ALINEACION Y BALANCEO DE RUEDAS 2-CAMBIO DE FILTRO Y ACEITE DEL MOTOR-LIMPIEZA DE SISTEMA HIDRAULICO-COLOCAR LAINAS EN PINES-REPARACION Y CALIBRACION</t>
  </si>
  <si>
    <t>MAVESA-PORTOVIEJO FACT 036-001-000020027</t>
  </si>
  <si>
    <t xml:space="preserve">2 LAINA AJUSTE T=3.8 x 2.2-2 RETENEDORES RUEDA DELANTEROS 2-1 FUND WAYPE BLANCO-1 AGUA DESTILADA P/BATERIA-1 GRASA TOTAL CHASIS-1 GLN GASOLINA-3 FUND WAYPE BLANCO-1 FILTRO AIRE SECUNDARIO-1 FILTRO AIRE PRIMARIO-1 FILTRO COMB-2 LIMPIADORES DE FRENO SPRAY-14 LTRS ACEITE TOTAL 10W30-1 LIMPIADOR INYECTORES DIESEL-1 FILTRO COMB-6 LBR GRASATOTAL MULTIS EP2-1 FILTRO DE ACEITE-2 LAINA AJUSTE FRONTAL T=3.7 2-2 LITROS ACEITE DEXRON III FLUIDE H3-1 PENETRANTE </t>
  </si>
  <si>
    <t>SISTEMA DE LLANTA EMERGENCIA</t>
  </si>
  <si>
    <t>SE LE COLOCO MECANISMO DE LLANTA DE EMERGENCIA NUEVO-SE LE COLOCO LLANTA DE EMERGENCIA BRIGESTONE R250 295/80 R22.5</t>
  </si>
  <si>
    <t>PROBLEMA VALVULA DE TANQUE DE GAS</t>
  </si>
  <si>
    <t>SE LE COLOCO VALVULA DE CILINDRO DE GAS NUEVO</t>
  </si>
  <si>
    <t>SE CAMBIO FILTROS DE ACEITE Y DE COMBUSTIBLE-SE CAMBIO ACEITE DEL MOTOR</t>
  </si>
  <si>
    <t>SE CAMBIO SELLO DE BOMBA DE AGUA</t>
  </si>
  <si>
    <t>60177-60348</t>
  </si>
  <si>
    <t>2 FILTRO DE ACEITE(206715)-1 FILTRO DE COMBUSTIBLE(306994)-1 FILTRO COMB(301629)-1 FILTRO DE AGUA(307158)-1 FILTRO DE CENTRIFUGA(309500)-ACEITE 15W40-1 AGUA DE BATERIA-1 SOKET PARA HALOGENO</t>
  </si>
  <si>
    <t xml:space="preserve">1 AMARRAS PLASTICA-1 FLASH </t>
  </si>
  <si>
    <t>60165-60180-60339</t>
  </si>
  <si>
    <t>1 BRAZO DE PULMON-1 TERMINAL DE BARRA-1 TERMINAL DE DIRECCION-1 TERMINAL DE DIRECCION-SOLDADURA-VIDRIO OSCURO-10 GLNS ACEITE HIDRAULICO-2 CAUCHO MANITO DE CARRETA</t>
  </si>
  <si>
    <t>2 FILTRO DE ACEITE(206715)-1 FILTRO COMB(306994)-1 FILTRO COMB(301629)-1 FILTRO DE AGUA(305880)-1 FILTRO RACOR(306483)-1 FILTRO CENTRIFUGA(309500)-1 FILTRO DE AIRE(306995)-10 GLNS ACEITE 15W40-1 WAIPE-1 SILICON-2 AGUA DE BATERIA</t>
  </si>
  <si>
    <t>MANTENIMIENTO PREVENTIVO-CAMBIO DE FILTRO Y ACEITE DEL MOTOR-REVISION DE MOTOR DE ARRANQUE-CHEQUEO DE BATERIAS</t>
  </si>
  <si>
    <t>SE CAMBIO MOTOR DE ARRANQUE-SE LE COLOCO UN MOTOR DE ARRANQUE QUE SE ENCONTRABA EN STOCK-SE CAMBIO FILTROS DE ACEITE-FILTROS DE COMBUSTIBLE-ACEITE DEL MOTOR-SE DIO MANTENIMIENTO A BATERIAS</t>
  </si>
  <si>
    <t>2 LLANTAS REENCAUCHADAS</t>
  </si>
  <si>
    <t>59989-60336-60324</t>
  </si>
  <si>
    <t>1 CONO DE 1/2-1 GUIA DE 1/2-1 FUSIBLE 10 AMP-1 CINTA DE TEFLON-1 SILICON GRIS-1 PEGATANQUE-1 VENTOZA</t>
  </si>
  <si>
    <t>60164-60189-60347-60321</t>
  </si>
  <si>
    <t>1 GLN ACEITE 15W40-1 FILTRO DE ACEITE(306931)-1 FILTRO COMB(206396)-1 FILTRO FC165CC(303344)-10 GLNS ACEITE 15W40-1 VALVULA FULLER-1 NEPLO-1 BUSHING-2 GLNS ACEITE HIDRAULICO ROJO-1 BASE DE PLATO DE EMBRAGUE</t>
  </si>
  <si>
    <t>7645-7646-7694-7742</t>
  </si>
  <si>
    <t>4089-4090-4224</t>
  </si>
  <si>
    <t>MANTENIMIENTO CHAPA-MANTENIMIENTO ELEVA VIDRIO IZQUIERDO-MANTENIMIENTO ELEVA VIDRIO DERECHO-REEMPLAZO DE LOS 2 MANUBRIOS EN AMBOS LADOS</t>
  </si>
  <si>
    <t>MANTENIMIENTO ELEVA VIDRIO LADO IZQUIERDO-MANTENIMIENTO ELEVA VIDRIO LADO DERECHO-REEMPLAZO CILINDRO LADO IZQUIERDO Y DERECHO-REEMPLAZO DE MANUBRIOS LADO IZQUIERDO Y DERECHO-REEMPLAZO DE PLUMAS-PUESTA DE CAUCHO DE VIDRIO</t>
  </si>
  <si>
    <t>MANTENIMIENTO SUSPENSIÓN(TERMINO EL 21/01/2021)-REPARACION DE GATO HIDRAULICO(SE ENVIO A GQUIL 06/01/21)-SE ENVIO A POSORJA A REPARAR COMPUERTA EL 25/01/21-TERMINO DE REPARAR EL 24/02/2021</t>
  </si>
  <si>
    <t>CAMBIAR TECHO-CAMBIAR PISO Y RIELES DE PISO-CAMBIAR LOS 2 GUARDAFANGOS Y BASES DE LOS ESTRIBOS-TRABAJAR EN EL CAPOT-CAMBIAR CHAPA Y ELEVADOR DE VIDRIO IZQUIERDO-SACAR PARABRIZA Y CAMBIAR CAUCHO-PINTAR CHASIS Y ARO-PINTAR TOTAL LA CABINA</t>
  </si>
  <si>
    <t>TAPIZADA DE PISO-TAPIZADO DE ASIENTOS-TAPIZADO DE PUERTAS FACT PIZA 1015-CAMBIAR TECHO-CAMBIAR PISO Y RIELES DE PISO-CAMBIAR LOS 2 GUARDAFANGOS Y BASES DE LOS ESTRIBOS-TRABAJAR EN EL CAPOT-CAMBIAR CHAPA Y ELEVADOR DE VIDRIO IZQUIERDO-SACAR PARABRIZA Y CAMBIAR CAUCHO-PINTAR CHASIS Y ARO-PINTAR TOTAL LA CABINA</t>
  </si>
  <si>
    <t>MANTENIMIENTO PREVENTIVO-CAMBIO DE FILTRO Y ACEITE DEL MOTOR-MANTENIMIENTO DE BATERIAS</t>
  </si>
  <si>
    <t>1 FILTRO COMB-1 LBR GRASA-1 AGUA DESTILADA DE BATERIA-8 LTRS ACEITE RUBIA TIR 7900 10W30-1 FUNDA DE WAIPE-1 FILTRO ACEITE-1 FILTRO COMB PRIMARIO-1 ANILLO TAPON VACIADO</t>
  </si>
  <si>
    <t>MAVESA FACT 001-003-000172462</t>
  </si>
  <si>
    <t>CAMBIO DE LUCES DE STOCK(4) Y CAMBIO DE LUZ DIRECCIONALES(2)</t>
  </si>
  <si>
    <t>TANQUE DE AIRE</t>
  </si>
  <si>
    <t>SE SOLDO TANQUE DE AIRE QUE TENIA HUECOS</t>
  </si>
  <si>
    <t>JUAN LEON</t>
  </si>
  <si>
    <t>PROBLEMA MOTOR DE ARRANQUE</t>
  </si>
  <si>
    <t>SE LE COLOCO UN MOTOR DE ARRANQUE NUEVO</t>
  </si>
  <si>
    <t>CAMBIOS DE FILTROS Y ACEITE DEL MOTOR</t>
  </si>
  <si>
    <t>PROBLEMA TANQUE DE COMBUSTIBLE-PARCHAR HUECO</t>
  </si>
  <si>
    <t>SE SACO TANQUE DE COMBUSTIBLE PARA SOLDAR HUECOS-SE LO LLEVO A POSORJA PARA QUE SE REALICE EL TRABAJO EN SOLDADURA DE ALUMINIO</t>
  </si>
  <si>
    <t>MANTENIMIENTO-REPARAR ESCAPE</t>
  </si>
  <si>
    <t>MANTENIMIENTO PREVENTIVO-CAMBIOS DE FILTRO DE ACEITE Y FILTRO DEL MOTOR-CAMBIO DE ACEITE DE TRANSMICION Y CORONA-CAMBIO DE LLANTAS POSTERIORES</t>
  </si>
  <si>
    <t>SE CAMBIO FILTROS DE COMBUSTIBLE-SE CAMBIO FILTRO DE ACEITE-SE CAMBIO ACEITE DEL MOTOR-SE CAMBIO ACEITE DE LA CAJA DE CAMBIO-SE CAMBIO ACEITE DE LA CORONA-SE CAMBIO LLANTAS POSTERIORES-SE LIMPIARON LOS HALOGENOS</t>
  </si>
  <si>
    <t>SE LE CAMBIO ACORDEON DE ESCAPE CON SUS ABRAZADERAS-SE CAMBIO LA VALVULA REPARTIDORA DE AIRE</t>
  </si>
  <si>
    <t>60506-60323-60329</t>
  </si>
  <si>
    <t xml:space="preserve">1 FILTRO DE ACEITE(100021)-5 GLNS ACEITE 15W40-1 GLN ACEITE HIDRAULICO-6 TERMINALES ENCHUFE-1 CINTA AISLANTE-2 HALOGENO 24V-2 FOCO DE 24V-2 SOKET TERMICO-6 AMARRAS PLASTICA-1 FILTRO COMB(303349)-1 FILTRO COMB(205751) </t>
  </si>
  <si>
    <t>COLOCADA DE CAJON DE HERRAMIENTA</t>
  </si>
  <si>
    <t>SE LE COLOCO CAJON DE HERRAMIENTA EN PLATAFORMA-SE LE COLOCO ANGULO A LA PLATAFORMA PARA PROTECCION DE BINES</t>
  </si>
  <si>
    <t>EL 26/02/2021 SE HICIERON PRUEBAS EN LA MAQUINAS CON EL SR.ANDERSON VALENCIA Y DANILOS VELEZ DENTRO DE LAS INSTALACIONES TALLER  DE AUTOMEKANO LOS CUALES SE REALIZARON SIN NINGUNA NOVEDAD-ADICIONAL SE HICIERON UNAS PRUEBAS DE FRENADO-LO CUAL SE LEVANTO LA MAQUINA POR LA PARTE POSTERIOR SE COMPLETO EL LIQUIDO DE FRENO PARA REALIZAR UN NUEVO PURGADO DEL SISTEMA Y MEJORAR FRENADO-SE REALIZO UNA SEGUNDA PRUEBA DE FRENO CON LOS TECNICOS DE AUTOMEKANO VERIFICANDO QUE EL FRENADO SE REALIZO SIN NINGUN PROBLEMA(COMO RECOMENDACION DE TECNICO DE AUTOMEKANO EN COMBERSACION CON JEFE DE TALLER SR.ROBERT RODRIGUEZ SE MANIFESTARON PARA UN MUEVO MANTENIMIENTO DE FRENO PROGRAMABLE Y CAMBIAR LOS DISCOS DE FRENO PARA MEJORAR SU EFECTIVIDAD YA QUE ESTOS PUEDEN ESTAR PRESENTANDO DESGASTE)-CABE INDICAR QUE SE LE COLOCO ACEITE ISO15 AL SISTEMA DE FRENO.</t>
  </si>
  <si>
    <t>SE LA ENVIO A GQUIL A AUTOMEKANO G/T 15273(07/01/21)-SE ENVIARON 3 ELECTROVALVULA G/T15451 19/01/21-ESTA MAQUINA LLEGO EL 01/03/2021 NO TIENE FRENO DE MANO POR DESGASTE DE PASTILLA</t>
  </si>
  <si>
    <t>PROBLEMA EN HOJAS DE PAQUETES DELANTERO LADO DERECHO</t>
  </si>
  <si>
    <t>SE LE CAMBIO HOJAS DE PAQUETES DELANTERO SEGUNDA Y TERCERA SE LE COLOCO USADAS</t>
  </si>
  <si>
    <t>DANILO VELEZ/LUIS SALINAS</t>
  </si>
  <si>
    <t>PROXIMO CAMBIO ACEITE FILTRO MOTOR 18237 PROXIMO CAMBIO ACEITE FILTRO DE LA CAJA 18477 PROXIMO CAMBIO ACEITE FILTRO HIDRAULICO 18477 PROXIMO CAMBIO ACEITE DIFERENCIAL 18477 CAMBIO FILTRO GAS 18237 PROXIMO CAMBIO BUJIA REFRIGERANTE Y FILTRO DE AIRE 18477</t>
  </si>
  <si>
    <t>CAMBIO DE KIT DE CARBURADOR DE GAS-CAMBIO DE TROMPO DE RETRO-CAMBIO DE ALARMA DE RETRO-MANTENIMIENTO ELECTRICO-MANTENIMIENTO DE FRENO-REACTIVACION DEL FRENO DE MANO-SE REVIZO MANZANA Y ZAPATAS DE FRENOS-SE LIMPIO BUJIAS-SE CHEQUEO EL NIVEL DE ACEITE-SE CAMBIO FILTRO Y ACEITE DEL MOTOR-SE PRESTO DEL MONTACARGA 2 TAPA DE DISTRIBUIDOR Y CABLE DE BUJIA PARA HABILITAR ESTE MONTACARGA(ESTOS REPUESTOS NO HUBO EN BODEGA)</t>
  </si>
  <si>
    <t>REVISION DEL DISTRIBUIDOR</t>
  </si>
  <si>
    <t>MANTENIMIENTO DEL CABEZOTE Y CAJETIN DE DIRECCION</t>
  </si>
  <si>
    <t>MONTACARGA YALE</t>
  </si>
  <si>
    <t>PROBLEMA EN ALTERNADOR</t>
  </si>
  <si>
    <t>PROBLEMA PUENTE DE CHASIS Y EN VALVULA DE PALANCA DE CAMBIO</t>
  </si>
  <si>
    <t>SE SOLDO PARTES AFECTADAS DE UN PUENTE-SE AJUSTO VALVULA DE PALANCA DE CAMBIO</t>
  </si>
  <si>
    <t>PROBLEMA ELECTRICO-SE APAGARON LAS LUCES-SE PRENDIO LA LUZ DE ALARMA DE PRESION DE ACEITE DEL MOTOR(DURANTE LA NOCHE)-EL BRAZO POSTERIO PERDIO PRESION Y LUEGO SE NORMALIZO</t>
  </si>
  <si>
    <t>NO SE REALIZO NINGUN TRABAJO EN PLANTA POR TENER GARANTIA DE AUTOMEKANO</t>
  </si>
  <si>
    <t>SE CAMBIO FILTRO DE ACEITE Y ACEITE DEL MOTOR-SE REALIZO MANTENIMIENTO A LAS BATERIAS</t>
  </si>
  <si>
    <t>SE ENVIO A POSORJA PARA QUE LE COLOQUEN LA PLATAFORMA</t>
  </si>
  <si>
    <t>CAMBIOS DE POSICION DE LLANTAS EN EL PRIMER EJE Y SE LE COLOCARON 4 LLANTAS REENCAUCHADAS EN EL SEGUNDO EJE-CAMBIO DE 4 TAMBORES NUEVOS-REVESTIDA DE 4 ZAPATAS-4 FIERRO DE ZAPATAS NUEVOS Y REVESTIDAS ESTÁNDAR-CAMBIO DE RODILLOS DE MARTILLOS-SE CAMBIO KIT DE BOCINES,RETENEDORES Y SEGUROS DE MARTILLO-SE CAMBIARON 4 MARTILLOS DE 37 DIENTES-SE CAMBIARON 4 RACHE DE 37 DIENTES-SE DESARMARON MANZANAS PARA LIMPIEZA DE RULIMANES Y ENGRASADA-SE CAMBIARON 2 PULMONES 30/30 DOBLE ACCION Y 2 TIPO 30-SE REGULARON LOS FRENOS(21/01/2021 TERMINO TRABAJOS EN PLANTA)-FABRICAR COMPUERTA DE BAÑERA-REFORZAR CON PLANCHA NAVAL DE 6MM POR EL ALTO Y ANCHO DE LA ESTRUCTURA-FABRICAR CANALETA RECEPTORA DE AGUA DESAGUE-FABRICAR 2 BISAGRAS PARA COLGANTE DE LA COMPUERTA-REPARAR ASIENTO POSTERIOR DE LA BAÑERA PARA ACOPLE DE LA COMPUERTA(TERMINO DE REPARAR EL 24/02/21) SE LE COLOCO EL GATO HIDRAULICO EL 05/03/21-ESTA EN TALLER PLANTA AUN POR MODIFICACION DE DESAGUE DE PESCA</t>
  </si>
  <si>
    <t>SE LE CAMBIO EMPAQUE DE CABEZOTE(2)-SE CAMBIO 2 RETENEDORES-1 EMPAQUE Y RULIMAN DEL CAJETIN DE DIRECCION-SE CAMBIO EL EMPAQUE DEL TURBO</t>
  </si>
  <si>
    <t>60344-60337-60320-60534</t>
  </si>
  <si>
    <t>1 MANGUERA 1/2 X 2"-1 MANGUERA 5/16-1 MANGUERA 1/2 X 0.4-2 FILTRO DE ACEITE(313195)-11 GLNS ACEITE KENDALL-1 GLN ACEITE HIDRAULICO-1 FILTRO COMB(306927)-1 FILTRO COMB(307879)-1 AMARRA PLASTICA-1 FLOSSER DE 12V</t>
  </si>
  <si>
    <t>1 SOKET</t>
  </si>
  <si>
    <t>1 MOTOR DE ARRANQUE(NUEVO)-1 CINTA AISLANTE</t>
  </si>
  <si>
    <t>60537-60512-60539</t>
  </si>
  <si>
    <t>1 CABLE DE FRENO-1 CABLE FRENO-1 PITO DE RETRO-1 FILTRO ACEITE(106145)-1 GLN ACEITE 20W50</t>
  </si>
  <si>
    <t>0.5 KS SOLDADURA</t>
  </si>
  <si>
    <t>60517-60651</t>
  </si>
  <si>
    <t>60306-60684</t>
  </si>
  <si>
    <t>2 FILTRO DE ACEITE(206715)-1 FILTRO COMB(301630)-1 FILTRO COMB(206714)-1 FILTRO CENTRIFUGA(309500)-1 FILTRO AGUA(305880)-9 GLNS DE ACEITE-1 AGUA DE BATERIA</t>
  </si>
  <si>
    <t>5 GLNS ACEITE RANDO 68</t>
  </si>
  <si>
    <t>60524-60513-60680-60679</t>
  </si>
  <si>
    <t>5 FAJAS DE 2"-1 KL SOLDADURA-2 KLS SOLDADURA-SOLDADURA 6011 1/8</t>
  </si>
  <si>
    <t>SE LE COLOCO UN ALTERNADOR NUEVO</t>
  </si>
  <si>
    <t>1 DISTRIBUIDOR ELECTRONICO-1 PITO DE RETRO</t>
  </si>
  <si>
    <t>MANTENIMIENTO PREVENTIVO-CAMBIO DE FILTRO Y ACEITE DEL MOTOR-CAMBIO ACEITE TRANSMICION</t>
  </si>
  <si>
    <t>SE LE CAMBIO FILTRO DE ACEITE Y FILTRO DE COMBUSTIBLE-SE LE CAMBIO ACEITE DEL MOTOR-SE LE CAMBIO ACEITE A LA TRANSMICION</t>
  </si>
  <si>
    <t>2 FILTRO DE ACEITE(206715)-1 FILTRO COMB(206714)-1 FILTRO CENTRIFUGA(206716)-1 FILTRO AIRE(310086)-10 GLNS ACEITE 15W40-12 GLNS ACEITE 140</t>
  </si>
  <si>
    <t>TRABAJO DE SOLDADURA BEN PLATAFORMA</t>
  </si>
  <si>
    <t>SE SOLDO ANGULOS EN PLATAFORMA PARA SEGURIDAD DE BINES</t>
  </si>
  <si>
    <t>MANTENIMIENTO PREVENTIVO-MOTRANSA</t>
  </si>
  <si>
    <t>1 FILTRO DE AIRE PRIMARIO-3 LBRS GRASA SPHEEROL TEXACO EPL 2-1 FILTRO SEPARADORA DE AGUA-1 FILTRO A/C-1 FILTRO DE ACEITE-44 LTRS ACEITE DELO 400MGX SAE 15W40 CJ4 CHEVRON</t>
  </si>
  <si>
    <t>MOTRANSA</t>
  </si>
  <si>
    <t>1 AGUA DE BATERIA-5 GLNS ACEITE 15W40</t>
  </si>
  <si>
    <t>PROXIMO CAMBIO ACEITE FILTRO MOTOR 6981 PROXIMO CAMBIO ACEITE FILTRO DE LA CAJA 7027 PROXIMO CAMBIO ACEITE FILTRO HIDRAULICO 7027 PROXIMO CAMBIO ACEITE DIFERENCIAL 7027 CAMBIO FILTRO GAS 6981 PROXIMO CAMBIO BUJIA REFRIGERANTE Y FILTRO AIRE 6981</t>
  </si>
  <si>
    <t>LLANTA DELANTERAS-TUBO Y DEFENSAS</t>
  </si>
  <si>
    <t>BAÑERA 1</t>
  </si>
  <si>
    <t>KING PIN EMPERNABLE</t>
  </si>
  <si>
    <t>LLANTAS POSTERIORES</t>
  </si>
  <si>
    <t>PROBLEMA EN TOMA FUERZA(PERNOS ROTO)-SE ROMPIERON BASES DE TANQUE DE AIRE-2 CAÑERIA ROTA DE TANQUE DE AIRE</t>
  </si>
  <si>
    <t>SE CAMBIARON 3 PERNOS Y UNA TUERCA DE 3/8 AL TOMA FUERZA-SE SOLDO LAS BASES DE TANQUE DE AIRE-SE SOLDO CON BRONCE LAS DOS CAÑERIAS</t>
  </si>
  <si>
    <t>PROBLEMA DE ALTERNADOR-CAMBIO DE QUINTA RUEDA-MANTENIMIENTO DE RADIADOR-MANTENIMIENTO DE BATERIA-REGULACION DE EMBRAGUE Y FRENO</t>
  </si>
  <si>
    <t>PROBLEMA MANGUERA HIDRAULICA</t>
  </si>
  <si>
    <t>SE CAMBIO Y SE COLOCO MANGUERA HIDRAULICA NUEVA EN BRAZO POSTERIOR</t>
  </si>
  <si>
    <t>MANTENIMIENTO PREVENTIVO-CAMBIO DE FILTRO DE ACEITE Y COMBUSTIBLE DE MOTOR-CAMBIO DE FILTRO Y ACEITE DE LA TRANSMICION-CAMBIO DE ACEITE DEL TANQUE HIDRAULICO-CAMBIO DE ACEITE DEL DIFERENCIAL-CAMBIO DE REFRIGERANTE</t>
  </si>
  <si>
    <t>SE CAMBIO FILTRO Y ACEITE DEL MOTOR-SE CAMBIO FILTRO Y ACEITE DE LA TRANSMICION-SE CAMBIO Y LIMPIO FILTRO DE GAS-CAMBIO DE REFRIGERANTE-CAMBIO DE ACEITE TANQUE HIDRAULICO-CAMBIO DE ACEITE DEL DIFERENCIAL</t>
  </si>
  <si>
    <t>PROBLEMA EN LOS CAMBIOS</t>
  </si>
  <si>
    <t>SE COLOCO VALVULA DE GOVERNOL NUEVA-SE REGULO VALVULA DE AIRE-SE COLOCO VALVULA DE MARTILLO</t>
  </si>
  <si>
    <t>CAMBIO DE LLANTAS DELANTERAS</t>
  </si>
  <si>
    <t>SE SACO 2 LLANTAS DELANTERAS DESGASRADA MICHELIN Y SE COLOCARON 2 LLANTAS DELANTERAS NUEVAS GOOD YEAR G658 12R 22.5 FTDX4032021(5020) 14MM</t>
  </si>
  <si>
    <t>SE CAMBIO FILTRO YACEITE DEL MOTOR</t>
  </si>
  <si>
    <t>JULIO GARCIA/GERMAN AVEIGA</t>
  </si>
  <si>
    <t>SE REPARO ALTERNADOR Y SE LO COLOCO-SE COLOCO LA QUINTA RUEDA-SE COLOCO RADIADOR REPARADO-SE DIO MANTENIMIENTO A LAS BATERIAS-SE REGULO EMBRAGUE Y FRENOS-SE LE COLOCO UN SENSOR</t>
  </si>
  <si>
    <t>CONTENEDOR 3</t>
  </si>
  <si>
    <t>TAPIZAR ASIENTO</t>
  </si>
  <si>
    <t>MANGUERA RADIADOR ROTA</t>
  </si>
  <si>
    <t>SE CAMBIO MANGUERA DE RADIADOR-SE LE COLOCO UNA NUEVA</t>
  </si>
  <si>
    <t>LLANTA 10 SE REBENTO -ROZO CON HIERRO DE PATA DE BAÑERA 8</t>
  </si>
  <si>
    <t>SE SACO LLANTA REBENTADA Y SE LE COLOCO LA LLANTA QUE ESTABA EN POSICIO 9 PASO HACER 10 Y EN LA POSICION 9 SE LE COLOCO LLANTA MICHELIN DEL CABEZAL 12</t>
  </si>
  <si>
    <t>TANQUERO RELMOLQUE 1</t>
  </si>
  <si>
    <t>TRABAJO EN LAS 3 TAPAS DE REGISTRO SUPERIOR</t>
  </si>
  <si>
    <t>SE LE CAMBIO EL MECANISMO-COLOCANDO PERNOS Y EMPAQUES</t>
  </si>
  <si>
    <t>PROBLEMA EN VALVULA DE ALIVIO-DAÑO EN POSORJA CON PESCA(10:00)</t>
  </si>
  <si>
    <t>SE REMOLCO A PLANTA PARA SACAR VALVULA Y COLOCARLE UNA NUEVA</t>
  </si>
  <si>
    <t>NINO PINCAY/DANILO VELEZ</t>
  </si>
  <si>
    <t>SE TRABA LA CAJA DE CAMBIO</t>
  </si>
  <si>
    <t>HAY QUE COLOCAR ENFRIADOR DE ACEITE LA CAJA DE CAMBIO CALIENTA MUCHO</t>
  </si>
  <si>
    <t>CAMBIO DE LAS DOS LLANTA DELANTERAS-CAMBIO DE 1 ARO-CAMBIO DE FILTRO Y ACEITE DEL MOTOR-CAMBIO ACEITE TRANSMICION Y CORONA</t>
  </si>
  <si>
    <t>SE CAMBIO LAS DOS LLANTAS DELANTERAS SE LE COLOCO DOS LLANTAS NUEVAS-SE LE COLOCO 1 ARO NUEVO-SE LE CAMBIO FILTROS Y ACEITE DEL MOTOR-SE LE CAMBIO ACEITE A LA CAJA Y CORONA-SE CAMBIARON 2 BARRAS CENTRAL DE DIRECCION-SE REVIZO EL SISTEMA ELECTRICO</t>
  </si>
  <si>
    <t>ESTE VEHICULO FUE ENVIADO A TAURA EL 13/03/2021</t>
  </si>
  <si>
    <t>PROBLEMAS EN PAQUETE DE RESORTE POSTERIOR</t>
  </si>
  <si>
    <t>SE LE COLOCO UNA ABRAZADERA NUEVA DE PAQUETE</t>
  </si>
  <si>
    <t>SE SACO LLANTA 3 POR QUE SE REBENTO Y LA LLANTA 4 PASO HACER 3-SE LE COLOCO EN LA POSICION 4  UNA LLANTA REECAUCHADA GOOD YEAR G686MSS FTXV26318</t>
  </si>
  <si>
    <t>2 llantas nuevas GOOD YEAR G658 12R22.5</t>
  </si>
  <si>
    <t>60520-60673-60694</t>
  </si>
  <si>
    <t>1 HALOGENO 12V-1 FILTRO(311597)-1 FILTRO(311598)-2 GLNS ACEITE 15W40-2 GLNS ACEITE 80W90-1 FOCO HALOGENO 12V-1 FOCO DE UÑA 12V-1 FOCO HALOGENO</t>
  </si>
  <si>
    <t>1 GOBERNOL DE AIRE</t>
  </si>
  <si>
    <t>1 FILTRO DE ACEITE(106145)-1 FILTRO TRANSMICION(310038)-2 GLNS ACEITE 20W50-2 GLNS ACEITE HIDRAULICO ROJO-2 GLNS ACEITE DIFERENCIAL 80W90-15 GLNS ACEITE RANDO 68-2 ABRAZADERAS</t>
  </si>
  <si>
    <t>PROXIMO CAMBIO ACEITE FILTRO MOTOR 7208 PROXIMO CAMBIO ACEITE FILTRO DE LA CAJA 8208 PROXIMO CAMBIO ACEITE FILTRO HIDRAULICO 8208 PROXIMO CAMBIO ACEITE DIFERENCIAL 8208 CAMBIO FILTRO GAS 7208 PROXIMO CAMBIO BUJIA REFRIGERANTE Y FILTRO AIRE 7808</t>
  </si>
  <si>
    <t>2 FILTRO DE ACEITE(206715)-1 FILTRO COMB(306994)-1 FILTRO COMB(301629)-1 FILTRO CENTRIFUGA(309500)-1 FILTRO DE AGUA(307158)-ACEITE 15W40</t>
  </si>
  <si>
    <t>1 LLANTA REENCAUCHADA</t>
  </si>
  <si>
    <t>1 GLN ACEITE 20W50-1 GLN REFRIGERANTE</t>
  </si>
  <si>
    <t>61081-61076-61092</t>
  </si>
  <si>
    <t>2 LLANTAS 11.00-20-2 TUBOS -2 DEFENSAS-1 ARO DE LLANTA CONVENCIONAL-1 FILTRO DE ACEITE(100977)-1 FILTRO COMB(102758)-7 GLNS ACEITE 15W40-26 AMARRAS PLASTICAS-1 FOCO 24 VOLT-1 BOQUILLA SWICHT-2 CINTA AISLANTE-2 TERMINALES DE BARRA CENTRAL-1 GLN ACEITE 15W40</t>
  </si>
  <si>
    <t>se tapizo asiento-se fabrico 2 pasadores y bocin de la araña en la manzana posterior derecha para corregir problema de direccion-se cambio bujias y cable de bujias nuevos-se engraso el mastil-se regularon los frenos</t>
  </si>
  <si>
    <t>mantenimiento de sistema de freno-se desmonto llanta ejes manzanas para limpieza de zapatas y cambio de zapatillas de los cilindros de frenos de ambas ruedas delanteras-se depuro el sistema hidraulico y se regualron los frenos-se engraso mastil y volteardor-se cambio distribuidor-se le coloco nuevo</t>
  </si>
  <si>
    <t>SE ROMPIO PUNTA DE SEGUNDO EJE POSTERIOR EN POSORJA MUELLE PESCA(Cabezal 3)</t>
  </si>
  <si>
    <t>SE DESMONTO EL TREN DE RODAJE PARA LIMPIEZA Y CAMBIO DE GRASA NUEVA A RULIMANES Y MANZANA-SE CAMBIO 4 RETENEDORES DE GRASA-SE REVISTIERON 8 ZAPATAS DE FRENO-SE REGULARON LOS FRENOS-SE CHEQUEO LAS VALVULAS DE AIRE Y PULMONES</t>
  </si>
  <si>
    <t>BASES DE CABINA</t>
  </si>
  <si>
    <t>ABRAZADERA PAQUETE-ARO-BRAZO-TERMINAL-PULMON-EJE-BASES</t>
  </si>
  <si>
    <t>CORNETA-PITO-RELAY-SOQUE-OJO CANGREJO-TERMINAL ENCHUFE-TERMINAL OJO-PALANCA CAMBIO LUZ</t>
  </si>
  <si>
    <t>SE LE CAMBIO FILTROS Y ACEITE DEL MOTOR-SE DEPURO EL SISTEMA DE FRENO HIDRAULICO-SE CONSIDERA LA PRESION DEL PEDAL A MEDIA HASTA</t>
  </si>
  <si>
    <t>MANTENIMIENTO ELECTRICO-CAMBIO MOTOR LIMPIA PARABRIZA-CAMBIO DE PLUMAS</t>
  </si>
  <si>
    <t>SE CAMBIO EL MOTOR LIMPIA PARABRIZA SE LE COLOCO UNO NUEVO-SE LE CAMBIO PLUMAS LIMPIA PARABRIZA SE LE COLOCO NUEVAS</t>
  </si>
  <si>
    <t>PLATAFORMA 1</t>
  </si>
  <si>
    <t>CAMBIOS DE LLANTAS</t>
  </si>
  <si>
    <t>SE SACARON LLANTAS 3-4-7-8 POR DEMASIADO DESGASTE-LAS LLANTAS QUE ESTABAN EN POSICION 5 Y 6 PASARON HACER 3 Y 4-SE COLOCARON 4 LLANTAS REENCAUCHADAS GOOD YEAR ARMOR MAX MSS FTX180919-SE LA COLOCARON EN POSICION 5-6-7-8</t>
  </si>
  <si>
    <t>SE CAMBIO FILTROS Y ACEITE DEL MOTOR-AJUSTE DE MANGUERA DE TRANSMICION POR GOTEO ACEITE RANDO 68-SE COMPLETO ACEITE DE TRANSMICION-SE SOPLETEO EL PANAL DEL RADIADOR POR SUCIEDAD</t>
  </si>
  <si>
    <t>SE LE REPARO GUIA DIRECCIONALES-SE CAMBIO FOCOS DE GUIAS DE RUTA</t>
  </si>
  <si>
    <t>LODERAS DELANTERAS</t>
  </si>
  <si>
    <t>SE CONSTRUYO Y SE COLOCO BASES PARA LODERAS</t>
  </si>
  <si>
    <t>61207-61202</t>
  </si>
  <si>
    <t>1 FILTRO(305257)-1 FILTRO(305258)-1 FILTRO(305259)-1 FILTRO(305260)-1 LBR WAIPE-5 GLNS ACEITE RANDO 68</t>
  </si>
  <si>
    <t>59748-59672-61223</t>
  </si>
  <si>
    <t>1 GUIA 1/2-1 BUSHING 1/2  x 3/8-4 NEPLO DE 3/8  x  3/8-2 TORNILLO 3/16-3 GRASEROS-4 GUIAS ENCAUCHADAS-1 CINTA AISLANTE-2 PULMONES DE ACCION 30/30-2 PULMONES DE UNA ACCION 10/30-4 RACHES-1 VALVULA RELAY</t>
  </si>
  <si>
    <t>61203-61221</t>
  </si>
  <si>
    <t>1 MOTOR LIMPIAPARABRISAS-1 JGO PLUMAS LIMPIAPARABRISAS-1 CINTA AISLANTE-3 TUBO ANILLADO-4 RELAY DE LUCES-4 FUSIBLE UÑA-16 TERMINALES OJO-10 MTR TUBO ANILLADO</t>
  </si>
  <si>
    <t>PROBLEMAS BANDAS DE MOTOR-MANTENIMIENTO ELECTRICO</t>
  </si>
  <si>
    <t>SE CAMBIO BANDAS DE MOTOR Y SE CALIBRO VALVULAS-SE CAMBIO TROMPO DE RETRO</t>
  </si>
  <si>
    <t>60674-61218</t>
  </si>
  <si>
    <t>1 ALTERNADOR-1 SOKET</t>
  </si>
  <si>
    <t>61225-61217</t>
  </si>
  <si>
    <t>1 FOCO 12V-2 FOCOS DE 2 PUNTOS-2 SOKET-1 SILICON GRIS-1 PENETRANTE</t>
  </si>
  <si>
    <t>59668-59746-61216</t>
  </si>
  <si>
    <t>4 MARTILLOS DE FRENO-4 RACHES-4 KIT DE BASE-4 TAMBOR DE EJE-4 KIT DE RODILLO-4 KIT DE ZAPATA-2 MPULMON 10 X 30-2 PULMON 30/30-4 LLANTAS REENCAUCHADA-1 PINTURA GRIS-2 DISCO DE CORTE 7-2 DISCO CORTE 4-SOLDAURA-CEPILLO ALAMBRE-LIJA</t>
  </si>
  <si>
    <t xml:space="preserve">PROXIMO CAMBIO ACEITE FILTRO MOTOR 7857 PROXIMO CAMBIO ACEITE FILTRO DE LA CAJA 8402 PROXIMO CAMBIO ACEITE FILTRO HIDRAULICO 8402 PROXIMO CAMBIO ACEITE DIFERENCIAL 8402 CAMBIO FILTRO GAS 7857 PROXIMO CAMBIO BUJIA REFRIGERANTE Y FILTRO AIRE 8062 </t>
  </si>
  <si>
    <t>1 ANGULO-2 LODERAS</t>
  </si>
  <si>
    <t>61235-61234</t>
  </si>
  <si>
    <t>2 ABRAZADERA PAQUETE-3 PERNOS 1/4</t>
  </si>
  <si>
    <t>61211-61244</t>
  </si>
  <si>
    <t>1 FILTRO DE ACEITE(106145)-3 GLNS ACEITE 20W50-1 GLN ACEITE HIDRAULICO ROJO</t>
  </si>
  <si>
    <t>1 VALVULA DE CONTROL</t>
  </si>
  <si>
    <t>PROXIMO CAMBIOS DE FILTROS Y ACEITE DEL MOTOR 4922-CAMBIO DE FILTRO Y ACEITE HIDRAULICO 6000-CAMBIO DE FILTRO Y ACEITE DEL DIFERENCIAL 6000-CAMBIO DE FILTRO Y ACEITE DE LA CAJA 6000</t>
  </si>
  <si>
    <t>se tapizo asiento</t>
  </si>
  <si>
    <t>SE ENVIO A GQUIL CARDAN COMPLETO(G/T 15277 11/01/2021)-SE SIGUE EVALUANDO REPARACIONES QUE CONCLUIRAN EN ABRIL</t>
  </si>
  <si>
    <t>SE ARMO CARDAN(COMPLETAMENTE NUEVO)-SE CAMBIO TAMBOR NUEVO POSTERIOR LADO DERECHO-SE ENGRASARON RULIMANES-SE CAMBIARON 2 RETENEDORES ACEITE-SE REVISTIERON 2 ZAPATAS POSTERIOR LADO DERECHO-SE CAMBIARON Y CONOS DE AJUSTE PARA EJE DE RUEDA DERECHA POSTERIOR-SE REPARARON 2 PULMONES DELANTERO-SE CAMBIARON 2 RACHES DELANTEROS NUEVOS(TRABAJOS CONCLUIDOS EL 23/03/21)</t>
  </si>
  <si>
    <t>SE LE COLOCO MOTOR DE ARRANQUE QUE ESTABA DE STOCK</t>
  </si>
  <si>
    <t>CAMBIO DE FILTRO Y ACEITE</t>
  </si>
  <si>
    <t>MAVESA PORTOVIEJO</t>
  </si>
  <si>
    <t>MANTENIMIENTO-CAMBIO DE FILTRO Y ACEITE DEL MOTOR</t>
  </si>
  <si>
    <t>SE CAMBIO FILTRO DE ACEITE Y ACEITE DEL MOTOR-SE REALIZO MANTENIMIENTO A LAS BATERIAS-SE LIMPIO FILTRO GAS</t>
  </si>
  <si>
    <t>PROBLEMA TEMPLADOR</t>
  </si>
  <si>
    <t>SE CAMBIO TEMPLADOR-SE LE COLOCO NUEVO-SE REGULARON FRENOS</t>
  </si>
  <si>
    <t>CAMION 4 PLATAFORMA</t>
  </si>
  <si>
    <t>SE CAMBIO MANGUERA DE RESERVORIO DE ACEITE HIDRAULICO A LA BOMBA HIDRAULICA DE DIRECCION C/ABRAZADERAS POR GOTEO DE ACEITE-SE CAMBIO MANGUERA DEL BOMBIN AUXILIAR A LA BOMBA DE INYECCION POR PRECAUCION(POSIBLE GOTEO DE DIESEL)-SE LIMPIARON LOS DESFOGUE DEL MOTOR Y SE SELLO CON SILICON PARA EVITAR POSIBLE HUMEDAD Y DERRAME DE ACEITE-SE  REAJUSTARON LAS LINEAS DE RETORNO DE LA BOMBA DE INYECCION AL TANQUE DE COMBUSTIBLE-SE ACOPLO UNA MANGUERA A LA TROMPA DE DESFOGUE DE MOTOR</t>
  </si>
  <si>
    <t>MANTENIMIENTO PREVENTIVO</t>
  </si>
  <si>
    <t>SE COLOCARON PERNOS DE CAJA CORAZA-SE LE COLOCO VENTILADOR NUEVO-SE LE COLOCO CAUCHOS SOPORTE DEL MOTOR-SE CAMBIO FILTROS Y ACEITE DEL MOTOR-SE LE CAMBIO ACEITE A LA CAJA Y CORONA</t>
  </si>
  <si>
    <t>PROBLEMA DE HUNTER</t>
  </si>
  <si>
    <t>LLEGARON TECNICOS(2) A REPARAR SISTEMA DE HUNTER(NO MARCABA HORAS DE TRABAJOS)</t>
  </si>
  <si>
    <t>HUNTER</t>
  </si>
  <si>
    <t>SE CAMBIO VALVULA DE ALIVIO DEL TANQUE AIRE COMPRIMIDO-SE REGULARON LOS FRENOS</t>
  </si>
  <si>
    <t>BAÑERA 8</t>
  </si>
  <si>
    <t>SE CHEQUEO LA VALVULA RE6-SE CHEQUEO LA VALVULA TIPO BASTON QUE CONTROLA EL FRENADO DEL REMOLQUE MANUALMENTE-SE REGULARON LOS MARTILLOS Y FRENOS</t>
  </si>
  <si>
    <t>SE CHEQUEARON LOS VIDRIOS ELECTRICOS-SE CHEQUEO LOS MOTORES DEL SEGURO</t>
  </si>
  <si>
    <t>BAÑERA 13</t>
  </si>
  <si>
    <t>CAMBIO DE TUBOS NUEVOS PARA HABILITAR MECANISMO DE LONA QUE CUBRE LA CARGA-SE ASEGURO UNA BASE DE MARTILLO DE FRENO</t>
  </si>
  <si>
    <t>REVISION DE SISTEMA DE FRENO Y CAMBIO DE LLANTAS REENCAUCHADA EN CLARA DE MARZO</t>
  </si>
  <si>
    <t>CHEQUEO DE SISTEMA ELECTRICO-REVISION PALANCA CONTROL DE TRASMICION-CHEQUEO DE ACELERACION</t>
  </si>
  <si>
    <t xml:space="preserve"> SE REVISO PALANCA CONTROL DE TRASMICION-CHEQUEO DE ACELERACION-SE SOLDO BASE DE ACELERADOR</t>
  </si>
  <si>
    <t>SE LE COLOCO VENTILADOR DE CABINA(NUEVO)-SE SOLDO BASES DE BOMBA DE VOLTEO</t>
  </si>
  <si>
    <t>LUIS SALINAS/JUAN LEON</t>
  </si>
  <si>
    <t>PROBLEMA VALVULA DUAL</t>
  </si>
  <si>
    <t>TRABAJO EN 3 PUENTES DE CABINA-REGULAR CAMAROTE Y REPARAR BASE DE AMORTIGUADORES DE CABINA</t>
  </si>
  <si>
    <t>FABRICAR 2 PUENTES PARA CABEZAL-PUENTES DESARMABLES EMPERNADOS EN PLANCHA DE 10MM DESARMADA Y ARMADA-REGULAR CAMAROTE Y REPARAR BASE DE AMORTIGUADORES DE CABINA</t>
  </si>
  <si>
    <t>TALLER TIWINTZA GQUIL</t>
  </si>
  <si>
    <t>CAMBIAR CANALES DAÑADO-CAMBIAR TODAS LAS PLANCHAS Y SOPORTES DE LAS MISMAS-CAMBIAR ESPALDAR CON VIGA UPN Y PLANCHA NUEVA-CAMBIAR PLATINA LATERALES-ENDEREZAR COSTANERA-HACER PORTA LLANTA NUEVO--HACER CAJA DE HERRAMIENTAS-SISTEMA ELECTRICO LUCES LED-LIMPIAR TODA LA PLATAFORMA PARA PINTAR FONDAR CON FONDO EPOXICO Y PINTURA DE POLIURETANO-ALINEADA CAMBIO DE LOS CAUCHOS-ENDEREZAR GANSO DE LA PLATAFORMA</t>
  </si>
  <si>
    <t>PLATAFORMA 2</t>
  </si>
  <si>
    <t>CAMBIO DE LLANTAS</t>
  </si>
  <si>
    <t>SE SACARON LAS LLANTAS 1-2-5 Y 6 POR DEMASIADO DESGASTE-SE COLOCARON 4 LLANTAS REENCAUCHADAS EN EL SEGUNDO EJE POSICIONES 5-6-7 Y 8 LLANTAS GOOD YEAR G686 MSS 12R 22.5-LA LLANTA 7 PASI HACER 2 Y LA LLANTA 8 PASAO HACER 1</t>
  </si>
  <si>
    <t>CAMBIO DE FILTROS Y ACEITE DEL MOTOR</t>
  </si>
  <si>
    <t>SE LE COLOCO VALVULA DE DUAL(NUEVA)</t>
  </si>
  <si>
    <t>61307-61305</t>
  </si>
  <si>
    <t>2 PERNO-1 BOMBIN-1 VALVULA TIPO COBRA</t>
  </si>
  <si>
    <t>61220-61219-61325</t>
  </si>
  <si>
    <t>1 PORTA DIODO-2 TROMPO RETRO-1 AUTOMATICO DE ARRANQUE-1 SOKET-1 BANDA XL 9420-1 MANGUERA 1/8-2 ABRAZADERA</t>
  </si>
  <si>
    <t>SE REBENTO LLANTA 3 DE REGRESO DE MANTA CON ATUN CAB 12</t>
  </si>
  <si>
    <t>1 EJE CUADRADO</t>
  </si>
  <si>
    <t>1 TUBO DE A/INOX</t>
  </si>
  <si>
    <t>1 FILTRO DE ACEITE(106145)-1 GLN ACEITE 20W50-2 LBR WAIPE-SOLDADURA-BRUJITA</t>
  </si>
  <si>
    <t>PROXIMO CAMBIO ACEITE FILTRO MOTOR 18458 PROXIMO CAMBIO ACEITE FILTRO DE LA CAJA 18477 PROXIMO CAMBIO ACEITE FILTRO HIDRAULICO 18477 PROXIMO CAMBIO ACEITE DIFERENCIAL 18477 CAMBIO FILTRO GAS 18458 PROXIMO CAMBIO BUJIA REFRIGERANTE Y FILTRO DE AIRE 18477</t>
  </si>
  <si>
    <t>60545-60683-60668-61317</t>
  </si>
  <si>
    <t>1 KIT DE DIRECCION HIDRAULICA-1 RULIMAN DE CAJA-1 EMPAQUE SUPERIOR-1 EMPAQUE DE TURBO-1 ABRAZADERA 3"-1 ABRAZADERA 1"-2 GUIA 1/4-2 CONO DE BRONCE-2 EMPAQUE DE CABEZOTE-3 PERNO A/INOX-1 BRUJITA</t>
  </si>
  <si>
    <t>10 MTRS CAUCHO</t>
  </si>
  <si>
    <t>61339-61338</t>
  </si>
  <si>
    <t>1 FIBRA TERMICO-1 PORTACARBON-1 AUTOMATICO DE ARRANQUE-2 BOCINES-1 COLECTOR-1 PORTACARBON-1 REGULADOR-1 RULIMAN-1 TRIODO-1 FIBRA TERMICA-1 RULIMAN 6205</t>
  </si>
  <si>
    <t>MANTENIMIENTO ELECTRICO-PARCHE LLANTA</t>
  </si>
  <si>
    <t>1 PARCHE-LIQUIDO BUFFER</t>
  </si>
  <si>
    <t>2 FILTROS DE ACEITE(206715)-1 FILTRO COMB(306994)-1 FILTRO COMB(301629)-1 FILTRO RACOR(303584)-1 FILTRO AGUA(305880)-1 FILTRO CENTRIFUGA(309500)-10 GLNS ACEITE 15W40-2 LBRS WAIPE</t>
  </si>
  <si>
    <t>INTERRUPTOR DE COLUMNA DE DIRECCION</t>
  </si>
  <si>
    <t>PRESUPUESTO DINAUTA</t>
  </si>
  <si>
    <t>RECOMIENDA MAVESA CAMBIAR A FUTURO CONDENSADOR COMPLETO</t>
  </si>
  <si>
    <t>MAVESA GQUIL FACT 001-003-000174808</t>
  </si>
  <si>
    <t>CAMBIO FILTROS Y ACEITE DEL MOTOR-CAMBIO ACEITE TRANSMICION-CAMBIO ACEITE DIFERENCIAL-LUBRICACION DE RODILLOS DE PULMON-CAMBIO ACEITE HIDRAULICO-CAMBIO DE FLASHER DE LUCES-REVISION DE LOS RANGOS-MANTENIMIENTO A/C-CAMBIO DE RETROVISOR-SE LUBRICO PASADORES DE RACHE</t>
  </si>
  <si>
    <t>CAMBIO FILTROS Y ACEITE DEL MOTOR-CAMBIO ACEITE TRANSMICION-CAMBIO ACEITE DIFERENCIAL-LUBRICACION DE RODILLOS DE PULMON-CAMBIO ACEITE HIDRAULICO-CAMBIO DE FLASHER DE LUCES-REVISION DE LOS RANGOS-MANTENIMIENTO A/C-CAMBIO DE RETROVISOR-SE LUBRICO PASADORES DE RACHE-1 FILTRO DE ACEITE-1 FILTRO DE COMB-1 FILTRO COMBUSTIBLE RACOR-1 LBR GRASA CHASIS-1 AGUIA DESTILADA BATERIA-1 FUNDA WAIPE-14 LTRS ACEITE RUBIA TIR 7900 10W30-8 LTRS ACEITE 80W90-12.12 LTRS ACEITE 85W140-1 ANILLO TAPON VACIADO-2 LTRS ACEITE DEXRON III FLUIDE H3-1 ESPEJO DE RETROVISOR RH-2 FUSIBLE MINI UÑA ROJA 10 AMP-32V- 2 FUSIBLE MINI UÑA AZUL 15AMP-32V-1 FLASHER - 1 LIMPIADOR A/C FRAGANCIA LIMON</t>
  </si>
  <si>
    <t>RESCATE EN VIA TAURA(BANCOS)-CAÑERIA DE COMBUSTIBLE</t>
  </si>
  <si>
    <t>SE CAMBIO CAÑERIA DE COMBUSTIBLE-SE LE COLOCO NUEVA</t>
  </si>
  <si>
    <t>CAMBIOS DE ACEITE Y FILTROS DEL MOTOR-CAMBIO DE FILTRO DE AIRE</t>
  </si>
  <si>
    <t>SE CAMBIO FILTROS Y ACEITE DEL MOTOR-SE CAMBIO FILTRO DE AIRE</t>
  </si>
  <si>
    <t>CAMION 2 PLATAFORMA</t>
  </si>
  <si>
    <t>COLOCACION DE MECANISMO PORTA LLANTA</t>
  </si>
  <si>
    <t>SE LE COLOCO MECANISMO DE PORTA LLANTA DE EMERGENCIA NUEVA</t>
  </si>
  <si>
    <t>SE CAMBIARON LAS LUCES DE RUTA DEL VALDE-SE LE COLOCO LUCES DE RUTA NUEVA</t>
  </si>
  <si>
    <t>PROBLEMA ELECTRICO-CIRCUITO-CAJA DE FUSIBLE NO SIRVE-ESTA DIRECTO</t>
  </si>
  <si>
    <t>SE LE CAMBIO FILTROS Y ACEITE AL MOTOR</t>
  </si>
  <si>
    <t>MANTENIMIENTO CAÑERIA</t>
  </si>
  <si>
    <t>CAMBIO DE UNA CAÑERIA DE INYECTOR</t>
  </si>
  <si>
    <t xml:space="preserve">TACHO </t>
  </si>
  <si>
    <t>ESCOBA</t>
  </si>
  <si>
    <t>PALA</t>
  </si>
  <si>
    <t>MANTENIMIENTO DE SOLDADURA EN COMPUERTA</t>
  </si>
  <si>
    <t>TRABAJO EN OREJA DE COMPUERTA SE SOLDO POR ESTAR ROTA</t>
  </si>
  <si>
    <t>1 VENTILADOR</t>
  </si>
  <si>
    <t>SE CAMBIO CABLEADO DE LUCES ALTA Y BAJA-SE LE COLOCO UN JGO DE CINTURAN DE SEGURIDAD(NUEVO)-SE LE COLOCO UN VENTILADOR DE CABINA(NUEVO)</t>
  </si>
  <si>
    <t>1 SILICON GRIS-1 VENTILADOR DE CABINA-1 CINTURON DE SEGURIDAD-1 FOCO DE 2 PUNTOS 12V</t>
  </si>
  <si>
    <t>MANTENIMIENTO-CAMBIO DE 10 LLANTAS-CAMBIO DE PINES Y BOCINES-MANTENIMIENTO DE LOS AROS</t>
  </si>
  <si>
    <t>2 FILTRO ACEITE(313195)-1 FILTRO COMB(306927)-1 FILTRO COMB(307879)-1 FILTRO DE AIRE(313162)-11 GLNS ACEITE 15W40</t>
  </si>
  <si>
    <t>CAMION 5 PLATAFORMA</t>
  </si>
  <si>
    <t>1 TECLE-1 KL SOLDADURA</t>
  </si>
  <si>
    <t>PROBLEMA EN RETENEDOR DE RUEDA PRIMER EJE LADO DERECHO</t>
  </si>
  <si>
    <t>SE CAMBIO RETENEDOR EJE RUEDA PRINCIPAL DERECHA-SE LE COLOCO NUEVO-SE LE COMPLETO ACEITE A LA TRANSMICION-SE LE COLOCO BOMBA DE PRESION DE COMBUSTIBLE(USADA)</t>
  </si>
  <si>
    <t>PROBLEMA PERNOS DE PUENTE DE CABINA</t>
  </si>
  <si>
    <t>SE CAMBIARON 5 PERNOS 5/8 x 2 1/2 DE PUENTE NUEVOS</t>
  </si>
  <si>
    <t>MANTENIMIENTO SISTEMA DE FRENO</t>
  </si>
  <si>
    <t>SE LE INSTALO CAJON DE HERRAMIENTAS</t>
  </si>
  <si>
    <t>SOPORTES TANQUE DE COMBUSTIBLE</t>
  </si>
  <si>
    <t>SE SOLDO Y REFORZO SOPORTE DE TANQUE DE COMBUSTBLE</t>
  </si>
  <si>
    <t>POR RELLENAR PUNTAS DE UN EJE FRONTAL DE UN MAK PARA LOS 2 RULIMANES GRANDES Y RELLENAR PARA LAS DOS BASES DEL RULIMAN-POR CAMBIAR PINES Y BOCINES-POR RIMAR -TRAJAJO A RELAIZAR TALLER MIÑO</t>
  </si>
  <si>
    <t>PLATAFORMA 6</t>
  </si>
  <si>
    <t>BATERIAS(4)-PULMON</t>
  </si>
  <si>
    <t>SENSOR</t>
  </si>
  <si>
    <t>LLANTAS DELANTERAS Y POSTERIORES</t>
  </si>
  <si>
    <t>06/04/21(PULMON)</t>
  </si>
  <si>
    <t>CAMBIO DE FILTRO Y ACEITE Y CAMBIOS DE AMORTIGUADORES DELANTEROS</t>
  </si>
  <si>
    <t>MONTACARGA 4 MUELLE</t>
  </si>
  <si>
    <t>CAMBIO NDE FILTRO Y ACEITE DEL MOTOR</t>
  </si>
  <si>
    <t>SE CAMBIO ACEITE DEL MOTOR Y SE LE COLOCO EL MISMO FILTRO DE ACEITE NO EXISTIR EN BODEGA-SE LIMPIO FILTRO DE GAS</t>
  </si>
  <si>
    <t>PROBLEMA TRANSMICION RETRO-SE DESMONTO MOTOR PARA PROCEDER A DESARMAR LA TRANSMICION</t>
  </si>
  <si>
    <t>MANTENIMIENTO MAVESA-CAMBIO DE ACEITE Y FILTRO DEL MOTOR-CAMBIO DE ACEITE TRANSMICION-CAMBIO DE ACEITE DEL DIFERENCIAL-CAMBIO DE BANDAS DE MOTOR-CAMBIO DE BANDAS A/C-CAMBIO DE LUZ DE RETRO</t>
  </si>
  <si>
    <t>1 FILTRO COMB-1 LB GRASA-1 AGUA DESTILADA DE BATERIA-11.35 LTRS ACEITE RUBIA TIR 7900 10W30-1 FUN WAIPE-1 FILTRO ACEITE-1 FILTRO COMB PRIMARIO-6 LTRS ACEITE85W140 TRANSMICION-1 JGO BANDAS MOTOR-1 BANDA A/C-1 ANILLO TAPON VACIADO-1 TAPON CARTER-1 BOMBILLO GR 1P 24V</t>
  </si>
  <si>
    <t>MANTENIMIENTO MAVESA-CAMBIO DE ACEITE Y FILTRO DEL MOTOR-CAMBIO DE ACEITE TRANSMICION-CAMBIO DE ACEITE DEL DIFERENCIAL-CAMBIO DE BANDAS DE MOTOR-CAMBIO DE BANDAS A/C-CAMBIO DE LUZ DE RETRO-1 FILTRO COMB-1 LB GRASA-1 AGUA DESTILADA DE BATERIA-11.35 LTRS ACEITE RUBIA TIR 7900 10W30-1 FUN WAIPE-1 FILTRO ACEITE-1 FILTRO COMB PRIMARIO-6 LTRS ACEITE85W140 TRANSMICION-1 JGO BANDAS MOTOR-1 BANDA A/C-1 ANILLO TAPON VACIADO-1 TAPON CARTER-1 BOMBILLO GR 1P 24V</t>
  </si>
  <si>
    <t>MAVESA FACT 001-003-000175548</t>
  </si>
  <si>
    <t>PROBLEMA DE BATERIA-PROBLEMA PULMON DE FRENO</t>
  </si>
  <si>
    <t>SE COLOCO CARGAS A LAS BATERIAS-SE LE COLOCO LAS BATERIAS DEL CAB 8 PROVISIONAL</t>
  </si>
  <si>
    <t>CAMBIO DE PLANCHA Y EL KIM PIN-CAMBIO 4 PUENTES NUEVOS QUE SOPORTAN LA PLANCHA-ALINEACION DEL TREN DE RODAJE CHASIS</t>
  </si>
  <si>
    <t>CHEQUEO DE SONIDO</t>
  </si>
  <si>
    <t>CAMBIO DE PULMON DE FRENO</t>
  </si>
  <si>
    <t>SE LE COLOCO PULMON DE FRENO NUEVO</t>
  </si>
  <si>
    <t>PROBLEMA DE BATERIA</t>
  </si>
  <si>
    <t>SE LE COLOCO UNA BATERIA NUEVA MASCA BOSCH S4 34HP 1100 12VOLT</t>
  </si>
  <si>
    <t>SE LE CAMBIO FILTRO Y ACEITE DEL MOTOR</t>
  </si>
  <si>
    <t>CAMBIO DE LAS 4 BATERIAS</t>
  </si>
  <si>
    <t>SE LE CAMBIARON 4 BATERIAS-SE LE COLOCARON 4 BATERIAS NUEVAS MARCA BULLDOG MACK M31650EX 150  SERIES 351917-467599-467590-467597</t>
  </si>
  <si>
    <t>MONTACARGA HYSTER(CRUCITA)</t>
  </si>
  <si>
    <t>MANTENIMIENTO TOTAL</t>
  </si>
  <si>
    <t>SE LE REPARO Y SE LE COLOCO ALTERNADOR</t>
  </si>
  <si>
    <t>MONTACARGA TOYOTA(CRUCITA)</t>
  </si>
  <si>
    <t>ALINEACION Y BALANCEO-CORRECCION DE FUGA DE COMBUSTIBLE</t>
  </si>
  <si>
    <t>GUAYAQUIL</t>
  </si>
  <si>
    <t>LLANTA # 8 REBENTADA</t>
  </si>
  <si>
    <t>SE LE COLOCO UNA LLANTA USADA MARCA MICHELIN WORKS 12R 22.5 EN POSICION # 8</t>
  </si>
  <si>
    <t>CAMBIO DE FILTRO Y ACEITE DEL MOTOR-CAMBIO ACEITE DE TRANSMICION Y CORONA</t>
  </si>
  <si>
    <t>SE LE CAMBIA FILTRO Y ACEITE DEL MOTOR-SE LE CAMBIA ACEITE DE LA CORONA Y CAMBIO DE ACEITE DE LA TRANSMICION-SE LE DIO MANTENIMIENTO A LAS BATERIAS-SE REPARO TROMPO DE RETRO-SE REPARO MANGUERA ROTA DE AIRE</t>
  </si>
  <si>
    <t>1 PULMON 30/30</t>
  </si>
  <si>
    <t>1 GLN ACEITE 15W40</t>
  </si>
  <si>
    <t>1 VALVULA CHECK-1 BORNE DE BATERIA</t>
  </si>
  <si>
    <t>61630-61634</t>
  </si>
  <si>
    <t>1 RETENEDOR 370003A-1 PITO-3 GLNS ACEITE 140</t>
  </si>
  <si>
    <t>61626-61610-61633</t>
  </si>
  <si>
    <t>2 LLANTAS GOOD YEAR G658 12R 22,5-8 LLANTAS GOOD YEAR ARMOR MAX MSS 12R 22,5-2 LIJAS-2 DESOXIDANTE-1 JGO PINES Y BOCINES-4 TERMINALES DE BARRA-2 INTERIORES DE VALVULAS-1 BUSTER DE FRENO</t>
  </si>
  <si>
    <t>61613-61632</t>
  </si>
  <si>
    <t>2 FILTRO DE ACEITE(206715)-1 FILTRO COMB(301630)-1 FILTRO COMB(206714)-1 FILTRO CENTRIFUGA(309500)-1 FILTRO AGUA(307159)-10 GLNS ACEITE 15W40-1 GLN ACEITE HIDRAULICO-1 CABLE PARA CARRETA REFORZADA</t>
  </si>
  <si>
    <t>6 TAMBORES DE EJE DE CUADRO-6 RETENEDORES DE EJE DE RUEDA</t>
  </si>
  <si>
    <t>PITO DE RETRO</t>
  </si>
  <si>
    <t>61306-61646-61907-61905-61903</t>
  </si>
  <si>
    <t>1 VALVULA-2 EJES-2 GUIA 3/8-2 DISCO DE CORTE- 1 PERNO 1 X 6-4 ABRAZADERA DE PAQUETES-1 TEMPLADOR FIJO-1 TEMPLADOR REGULABLE-2 PULMONES DOBLE ACCION-2 NEPLO RECTOS-4 AROS</t>
  </si>
  <si>
    <t>4 LLANTAS REENCAUCHADAS-2 CAUCHO DE CARRETA</t>
  </si>
  <si>
    <t>61337-61902</t>
  </si>
  <si>
    <t>61213-61901</t>
  </si>
  <si>
    <t>4 LLANTAS REENCAUCHADAS GOOD YEAR ARMOR 12R 22.5-2 CAUCHO DE CARRETA</t>
  </si>
  <si>
    <t>61635-61918</t>
  </si>
  <si>
    <t>2 GLNS ACEITE 15W40-2 BORDE DE BATERIA-2 AGUA DE BATERIA-1 CEJA-1 HOJA DE SIERRA-1 W40-1 WAIPE</t>
  </si>
  <si>
    <t>1 VALVULA RE 6</t>
  </si>
  <si>
    <t>RECALENTAMIENTO DE MOTOR-POR FALTA DE AGUA(5 GLNS)-MOTOR EN OBSERVACION POR CAIDA DE PRESION DE ACEITE-FALLA QUE PROVOCA RECALENTAMIENTO-SE PROCEDE A DESMONTAR Y DESARMAR MOTOR-PARA COMPRAR DE REPUESTO Y REPARACION</t>
  </si>
  <si>
    <t>REPARACION DE FRONTAL-SE LE CAMBIARON PINES Y BOCINES-TERMINALES-AMORTIGUADORES-4 RULIMANES DE RUEDA DELANTERA Y 2 RETENEDORES DE GRASA-SE RECTIFICARON PUNTAS DE EJE EN TALLER MIÑO-SE INSTALARON Y SE RIMARON LOS BOCINES DE LOS PINES EN LA PUNTA(MIÑO)-SE REVISTIERON 4 ZAPATAS DE FRENO-SE CEPILLARON 2 TAMBORES-SE CAMBIARON LAS 10 LLANTAS(DELANTERAS Y POSTERIORES)-SE LE COLOCARON LLANTAS NUEVAS</t>
  </si>
  <si>
    <t>CORRECCION DE FUGA DE COMBUSTIBLE EN UN PLUYER DE LA BOMBA DE INYECCION(LABORATORIO KAMASA)</t>
  </si>
  <si>
    <t>SE LE CAMBIO LA LLANTA 7 POR ESTAR DAÑADA-SE LE COLOCO LLANTA GOOD YEAR G667 12R 22,5 USADA-INSTALACION DE UN EJE NUEVO-2 PULMONES 30/30-ADAPTACION DE MONTURAS DE PAQUETE-4 AROS NUEVOS TIPO DISCO-4 ABRAZADERAS NUEVAS</t>
  </si>
  <si>
    <t>REVISION DEL SISTEMA DE CONTROL HIDRAULICO-DESARME Y LIMPIEZA DE LA BOMBA HIDRAULICA-SE RETIRO LA TAPA DE DISTRIBUCION DE MOTOR PARA DESARMAR Y CAMBIAR LA CADENILLA Y PIÑONES DE TRANSFERENCIA YA QUE ESTABA MUY ESTIRADA POR DESGASTES LA MISMA QUE SE SALTABA ENTRE PIÑONES PROVOCANDO EL SONIDO BRUSCO AL MOMENTO DE OPERAR EL EQUIPO-SE CAMBIARON 2 RULIMANES DE GUIA 6205 DEL PIÑON ESTRIADO QUE CONECTA LA BOMBA HIDRAULICA</t>
  </si>
  <si>
    <t>REPARACION DE TRANSMICION HIDROMATICA-CAMBIO DE DISCO DE EMBRAGUE EN LA BOMBA DE PRESION HIDRAULICA-CAMBIO DE DOS RULIMANES 6206 DE LA BOMBA PRESION HIDRAULICA INTERNO EN LA TRANSMICION-LIMPIEZA DE VALVULA DE CONTROL DE MARCHA-CAMBIO DE RETENEDOR Y ORING CORNETA QUE DERRAMABA ACEITE ENTRE EL VARIADOR Y LA CAJA-CAMBIO DE FILTRO DE LA TRANSMICION Y ACEITE-SE CAMBIARON FILTROS DE AIRE-SE CAMBIARON LAS MANGUERAS DE ENFRIADOR DE ACEITE DE LA TRANSMICION</t>
  </si>
  <si>
    <t>PROBLEMA MOTOR-ROTURA CIGÜEÑAL DE MOTOR</t>
  </si>
  <si>
    <t>LLANTAS DELANTERAS</t>
  </si>
  <si>
    <t>MARTILLO DE FRENOS C/BOCINES</t>
  </si>
  <si>
    <t>INSTALACION TOTAL DE LA PARTE DELANTERA-SE CAMBIO SWICHT-TROMPO DE ACEITE-TROMPO DE RETRO-SE INSTALO ALARMA DE RETRO-MANTENIMIENTO DE LUCES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</si>
</sst>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9">
    <numFmt numFmtId="164" formatCode="_(&quot;$&quot;\ * #,##0.00_);_(&quot;$&quot;\ * \(#,##0.00\);_(&quot;$&quot;\ * &quot;-&quot;??_);_(@_)"/>
    <numFmt numFmtId="165" formatCode="_(* #,##0.00_);_(* \(#,##0.00\);_(* &quot;-&quot;??_);_(@_)"/>
    <numFmt numFmtId="166" formatCode="m\o\n\th\ d\,\ \y\y\y\y"/>
    <numFmt numFmtId="167" formatCode="#,#00"/>
    <numFmt numFmtId="168" formatCode="#,"/>
    <numFmt numFmtId="169" formatCode="_-* #,##0.00_-;\-* #,##0.00_-;_-* &quot;-&quot;??_-;_-@_-"/>
    <numFmt numFmtId="170" formatCode="&quot;$&quot;#,##0;[Red]\-&quot;$&quot;#,##0"/>
    <numFmt numFmtId="171" formatCode="_ &quot;s/.&quot;* #,##0.00_ ;_ &quot;s/.&quot;* \-#,##0.00_ ;_ &quot;s/.&quot;* &quot;-&quot;??_ ;_ @_ "/>
    <numFmt numFmtId="172" formatCode="_([$€-2]* #,##0.00_);_([$€-2]* \(#,##0.00\);_([$€-2]* &quot;-&quot;??_)"/>
  </numFmts>
  <fonts count="12" x14ac:knownFonts="1">
    <font>
      <sz val="11"/>
      <color theme="1"/>
      <name val="Calibri"/>
      <family val="2"/>
      <scheme val="minor"/>
    </font>
    <font>
      <sz val="11"/>
      <color theme="1"/>
      <name val="Calibri"/>
      <family val="2"/>
      <scheme val="minor"/>
    </font>
    <font>
      <b/>
      <sz val="11"/>
      <color theme="1"/>
      <name val="Calibri"/>
      <family val="2"/>
      <scheme val="minor"/>
    </font>
    <font>
      <sz val="10"/>
      <name val="Arial"/>
      <family val="2"/>
    </font>
    <font>
      <sz val="1"/>
      <color indexed="8"/>
      <name val="Courier"/>
      <family val="3"/>
    </font>
    <font>
      <b/>
      <sz val="1"/>
      <color indexed="8"/>
      <name val="Courier"/>
      <family val="3"/>
    </font>
    <font>
      <sz val="10"/>
      <name val="MS Sans Serif"/>
      <family val="2"/>
    </font>
    <font>
      <sz val="12"/>
      <color theme="1"/>
      <name val="Comic Sans MS"/>
      <family val="2"/>
    </font>
    <font>
      <sz val="8.25"/>
      <name val="Microsoft Sans Serif"/>
      <family val="2"/>
    </font>
    <font>
      <b/>
      <sz val="14"/>
      <color theme="1"/>
      <name val="Calibri"/>
      <family val="2"/>
      <scheme val="minor"/>
    </font>
    <font>
      <sz val="11"/>
      <color rgb="FF0070C0"/>
      <name val="Calibri"/>
      <family val="2"/>
      <scheme val="minor"/>
    </font>
    <font>
      <sz val="11"/>
      <color rgb="FFFF0000"/>
      <name val="Calibri"/>
      <family val="2"/>
      <scheme val="minor"/>
    </font>
  </fonts>
  <fills count="5">
    <fill>
      <patternFill patternType="none"/>
    </fill>
    <fill>
      <patternFill patternType="gray125"/>
    </fill>
    <fill>
      <patternFill patternType="solid">
        <fgColor rgb="FF00B0F0"/>
        <bgColor indexed="64"/>
      </patternFill>
    </fill>
    <fill>
      <patternFill patternType="solid">
        <fgColor theme="2" tint="-0.499984740745262"/>
        <bgColor indexed="64"/>
      </patternFill>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679">
    <xf numFmtId="0" fontId="0" fillId="0" borderId="0"/>
    <xf numFmtId="166" fontId="4" fillId="0" borderId="0">
      <protection locked="0"/>
    </xf>
    <xf numFmtId="167" fontId="4" fillId="0" borderId="0">
      <protection locked="0"/>
    </xf>
    <xf numFmtId="168" fontId="5" fillId="0" borderId="0">
      <protection locked="0"/>
    </xf>
    <xf numFmtId="168" fontId="5" fillId="0" borderId="0">
      <protection locked="0"/>
    </xf>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0" borderId="0"/>
    <xf numFmtId="38" fontId="6" fillId="0" borderId="0" applyFont="0" applyFill="0" applyBorder="0" applyAlignment="0" applyProtection="0"/>
    <xf numFmtId="169" fontId="3" fillId="0" borderId="0" applyFont="0" applyFill="0" applyBorder="0" applyAlignment="0" applyProtection="0"/>
    <xf numFmtId="170" fontId="6" fillId="0" borderId="0" applyFont="0" applyFill="0" applyBorder="0" applyAlignment="0" applyProtection="0"/>
    <xf numFmtId="171" fontId="3" fillId="0" borderId="0" applyFont="0" applyFill="0" applyBorder="0" applyAlignment="0" applyProtection="0"/>
    <xf numFmtId="172" fontId="3" fillId="0" borderId="0" applyFont="0" applyFill="0" applyBorder="0" applyAlignment="0" applyProtection="0"/>
    <xf numFmtId="0" fontId="1" fillId="0" borderId="0"/>
    <xf numFmtId="0" fontId="3" fillId="0" borderId="0"/>
    <xf numFmtId="0" fontId="1"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1" fillId="0" borderId="0"/>
    <xf numFmtId="0" fontId="3" fillId="0" borderId="0"/>
    <xf numFmtId="0" fontId="1" fillId="0" borderId="0"/>
    <xf numFmtId="0" fontId="3" fillId="0" borderId="0"/>
    <xf numFmtId="0" fontId="1" fillId="0" borderId="0"/>
    <xf numFmtId="0" fontId="3" fillId="0" borderId="0"/>
    <xf numFmtId="0" fontId="1" fillId="0" borderId="0"/>
    <xf numFmtId="0" fontId="3" fillId="0" borderId="0"/>
    <xf numFmtId="0" fontId="1" fillId="0" borderId="0"/>
    <xf numFmtId="0" fontId="3" fillId="0" borderId="0"/>
    <xf numFmtId="0" fontId="1" fillId="0" borderId="0"/>
    <xf numFmtId="0" fontId="1" fillId="0" borderId="0"/>
    <xf numFmtId="0" fontId="3" fillId="0" borderId="0"/>
    <xf numFmtId="0" fontId="1" fillId="0" borderId="0"/>
    <xf numFmtId="0" fontId="1" fillId="0" borderId="0"/>
    <xf numFmtId="0" fontId="3" fillId="0" borderId="0"/>
    <xf numFmtId="0" fontId="1" fillId="0" borderId="0"/>
    <xf numFmtId="0" fontId="1" fillId="0" borderId="0"/>
    <xf numFmtId="0" fontId="3" fillId="0" borderId="0"/>
    <xf numFmtId="0" fontId="1" fillId="0" borderId="0"/>
    <xf numFmtId="0" fontId="3" fillId="0" borderId="0"/>
    <xf numFmtId="0" fontId="1" fillId="0" borderId="0"/>
    <xf numFmtId="0" fontId="1" fillId="0" borderId="0"/>
    <xf numFmtId="0" fontId="3" fillId="0" borderId="0"/>
    <xf numFmtId="0" fontId="1" fillId="0" borderId="0"/>
    <xf numFmtId="0" fontId="1" fillId="0" borderId="0"/>
    <xf numFmtId="0" fontId="3" fillId="0" borderId="0"/>
    <xf numFmtId="0" fontId="1" fillId="0" borderId="0"/>
    <xf numFmtId="0" fontId="3" fillId="0" borderId="0"/>
    <xf numFmtId="0" fontId="1" fillId="0" borderId="0"/>
    <xf numFmtId="0" fontId="1" fillId="0" borderId="0"/>
    <xf numFmtId="0" fontId="3" fillId="0" borderId="0"/>
    <xf numFmtId="0" fontId="1" fillId="0" borderId="0"/>
    <xf numFmtId="0" fontId="1" fillId="0" borderId="0"/>
    <xf numFmtId="0" fontId="3" fillId="0" borderId="0"/>
    <xf numFmtId="0" fontId="1" fillId="0" borderId="0"/>
    <xf numFmtId="0" fontId="1" fillId="0" borderId="0"/>
    <xf numFmtId="0" fontId="3" fillId="0" borderId="0"/>
    <xf numFmtId="0" fontId="1" fillId="0" borderId="0"/>
    <xf numFmtId="0" fontId="3" fillId="0" borderId="0"/>
    <xf numFmtId="0" fontId="1" fillId="0" borderId="0"/>
    <xf numFmtId="0" fontId="3" fillId="0" borderId="0"/>
    <xf numFmtId="0" fontId="1" fillId="0" borderId="0"/>
    <xf numFmtId="0" fontId="1" fillId="0" borderId="0"/>
    <xf numFmtId="0" fontId="3" fillId="0" borderId="0"/>
    <xf numFmtId="0" fontId="1" fillId="0" borderId="0"/>
    <xf numFmtId="0" fontId="1" fillId="0" borderId="0"/>
    <xf numFmtId="0" fontId="3" fillId="0" borderId="0"/>
    <xf numFmtId="0" fontId="1" fillId="0" borderId="0"/>
    <xf numFmtId="0" fontId="1" fillId="0" borderId="0"/>
    <xf numFmtId="0" fontId="3" fillId="0" borderId="0"/>
    <xf numFmtId="0" fontId="1" fillId="0" borderId="0"/>
    <xf numFmtId="0" fontId="3" fillId="0" borderId="0"/>
    <xf numFmtId="0" fontId="1" fillId="0" borderId="0"/>
    <xf numFmtId="0" fontId="1" fillId="0" borderId="0"/>
    <xf numFmtId="0" fontId="3" fillId="0" borderId="0"/>
    <xf numFmtId="0" fontId="1" fillId="0" borderId="0"/>
    <xf numFmtId="0" fontId="1" fillId="0" borderId="0"/>
    <xf numFmtId="0" fontId="3" fillId="0" borderId="0"/>
    <xf numFmtId="0" fontId="1" fillId="0" borderId="0"/>
    <xf numFmtId="0" fontId="3" fillId="0" borderId="0"/>
    <xf numFmtId="0" fontId="1" fillId="0" borderId="0"/>
    <xf numFmtId="0" fontId="3" fillId="0" borderId="0"/>
    <xf numFmtId="0" fontId="1" fillId="0" borderId="0"/>
    <xf numFmtId="0" fontId="1" fillId="0" borderId="0"/>
    <xf numFmtId="0" fontId="3" fillId="0" borderId="0"/>
    <xf numFmtId="0" fontId="1" fillId="0" borderId="0"/>
    <xf numFmtId="0" fontId="1" fillId="0" borderId="0"/>
    <xf numFmtId="0" fontId="3" fillId="0" borderId="0"/>
    <xf numFmtId="0" fontId="1" fillId="0" borderId="0"/>
    <xf numFmtId="0" fontId="1" fillId="0" borderId="0"/>
    <xf numFmtId="0" fontId="3" fillId="0" borderId="0"/>
    <xf numFmtId="0" fontId="1" fillId="0" borderId="0"/>
    <xf numFmtId="0" fontId="3" fillId="0" borderId="0"/>
    <xf numFmtId="0" fontId="1" fillId="0" borderId="0"/>
    <xf numFmtId="0" fontId="1" fillId="0" borderId="0"/>
    <xf numFmtId="0" fontId="3" fillId="0" borderId="0"/>
    <xf numFmtId="0" fontId="1" fillId="0" borderId="0"/>
    <xf numFmtId="0" fontId="1" fillId="0" borderId="0"/>
    <xf numFmtId="0" fontId="3" fillId="0" borderId="0"/>
    <xf numFmtId="0" fontId="1" fillId="0" borderId="0"/>
    <xf numFmtId="0" fontId="3" fillId="0" borderId="0"/>
    <xf numFmtId="0" fontId="1" fillId="0" borderId="0"/>
    <xf numFmtId="0" fontId="1" fillId="0" borderId="0"/>
    <xf numFmtId="0" fontId="3" fillId="0" borderId="0"/>
    <xf numFmtId="0" fontId="1" fillId="0" borderId="0"/>
    <xf numFmtId="0" fontId="1" fillId="0" borderId="0"/>
    <xf numFmtId="0" fontId="3" fillId="0" borderId="0"/>
    <xf numFmtId="0" fontId="1" fillId="0" borderId="0"/>
    <xf numFmtId="0" fontId="1" fillId="0" borderId="0"/>
    <xf numFmtId="0" fontId="3" fillId="0" borderId="0"/>
    <xf numFmtId="0" fontId="1" fillId="0" borderId="0"/>
    <xf numFmtId="0" fontId="3" fillId="0" borderId="0"/>
    <xf numFmtId="0" fontId="1" fillId="0" borderId="0"/>
    <xf numFmtId="0" fontId="3" fillId="0" borderId="0"/>
    <xf numFmtId="0" fontId="1" fillId="0" borderId="0"/>
    <xf numFmtId="0" fontId="3" fillId="0" borderId="0"/>
    <xf numFmtId="0" fontId="1" fillId="0" borderId="0"/>
    <xf numFmtId="0" fontId="1" fillId="0" borderId="0"/>
    <xf numFmtId="0" fontId="3" fillId="0" borderId="0"/>
    <xf numFmtId="0" fontId="1" fillId="0" borderId="0"/>
    <xf numFmtId="0" fontId="1" fillId="0" borderId="0"/>
    <xf numFmtId="0" fontId="3" fillId="0" borderId="0"/>
    <xf numFmtId="0" fontId="1" fillId="0" borderId="0"/>
    <xf numFmtId="0" fontId="1" fillId="0" borderId="0"/>
    <xf numFmtId="0" fontId="3" fillId="0" borderId="0"/>
    <xf numFmtId="0" fontId="1" fillId="0" borderId="0"/>
    <xf numFmtId="0" fontId="3" fillId="0" borderId="0"/>
    <xf numFmtId="0" fontId="1" fillId="0" borderId="0"/>
    <xf numFmtId="0" fontId="1" fillId="0" borderId="0"/>
    <xf numFmtId="0" fontId="3" fillId="0" borderId="0"/>
    <xf numFmtId="0" fontId="1" fillId="0" borderId="0"/>
    <xf numFmtId="0" fontId="1" fillId="0" borderId="0"/>
    <xf numFmtId="0" fontId="3" fillId="0" borderId="0"/>
    <xf numFmtId="0" fontId="1" fillId="0" borderId="0"/>
    <xf numFmtId="0" fontId="3" fillId="0" borderId="0"/>
    <xf numFmtId="0" fontId="1" fillId="0" borderId="0"/>
    <xf numFmtId="0" fontId="1" fillId="0" borderId="0"/>
    <xf numFmtId="0" fontId="3" fillId="0" borderId="0"/>
    <xf numFmtId="0" fontId="1" fillId="0" borderId="0"/>
    <xf numFmtId="0" fontId="1" fillId="0" borderId="0"/>
    <xf numFmtId="0" fontId="3" fillId="0" borderId="0"/>
    <xf numFmtId="0" fontId="1" fillId="0" borderId="0"/>
    <xf numFmtId="0" fontId="1" fillId="0" borderId="0"/>
    <xf numFmtId="0" fontId="3" fillId="0" borderId="0"/>
    <xf numFmtId="0" fontId="1" fillId="0" borderId="0"/>
    <xf numFmtId="0" fontId="3" fillId="0" borderId="0"/>
    <xf numFmtId="0" fontId="1" fillId="0" borderId="0"/>
    <xf numFmtId="0" fontId="3" fillId="0" borderId="0"/>
    <xf numFmtId="0" fontId="1" fillId="0" borderId="0"/>
    <xf numFmtId="0" fontId="1" fillId="0" borderId="0"/>
    <xf numFmtId="0" fontId="3" fillId="0" borderId="0"/>
    <xf numFmtId="0" fontId="1" fillId="0" borderId="0"/>
    <xf numFmtId="0" fontId="1" fillId="0" borderId="0"/>
    <xf numFmtId="0" fontId="3" fillId="0" borderId="0"/>
    <xf numFmtId="0" fontId="1" fillId="0" borderId="0"/>
    <xf numFmtId="0" fontId="1" fillId="0" borderId="0"/>
    <xf numFmtId="0" fontId="3" fillId="0" borderId="0"/>
    <xf numFmtId="0" fontId="1" fillId="0" borderId="0"/>
    <xf numFmtId="0" fontId="3" fillId="0" borderId="0"/>
    <xf numFmtId="0" fontId="1" fillId="0" borderId="0"/>
    <xf numFmtId="0" fontId="1" fillId="0" borderId="0"/>
    <xf numFmtId="0" fontId="3" fillId="0" borderId="0"/>
    <xf numFmtId="0" fontId="1" fillId="0" borderId="0"/>
    <xf numFmtId="0" fontId="1" fillId="0" borderId="0"/>
    <xf numFmtId="0" fontId="3" fillId="0" borderId="0"/>
    <xf numFmtId="0" fontId="1" fillId="0" borderId="0"/>
    <xf numFmtId="0" fontId="3" fillId="0" borderId="0"/>
    <xf numFmtId="0" fontId="1" fillId="0" borderId="0"/>
    <xf numFmtId="0" fontId="3" fillId="0" borderId="0"/>
    <xf numFmtId="0" fontId="1" fillId="0" borderId="0"/>
    <xf numFmtId="0" fontId="3" fillId="0" borderId="0"/>
    <xf numFmtId="0" fontId="1" fillId="0" borderId="0"/>
    <xf numFmtId="0" fontId="1" fillId="0" borderId="0"/>
    <xf numFmtId="0" fontId="3" fillId="0" borderId="0"/>
    <xf numFmtId="0" fontId="1" fillId="0" borderId="0"/>
    <xf numFmtId="0" fontId="1" fillId="0" borderId="0"/>
    <xf numFmtId="0" fontId="3" fillId="0" borderId="0"/>
    <xf numFmtId="0" fontId="1" fillId="0" borderId="0"/>
    <xf numFmtId="0" fontId="1" fillId="0" borderId="0"/>
    <xf numFmtId="0" fontId="3" fillId="0" borderId="0"/>
    <xf numFmtId="0" fontId="1" fillId="0" borderId="0"/>
    <xf numFmtId="0" fontId="3" fillId="0" borderId="0"/>
    <xf numFmtId="0" fontId="1" fillId="0" borderId="0"/>
    <xf numFmtId="0" fontId="1" fillId="0" borderId="0"/>
    <xf numFmtId="0" fontId="3" fillId="0" borderId="0"/>
    <xf numFmtId="0" fontId="1" fillId="0" borderId="0"/>
    <xf numFmtId="0" fontId="1" fillId="0" borderId="0"/>
    <xf numFmtId="0" fontId="3" fillId="0" borderId="0"/>
    <xf numFmtId="0" fontId="1" fillId="0" borderId="0"/>
    <xf numFmtId="0" fontId="3" fillId="0" borderId="0"/>
    <xf numFmtId="0" fontId="1" fillId="0" borderId="0"/>
    <xf numFmtId="0" fontId="1" fillId="0" borderId="0"/>
    <xf numFmtId="0" fontId="3" fillId="0" borderId="0"/>
    <xf numFmtId="0" fontId="1" fillId="0" borderId="0"/>
    <xf numFmtId="0" fontId="1" fillId="0" borderId="0"/>
    <xf numFmtId="0" fontId="3" fillId="0" borderId="0"/>
    <xf numFmtId="0" fontId="1" fillId="0" borderId="0"/>
    <xf numFmtId="0" fontId="1" fillId="0" borderId="0"/>
    <xf numFmtId="0" fontId="3" fillId="0" borderId="0"/>
    <xf numFmtId="0" fontId="1" fillId="0" borderId="0"/>
    <xf numFmtId="0" fontId="3" fillId="0" borderId="0"/>
    <xf numFmtId="0" fontId="1" fillId="0" borderId="0"/>
    <xf numFmtId="0" fontId="3" fillId="0" borderId="0"/>
    <xf numFmtId="0" fontId="1" fillId="0" borderId="0"/>
    <xf numFmtId="0" fontId="1" fillId="0" borderId="0"/>
    <xf numFmtId="0" fontId="3" fillId="0" borderId="0"/>
    <xf numFmtId="0" fontId="1" fillId="0" borderId="0"/>
    <xf numFmtId="0" fontId="1" fillId="0" borderId="0"/>
    <xf numFmtId="0" fontId="3" fillId="0" borderId="0"/>
    <xf numFmtId="0" fontId="1" fillId="0" borderId="0"/>
    <xf numFmtId="0" fontId="1" fillId="0" borderId="0"/>
    <xf numFmtId="0" fontId="3" fillId="0" borderId="0"/>
    <xf numFmtId="0" fontId="1" fillId="0" borderId="0"/>
    <xf numFmtId="0" fontId="3" fillId="0" borderId="0"/>
    <xf numFmtId="0" fontId="1" fillId="0" borderId="0"/>
    <xf numFmtId="0" fontId="1" fillId="0" borderId="0"/>
    <xf numFmtId="0" fontId="3" fillId="0" borderId="0"/>
    <xf numFmtId="0" fontId="1" fillId="0" borderId="0"/>
    <xf numFmtId="0" fontId="1" fillId="0" borderId="0"/>
    <xf numFmtId="0" fontId="3" fillId="0" borderId="0"/>
    <xf numFmtId="0" fontId="1" fillId="0" borderId="0"/>
    <xf numFmtId="0" fontId="3" fillId="0" borderId="0"/>
    <xf numFmtId="0" fontId="1" fillId="0" borderId="0"/>
    <xf numFmtId="0" fontId="3" fillId="0" borderId="0"/>
    <xf numFmtId="0" fontId="1" fillId="0" borderId="0"/>
    <xf numFmtId="0" fontId="1" fillId="0" borderId="0"/>
    <xf numFmtId="0" fontId="3" fillId="0" borderId="0"/>
    <xf numFmtId="0" fontId="1" fillId="0" borderId="0"/>
    <xf numFmtId="0" fontId="1" fillId="0" borderId="0"/>
    <xf numFmtId="0" fontId="3" fillId="0" borderId="0"/>
    <xf numFmtId="0" fontId="1" fillId="0" borderId="0"/>
    <xf numFmtId="0" fontId="1" fillId="0" borderId="0"/>
    <xf numFmtId="0" fontId="3" fillId="0" borderId="0"/>
    <xf numFmtId="0" fontId="1" fillId="0" borderId="0"/>
    <xf numFmtId="0" fontId="3" fillId="0" borderId="0"/>
    <xf numFmtId="0" fontId="1" fillId="0" borderId="0"/>
    <xf numFmtId="0" fontId="1" fillId="0" borderId="0"/>
    <xf numFmtId="0" fontId="3" fillId="0" borderId="0"/>
    <xf numFmtId="0" fontId="1" fillId="0" borderId="0"/>
    <xf numFmtId="0" fontId="1" fillId="0" borderId="0"/>
    <xf numFmtId="0" fontId="3" fillId="0" borderId="0"/>
    <xf numFmtId="0" fontId="1" fillId="0" borderId="0"/>
    <xf numFmtId="0" fontId="3" fillId="0" borderId="0"/>
    <xf numFmtId="0" fontId="1" fillId="0" borderId="0"/>
    <xf numFmtId="0" fontId="1" fillId="0" borderId="0"/>
    <xf numFmtId="0" fontId="3"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3" fillId="0" borderId="0"/>
    <xf numFmtId="0" fontId="1" fillId="0" borderId="0"/>
    <xf numFmtId="0" fontId="3" fillId="0" borderId="0"/>
    <xf numFmtId="0" fontId="1" fillId="0" borderId="0"/>
    <xf numFmtId="0" fontId="3" fillId="0" borderId="0"/>
    <xf numFmtId="0" fontId="1" fillId="0" borderId="0"/>
    <xf numFmtId="0" fontId="3" fillId="0" borderId="0"/>
    <xf numFmtId="0" fontId="1" fillId="0" borderId="0"/>
    <xf numFmtId="0" fontId="1" fillId="0" borderId="0"/>
    <xf numFmtId="0" fontId="3" fillId="0" borderId="0"/>
    <xf numFmtId="0" fontId="1" fillId="0" borderId="0"/>
    <xf numFmtId="0" fontId="1" fillId="0" borderId="0"/>
    <xf numFmtId="0" fontId="3" fillId="0" borderId="0"/>
    <xf numFmtId="0" fontId="1" fillId="0" borderId="0"/>
    <xf numFmtId="0" fontId="1" fillId="0" borderId="0"/>
    <xf numFmtId="0" fontId="3" fillId="0" borderId="0"/>
    <xf numFmtId="0" fontId="1" fillId="0" borderId="0"/>
    <xf numFmtId="0" fontId="3" fillId="0" borderId="0"/>
    <xf numFmtId="0" fontId="1" fillId="0" borderId="0"/>
    <xf numFmtId="0" fontId="1" fillId="0" borderId="0"/>
    <xf numFmtId="0" fontId="3" fillId="0" borderId="0"/>
    <xf numFmtId="0" fontId="1" fillId="0" borderId="0"/>
    <xf numFmtId="0" fontId="1" fillId="0" borderId="0"/>
    <xf numFmtId="0" fontId="3" fillId="0" borderId="0"/>
    <xf numFmtId="0" fontId="1" fillId="0" borderId="0"/>
    <xf numFmtId="0" fontId="3" fillId="0" borderId="0"/>
    <xf numFmtId="0" fontId="1" fillId="0" borderId="0"/>
    <xf numFmtId="0" fontId="1" fillId="0" borderId="0"/>
    <xf numFmtId="0" fontId="3" fillId="0" borderId="0"/>
    <xf numFmtId="0" fontId="1" fillId="0" borderId="0"/>
    <xf numFmtId="0" fontId="1" fillId="0" borderId="0"/>
    <xf numFmtId="0" fontId="3" fillId="0" borderId="0"/>
    <xf numFmtId="0" fontId="1" fillId="0" borderId="0"/>
    <xf numFmtId="0" fontId="1" fillId="0" borderId="0"/>
    <xf numFmtId="0" fontId="3" fillId="0" borderId="0"/>
    <xf numFmtId="0" fontId="1" fillId="0" borderId="0"/>
    <xf numFmtId="0" fontId="3" fillId="0" borderId="0"/>
    <xf numFmtId="0" fontId="1" fillId="0" borderId="0"/>
    <xf numFmtId="0" fontId="3" fillId="0" borderId="0"/>
    <xf numFmtId="0" fontId="1" fillId="0" borderId="0"/>
    <xf numFmtId="0" fontId="1" fillId="0" borderId="0"/>
    <xf numFmtId="0" fontId="3" fillId="0" borderId="0"/>
    <xf numFmtId="0" fontId="1" fillId="0" borderId="0"/>
    <xf numFmtId="0" fontId="1" fillId="0" borderId="0"/>
    <xf numFmtId="0" fontId="3" fillId="0" borderId="0"/>
    <xf numFmtId="0" fontId="1" fillId="0" borderId="0"/>
    <xf numFmtId="0" fontId="1" fillId="0" borderId="0"/>
    <xf numFmtId="0" fontId="3" fillId="0" borderId="0"/>
    <xf numFmtId="0" fontId="1" fillId="0" borderId="0"/>
    <xf numFmtId="0" fontId="3" fillId="0" borderId="0"/>
    <xf numFmtId="0" fontId="1" fillId="0" borderId="0"/>
    <xf numFmtId="0" fontId="1" fillId="0" borderId="0"/>
    <xf numFmtId="0" fontId="3" fillId="0" borderId="0"/>
    <xf numFmtId="0" fontId="1" fillId="0" borderId="0"/>
    <xf numFmtId="0" fontId="1" fillId="0" borderId="0"/>
    <xf numFmtId="0" fontId="3" fillId="0" borderId="0"/>
    <xf numFmtId="0" fontId="1" fillId="0" borderId="0"/>
    <xf numFmtId="0" fontId="3" fillId="0" borderId="0"/>
    <xf numFmtId="0" fontId="1" fillId="0" borderId="0"/>
    <xf numFmtId="0" fontId="3" fillId="0" borderId="0"/>
    <xf numFmtId="0" fontId="1" fillId="0" borderId="0"/>
    <xf numFmtId="0" fontId="1" fillId="0" borderId="0"/>
    <xf numFmtId="0" fontId="3" fillId="0" borderId="0"/>
    <xf numFmtId="0" fontId="1" fillId="0" borderId="0"/>
    <xf numFmtId="0" fontId="1" fillId="0" borderId="0"/>
    <xf numFmtId="0" fontId="3" fillId="0" borderId="0"/>
    <xf numFmtId="0" fontId="1" fillId="0" borderId="0"/>
    <xf numFmtId="0" fontId="1" fillId="0" borderId="0"/>
    <xf numFmtId="0" fontId="3" fillId="0" borderId="0"/>
    <xf numFmtId="0" fontId="1" fillId="0" borderId="0"/>
    <xf numFmtId="0" fontId="3" fillId="0" borderId="0"/>
    <xf numFmtId="0" fontId="1" fillId="0" borderId="0"/>
    <xf numFmtId="0" fontId="1" fillId="0" borderId="0"/>
    <xf numFmtId="0" fontId="3" fillId="0" borderId="0"/>
    <xf numFmtId="0" fontId="1" fillId="0" borderId="0"/>
    <xf numFmtId="0" fontId="1" fillId="0" borderId="0"/>
    <xf numFmtId="0" fontId="3" fillId="0" borderId="0"/>
    <xf numFmtId="0" fontId="1" fillId="0" borderId="0"/>
    <xf numFmtId="0" fontId="3" fillId="0" borderId="0"/>
    <xf numFmtId="0" fontId="1" fillId="0" borderId="0"/>
    <xf numFmtId="0" fontId="1" fillId="0" borderId="0"/>
    <xf numFmtId="0" fontId="3"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3" fillId="0" borderId="0"/>
    <xf numFmtId="0" fontId="1" fillId="0" borderId="0"/>
    <xf numFmtId="0" fontId="3" fillId="0" borderId="0"/>
    <xf numFmtId="0" fontId="1" fillId="0" borderId="0"/>
    <xf numFmtId="0" fontId="3" fillId="0" borderId="0"/>
    <xf numFmtId="0" fontId="1" fillId="0" borderId="0"/>
    <xf numFmtId="0" fontId="1" fillId="0" borderId="0"/>
    <xf numFmtId="0" fontId="3" fillId="0" borderId="0"/>
    <xf numFmtId="0" fontId="1" fillId="0" borderId="0"/>
    <xf numFmtId="0" fontId="1" fillId="0" borderId="0"/>
    <xf numFmtId="0" fontId="3" fillId="0" borderId="0"/>
    <xf numFmtId="0" fontId="1" fillId="0" borderId="0"/>
    <xf numFmtId="0" fontId="1" fillId="0" borderId="0"/>
    <xf numFmtId="0" fontId="3" fillId="0" borderId="0"/>
    <xf numFmtId="0" fontId="1" fillId="0" borderId="0"/>
    <xf numFmtId="0" fontId="3" fillId="0" borderId="0"/>
    <xf numFmtId="0" fontId="1" fillId="0" borderId="0"/>
    <xf numFmtId="0" fontId="1" fillId="0" borderId="0"/>
    <xf numFmtId="0" fontId="3" fillId="0" borderId="0"/>
    <xf numFmtId="0" fontId="1" fillId="0" borderId="0"/>
    <xf numFmtId="0" fontId="1" fillId="0" borderId="0"/>
    <xf numFmtId="0" fontId="3" fillId="0" borderId="0"/>
    <xf numFmtId="0" fontId="1" fillId="0" borderId="0"/>
    <xf numFmtId="0" fontId="3" fillId="0" borderId="0"/>
    <xf numFmtId="0" fontId="1" fillId="0" borderId="0"/>
    <xf numFmtId="0" fontId="1" fillId="0" borderId="0"/>
    <xf numFmtId="0" fontId="3"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3" fillId="0" borderId="0"/>
    <xf numFmtId="0" fontId="1" fillId="0" borderId="0"/>
    <xf numFmtId="0" fontId="3" fillId="0" borderId="0"/>
    <xf numFmtId="0" fontId="1" fillId="0" borderId="0"/>
    <xf numFmtId="0" fontId="1" fillId="0" borderId="0"/>
    <xf numFmtId="0" fontId="3"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3" fillId="0" borderId="0"/>
    <xf numFmtId="0" fontId="1" fillId="0" borderId="0"/>
    <xf numFmtId="0" fontId="1" fillId="0" borderId="0"/>
    <xf numFmtId="0" fontId="1" fillId="0" borderId="0"/>
    <xf numFmtId="0" fontId="3" fillId="0" borderId="0"/>
    <xf numFmtId="165" fontId="7" fillId="0" borderId="0" applyFont="0" applyFill="0" applyBorder="0" applyAlignment="0" applyProtection="0"/>
    <xf numFmtId="0" fontId="1" fillId="0" borderId="0"/>
    <xf numFmtId="0" fontId="1" fillId="0" borderId="0"/>
    <xf numFmtId="0" fontId="8" fillId="0" borderId="0">
      <protection locked="0"/>
    </xf>
    <xf numFmtId="9" fontId="3" fillId="0" borderId="0" applyFont="0" applyFill="0" applyBorder="0" applyAlignment="0" applyProtection="0"/>
    <xf numFmtId="164" fontId="3"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cellStyleXfs>
  <cellXfs count="26">
    <xf numFmtId="0" fontId="0" fillId="0" borderId="0" xfId="0"/>
    <xf numFmtId="0" fontId="0" fillId="0" borderId="0" xfId="0"/>
    <xf numFmtId="0" fontId="0" fillId="0" borderId="1" xfId="0" applyBorder="1"/>
    <xf numFmtId="0" fontId="2" fillId="2" borderId="1" xfId="0" applyFont="1" applyFill="1" applyBorder="1" applyAlignment="1">
      <alignment horizontal="center" vertical="center" wrapText="1"/>
    </xf>
    <xf numFmtId="1" fontId="2" fillId="2" borderId="1" xfId="0" applyNumberFormat="1" applyFont="1" applyFill="1" applyBorder="1" applyAlignment="1">
      <alignment horizontal="center" vertical="center" wrapText="1"/>
    </xf>
    <xf numFmtId="0" fontId="9" fillId="0" borderId="0" xfId="0" applyFont="1"/>
    <xf numFmtId="1" fontId="0" fillId="0" borderId="0" xfId="0" applyNumberFormat="1"/>
    <xf numFmtId="0" fontId="2" fillId="3" borderId="1" xfId="0" applyFont="1" applyFill="1" applyBorder="1" applyAlignment="1">
      <alignment horizontal="center" vertical="center"/>
    </xf>
    <xf numFmtId="0" fontId="2" fillId="3" borderId="1" xfId="0" applyFont="1" applyFill="1" applyBorder="1" applyAlignment="1">
      <alignment horizontal="center" vertical="center" wrapText="1"/>
    </xf>
    <xf numFmtId="1" fontId="0" fillId="4" borderId="1" xfId="0" applyNumberFormat="1" applyFill="1" applyBorder="1"/>
    <xf numFmtId="0" fontId="0" fillId="4" borderId="1" xfId="0" applyFill="1" applyBorder="1" applyAlignment="1">
      <alignment vertical="center" wrapText="1"/>
    </xf>
    <xf numFmtId="0" fontId="0" fillId="0" borderId="1" xfId="0" applyBorder="1" applyAlignment="1">
      <alignment horizontal="center"/>
    </xf>
    <xf numFmtId="0" fontId="0" fillId="0" borderId="1" xfId="0" applyFill="1" applyBorder="1" applyAlignment="1">
      <alignment horizontal="center"/>
    </xf>
    <xf numFmtId="14" fontId="0" fillId="0" borderId="1" xfId="0" applyNumberFormat="1" applyBorder="1" applyAlignment="1">
      <alignment horizontal="center"/>
    </xf>
    <xf numFmtId="0" fontId="0" fillId="0" borderId="1" xfId="0" applyBorder="1" applyAlignment="1"/>
    <xf numFmtId="14" fontId="0" fillId="0" borderId="1" xfId="0" applyNumberFormat="1" applyBorder="1"/>
    <xf numFmtId="0" fontId="0" fillId="0" borderId="1" xfId="0" applyBorder="1" applyAlignment="1">
      <alignment wrapText="1"/>
    </xf>
    <xf numFmtId="0" fontId="0" fillId="4" borderId="1" xfId="0" applyFill="1" applyBorder="1" applyAlignment="1">
      <alignment horizontal="center" vertical="center" wrapText="1"/>
    </xf>
    <xf numFmtId="1" fontId="2" fillId="3" borderId="2" xfId="0" applyNumberFormat="1" applyFont="1" applyFill="1" applyBorder="1" applyAlignment="1">
      <alignment horizontal="center" vertical="center"/>
    </xf>
    <xf numFmtId="0" fontId="0" fillId="3" borderId="1" xfId="0" applyFill="1" applyBorder="1" applyAlignment="1">
      <alignment horizontal="center" vertical="center" wrapText="1"/>
    </xf>
    <xf numFmtId="0" fontId="10" fillId="0" borderId="1" xfId="0" applyFont="1" applyBorder="1"/>
    <xf numFmtId="0" fontId="0" fillId="0" borderId="1" xfId="0" applyBorder="1" applyAlignment="1">
      <alignment horizontal="center" vertical="center"/>
    </xf>
    <xf numFmtId="14" fontId="0" fillId="0" borderId="1" xfId="0" applyNumberFormat="1" applyBorder="1" applyAlignment="1">
      <alignment horizontal="center" vertical="center"/>
    </xf>
    <xf numFmtId="0" fontId="11" fillId="0" borderId="1" xfId="0" applyFont="1" applyBorder="1" applyAlignment="1">
      <alignment horizontal="center"/>
    </xf>
    <xf numFmtId="14" fontId="0" fillId="0" borderId="0" xfId="0" applyNumberFormat="1"/>
    <xf numFmtId="0" fontId="0" fillId="0" borderId="1" xfId="0" applyBorder="1" applyAlignment="1">
      <alignment horizontal="center" wrapText="1"/>
    </xf>
  </cellXfs>
  <cellStyles count="679">
    <cellStyle name="Comma [0]" xfId="11"/>
    <cellStyle name="Comma_laroux" xfId="12"/>
    <cellStyle name="Currency [0]" xfId="13"/>
    <cellStyle name="Currency_laroux" xfId="14"/>
    <cellStyle name="Date" xfId="1"/>
    <cellStyle name="Euro" xfId="15"/>
    <cellStyle name="Fixed" xfId="2"/>
    <cellStyle name="Heading1" xfId="3"/>
    <cellStyle name="Heading2" xfId="4"/>
    <cellStyle name="Millares 2" xfId="424"/>
    <cellStyle name="Moneda 2" xfId="429"/>
    <cellStyle name="Normal" xfId="0" builtinId="0"/>
    <cellStyle name="Normal 10" xfId="16"/>
    <cellStyle name="Normal 10 2" xfId="17"/>
    <cellStyle name="Normal 10 2 2" xfId="18"/>
    <cellStyle name="Normal 10 2 2 2" xfId="430"/>
    <cellStyle name="Normal 11" xfId="19"/>
    <cellStyle name="Normal 12" xfId="423"/>
    <cellStyle name="Normal 2" xfId="5"/>
    <cellStyle name="Normal 2 2" xfId="6"/>
    <cellStyle name="Normal 2 2 10" xfId="20"/>
    <cellStyle name="Normal 2 2 11" xfId="431"/>
    <cellStyle name="Normal 2 2 12" xfId="425"/>
    <cellStyle name="Normal 2 2 2" xfId="7"/>
    <cellStyle name="Normal 2 2 3" xfId="21"/>
    <cellStyle name="Normal 2 2 4" xfId="22"/>
    <cellStyle name="Normal 2 2 5" xfId="23"/>
    <cellStyle name="Normal 2 2 6" xfId="24"/>
    <cellStyle name="Normal 2 2 7" xfId="25"/>
    <cellStyle name="Normal 2 2 8" xfId="26"/>
    <cellStyle name="Normal 2 2 9" xfId="27"/>
    <cellStyle name="Normal 2 3" xfId="8"/>
    <cellStyle name="Normal 3" xfId="10"/>
    <cellStyle name="Normal 3 2" xfId="432"/>
    <cellStyle name="Normal 3 3" xfId="426"/>
    <cellStyle name="Normal 4" xfId="427"/>
    <cellStyle name="Normal 4 2" xfId="28"/>
    <cellStyle name="Normal 5" xfId="29"/>
    <cellStyle name="Normal 5 2" xfId="30"/>
    <cellStyle name="Normal 5 2 2" xfId="31"/>
    <cellStyle name="Normal 5 2 2 2" xfId="32"/>
    <cellStyle name="Normal 5 2 2 2 2" xfId="33"/>
    <cellStyle name="Normal 5 2 2 2 2 2" xfId="34"/>
    <cellStyle name="Normal 5 2 2 2 2 2 2" xfId="35"/>
    <cellStyle name="Normal 5 2 2 2 2 2 2 2" xfId="36"/>
    <cellStyle name="Normal 5 2 2 2 2 2 2 2 2" xfId="37"/>
    <cellStyle name="Normal 5 2 2 2 2 2 2 2 2 2" xfId="38"/>
    <cellStyle name="Normal 5 2 2 2 2 2 2 2 2 2 2" xfId="39"/>
    <cellStyle name="Normal 5 2 2 2 2 2 2 2 2 2 2 2" xfId="40"/>
    <cellStyle name="Normal 5 2 2 2 2 2 2 2 2 2 2 2 2" xfId="41"/>
    <cellStyle name="Normal 5 2 2 2 2 2 2 2 2 2 2 2 2 2" xfId="438"/>
    <cellStyle name="Normal 5 2 2 2 2 2 2 2 2 2 2 3" xfId="437"/>
    <cellStyle name="Normal 5 2 2 2 2 2 2 2 2 2 3" xfId="42"/>
    <cellStyle name="Normal 5 2 2 2 2 2 2 2 2 2 3 2" xfId="439"/>
    <cellStyle name="Normal 5 2 2 2 2 2 2 2 2 3" xfId="43"/>
    <cellStyle name="Normal 5 2 2 2 2 2 2 2 2 3 2" xfId="44"/>
    <cellStyle name="Normal 5 2 2 2 2 2 2 2 2 3 2 2" xfId="440"/>
    <cellStyle name="Normal 5 2 2 2 2 2 2 2 2 4" xfId="436"/>
    <cellStyle name="Normal 5 2 2 2 2 2 2 2 3" xfId="45"/>
    <cellStyle name="Normal 5 2 2 2 2 2 2 2 3 2" xfId="46"/>
    <cellStyle name="Normal 5 2 2 2 2 2 2 2 3 2 2" xfId="47"/>
    <cellStyle name="Normal 5 2 2 2 2 2 2 2 3 2 2 2" xfId="442"/>
    <cellStyle name="Normal 5 2 2 2 2 2 2 2 3 3" xfId="441"/>
    <cellStyle name="Normal 5 2 2 2 2 2 2 2 4" xfId="48"/>
    <cellStyle name="Normal 5 2 2 2 2 2 2 2 4 2" xfId="443"/>
    <cellStyle name="Normal 5 2 2 2 2 2 2 3" xfId="49"/>
    <cellStyle name="Normal 5 2 2 2 2 2 2 3 2" xfId="50"/>
    <cellStyle name="Normal 5 2 2 2 2 2 2 3 2 2" xfId="51"/>
    <cellStyle name="Normal 5 2 2 2 2 2 2 3 2 2 2" xfId="52"/>
    <cellStyle name="Normal 5 2 2 2 2 2 2 3 2 2 2 2" xfId="445"/>
    <cellStyle name="Normal 5 2 2 2 2 2 2 3 2 3" xfId="444"/>
    <cellStyle name="Normal 5 2 2 2 2 2 2 3 3" xfId="53"/>
    <cellStyle name="Normal 5 2 2 2 2 2 2 3 3 2" xfId="446"/>
    <cellStyle name="Normal 5 2 2 2 2 2 2 4" xfId="54"/>
    <cellStyle name="Normal 5 2 2 2 2 2 2 4 2" xfId="55"/>
    <cellStyle name="Normal 5 2 2 2 2 2 2 4 2 2" xfId="447"/>
    <cellStyle name="Normal 5 2 2 2 2 2 2 5" xfId="435"/>
    <cellStyle name="Normal 5 2 2 2 2 2 3" xfId="56"/>
    <cellStyle name="Normal 5 2 2 2 2 2 3 2" xfId="57"/>
    <cellStyle name="Normal 5 2 2 2 2 2 3 2 2" xfId="58"/>
    <cellStyle name="Normal 5 2 2 2 2 2 3 2 2 2" xfId="59"/>
    <cellStyle name="Normal 5 2 2 2 2 2 3 2 2 2 2" xfId="60"/>
    <cellStyle name="Normal 5 2 2 2 2 2 3 2 2 2 2 2" xfId="450"/>
    <cellStyle name="Normal 5 2 2 2 2 2 3 2 2 3" xfId="449"/>
    <cellStyle name="Normal 5 2 2 2 2 2 3 2 3" xfId="61"/>
    <cellStyle name="Normal 5 2 2 2 2 2 3 2 3 2" xfId="451"/>
    <cellStyle name="Normal 5 2 2 2 2 2 3 3" xfId="62"/>
    <cellStyle name="Normal 5 2 2 2 2 2 3 3 2" xfId="63"/>
    <cellStyle name="Normal 5 2 2 2 2 2 3 3 2 2" xfId="452"/>
    <cellStyle name="Normal 5 2 2 2 2 2 3 4" xfId="448"/>
    <cellStyle name="Normal 5 2 2 2 2 2 4" xfId="64"/>
    <cellStyle name="Normal 5 2 2 2 2 2 4 2" xfId="65"/>
    <cellStyle name="Normal 5 2 2 2 2 2 4 2 2" xfId="66"/>
    <cellStyle name="Normal 5 2 2 2 2 2 4 2 2 2" xfId="454"/>
    <cellStyle name="Normal 5 2 2 2 2 2 4 3" xfId="453"/>
    <cellStyle name="Normal 5 2 2 2 2 2 5" xfId="67"/>
    <cellStyle name="Normal 5 2 2 2 2 2 5 2" xfId="455"/>
    <cellStyle name="Normal 5 2 2 2 2 3" xfId="68"/>
    <cellStyle name="Normal 5 2 2 2 2 3 2" xfId="69"/>
    <cellStyle name="Normal 5 2 2 2 2 3 2 2" xfId="70"/>
    <cellStyle name="Normal 5 2 2 2 2 3 2 2 2" xfId="71"/>
    <cellStyle name="Normal 5 2 2 2 2 3 2 2 2 2" xfId="72"/>
    <cellStyle name="Normal 5 2 2 2 2 3 2 2 2 2 2" xfId="73"/>
    <cellStyle name="Normal 5 2 2 2 2 3 2 2 2 2 2 2" xfId="458"/>
    <cellStyle name="Normal 5 2 2 2 2 3 2 2 2 3" xfId="457"/>
    <cellStyle name="Normal 5 2 2 2 2 3 2 2 3" xfId="74"/>
    <cellStyle name="Normal 5 2 2 2 2 3 2 2 3 2" xfId="459"/>
    <cellStyle name="Normal 5 2 2 2 2 3 2 3" xfId="75"/>
    <cellStyle name="Normal 5 2 2 2 2 3 2 3 2" xfId="76"/>
    <cellStyle name="Normal 5 2 2 2 2 3 2 3 2 2" xfId="460"/>
    <cellStyle name="Normal 5 2 2 2 2 3 2 4" xfId="456"/>
    <cellStyle name="Normal 5 2 2 2 2 3 3" xfId="77"/>
    <cellStyle name="Normal 5 2 2 2 2 3 3 2" xfId="78"/>
    <cellStyle name="Normal 5 2 2 2 2 3 3 2 2" xfId="79"/>
    <cellStyle name="Normal 5 2 2 2 2 3 3 2 2 2" xfId="462"/>
    <cellStyle name="Normal 5 2 2 2 2 3 3 3" xfId="461"/>
    <cellStyle name="Normal 5 2 2 2 2 3 4" xfId="80"/>
    <cellStyle name="Normal 5 2 2 2 2 3 4 2" xfId="463"/>
    <cellStyle name="Normal 5 2 2 2 2 4" xfId="81"/>
    <cellStyle name="Normal 5 2 2 2 2 4 2" xfId="82"/>
    <cellStyle name="Normal 5 2 2 2 2 4 2 2" xfId="83"/>
    <cellStyle name="Normal 5 2 2 2 2 4 2 2 2" xfId="84"/>
    <cellStyle name="Normal 5 2 2 2 2 4 2 2 2 2" xfId="465"/>
    <cellStyle name="Normal 5 2 2 2 2 4 2 3" xfId="464"/>
    <cellStyle name="Normal 5 2 2 2 2 4 3" xfId="85"/>
    <cellStyle name="Normal 5 2 2 2 2 4 3 2" xfId="466"/>
    <cellStyle name="Normal 5 2 2 2 2 5" xfId="86"/>
    <cellStyle name="Normal 5 2 2 2 2 5 2" xfId="87"/>
    <cellStyle name="Normal 5 2 2 2 2 5 2 2" xfId="467"/>
    <cellStyle name="Normal 5 2 2 2 2 6" xfId="434"/>
    <cellStyle name="Normal 5 2 2 2 3" xfId="88"/>
    <cellStyle name="Normal 5 2 2 2 3 2" xfId="89"/>
    <cellStyle name="Normal 5 2 2 2 3 2 2" xfId="90"/>
    <cellStyle name="Normal 5 2 2 2 3 2 2 2" xfId="91"/>
    <cellStyle name="Normal 5 2 2 2 3 2 2 2 2" xfId="92"/>
    <cellStyle name="Normal 5 2 2 2 3 2 2 2 2 2" xfId="93"/>
    <cellStyle name="Normal 5 2 2 2 3 2 2 2 2 2 2" xfId="94"/>
    <cellStyle name="Normal 5 2 2 2 3 2 2 2 2 2 2 2" xfId="471"/>
    <cellStyle name="Normal 5 2 2 2 3 2 2 2 2 3" xfId="470"/>
    <cellStyle name="Normal 5 2 2 2 3 2 2 2 3" xfId="95"/>
    <cellStyle name="Normal 5 2 2 2 3 2 2 2 3 2" xfId="472"/>
    <cellStyle name="Normal 5 2 2 2 3 2 2 3" xfId="96"/>
    <cellStyle name="Normal 5 2 2 2 3 2 2 3 2" xfId="97"/>
    <cellStyle name="Normal 5 2 2 2 3 2 2 3 2 2" xfId="473"/>
    <cellStyle name="Normal 5 2 2 2 3 2 2 4" xfId="469"/>
    <cellStyle name="Normal 5 2 2 2 3 2 3" xfId="98"/>
    <cellStyle name="Normal 5 2 2 2 3 2 3 2" xfId="99"/>
    <cellStyle name="Normal 5 2 2 2 3 2 3 2 2" xfId="100"/>
    <cellStyle name="Normal 5 2 2 2 3 2 3 2 2 2" xfId="475"/>
    <cellStyle name="Normal 5 2 2 2 3 2 3 3" xfId="474"/>
    <cellStyle name="Normal 5 2 2 2 3 2 4" xfId="101"/>
    <cellStyle name="Normal 5 2 2 2 3 2 4 2" xfId="476"/>
    <cellStyle name="Normal 5 2 2 2 3 3" xfId="102"/>
    <cellStyle name="Normal 5 2 2 2 3 3 2" xfId="103"/>
    <cellStyle name="Normal 5 2 2 2 3 3 2 2" xfId="104"/>
    <cellStyle name="Normal 5 2 2 2 3 3 2 2 2" xfId="105"/>
    <cellStyle name="Normal 5 2 2 2 3 3 2 2 2 2" xfId="478"/>
    <cellStyle name="Normal 5 2 2 2 3 3 2 3" xfId="477"/>
    <cellStyle name="Normal 5 2 2 2 3 3 3" xfId="106"/>
    <cellStyle name="Normal 5 2 2 2 3 3 3 2" xfId="479"/>
    <cellStyle name="Normal 5 2 2 2 3 4" xfId="107"/>
    <cellStyle name="Normal 5 2 2 2 3 4 2" xfId="108"/>
    <cellStyle name="Normal 5 2 2 2 3 4 2 2" xfId="480"/>
    <cellStyle name="Normal 5 2 2 2 3 5" xfId="468"/>
    <cellStyle name="Normal 5 2 2 2 4" xfId="109"/>
    <cellStyle name="Normal 5 2 2 2 4 2" xfId="110"/>
    <cellStyle name="Normal 5 2 2 2 4 2 2" xfId="111"/>
    <cellStyle name="Normal 5 2 2 2 4 2 2 2" xfId="112"/>
    <cellStyle name="Normal 5 2 2 2 4 2 2 2 2" xfId="113"/>
    <cellStyle name="Normal 5 2 2 2 4 2 2 2 2 2" xfId="483"/>
    <cellStyle name="Normal 5 2 2 2 4 2 2 3" xfId="482"/>
    <cellStyle name="Normal 5 2 2 2 4 2 3" xfId="114"/>
    <cellStyle name="Normal 5 2 2 2 4 2 3 2" xfId="484"/>
    <cellStyle name="Normal 5 2 2 2 4 3" xfId="115"/>
    <cellStyle name="Normal 5 2 2 2 4 3 2" xfId="116"/>
    <cellStyle name="Normal 5 2 2 2 4 3 2 2" xfId="485"/>
    <cellStyle name="Normal 5 2 2 2 4 4" xfId="481"/>
    <cellStyle name="Normal 5 2 2 2 5" xfId="117"/>
    <cellStyle name="Normal 5 2 2 2 5 2" xfId="118"/>
    <cellStyle name="Normal 5 2 2 2 5 2 2" xfId="119"/>
    <cellStyle name="Normal 5 2 2 2 5 2 2 2" xfId="487"/>
    <cellStyle name="Normal 5 2 2 2 5 3" xfId="486"/>
    <cellStyle name="Normal 5 2 2 2 6" xfId="120"/>
    <cellStyle name="Normal 5 2 2 2 6 2" xfId="488"/>
    <cellStyle name="Normal 5 2 2 3" xfId="121"/>
    <cellStyle name="Normal 5 2 2 3 2" xfId="122"/>
    <cellStyle name="Normal 5 2 2 3 2 2" xfId="123"/>
    <cellStyle name="Normal 5 2 2 3 2 2 2" xfId="124"/>
    <cellStyle name="Normal 5 2 2 3 2 2 2 2" xfId="125"/>
    <cellStyle name="Normal 5 2 2 3 2 2 2 2 2" xfId="126"/>
    <cellStyle name="Normal 5 2 2 3 2 2 2 2 2 2" xfId="127"/>
    <cellStyle name="Normal 5 2 2 3 2 2 2 2 2 2 2" xfId="128"/>
    <cellStyle name="Normal 5 2 2 3 2 2 2 2 2 2 2 2" xfId="492"/>
    <cellStyle name="Normal 5 2 2 3 2 2 2 2 2 3" xfId="491"/>
    <cellStyle name="Normal 5 2 2 3 2 2 2 2 3" xfId="129"/>
    <cellStyle name="Normal 5 2 2 3 2 2 2 2 3 2" xfId="493"/>
    <cellStyle name="Normal 5 2 2 3 2 2 2 3" xfId="130"/>
    <cellStyle name="Normal 5 2 2 3 2 2 2 3 2" xfId="131"/>
    <cellStyle name="Normal 5 2 2 3 2 2 2 3 2 2" xfId="494"/>
    <cellStyle name="Normal 5 2 2 3 2 2 2 4" xfId="490"/>
    <cellStyle name="Normal 5 2 2 3 2 2 3" xfId="132"/>
    <cellStyle name="Normal 5 2 2 3 2 2 3 2" xfId="133"/>
    <cellStyle name="Normal 5 2 2 3 2 2 3 2 2" xfId="134"/>
    <cellStyle name="Normal 5 2 2 3 2 2 3 2 2 2" xfId="496"/>
    <cellStyle name="Normal 5 2 2 3 2 2 3 3" xfId="495"/>
    <cellStyle name="Normal 5 2 2 3 2 2 4" xfId="135"/>
    <cellStyle name="Normal 5 2 2 3 2 2 4 2" xfId="497"/>
    <cellStyle name="Normal 5 2 2 3 2 3" xfId="136"/>
    <cellStyle name="Normal 5 2 2 3 2 3 2" xfId="137"/>
    <cellStyle name="Normal 5 2 2 3 2 3 2 2" xfId="138"/>
    <cellStyle name="Normal 5 2 2 3 2 3 2 2 2" xfId="139"/>
    <cellStyle name="Normal 5 2 2 3 2 3 2 2 2 2" xfId="499"/>
    <cellStyle name="Normal 5 2 2 3 2 3 2 3" xfId="498"/>
    <cellStyle name="Normal 5 2 2 3 2 3 3" xfId="140"/>
    <cellStyle name="Normal 5 2 2 3 2 3 3 2" xfId="500"/>
    <cellStyle name="Normal 5 2 2 3 2 4" xfId="141"/>
    <cellStyle name="Normal 5 2 2 3 2 4 2" xfId="142"/>
    <cellStyle name="Normal 5 2 2 3 2 4 2 2" xfId="501"/>
    <cellStyle name="Normal 5 2 2 3 2 5" xfId="489"/>
    <cellStyle name="Normal 5 2 2 3 3" xfId="143"/>
    <cellStyle name="Normal 5 2 2 3 3 2" xfId="144"/>
    <cellStyle name="Normal 5 2 2 3 3 2 2" xfId="145"/>
    <cellStyle name="Normal 5 2 2 3 3 2 2 2" xfId="146"/>
    <cellStyle name="Normal 5 2 2 3 3 2 2 2 2" xfId="147"/>
    <cellStyle name="Normal 5 2 2 3 3 2 2 2 2 2" xfId="504"/>
    <cellStyle name="Normal 5 2 2 3 3 2 2 3" xfId="503"/>
    <cellStyle name="Normal 5 2 2 3 3 2 3" xfId="148"/>
    <cellStyle name="Normal 5 2 2 3 3 2 3 2" xfId="505"/>
    <cellStyle name="Normal 5 2 2 3 3 3" xfId="149"/>
    <cellStyle name="Normal 5 2 2 3 3 3 2" xfId="150"/>
    <cellStyle name="Normal 5 2 2 3 3 3 2 2" xfId="506"/>
    <cellStyle name="Normal 5 2 2 3 3 4" xfId="502"/>
    <cellStyle name="Normal 5 2 2 3 4" xfId="151"/>
    <cellStyle name="Normal 5 2 2 3 4 2" xfId="152"/>
    <cellStyle name="Normal 5 2 2 3 4 2 2" xfId="153"/>
    <cellStyle name="Normal 5 2 2 3 4 2 2 2" xfId="508"/>
    <cellStyle name="Normal 5 2 2 3 4 3" xfId="507"/>
    <cellStyle name="Normal 5 2 2 3 5" xfId="154"/>
    <cellStyle name="Normal 5 2 2 3 5 2" xfId="509"/>
    <cellStyle name="Normal 5 2 2 4" xfId="155"/>
    <cellStyle name="Normal 5 2 2 4 2" xfId="156"/>
    <cellStyle name="Normal 5 2 2 4 2 2" xfId="157"/>
    <cellStyle name="Normal 5 2 2 4 2 2 2" xfId="158"/>
    <cellStyle name="Normal 5 2 2 4 2 2 2 2" xfId="159"/>
    <cellStyle name="Normal 5 2 2 4 2 2 2 2 2" xfId="160"/>
    <cellStyle name="Normal 5 2 2 4 2 2 2 2 2 2" xfId="512"/>
    <cellStyle name="Normal 5 2 2 4 2 2 2 3" xfId="511"/>
    <cellStyle name="Normal 5 2 2 4 2 2 3" xfId="161"/>
    <cellStyle name="Normal 5 2 2 4 2 2 3 2" xfId="513"/>
    <cellStyle name="Normal 5 2 2 4 2 3" xfId="162"/>
    <cellStyle name="Normal 5 2 2 4 2 3 2" xfId="163"/>
    <cellStyle name="Normal 5 2 2 4 2 3 2 2" xfId="514"/>
    <cellStyle name="Normal 5 2 2 4 2 4" xfId="510"/>
    <cellStyle name="Normal 5 2 2 4 3" xfId="164"/>
    <cellStyle name="Normal 5 2 2 4 3 2" xfId="165"/>
    <cellStyle name="Normal 5 2 2 4 3 2 2" xfId="166"/>
    <cellStyle name="Normal 5 2 2 4 3 2 2 2" xfId="516"/>
    <cellStyle name="Normal 5 2 2 4 3 3" xfId="515"/>
    <cellStyle name="Normal 5 2 2 4 4" xfId="167"/>
    <cellStyle name="Normal 5 2 2 4 4 2" xfId="517"/>
    <cellStyle name="Normal 5 2 2 5" xfId="168"/>
    <cellStyle name="Normal 5 2 2 5 2" xfId="169"/>
    <cellStyle name="Normal 5 2 2 5 2 2" xfId="170"/>
    <cellStyle name="Normal 5 2 2 5 2 2 2" xfId="171"/>
    <cellStyle name="Normal 5 2 2 5 2 2 2 2" xfId="519"/>
    <cellStyle name="Normal 5 2 2 5 2 3" xfId="518"/>
    <cellStyle name="Normal 5 2 2 5 3" xfId="172"/>
    <cellStyle name="Normal 5 2 2 5 3 2" xfId="520"/>
    <cellStyle name="Normal 5 2 2 6" xfId="173"/>
    <cellStyle name="Normal 5 2 2 6 2" xfId="174"/>
    <cellStyle name="Normal 5 2 2 6 2 2" xfId="521"/>
    <cellStyle name="Normal 5 2 2 7" xfId="433"/>
    <cellStyle name="Normal 5 2 3" xfId="175"/>
    <cellStyle name="Normal 5 2 3 2" xfId="176"/>
    <cellStyle name="Normal 5 2 3 2 2" xfId="177"/>
    <cellStyle name="Normal 5 2 3 2 2 2" xfId="178"/>
    <cellStyle name="Normal 5 2 3 2 2 2 2" xfId="179"/>
    <cellStyle name="Normal 5 2 3 2 2 2 2 2" xfId="180"/>
    <cellStyle name="Normal 5 2 3 2 2 2 2 2 2" xfId="181"/>
    <cellStyle name="Normal 5 2 3 2 2 2 2 2 2 2" xfId="182"/>
    <cellStyle name="Normal 5 2 3 2 2 2 2 2 2 2 2" xfId="183"/>
    <cellStyle name="Normal 5 2 3 2 2 2 2 2 2 2 2 2" xfId="526"/>
    <cellStyle name="Normal 5 2 3 2 2 2 2 2 2 3" xfId="525"/>
    <cellStyle name="Normal 5 2 3 2 2 2 2 2 3" xfId="184"/>
    <cellStyle name="Normal 5 2 3 2 2 2 2 2 3 2" xfId="527"/>
    <cellStyle name="Normal 5 2 3 2 2 2 2 3" xfId="185"/>
    <cellStyle name="Normal 5 2 3 2 2 2 2 3 2" xfId="186"/>
    <cellStyle name="Normal 5 2 3 2 2 2 2 3 2 2" xfId="528"/>
    <cellStyle name="Normal 5 2 3 2 2 2 2 4" xfId="524"/>
    <cellStyle name="Normal 5 2 3 2 2 2 3" xfId="187"/>
    <cellStyle name="Normal 5 2 3 2 2 2 3 2" xfId="188"/>
    <cellStyle name="Normal 5 2 3 2 2 2 3 2 2" xfId="189"/>
    <cellStyle name="Normal 5 2 3 2 2 2 3 2 2 2" xfId="530"/>
    <cellStyle name="Normal 5 2 3 2 2 2 3 3" xfId="529"/>
    <cellStyle name="Normal 5 2 3 2 2 2 4" xfId="190"/>
    <cellStyle name="Normal 5 2 3 2 2 2 4 2" xfId="531"/>
    <cellStyle name="Normal 5 2 3 2 2 3" xfId="191"/>
    <cellStyle name="Normal 5 2 3 2 2 3 2" xfId="192"/>
    <cellStyle name="Normal 5 2 3 2 2 3 2 2" xfId="193"/>
    <cellStyle name="Normal 5 2 3 2 2 3 2 2 2" xfId="194"/>
    <cellStyle name="Normal 5 2 3 2 2 3 2 2 2 2" xfId="533"/>
    <cellStyle name="Normal 5 2 3 2 2 3 2 3" xfId="532"/>
    <cellStyle name="Normal 5 2 3 2 2 3 3" xfId="195"/>
    <cellStyle name="Normal 5 2 3 2 2 3 3 2" xfId="534"/>
    <cellStyle name="Normal 5 2 3 2 2 4" xfId="196"/>
    <cellStyle name="Normal 5 2 3 2 2 4 2" xfId="197"/>
    <cellStyle name="Normal 5 2 3 2 2 4 2 2" xfId="535"/>
    <cellStyle name="Normal 5 2 3 2 2 5" xfId="523"/>
    <cellStyle name="Normal 5 2 3 2 3" xfId="198"/>
    <cellStyle name="Normal 5 2 3 2 3 2" xfId="199"/>
    <cellStyle name="Normal 5 2 3 2 3 2 2" xfId="200"/>
    <cellStyle name="Normal 5 2 3 2 3 2 2 2" xfId="201"/>
    <cellStyle name="Normal 5 2 3 2 3 2 2 2 2" xfId="202"/>
    <cellStyle name="Normal 5 2 3 2 3 2 2 2 2 2" xfId="538"/>
    <cellStyle name="Normal 5 2 3 2 3 2 2 3" xfId="537"/>
    <cellStyle name="Normal 5 2 3 2 3 2 3" xfId="203"/>
    <cellStyle name="Normal 5 2 3 2 3 2 3 2" xfId="539"/>
    <cellStyle name="Normal 5 2 3 2 3 3" xfId="204"/>
    <cellStyle name="Normal 5 2 3 2 3 3 2" xfId="205"/>
    <cellStyle name="Normal 5 2 3 2 3 3 2 2" xfId="540"/>
    <cellStyle name="Normal 5 2 3 2 3 4" xfId="536"/>
    <cellStyle name="Normal 5 2 3 2 4" xfId="206"/>
    <cellStyle name="Normal 5 2 3 2 4 2" xfId="207"/>
    <cellStyle name="Normal 5 2 3 2 4 2 2" xfId="208"/>
    <cellStyle name="Normal 5 2 3 2 4 2 2 2" xfId="542"/>
    <cellStyle name="Normal 5 2 3 2 4 3" xfId="541"/>
    <cellStyle name="Normal 5 2 3 2 5" xfId="209"/>
    <cellStyle name="Normal 5 2 3 2 5 2" xfId="543"/>
    <cellStyle name="Normal 5 2 3 3" xfId="210"/>
    <cellStyle name="Normal 5 2 3 3 2" xfId="211"/>
    <cellStyle name="Normal 5 2 3 3 2 2" xfId="212"/>
    <cellStyle name="Normal 5 2 3 3 2 2 2" xfId="213"/>
    <cellStyle name="Normal 5 2 3 3 2 2 2 2" xfId="214"/>
    <cellStyle name="Normal 5 2 3 3 2 2 2 2 2" xfId="215"/>
    <cellStyle name="Normal 5 2 3 3 2 2 2 2 2 2" xfId="546"/>
    <cellStyle name="Normal 5 2 3 3 2 2 2 3" xfId="545"/>
    <cellStyle name="Normal 5 2 3 3 2 2 3" xfId="216"/>
    <cellStyle name="Normal 5 2 3 3 2 2 3 2" xfId="547"/>
    <cellStyle name="Normal 5 2 3 3 2 3" xfId="217"/>
    <cellStyle name="Normal 5 2 3 3 2 3 2" xfId="218"/>
    <cellStyle name="Normal 5 2 3 3 2 3 2 2" xfId="548"/>
    <cellStyle name="Normal 5 2 3 3 2 4" xfId="544"/>
    <cellStyle name="Normal 5 2 3 3 3" xfId="219"/>
    <cellStyle name="Normal 5 2 3 3 3 2" xfId="220"/>
    <cellStyle name="Normal 5 2 3 3 3 2 2" xfId="221"/>
    <cellStyle name="Normal 5 2 3 3 3 2 2 2" xfId="550"/>
    <cellStyle name="Normal 5 2 3 3 3 3" xfId="549"/>
    <cellStyle name="Normal 5 2 3 3 4" xfId="222"/>
    <cellStyle name="Normal 5 2 3 3 4 2" xfId="551"/>
    <cellStyle name="Normal 5 2 3 4" xfId="223"/>
    <cellStyle name="Normal 5 2 3 4 2" xfId="224"/>
    <cellStyle name="Normal 5 2 3 4 2 2" xfId="225"/>
    <cellStyle name="Normal 5 2 3 4 2 2 2" xfId="226"/>
    <cellStyle name="Normal 5 2 3 4 2 2 2 2" xfId="553"/>
    <cellStyle name="Normal 5 2 3 4 2 3" xfId="552"/>
    <cellStyle name="Normal 5 2 3 4 3" xfId="227"/>
    <cellStyle name="Normal 5 2 3 4 3 2" xfId="554"/>
    <cellStyle name="Normal 5 2 3 5" xfId="228"/>
    <cellStyle name="Normal 5 2 3 5 2" xfId="229"/>
    <cellStyle name="Normal 5 2 3 5 2 2" xfId="555"/>
    <cellStyle name="Normal 5 2 3 6" xfId="522"/>
    <cellStyle name="Normal 5 2 4" xfId="230"/>
    <cellStyle name="Normal 5 2 4 2" xfId="231"/>
    <cellStyle name="Normal 5 2 4 2 2" xfId="232"/>
    <cellStyle name="Normal 5 2 4 2 2 2" xfId="233"/>
    <cellStyle name="Normal 5 2 4 2 2 2 2" xfId="234"/>
    <cellStyle name="Normal 5 2 4 2 2 2 2 2" xfId="235"/>
    <cellStyle name="Normal 5 2 4 2 2 2 2 2 2" xfId="236"/>
    <cellStyle name="Normal 5 2 4 2 2 2 2 2 2 2" xfId="559"/>
    <cellStyle name="Normal 5 2 4 2 2 2 2 3" xfId="558"/>
    <cellStyle name="Normal 5 2 4 2 2 2 3" xfId="237"/>
    <cellStyle name="Normal 5 2 4 2 2 2 3 2" xfId="560"/>
    <cellStyle name="Normal 5 2 4 2 2 3" xfId="238"/>
    <cellStyle name="Normal 5 2 4 2 2 3 2" xfId="239"/>
    <cellStyle name="Normal 5 2 4 2 2 3 2 2" xfId="561"/>
    <cellStyle name="Normal 5 2 4 2 2 4" xfId="557"/>
    <cellStyle name="Normal 5 2 4 2 3" xfId="240"/>
    <cellStyle name="Normal 5 2 4 2 3 2" xfId="241"/>
    <cellStyle name="Normal 5 2 4 2 3 2 2" xfId="242"/>
    <cellStyle name="Normal 5 2 4 2 3 2 2 2" xfId="563"/>
    <cellStyle name="Normal 5 2 4 2 3 3" xfId="562"/>
    <cellStyle name="Normal 5 2 4 2 4" xfId="243"/>
    <cellStyle name="Normal 5 2 4 2 4 2" xfId="564"/>
    <cellStyle name="Normal 5 2 4 3" xfId="244"/>
    <cellStyle name="Normal 5 2 4 3 2" xfId="245"/>
    <cellStyle name="Normal 5 2 4 3 2 2" xfId="246"/>
    <cellStyle name="Normal 5 2 4 3 2 2 2" xfId="247"/>
    <cellStyle name="Normal 5 2 4 3 2 2 2 2" xfId="566"/>
    <cellStyle name="Normal 5 2 4 3 2 3" xfId="565"/>
    <cellStyle name="Normal 5 2 4 3 3" xfId="248"/>
    <cellStyle name="Normal 5 2 4 3 3 2" xfId="567"/>
    <cellStyle name="Normal 5 2 4 4" xfId="249"/>
    <cellStyle name="Normal 5 2 4 4 2" xfId="250"/>
    <cellStyle name="Normal 5 2 4 4 2 2" xfId="568"/>
    <cellStyle name="Normal 5 2 4 5" xfId="556"/>
    <cellStyle name="Normal 5 2 5" xfId="251"/>
    <cellStyle name="Normal 5 2 5 2" xfId="252"/>
    <cellStyle name="Normal 5 2 5 2 2" xfId="253"/>
    <cellStyle name="Normal 5 2 5 2 2 2" xfId="254"/>
    <cellStyle name="Normal 5 2 5 2 2 2 2" xfId="255"/>
    <cellStyle name="Normal 5 2 5 2 2 2 2 2" xfId="571"/>
    <cellStyle name="Normal 5 2 5 2 2 3" xfId="570"/>
    <cellStyle name="Normal 5 2 5 2 3" xfId="256"/>
    <cellStyle name="Normal 5 2 5 2 3 2" xfId="572"/>
    <cellStyle name="Normal 5 2 5 3" xfId="257"/>
    <cellStyle name="Normal 5 2 5 3 2" xfId="258"/>
    <cellStyle name="Normal 5 2 5 3 2 2" xfId="573"/>
    <cellStyle name="Normal 5 2 5 4" xfId="569"/>
    <cellStyle name="Normal 5 2 6" xfId="259"/>
    <cellStyle name="Normal 5 2 6 2" xfId="260"/>
    <cellStyle name="Normal 5 2 6 2 2" xfId="261"/>
    <cellStyle name="Normal 5 2 6 2 2 2" xfId="575"/>
    <cellStyle name="Normal 5 2 6 3" xfId="574"/>
    <cellStyle name="Normal 5 2 7" xfId="262"/>
    <cellStyle name="Normal 5 2 7 2" xfId="576"/>
    <cellStyle name="Normal 5 3" xfId="263"/>
    <cellStyle name="Normal 5 3 2" xfId="577"/>
    <cellStyle name="Normal 5 4" xfId="264"/>
    <cellStyle name="Normal 5 4 2" xfId="578"/>
    <cellStyle name="Normal 5 5" xfId="265"/>
    <cellStyle name="Normal 5 5 2" xfId="579"/>
    <cellStyle name="Normal 5 6" xfId="266"/>
    <cellStyle name="Normal 5 6 2" xfId="580"/>
    <cellStyle name="Normal 5 7" xfId="267"/>
    <cellStyle name="Normal 5 7 2" xfId="581"/>
    <cellStyle name="Normal 6" xfId="268"/>
    <cellStyle name="Normal 6 2" xfId="269"/>
    <cellStyle name="Normal 6 2 2" xfId="270"/>
    <cellStyle name="Normal 6 2 2 2" xfId="271"/>
    <cellStyle name="Normal 6 2 2 2 2" xfId="272"/>
    <cellStyle name="Normal 6 2 2 2 2 2" xfId="273"/>
    <cellStyle name="Normal 6 2 2 2 2 2 2" xfId="274"/>
    <cellStyle name="Normal 6 2 2 2 2 2 2 2" xfId="275"/>
    <cellStyle name="Normal 6 2 2 2 2 2 2 2 2" xfId="276"/>
    <cellStyle name="Normal 6 2 2 2 2 2 2 2 2 2" xfId="277"/>
    <cellStyle name="Normal 6 2 2 2 2 2 2 2 2 2 2" xfId="278"/>
    <cellStyle name="Normal 6 2 2 2 2 2 2 2 2 2 2 2" xfId="586"/>
    <cellStyle name="Normal 6 2 2 2 2 2 2 2 2 3" xfId="585"/>
    <cellStyle name="Normal 6 2 2 2 2 2 2 2 3" xfId="279"/>
    <cellStyle name="Normal 6 2 2 2 2 2 2 2 3 2" xfId="587"/>
    <cellStyle name="Normal 6 2 2 2 2 2 2 3" xfId="280"/>
    <cellStyle name="Normal 6 2 2 2 2 2 2 3 2" xfId="281"/>
    <cellStyle name="Normal 6 2 2 2 2 2 2 3 2 2" xfId="588"/>
    <cellStyle name="Normal 6 2 2 2 2 2 2 4" xfId="584"/>
    <cellStyle name="Normal 6 2 2 2 2 2 3" xfId="282"/>
    <cellStyle name="Normal 6 2 2 2 2 2 3 2" xfId="283"/>
    <cellStyle name="Normal 6 2 2 2 2 2 3 2 2" xfId="284"/>
    <cellStyle name="Normal 6 2 2 2 2 2 3 2 2 2" xfId="590"/>
    <cellStyle name="Normal 6 2 2 2 2 2 3 3" xfId="589"/>
    <cellStyle name="Normal 6 2 2 2 2 2 4" xfId="285"/>
    <cellStyle name="Normal 6 2 2 2 2 2 4 2" xfId="591"/>
    <cellStyle name="Normal 6 2 2 2 2 3" xfId="286"/>
    <cellStyle name="Normal 6 2 2 2 2 3 2" xfId="287"/>
    <cellStyle name="Normal 6 2 2 2 2 3 2 2" xfId="288"/>
    <cellStyle name="Normal 6 2 2 2 2 3 2 2 2" xfId="289"/>
    <cellStyle name="Normal 6 2 2 2 2 3 2 2 2 2" xfId="593"/>
    <cellStyle name="Normal 6 2 2 2 2 3 2 3" xfId="592"/>
    <cellStyle name="Normal 6 2 2 2 2 3 3" xfId="290"/>
    <cellStyle name="Normal 6 2 2 2 2 3 3 2" xfId="594"/>
    <cellStyle name="Normal 6 2 2 2 2 4" xfId="291"/>
    <cellStyle name="Normal 6 2 2 2 2 4 2" xfId="292"/>
    <cellStyle name="Normal 6 2 2 2 2 4 2 2" xfId="595"/>
    <cellStyle name="Normal 6 2 2 2 2 5" xfId="583"/>
    <cellStyle name="Normal 6 2 2 2 3" xfId="293"/>
    <cellStyle name="Normal 6 2 2 2 3 2" xfId="294"/>
    <cellStyle name="Normal 6 2 2 2 3 2 2" xfId="295"/>
    <cellStyle name="Normal 6 2 2 2 3 2 2 2" xfId="296"/>
    <cellStyle name="Normal 6 2 2 2 3 2 2 2 2" xfId="297"/>
    <cellStyle name="Normal 6 2 2 2 3 2 2 2 2 2" xfId="598"/>
    <cellStyle name="Normal 6 2 2 2 3 2 2 3" xfId="597"/>
    <cellStyle name="Normal 6 2 2 2 3 2 3" xfId="298"/>
    <cellStyle name="Normal 6 2 2 2 3 2 3 2" xfId="599"/>
    <cellStyle name="Normal 6 2 2 2 3 3" xfId="299"/>
    <cellStyle name="Normal 6 2 2 2 3 3 2" xfId="300"/>
    <cellStyle name="Normal 6 2 2 2 3 3 2 2" xfId="600"/>
    <cellStyle name="Normal 6 2 2 2 3 4" xfId="596"/>
    <cellStyle name="Normal 6 2 2 2 4" xfId="301"/>
    <cellStyle name="Normal 6 2 2 2 4 2" xfId="302"/>
    <cellStyle name="Normal 6 2 2 2 4 2 2" xfId="303"/>
    <cellStyle name="Normal 6 2 2 2 4 2 2 2" xfId="602"/>
    <cellStyle name="Normal 6 2 2 2 4 3" xfId="601"/>
    <cellStyle name="Normal 6 2 2 2 5" xfId="304"/>
    <cellStyle name="Normal 6 2 2 2 5 2" xfId="603"/>
    <cellStyle name="Normal 6 2 2 3" xfId="305"/>
    <cellStyle name="Normal 6 2 2 3 2" xfId="306"/>
    <cellStyle name="Normal 6 2 2 3 2 2" xfId="307"/>
    <cellStyle name="Normal 6 2 2 3 2 2 2" xfId="308"/>
    <cellStyle name="Normal 6 2 2 3 2 2 2 2" xfId="309"/>
    <cellStyle name="Normal 6 2 2 3 2 2 2 2 2" xfId="310"/>
    <cellStyle name="Normal 6 2 2 3 2 2 2 2 2 2" xfId="606"/>
    <cellStyle name="Normal 6 2 2 3 2 2 2 3" xfId="605"/>
    <cellStyle name="Normal 6 2 2 3 2 2 3" xfId="311"/>
    <cellStyle name="Normal 6 2 2 3 2 2 3 2" xfId="607"/>
    <cellStyle name="Normal 6 2 2 3 2 3" xfId="312"/>
    <cellStyle name="Normal 6 2 2 3 2 3 2" xfId="313"/>
    <cellStyle name="Normal 6 2 2 3 2 3 2 2" xfId="608"/>
    <cellStyle name="Normal 6 2 2 3 2 4" xfId="604"/>
    <cellStyle name="Normal 6 2 2 3 3" xfId="314"/>
    <cellStyle name="Normal 6 2 2 3 3 2" xfId="315"/>
    <cellStyle name="Normal 6 2 2 3 3 2 2" xfId="316"/>
    <cellStyle name="Normal 6 2 2 3 3 2 2 2" xfId="610"/>
    <cellStyle name="Normal 6 2 2 3 3 3" xfId="609"/>
    <cellStyle name="Normal 6 2 2 3 4" xfId="317"/>
    <cellStyle name="Normal 6 2 2 3 4 2" xfId="611"/>
    <cellStyle name="Normal 6 2 2 4" xfId="318"/>
    <cellStyle name="Normal 6 2 2 4 2" xfId="319"/>
    <cellStyle name="Normal 6 2 2 4 2 2" xfId="320"/>
    <cellStyle name="Normal 6 2 2 4 2 2 2" xfId="321"/>
    <cellStyle name="Normal 6 2 2 4 2 2 2 2" xfId="613"/>
    <cellStyle name="Normal 6 2 2 4 2 3" xfId="612"/>
    <cellStyle name="Normal 6 2 2 4 3" xfId="322"/>
    <cellStyle name="Normal 6 2 2 4 3 2" xfId="614"/>
    <cellStyle name="Normal 6 2 2 5" xfId="323"/>
    <cellStyle name="Normal 6 2 2 5 2" xfId="324"/>
    <cellStyle name="Normal 6 2 2 5 2 2" xfId="615"/>
    <cellStyle name="Normal 6 2 2 6" xfId="582"/>
    <cellStyle name="Normal 6 2 3" xfId="325"/>
    <cellStyle name="Normal 6 2 3 2" xfId="326"/>
    <cellStyle name="Normal 6 2 3 2 2" xfId="327"/>
    <cellStyle name="Normal 6 2 3 2 2 2" xfId="328"/>
    <cellStyle name="Normal 6 2 3 2 2 2 2" xfId="329"/>
    <cellStyle name="Normal 6 2 3 2 2 2 2 2" xfId="330"/>
    <cellStyle name="Normal 6 2 3 2 2 2 2 2 2" xfId="331"/>
    <cellStyle name="Normal 6 2 3 2 2 2 2 2 2 2" xfId="619"/>
    <cellStyle name="Normal 6 2 3 2 2 2 2 3" xfId="618"/>
    <cellStyle name="Normal 6 2 3 2 2 2 3" xfId="332"/>
    <cellStyle name="Normal 6 2 3 2 2 2 3 2" xfId="620"/>
    <cellStyle name="Normal 6 2 3 2 2 3" xfId="333"/>
    <cellStyle name="Normal 6 2 3 2 2 3 2" xfId="334"/>
    <cellStyle name="Normal 6 2 3 2 2 3 2 2" xfId="621"/>
    <cellStyle name="Normal 6 2 3 2 2 4" xfId="617"/>
    <cellStyle name="Normal 6 2 3 2 3" xfId="335"/>
    <cellStyle name="Normal 6 2 3 2 3 2" xfId="336"/>
    <cellStyle name="Normal 6 2 3 2 3 2 2" xfId="337"/>
    <cellStyle name="Normal 6 2 3 2 3 2 2 2" xfId="623"/>
    <cellStyle name="Normal 6 2 3 2 3 3" xfId="622"/>
    <cellStyle name="Normal 6 2 3 2 4" xfId="338"/>
    <cellStyle name="Normal 6 2 3 2 4 2" xfId="624"/>
    <cellStyle name="Normal 6 2 3 3" xfId="339"/>
    <cellStyle name="Normal 6 2 3 3 2" xfId="340"/>
    <cellStyle name="Normal 6 2 3 3 2 2" xfId="341"/>
    <cellStyle name="Normal 6 2 3 3 2 2 2" xfId="342"/>
    <cellStyle name="Normal 6 2 3 3 2 2 2 2" xfId="626"/>
    <cellStyle name="Normal 6 2 3 3 2 3" xfId="625"/>
    <cellStyle name="Normal 6 2 3 3 3" xfId="343"/>
    <cellStyle name="Normal 6 2 3 3 3 2" xfId="627"/>
    <cellStyle name="Normal 6 2 3 4" xfId="344"/>
    <cellStyle name="Normal 6 2 3 4 2" xfId="345"/>
    <cellStyle name="Normal 6 2 3 4 2 2" xfId="628"/>
    <cellStyle name="Normal 6 2 3 5" xfId="616"/>
    <cellStyle name="Normal 6 2 4" xfId="346"/>
    <cellStyle name="Normal 6 2 4 2" xfId="347"/>
    <cellStyle name="Normal 6 2 4 2 2" xfId="348"/>
    <cellStyle name="Normal 6 2 4 2 2 2" xfId="349"/>
    <cellStyle name="Normal 6 2 4 2 2 2 2" xfId="350"/>
    <cellStyle name="Normal 6 2 4 2 2 2 2 2" xfId="631"/>
    <cellStyle name="Normal 6 2 4 2 2 3" xfId="630"/>
    <cellStyle name="Normal 6 2 4 2 3" xfId="351"/>
    <cellStyle name="Normal 6 2 4 2 3 2" xfId="632"/>
    <cellStyle name="Normal 6 2 4 3" xfId="352"/>
    <cellStyle name="Normal 6 2 4 3 2" xfId="353"/>
    <cellStyle name="Normal 6 2 4 3 2 2" xfId="633"/>
    <cellStyle name="Normal 6 2 4 4" xfId="629"/>
    <cellStyle name="Normal 6 2 5" xfId="354"/>
    <cellStyle name="Normal 6 2 5 2" xfId="355"/>
    <cellStyle name="Normal 6 2 5 2 2" xfId="356"/>
    <cellStyle name="Normal 6 2 5 2 2 2" xfId="635"/>
    <cellStyle name="Normal 6 2 5 3" xfId="634"/>
    <cellStyle name="Normal 6 2 6" xfId="357"/>
    <cellStyle name="Normal 6 2 6 2" xfId="636"/>
    <cellStyle name="Normal 6 3" xfId="358"/>
    <cellStyle name="Normal 6 3 2" xfId="637"/>
    <cellStyle name="Normal 6 4" xfId="359"/>
    <cellStyle name="Normal 6 4 2" xfId="638"/>
    <cellStyle name="Normal 6 5" xfId="360"/>
    <cellStyle name="Normal 6 5 2" xfId="639"/>
    <cellStyle name="Normal 6 6" xfId="361"/>
    <cellStyle name="Normal 6 6 2" xfId="640"/>
    <cellStyle name="Normal 7" xfId="362"/>
    <cellStyle name="Normal 7 2" xfId="363"/>
    <cellStyle name="Normal 7 2 2" xfId="364"/>
    <cellStyle name="Normal 7 2 2 2" xfId="365"/>
    <cellStyle name="Normal 7 2 2 2 2" xfId="366"/>
    <cellStyle name="Normal 7 2 2 2 2 2" xfId="367"/>
    <cellStyle name="Normal 7 2 2 2 2 2 2" xfId="368"/>
    <cellStyle name="Normal 7 2 2 2 2 2 2 2" xfId="369"/>
    <cellStyle name="Normal 7 2 2 2 2 2 2 2 2" xfId="370"/>
    <cellStyle name="Normal 7 2 2 2 2 2 2 2 2 2" xfId="644"/>
    <cellStyle name="Normal 7 2 2 2 2 2 2 3" xfId="643"/>
    <cellStyle name="Normal 7 2 2 2 2 2 3" xfId="371"/>
    <cellStyle name="Normal 7 2 2 2 2 2 3 2" xfId="645"/>
    <cellStyle name="Normal 7 2 2 2 2 3" xfId="372"/>
    <cellStyle name="Normal 7 2 2 2 2 3 2" xfId="373"/>
    <cellStyle name="Normal 7 2 2 2 2 3 2 2" xfId="646"/>
    <cellStyle name="Normal 7 2 2 2 2 4" xfId="642"/>
    <cellStyle name="Normal 7 2 2 2 3" xfId="374"/>
    <cellStyle name="Normal 7 2 2 2 3 2" xfId="375"/>
    <cellStyle name="Normal 7 2 2 2 3 2 2" xfId="376"/>
    <cellStyle name="Normal 7 2 2 2 3 2 2 2" xfId="648"/>
    <cellStyle name="Normal 7 2 2 2 3 3" xfId="647"/>
    <cellStyle name="Normal 7 2 2 2 4" xfId="377"/>
    <cellStyle name="Normal 7 2 2 2 4 2" xfId="649"/>
    <cellStyle name="Normal 7 2 2 3" xfId="378"/>
    <cellStyle name="Normal 7 2 2 3 2" xfId="379"/>
    <cellStyle name="Normal 7 2 2 3 2 2" xfId="380"/>
    <cellStyle name="Normal 7 2 2 3 2 2 2" xfId="381"/>
    <cellStyle name="Normal 7 2 2 3 2 2 2 2" xfId="651"/>
    <cellStyle name="Normal 7 2 2 3 2 3" xfId="650"/>
    <cellStyle name="Normal 7 2 2 3 3" xfId="382"/>
    <cellStyle name="Normal 7 2 2 3 3 2" xfId="652"/>
    <cellStyle name="Normal 7 2 2 4" xfId="383"/>
    <cellStyle name="Normal 7 2 2 4 2" xfId="384"/>
    <cellStyle name="Normal 7 2 2 4 2 2" xfId="653"/>
    <cellStyle name="Normal 7 2 2 5" xfId="641"/>
    <cellStyle name="Normal 7 2 3" xfId="385"/>
    <cellStyle name="Normal 7 2 3 2" xfId="386"/>
    <cellStyle name="Normal 7 2 3 2 2" xfId="387"/>
    <cellStyle name="Normal 7 2 3 2 2 2" xfId="388"/>
    <cellStyle name="Normal 7 2 3 2 2 2 2" xfId="389"/>
    <cellStyle name="Normal 7 2 3 2 2 2 2 2" xfId="656"/>
    <cellStyle name="Normal 7 2 3 2 2 3" xfId="655"/>
    <cellStyle name="Normal 7 2 3 2 3" xfId="390"/>
    <cellStyle name="Normal 7 2 3 2 3 2" xfId="657"/>
    <cellStyle name="Normal 7 2 3 3" xfId="391"/>
    <cellStyle name="Normal 7 2 3 3 2" xfId="392"/>
    <cellStyle name="Normal 7 2 3 3 2 2" xfId="658"/>
    <cellStyle name="Normal 7 2 3 4" xfId="654"/>
    <cellStyle name="Normal 7 2 4" xfId="393"/>
    <cellStyle name="Normal 7 2 4 2" xfId="394"/>
    <cellStyle name="Normal 7 2 4 2 2" xfId="395"/>
    <cellStyle name="Normal 7 2 4 2 2 2" xfId="660"/>
    <cellStyle name="Normal 7 2 4 3" xfId="659"/>
    <cellStyle name="Normal 7 2 5" xfId="396"/>
    <cellStyle name="Normal 7 2 5 2" xfId="661"/>
    <cellStyle name="Normal 7 3" xfId="397"/>
    <cellStyle name="Normal 7 3 2" xfId="662"/>
    <cellStyle name="Normal 7 4" xfId="398"/>
    <cellStyle name="Normal 7 4 2" xfId="663"/>
    <cellStyle name="Normal 7 5" xfId="399"/>
    <cellStyle name="Normal 7 5 2" xfId="664"/>
    <cellStyle name="Normal 8" xfId="400"/>
    <cellStyle name="Normal 8 2" xfId="401"/>
    <cellStyle name="Normal 8 2 2" xfId="402"/>
    <cellStyle name="Normal 8 2 2 2" xfId="403"/>
    <cellStyle name="Normal 8 2 2 2 2" xfId="404"/>
    <cellStyle name="Normal 8 2 2 2 2 2" xfId="405"/>
    <cellStyle name="Normal 8 2 2 2 2 2 2" xfId="406"/>
    <cellStyle name="Normal 8 2 2 2 2 2 2 2" xfId="667"/>
    <cellStyle name="Normal 8 2 2 2 2 3" xfId="666"/>
    <cellStyle name="Normal 8 2 2 2 3" xfId="407"/>
    <cellStyle name="Normal 8 2 2 2 3 2" xfId="668"/>
    <cellStyle name="Normal 8 2 2 3" xfId="408"/>
    <cellStyle name="Normal 8 2 2 3 2" xfId="409"/>
    <cellStyle name="Normal 8 2 2 3 2 2" xfId="669"/>
    <cellStyle name="Normal 8 2 2 4" xfId="665"/>
    <cellStyle name="Normal 8 2 3" xfId="410"/>
    <cellStyle name="Normal 8 2 3 2" xfId="411"/>
    <cellStyle name="Normal 8 2 3 2 2" xfId="412"/>
    <cellStyle name="Normal 8 2 3 2 2 2" xfId="671"/>
    <cellStyle name="Normal 8 2 3 3" xfId="670"/>
    <cellStyle name="Normal 8 2 4" xfId="413"/>
    <cellStyle name="Normal 8 2 4 2" xfId="672"/>
    <cellStyle name="Normal 8 3" xfId="414"/>
    <cellStyle name="Normal 8 3 2" xfId="673"/>
    <cellStyle name="Normal 8 4" xfId="415"/>
    <cellStyle name="Normal 8 4 2" xfId="674"/>
    <cellStyle name="Normal 9" xfId="416"/>
    <cellStyle name="Normal 9 2" xfId="417"/>
    <cellStyle name="Normal 9 2 2" xfId="418"/>
    <cellStyle name="Normal 9 2 2 2" xfId="419"/>
    <cellStyle name="Normal 9 2 2 2 2" xfId="420"/>
    <cellStyle name="Normal 9 2 2 2 2 2" xfId="676"/>
    <cellStyle name="Normal 9 2 2 3" xfId="675"/>
    <cellStyle name="Normal 9 2 3" xfId="421"/>
    <cellStyle name="Normal 9 2 3 2" xfId="677"/>
    <cellStyle name="Normal 9 3" xfId="422"/>
    <cellStyle name="Normal 9 3 2" xfId="678"/>
    <cellStyle name="Percent_3 P STD" xfId="9"/>
    <cellStyle name="Porcentual 2" xfId="428"/>
  </cellStyles>
  <dxfs count="9">
    <dxf>
      <font>
        <condense val="0"/>
        <extend val="0"/>
        <color rgb="FF9C0006"/>
      </font>
      <fill>
        <patternFill>
          <bgColor rgb="FFFFC7CE"/>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006100"/>
      </font>
      <fill>
        <patternFill>
          <bgColor rgb="FFC6EFCE"/>
        </patternFill>
      </fill>
    </dxf>
    <dxf>
      <fill>
        <patternFill>
          <bgColor rgb="FF00B05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ndense val="0"/>
        <extend val="0"/>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382"/>
  <sheetViews>
    <sheetView tabSelected="1" workbookViewId="0">
      <selection activeCell="F3" sqref="F3"/>
    </sheetView>
  </sheetViews>
  <sheetFormatPr baseColWidth="10" defaultRowHeight="15" x14ac:dyDescent="0.25"/>
  <cols>
    <col min="1" max="1" width="23.5703125" customWidth="1"/>
    <col min="6" max="6" width="71.7109375" style="1" customWidth="1"/>
    <col min="7" max="7" width="96" customWidth="1"/>
    <col min="8" max="8" width="17.7109375" customWidth="1"/>
    <col min="10" max="10" width="15.140625" customWidth="1"/>
    <col min="11" max="11" width="13.85546875" customWidth="1"/>
    <col min="14" max="14" width="10.140625" customWidth="1"/>
    <col min="15" max="15" width="67.42578125" style="1" customWidth="1"/>
    <col min="17" max="17" width="69" customWidth="1"/>
    <col min="18" max="18" width="78.7109375" customWidth="1"/>
  </cols>
  <sheetData>
    <row r="1" spans="1:18" s="1" customFormat="1" x14ac:dyDescent="0.25"/>
    <row r="2" spans="1:18" ht="45.75" customHeight="1" x14ac:dyDescent="0.25">
      <c r="A2" s="3" t="s">
        <v>0</v>
      </c>
      <c r="B2" s="3" t="s">
        <v>1</v>
      </c>
      <c r="C2" s="3" t="s">
        <v>2</v>
      </c>
      <c r="D2" s="4" t="s">
        <v>3</v>
      </c>
      <c r="E2" s="3" t="s">
        <v>4</v>
      </c>
      <c r="F2" s="3" t="s">
        <v>17</v>
      </c>
      <c r="G2" s="3" t="s">
        <v>15</v>
      </c>
      <c r="H2" s="3" t="s">
        <v>5</v>
      </c>
      <c r="I2" s="3" t="s">
        <v>6</v>
      </c>
      <c r="J2" s="3" t="s">
        <v>7</v>
      </c>
      <c r="K2" s="3" t="s">
        <v>8</v>
      </c>
      <c r="L2" s="3" t="s">
        <v>9</v>
      </c>
      <c r="M2" s="3" t="s">
        <v>10</v>
      </c>
      <c r="N2" s="3" t="s">
        <v>11</v>
      </c>
      <c r="O2" s="3" t="s">
        <v>16</v>
      </c>
      <c r="P2" s="3" t="s">
        <v>12</v>
      </c>
      <c r="Q2" s="3" t="s">
        <v>13</v>
      </c>
      <c r="R2" s="3" t="s">
        <v>14</v>
      </c>
    </row>
    <row r="3" spans="1:18" ht="45" x14ac:dyDescent="0.25">
      <c r="A3" s="2" t="s">
        <v>39</v>
      </c>
      <c r="B3" s="15">
        <v>44200</v>
      </c>
      <c r="C3" s="15">
        <v>44201</v>
      </c>
      <c r="D3" s="2">
        <v>2</v>
      </c>
      <c r="E3" s="2"/>
      <c r="F3" s="2" t="s">
        <v>82</v>
      </c>
      <c r="G3" s="16" t="s">
        <v>83</v>
      </c>
      <c r="H3" s="16" t="s">
        <v>84</v>
      </c>
      <c r="I3" s="2">
        <v>554</v>
      </c>
      <c r="J3" s="2">
        <v>15264</v>
      </c>
      <c r="K3" s="2"/>
      <c r="L3" s="2"/>
      <c r="M3" s="2">
        <v>7624</v>
      </c>
      <c r="N3" s="2">
        <v>4061</v>
      </c>
      <c r="O3" s="16" t="s">
        <v>120</v>
      </c>
      <c r="P3" s="2"/>
      <c r="Q3" s="2"/>
      <c r="R3" s="16" t="s">
        <v>117</v>
      </c>
    </row>
    <row r="4" spans="1:18" ht="33.75" customHeight="1" x14ac:dyDescent="0.25">
      <c r="A4" s="2" t="s">
        <v>28</v>
      </c>
      <c r="B4" s="15">
        <v>44200</v>
      </c>
      <c r="C4" s="15">
        <v>44201</v>
      </c>
      <c r="D4" s="2">
        <v>2</v>
      </c>
      <c r="E4" s="2">
        <v>251495</v>
      </c>
      <c r="F4" s="16" t="s">
        <v>113</v>
      </c>
      <c r="G4" s="2" t="s">
        <v>85</v>
      </c>
      <c r="H4" s="16" t="s">
        <v>87</v>
      </c>
      <c r="I4" s="2">
        <v>555</v>
      </c>
      <c r="J4" s="2"/>
      <c r="K4" s="2"/>
      <c r="L4" s="2"/>
      <c r="M4" s="2">
        <v>7623</v>
      </c>
      <c r="N4" s="2">
        <v>4060</v>
      </c>
      <c r="O4" s="16" t="s">
        <v>86</v>
      </c>
      <c r="P4" s="2"/>
      <c r="Q4" s="2"/>
      <c r="R4" s="2"/>
    </row>
    <row r="5" spans="1:18" x14ac:dyDescent="0.25">
      <c r="A5" s="2" t="s">
        <v>40</v>
      </c>
      <c r="B5" s="15">
        <v>44201</v>
      </c>
      <c r="C5" s="15">
        <v>44201</v>
      </c>
      <c r="D5" s="2">
        <v>1</v>
      </c>
      <c r="E5" s="2"/>
      <c r="F5" s="2" t="s">
        <v>88</v>
      </c>
      <c r="G5" s="2" t="s">
        <v>89</v>
      </c>
      <c r="H5" s="2" t="s">
        <v>90</v>
      </c>
      <c r="I5" s="2">
        <v>556</v>
      </c>
      <c r="J5" s="2"/>
      <c r="K5" s="2"/>
      <c r="L5" s="2"/>
      <c r="M5" s="2"/>
      <c r="N5" s="2"/>
      <c r="O5" s="2"/>
      <c r="P5" s="2"/>
      <c r="Q5" s="2"/>
      <c r="R5" s="2"/>
    </row>
    <row r="6" spans="1:18" ht="51" customHeight="1" x14ac:dyDescent="0.25">
      <c r="A6" s="2" t="s">
        <v>91</v>
      </c>
      <c r="B6" s="15">
        <v>44201</v>
      </c>
      <c r="C6" s="15">
        <v>44280</v>
      </c>
      <c r="D6" s="2"/>
      <c r="E6" s="2"/>
      <c r="F6" s="16" t="s">
        <v>406</v>
      </c>
      <c r="G6" s="16" t="s">
        <v>446</v>
      </c>
      <c r="H6" s="2"/>
      <c r="I6" s="2">
        <v>557</v>
      </c>
      <c r="J6" s="2">
        <v>15268</v>
      </c>
      <c r="K6" s="2"/>
      <c r="L6" s="2"/>
      <c r="M6" s="2" t="s">
        <v>402</v>
      </c>
      <c r="N6" s="2" t="s">
        <v>403</v>
      </c>
      <c r="O6" s="16" t="s">
        <v>283</v>
      </c>
      <c r="P6" s="2" t="s">
        <v>551</v>
      </c>
      <c r="Q6" s="16" t="s">
        <v>552</v>
      </c>
      <c r="R6" s="16" t="s">
        <v>118</v>
      </c>
    </row>
    <row r="7" spans="1:18" x14ac:dyDescent="0.25">
      <c r="A7" s="2" t="s">
        <v>92</v>
      </c>
      <c r="B7" s="15">
        <v>44201</v>
      </c>
      <c r="C7" s="15">
        <v>44215</v>
      </c>
      <c r="D7" s="2">
        <v>5</v>
      </c>
      <c r="E7" s="2"/>
      <c r="F7" s="2" t="s">
        <v>93</v>
      </c>
      <c r="G7" s="16" t="s">
        <v>163</v>
      </c>
      <c r="H7" s="2"/>
      <c r="I7" s="2">
        <v>558</v>
      </c>
      <c r="J7" s="2">
        <v>15268</v>
      </c>
      <c r="K7" s="2"/>
      <c r="L7" s="2"/>
      <c r="M7" s="2"/>
      <c r="N7" s="2"/>
      <c r="O7" s="2"/>
      <c r="P7" s="2"/>
      <c r="Q7" s="2"/>
      <c r="R7" s="2" t="s">
        <v>119</v>
      </c>
    </row>
    <row r="8" spans="1:18" ht="27.75" customHeight="1" x14ac:dyDescent="0.25">
      <c r="A8" s="2" t="s">
        <v>94</v>
      </c>
      <c r="B8" s="15">
        <v>44202</v>
      </c>
      <c r="C8" s="15">
        <v>44210</v>
      </c>
      <c r="D8" s="2">
        <v>9</v>
      </c>
      <c r="E8" s="2"/>
      <c r="F8" s="16" t="s">
        <v>95</v>
      </c>
      <c r="G8" s="16"/>
      <c r="H8" s="16" t="s">
        <v>96</v>
      </c>
      <c r="I8" s="2">
        <v>559</v>
      </c>
      <c r="J8" s="2"/>
      <c r="K8" s="2"/>
      <c r="L8" s="2"/>
      <c r="M8" s="2"/>
      <c r="N8" s="2"/>
      <c r="O8" s="2"/>
      <c r="P8" s="2"/>
      <c r="Q8" s="16"/>
      <c r="R8" s="17"/>
    </row>
    <row r="9" spans="1:18" ht="32.25" customHeight="1" x14ac:dyDescent="0.25">
      <c r="A9" s="2" t="s">
        <v>44</v>
      </c>
      <c r="B9" s="15">
        <v>44202</v>
      </c>
      <c r="C9" s="15">
        <v>44216</v>
      </c>
      <c r="D9" s="2">
        <v>15</v>
      </c>
      <c r="E9" s="2"/>
      <c r="F9" s="16" t="s">
        <v>97</v>
      </c>
      <c r="G9" s="16" t="s">
        <v>165</v>
      </c>
      <c r="H9" s="16" t="s">
        <v>98</v>
      </c>
      <c r="I9" s="14">
        <v>560</v>
      </c>
      <c r="J9" s="2"/>
      <c r="K9" s="2"/>
      <c r="L9" s="2"/>
      <c r="M9" s="2">
        <v>7663</v>
      </c>
      <c r="N9" s="2">
        <v>4104</v>
      </c>
      <c r="O9" s="16" t="s">
        <v>204</v>
      </c>
      <c r="P9" s="2"/>
      <c r="Q9" s="16" t="s">
        <v>228</v>
      </c>
      <c r="R9" s="2"/>
    </row>
    <row r="10" spans="1:18" ht="36" customHeight="1" x14ac:dyDescent="0.25">
      <c r="A10" s="2" t="s">
        <v>99</v>
      </c>
      <c r="B10" s="15">
        <v>44202</v>
      </c>
      <c r="C10" s="15">
        <v>44202</v>
      </c>
      <c r="D10" s="2">
        <v>1</v>
      </c>
      <c r="E10" s="2"/>
      <c r="F10" s="2" t="s">
        <v>100</v>
      </c>
      <c r="G10" s="16" t="s">
        <v>101</v>
      </c>
      <c r="H10" s="2" t="s">
        <v>102</v>
      </c>
      <c r="I10" s="2">
        <v>561</v>
      </c>
      <c r="J10" s="2"/>
      <c r="K10" s="2"/>
      <c r="L10" s="2"/>
      <c r="M10" s="2"/>
      <c r="N10" s="2"/>
      <c r="O10" s="2"/>
      <c r="P10" s="2"/>
      <c r="Q10" s="2"/>
      <c r="R10" s="2"/>
    </row>
    <row r="11" spans="1:18" ht="45" x14ac:dyDescent="0.25">
      <c r="A11" s="2" t="s">
        <v>39</v>
      </c>
      <c r="B11" s="15">
        <v>44203</v>
      </c>
      <c r="C11" s="15">
        <v>44203</v>
      </c>
      <c r="D11" s="2">
        <v>1</v>
      </c>
      <c r="E11" s="2">
        <v>57905</v>
      </c>
      <c r="F11" s="16" t="s">
        <v>103</v>
      </c>
      <c r="G11" s="16" t="s">
        <v>104</v>
      </c>
      <c r="H11" s="2"/>
      <c r="I11" s="2">
        <v>562</v>
      </c>
      <c r="J11" s="2"/>
      <c r="K11" s="2"/>
      <c r="L11" s="2"/>
      <c r="M11" s="2"/>
      <c r="N11" s="2"/>
      <c r="O11" s="2"/>
      <c r="P11" s="2"/>
      <c r="Q11" s="16" t="s">
        <v>239</v>
      </c>
      <c r="R11" s="2"/>
    </row>
    <row r="12" spans="1:18" ht="46.5" customHeight="1" x14ac:dyDescent="0.25">
      <c r="A12" s="2" t="s">
        <v>26</v>
      </c>
      <c r="B12" s="15">
        <v>44203</v>
      </c>
      <c r="C12" s="15">
        <v>44203</v>
      </c>
      <c r="D12" s="2">
        <v>1</v>
      </c>
      <c r="E12" s="2"/>
      <c r="F12" s="2" t="s">
        <v>105</v>
      </c>
      <c r="G12" s="16" t="s">
        <v>106</v>
      </c>
      <c r="H12" s="16" t="s">
        <v>102</v>
      </c>
      <c r="I12" s="2">
        <v>563</v>
      </c>
      <c r="J12" s="2"/>
      <c r="K12" s="2"/>
      <c r="L12" s="2"/>
      <c r="M12" s="2"/>
      <c r="N12" s="2"/>
      <c r="O12" s="2"/>
      <c r="P12" s="2"/>
      <c r="Q12" s="2"/>
      <c r="R12" s="2"/>
    </row>
    <row r="13" spans="1:18" ht="33.75" customHeight="1" x14ac:dyDescent="0.25">
      <c r="A13" s="2" t="s">
        <v>48</v>
      </c>
      <c r="B13" s="15">
        <v>44203</v>
      </c>
      <c r="C13" s="15">
        <v>44255</v>
      </c>
      <c r="D13" s="2"/>
      <c r="E13" s="2"/>
      <c r="F13" s="2" t="s">
        <v>107</v>
      </c>
      <c r="G13" s="16" t="s">
        <v>429</v>
      </c>
      <c r="H13" s="2" t="s">
        <v>108</v>
      </c>
      <c r="I13" s="2">
        <v>564</v>
      </c>
      <c r="J13" s="2" t="s">
        <v>200</v>
      </c>
      <c r="K13" s="2"/>
      <c r="L13" s="2"/>
      <c r="M13" s="2"/>
      <c r="N13" s="2"/>
      <c r="O13" s="2"/>
      <c r="P13" s="16"/>
      <c r="Q13" s="16"/>
      <c r="R13" s="16" t="s">
        <v>430</v>
      </c>
    </row>
    <row r="14" spans="1:18" ht="41.25" customHeight="1" x14ac:dyDescent="0.25">
      <c r="A14" s="2" t="s">
        <v>37</v>
      </c>
      <c r="B14" s="15">
        <v>44203</v>
      </c>
      <c r="C14" s="15">
        <v>44223</v>
      </c>
      <c r="D14" s="2">
        <v>20</v>
      </c>
      <c r="E14" s="2"/>
      <c r="F14" s="2" t="s">
        <v>109</v>
      </c>
      <c r="G14" s="16"/>
      <c r="H14" s="16"/>
      <c r="I14" s="2">
        <v>565</v>
      </c>
      <c r="J14" s="2" t="s">
        <v>144</v>
      </c>
      <c r="K14" s="2"/>
      <c r="L14" s="2"/>
      <c r="M14" s="2">
        <v>7665</v>
      </c>
      <c r="N14" s="2">
        <v>4106</v>
      </c>
      <c r="O14" s="16" t="s">
        <v>205</v>
      </c>
      <c r="P14" s="2">
        <v>60774</v>
      </c>
      <c r="Q14" s="16" t="s">
        <v>234</v>
      </c>
      <c r="R14" s="17" t="s">
        <v>145</v>
      </c>
    </row>
    <row r="15" spans="1:18" ht="30.75" customHeight="1" x14ac:dyDescent="0.25">
      <c r="A15" s="2" t="s">
        <v>110</v>
      </c>
      <c r="B15" s="15">
        <v>44203</v>
      </c>
      <c r="C15" s="15">
        <v>44203</v>
      </c>
      <c r="D15" s="2">
        <v>1</v>
      </c>
      <c r="E15" s="2"/>
      <c r="F15" s="2" t="s">
        <v>111</v>
      </c>
      <c r="G15" s="16"/>
      <c r="H15" s="16" t="s">
        <v>112</v>
      </c>
      <c r="I15" s="2">
        <v>566</v>
      </c>
      <c r="J15" s="2"/>
      <c r="K15" s="2"/>
      <c r="L15" s="2"/>
      <c r="M15" s="2"/>
      <c r="N15" s="2"/>
      <c r="O15" s="2"/>
      <c r="P15" s="2"/>
      <c r="Q15" s="2"/>
      <c r="R15" s="2"/>
    </row>
    <row r="16" spans="1:18" ht="45" x14ac:dyDescent="0.25">
      <c r="A16" s="2" t="s">
        <v>38</v>
      </c>
      <c r="B16" s="15">
        <v>44204</v>
      </c>
      <c r="C16" s="15">
        <v>44204</v>
      </c>
      <c r="D16" s="2">
        <v>1</v>
      </c>
      <c r="E16" s="2">
        <v>71061</v>
      </c>
      <c r="F16" s="2" t="s">
        <v>114</v>
      </c>
      <c r="G16" s="2" t="s">
        <v>115</v>
      </c>
      <c r="H16" s="16" t="s">
        <v>116</v>
      </c>
      <c r="I16" s="2">
        <v>567</v>
      </c>
      <c r="J16" s="2"/>
      <c r="K16" s="2"/>
      <c r="L16" s="2"/>
      <c r="M16" s="2"/>
      <c r="N16" s="2"/>
      <c r="O16" s="2"/>
      <c r="P16" s="2">
        <v>59426</v>
      </c>
      <c r="Q16" s="16" t="s">
        <v>143</v>
      </c>
      <c r="R16" s="2"/>
    </row>
    <row r="17" spans="1:18" ht="57" customHeight="1" x14ac:dyDescent="0.25">
      <c r="A17" s="2" t="s">
        <v>121</v>
      </c>
      <c r="B17" s="15">
        <v>44204</v>
      </c>
      <c r="C17" s="15"/>
      <c r="D17" s="2"/>
      <c r="E17" s="2"/>
      <c r="F17" s="16" t="s">
        <v>158</v>
      </c>
      <c r="G17" s="16" t="s">
        <v>563</v>
      </c>
      <c r="H17" s="16"/>
      <c r="I17" s="2">
        <v>568</v>
      </c>
      <c r="J17" s="2">
        <v>15277</v>
      </c>
      <c r="K17" s="2"/>
      <c r="L17" s="2"/>
      <c r="M17" s="2"/>
      <c r="N17" s="2"/>
      <c r="O17" s="2"/>
      <c r="P17" s="16" t="s">
        <v>280</v>
      </c>
      <c r="Q17" s="16" t="s">
        <v>281</v>
      </c>
      <c r="R17" s="16" t="s">
        <v>562</v>
      </c>
    </row>
    <row r="18" spans="1:18" ht="45" x14ac:dyDescent="0.25">
      <c r="A18" s="2" t="s">
        <v>40</v>
      </c>
      <c r="B18" s="15">
        <v>44205</v>
      </c>
      <c r="C18" s="15">
        <v>44205</v>
      </c>
      <c r="D18" s="2">
        <v>1</v>
      </c>
      <c r="E18" s="2">
        <v>72942</v>
      </c>
      <c r="F18" s="2" t="s">
        <v>122</v>
      </c>
      <c r="G18" s="2" t="s">
        <v>115</v>
      </c>
      <c r="H18" s="16" t="s">
        <v>123</v>
      </c>
      <c r="I18" s="2">
        <v>569</v>
      </c>
      <c r="J18" s="2"/>
      <c r="K18" s="2"/>
      <c r="L18" s="2"/>
      <c r="M18" s="2"/>
      <c r="N18" s="2"/>
      <c r="O18" s="2"/>
      <c r="P18" s="2"/>
      <c r="Q18" s="2"/>
      <c r="R18" s="2"/>
    </row>
    <row r="19" spans="1:18" ht="60" x14ac:dyDescent="0.25">
      <c r="A19" s="2" t="s">
        <v>50</v>
      </c>
      <c r="B19" s="15">
        <v>44207</v>
      </c>
      <c r="C19" s="15">
        <v>44207</v>
      </c>
      <c r="D19" s="2">
        <v>1</v>
      </c>
      <c r="E19" s="2">
        <v>17498</v>
      </c>
      <c r="F19" s="2" t="s">
        <v>122</v>
      </c>
      <c r="G19" s="2" t="s">
        <v>124</v>
      </c>
      <c r="H19" s="16" t="s">
        <v>125</v>
      </c>
      <c r="I19" s="2">
        <v>570</v>
      </c>
      <c r="J19" s="2"/>
      <c r="K19" s="2"/>
      <c r="L19" s="2"/>
      <c r="M19" s="2"/>
      <c r="N19" s="2"/>
      <c r="O19" s="2"/>
      <c r="P19" s="2">
        <v>59429</v>
      </c>
      <c r="Q19" s="2" t="s">
        <v>141</v>
      </c>
      <c r="R19" s="16" t="s">
        <v>142</v>
      </c>
    </row>
    <row r="20" spans="1:18" x14ac:dyDescent="0.25">
      <c r="A20" s="2" t="s">
        <v>64</v>
      </c>
      <c r="B20" s="15">
        <v>44207</v>
      </c>
      <c r="C20" s="15">
        <v>44207</v>
      </c>
      <c r="D20" s="2">
        <v>1</v>
      </c>
      <c r="E20" s="2"/>
      <c r="F20" s="2" t="s">
        <v>126</v>
      </c>
      <c r="G20" s="2" t="s">
        <v>127</v>
      </c>
      <c r="H20" s="16" t="s">
        <v>90</v>
      </c>
      <c r="I20" s="2">
        <v>571</v>
      </c>
      <c r="J20" s="2"/>
      <c r="K20" s="2"/>
      <c r="L20" s="2"/>
      <c r="M20" s="2"/>
      <c r="N20" s="2"/>
      <c r="O20" s="2"/>
      <c r="P20" s="2"/>
      <c r="Q20" s="2"/>
      <c r="R20" s="2"/>
    </row>
    <row r="21" spans="1:18" ht="30.75" customHeight="1" x14ac:dyDescent="0.25">
      <c r="A21" s="2" t="s">
        <v>661</v>
      </c>
      <c r="B21" s="15">
        <v>44207</v>
      </c>
      <c r="C21" s="15">
        <v>44207</v>
      </c>
      <c r="D21" s="2">
        <v>1</v>
      </c>
      <c r="E21" s="2"/>
      <c r="F21" s="16" t="s">
        <v>128</v>
      </c>
      <c r="G21" s="16" t="s">
        <v>129</v>
      </c>
      <c r="H21" s="2" t="s">
        <v>125</v>
      </c>
      <c r="I21" s="2">
        <v>572</v>
      </c>
      <c r="J21" s="2"/>
      <c r="K21" s="2"/>
      <c r="L21" s="2"/>
      <c r="M21" s="2"/>
      <c r="N21" s="2"/>
      <c r="O21" s="2"/>
      <c r="P21" s="2">
        <v>59430</v>
      </c>
      <c r="Q21" s="16" t="s">
        <v>140</v>
      </c>
      <c r="R21" s="16"/>
    </row>
    <row r="22" spans="1:18" ht="45" customHeight="1" x14ac:dyDescent="0.25">
      <c r="A22" s="2" t="s">
        <v>130</v>
      </c>
      <c r="B22" s="15">
        <v>44208</v>
      </c>
      <c r="C22" s="15">
        <v>44218</v>
      </c>
      <c r="D22" s="2">
        <v>11</v>
      </c>
      <c r="E22" s="2"/>
      <c r="F22" s="2" t="s">
        <v>131</v>
      </c>
      <c r="G22" s="16" t="s">
        <v>192</v>
      </c>
      <c r="H22" s="2"/>
      <c r="I22" s="2">
        <v>573</v>
      </c>
      <c r="J22" s="2"/>
      <c r="K22" s="2"/>
      <c r="L22" s="2"/>
      <c r="M22" s="2"/>
      <c r="N22" s="2"/>
      <c r="O22" s="2"/>
      <c r="P22" s="2" t="s">
        <v>541</v>
      </c>
      <c r="Q22" s="16" t="s">
        <v>542</v>
      </c>
      <c r="R22" s="2"/>
    </row>
    <row r="23" spans="1:18" x14ac:dyDescent="0.25">
      <c r="A23" s="2" t="s">
        <v>132</v>
      </c>
      <c r="B23" s="15">
        <v>44208</v>
      </c>
      <c r="C23" s="15">
        <v>44208</v>
      </c>
      <c r="D23" s="2">
        <v>1</v>
      </c>
      <c r="E23" s="2"/>
      <c r="F23" s="2" t="s">
        <v>133</v>
      </c>
      <c r="G23" s="2" t="s">
        <v>134</v>
      </c>
      <c r="H23" s="16" t="s">
        <v>65</v>
      </c>
      <c r="I23" s="2">
        <v>574</v>
      </c>
      <c r="J23" s="2"/>
      <c r="K23" s="2"/>
      <c r="L23" s="2"/>
      <c r="M23" s="2"/>
      <c r="N23" s="2"/>
      <c r="O23" s="2"/>
      <c r="P23" s="2" t="s">
        <v>335</v>
      </c>
      <c r="Q23" s="2" t="s">
        <v>336</v>
      </c>
      <c r="R23" s="2"/>
    </row>
    <row r="24" spans="1:18" ht="30" x14ac:dyDescent="0.25">
      <c r="A24" s="2" t="s">
        <v>39</v>
      </c>
      <c r="B24" s="15">
        <v>44208</v>
      </c>
      <c r="C24" s="15">
        <v>44208</v>
      </c>
      <c r="D24" s="2">
        <v>1</v>
      </c>
      <c r="E24" s="2"/>
      <c r="F24" s="2" t="s">
        <v>135</v>
      </c>
      <c r="G24" s="2" t="s">
        <v>136</v>
      </c>
      <c r="H24" s="16" t="s">
        <v>65</v>
      </c>
      <c r="I24" s="2">
        <v>575</v>
      </c>
      <c r="J24" s="2"/>
      <c r="K24" s="2"/>
      <c r="L24" s="2"/>
      <c r="M24" s="2"/>
      <c r="N24" s="2"/>
      <c r="O24" s="2"/>
      <c r="P24" s="2">
        <v>59995</v>
      </c>
      <c r="Q24" s="16" t="s">
        <v>343</v>
      </c>
      <c r="R24" s="2"/>
    </row>
    <row r="25" spans="1:18" ht="27.75" customHeight="1" x14ac:dyDescent="0.25">
      <c r="A25" s="2" t="s">
        <v>35</v>
      </c>
      <c r="B25" s="15">
        <v>44209</v>
      </c>
      <c r="C25" s="15">
        <v>44239</v>
      </c>
      <c r="D25" s="2"/>
      <c r="E25" s="2"/>
      <c r="F25" s="2" t="s">
        <v>137</v>
      </c>
      <c r="G25" s="16" t="s">
        <v>407</v>
      </c>
      <c r="H25" s="16" t="s">
        <v>138</v>
      </c>
      <c r="I25" s="2">
        <v>576</v>
      </c>
      <c r="J25" s="2">
        <v>15454</v>
      </c>
      <c r="K25" s="2"/>
      <c r="L25" s="2"/>
      <c r="M25" s="2">
        <v>7638</v>
      </c>
      <c r="N25" s="2">
        <v>4228</v>
      </c>
      <c r="O25" s="16" t="s">
        <v>408</v>
      </c>
      <c r="P25" s="2">
        <v>60185</v>
      </c>
      <c r="Q25" s="16" t="s">
        <v>337</v>
      </c>
      <c r="R25" s="2" t="s">
        <v>201</v>
      </c>
    </row>
    <row r="26" spans="1:18" x14ac:dyDescent="0.25">
      <c r="A26" s="2" t="s">
        <v>571</v>
      </c>
      <c r="B26" s="15">
        <v>44210</v>
      </c>
      <c r="C26" s="15">
        <v>44210</v>
      </c>
      <c r="D26" s="2">
        <v>1</v>
      </c>
      <c r="E26" s="2">
        <v>4410</v>
      </c>
      <c r="F26" s="2" t="s">
        <v>122</v>
      </c>
      <c r="G26" s="2" t="s">
        <v>146</v>
      </c>
      <c r="H26" s="16" t="s">
        <v>125</v>
      </c>
      <c r="I26" s="2">
        <v>577</v>
      </c>
      <c r="J26" s="2"/>
      <c r="K26" s="2"/>
      <c r="L26" s="2"/>
      <c r="M26" s="2"/>
      <c r="N26" s="2"/>
      <c r="O26" s="2"/>
      <c r="P26" s="2">
        <v>59656</v>
      </c>
      <c r="Q26" s="2" t="s">
        <v>162</v>
      </c>
      <c r="R26" s="2"/>
    </row>
    <row r="27" spans="1:18" ht="30" x14ac:dyDescent="0.25">
      <c r="A27" s="2" t="s">
        <v>147</v>
      </c>
      <c r="B27" s="15">
        <v>44210</v>
      </c>
      <c r="C27" s="15">
        <v>44214</v>
      </c>
      <c r="D27" s="2">
        <v>5</v>
      </c>
      <c r="E27" s="2"/>
      <c r="F27" s="2" t="s">
        <v>95</v>
      </c>
      <c r="G27" s="2"/>
      <c r="H27" s="16" t="s">
        <v>96</v>
      </c>
      <c r="I27" s="2">
        <v>578</v>
      </c>
      <c r="J27" s="2"/>
      <c r="K27" s="2"/>
      <c r="L27" s="2"/>
      <c r="M27" s="2"/>
      <c r="N27" s="2"/>
      <c r="O27" s="2"/>
      <c r="P27" s="2"/>
      <c r="Q27" s="2"/>
      <c r="R27" s="2"/>
    </row>
    <row r="28" spans="1:18" ht="61.5" customHeight="1" x14ac:dyDescent="0.25">
      <c r="A28" s="2" t="s">
        <v>148</v>
      </c>
      <c r="B28" s="15">
        <v>44210</v>
      </c>
      <c r="C28" s="15">
        <v>44211</v>
      </c>
      <c r="D28" s="2">
        <v>2</v>
      </c>
      <c r="E28" s="2">
        <v>77819</v>
      </c>
      <c r="F28" s="16" t="s">
        <v>149</v>
      </c>
      <c r="G28" s="16" t="s">
        <v>149</v>
      </c>
      <c r="H28" s="16" t="s">
        <v>150</v>
      </c>
      <c r="I28" s="2">
        <v>579</v>
      </c>
      <c r="J28" s="2"/>
      <c r="K28" s="2"/>
      <c r="L28" s="2"/>
      <c r="M28" s="2">
        <v>7643</v>
      </c>
      <c r="N28" s="2">
        <v>4086</v>
      </c>
      <c r="O28" s="16" t="s">
        <v>151</v>
      </c>
      <c r="P28" s="2"/>
      <c r="Q28" s="2"/>
      <c r="R28" s="2"/>
    </row>
    <row r="29" spans="1:18" x14ac:dyDescent="0.25">
      <c r="A29" s="2" t="s">
        <v>38</v>
      </c>
      <c r="B29" s="15">
        <v>44211</v>
      </c>
      <c r="C29" s="15">
        <v>44211</v>
      </c>
      <c r="D29" s="2">
        <v>1</v>
      </c>
      <c r="E29" s="2"/>
      <c r="F29" s="2" t="s">
        <v>152</v>
      </c>
      <c r="G29" s="2" t="s">
        <v>153</v>
      </c>
      <c r="H29" s="16" t="s">
        <v>125</v>
      </c>
      <c r="I29" s="2">
        <v>580</v>
      </c>
      <c r="J29" s="2"/>
      <c r="K29" s="2"/>
      <c r="L29" s="2"/>
      <c r="M29" s="2"/>
      <c r="N29" s="2"/>
      <c r="O29" s="2"/>
      <c r="P29" s="2">
        <v>59667</v>
      </c>
      <c r="Q29" s="2" t="s">
        <v>161</v>
      </c>
      <c r="R29" s="2"/>
    </row>
    <row r="30" spans="1:18" ht="28.5" customHeight="1" x14ac:dyDescent="0.25">
      <c r="A30" s="2" t="s">
        <v>28</v>
      </c>
      <c r="B30" s="15">
        <v>44211</v>
      </c>
      <c r="C30" s="15">
        <v>44216</v>
      </c>
      <c r="D30" s="2">
        <v>5</v>
      </c>
      <c r="E30" s="2"/>
      <c r="F30" s="2" t="s">
        <v>154</v>
      </c>
      <c r="G30" s="2" t="s">
        <v>164</v>
      </c>
      <c r="H30" s="16"/>
      <c r="I30" s="2">
        <v>581</v>
      </c>
      <c r="J30" s="2"/>
      <c r="K30" s="2"/>
      <c r="L30" s="2"/>
      <c r="M30" s="2"/>
      <c r="N30" s="2"/>
      <c r="O30" s="2"/>
      <c r="P30" s="2">
        <v>59750</v>
      </c>
      <c r="Q30" s="2" t="s">
        <v>191</v>
      </c>
      <c r="R30" s="16"/>
    </row>
    <row r="31" spans="1:18" ht="47.25" customHeight="1" x14ac:dyDescent="0.25">
      <c r="A31" s="2" t="s">
        <v>148</v>
      </c>
      <c r="B31" s="15">
        <v>44212</v>
      </c>
      <c r="C31" s="15">
        <v>44212</v>
      </c>
      <c r="D31" s="2">
        <v>1</v>
      </c>
      <c r="E31" s="2"/>
      <c r="F31" s="16" t="s">
        <v>155</v>
      </c>
      <c r="G31" s="16" t="s">
        <v>156</v>
      </c>
      <c r="H31" s="16" t="s">
        <v>189</v>
      </c>
      <c r="I31" s="2">
        <v>582</v>
      </c>
      <c r="J31" s="2"/>
      <c r="K31" s="2"/>
      <c r="L31" s="2"/>
      <c r="M31" s="2">
        <v>7655</v>
      </c>
      <c r="N31" s="2">
        <v>4096</v>
      </c>
      <c r="O31" s="2" t="s">
        <v>188</v>
      </c>
      <c r="P31" s="2"/>
      <c r="Q31" s="2"/>
      <c r="R31" s="2"/>
    </row>
    <row r="32" spans="1:18" ht="30" x14ac:dyDescent="0.25">
      <c r="A32" s="2" t="s">
        <v>41</v>
      </c>
      <c r="B32" s="15">
        <v>44214</v>
      </c>
      <c r="C32" s="15">
        <v>44214</v>
      </c>
      <c r="D32" s="2">
        <v>1</v>
      </c>
      <c r="E32" s="2"/>
      <c r="F32" s="2" t="s">
        <v>157</v>
      </c>
      <c r="G32" s="2"/>
      <c r="H32" s="16"/>
      <c r="I32" s="2">
        <v>583</v>
      </c>
      <c r="J32" s="2"/>
      <c r="K32" s="2"/>
      <c r="L32" s="2"/>
      <c r="M32" s="2"/>
      <c r="N32" s="2"/>
      <c r="O32" s="2"/>
      <c r="P32" s="2">
        <v>59674</v>
      </c>
      <c r="Q32" s="16" t="s">
        <v>196</v>
      </c>
      <c r="R32" s="2"/>
    </row>
    <row r="33" spans="1:18" ht="30" x14ac:dyDescent="0.25">
      <c r="A33" s="2" t="s">
        <v>34</v>
      </c>
      <c r="B33" s="15">
        <v>44210</v>
      </c>
      <c r="C33" s="15">
        <v>44210</v>
      </c>
      <c r="D33" s="2">
        <v>1</v>
      </c>
      <c r="E33" s="2"/>
      <c r="F33" s="2" t="s">
        <v>159</v>
      </c>
      <c r="G33" s="2" t="s">
        <v>202</v>
      </c>
      <c r="H33" s="16" t="s">
        <v>160</v>
      </c>
      <c r="I33" s="2">
        <v>584</v>
      </c>
      <c r="J33" s="2"/>
      <c r="K33" s="2"/>
      <c r="L33" s="2"/>
      <c r="M33" s="2">
        <v>7660</v>
      </c>
      <c r="N33" s="2">
        <v>4101</v>
      </c>
      <c r="O33" s="16" t="s">
        <v>203</v>
      </c>
      <c r="P33" s="2"/>
      <c r="Q33" s="2"/>
      <c r="R33" s="2"/>
    </row>
    <row r="34" spans="1:18" ht="35.25" customHeight="1" x14ac:dyDescent="0.25">
      <c r="A34" s="2" t="s">
        <v>50</v>
      </c>
      <c r="B34" s="15">
        <v>44214</v>
      </c>
      <c r="C34" s="15">
        <v>44214</v>
      </c>
      <c r="D34" s="2">
        <v>1</v>
      </c>
      <c r="E34" s="2"/>
      <c r="F34" s="16" t="s">
        <v>166</v>
      </c>
      <c r="G34" s="16" t="s">
        <v>167</v>
      </c>
      <c r="H34" s="2" t="s">
        <v>125</v>
      </c>
      <c r="I34" s="2">
        <v>585</v>
      </c>
      <c r="J34" s="2"/>
      <c r="K34" s="2"/>
      <c r="L34" s="2"/>
      <c r="M34" s="2"/>
      <c r="N34" s="2"/>
      <c r="O34" s="2"/>
      <c r="P34" s="2">
        <v>59673</v>
      </c>
      <c r="Q34" s="16" t="s">
        <v>197</v>
      </c>
      <c r="R34" s="2"/>
    </row>
    <row r="35" spans="1:18" ht="30" x14ac:dyDescent="0.25">
      <c r="A35" s="2" t="s">
        <v>38</v>
      </c>
      <c r="B35" s="15">
        <v>44214</v>
      </c>
      <c r="C35" s="15">
        <v>44214</v>
      </c>
      <c r="D35" s="2">
        <v>1</v>
      </c>
      <c r="E35" s="2"/>
      <c r="F35" s="16" t="s">
        <v>168</v>
      </c>
      <c r="G35" s="16" t="s">
        <v>169</v>
      </c>
      <c r="H35" s="2" t="s">
        <v>90</v>
      </c>
      <c r="I35" s="2">
        <v>586</v>
      </c>
      <c r="J35" s="2"/>
      <c r="K35" s="2"/>
      <c r="L35" s="2"/>
      <c r="M35" s="2"/>
      <c r="N35" s="2"/>
      <c r="O35" s="2"/>
      <c r="P35" s="2"/>
      <c r="Q35" s="16"/>
      <c r="R35" s="2"/>
    </row>
    <row r="36" spans="1:18" x14ac:dyDescent="0.25">
      <c r="A36" s="2" t="s">
        <v>170</v>
      </c>
      <c r="B36" s="15">
        <v>44214</v>
      </c>
      <c r="C36" s="15">
        <v>44214</v>
      </c>
      <c r="D36" s="2">
        <v>1</v>
      </c>
      <c r="E36" s="2"/>
      <c r="F36" s="2" t="s">
        <v>171</v>
      </c>
      <c r="G36" s="16" t="s">
        <v>172</v>
      </c>
      <c r="H36" s="16" t="s">
        <v>65</v>
      </c>
      <c r="I36" s="2">
        <v>587</v>
      </c>
      <c r="J36" s="2"/>
      <c r="K36" s="2"/>
      <c r="L36" s="2"/>
      <c r="M36" s="2"/>
      <c r="N36" s="2"/>
      <c r="O36" s="2"/>
      <c r="P36" s="2"/>
      <c r="Q36" s="2"/>
      <c r="R36" s="2"/>
    </row>
    <row r="37" spans="1:18" ht="30.75" customHeight="1" x14ac:dyDescent="0.25">
      <c r="A37" s="2" t="s">
        <v>34</v>
      </c>
      <c r="B37" s="15">
        <v>44216</v>
      </c>
      <c r="C37" s="15">
        <v>44216</v>
      </c>
      <c r="D37" s="2">
        <v>1</v>
      </c>
      <c r="E37" s="2"/>
      <c r="F37" s="2" t="s">
        <v>173</v>
      </c>
      <c r="G37" s="16" t="s">
        <v>174</v>
      </c>
      <c r="H37" s="16" t="s">
        <v>65</v>
      </c>
      <c r="I37" s="2">
        <v>588</v>
      </c>
      <c r="J37" s="2"/>
      <c r="K37" s="2"/>
      <c r="L37" s="2"/>
      <c r="M37" s="2"/>
      <c r="N37" s="2"/>
      <c r="O37" s="2"/>
      <c r="P37" s="2" t="s">
        <v>235</v>
      </c>
      <c r="Q37" s="2" t="s">
        <v>236</v>
      </c>
      <c r="R37" s="2"/>
    </row>
    <row r="38" spans="1:18" ht="60" x14ac:dyDescent="0.25">
      <c r="A38" s="2" t="s">
        <v>110</v>
      </c>
      <c r="B38" s="15">
        <v>44216</v>
      </c>
      <c r="C38" s="15">
        <v>44216</v>
      </c>
      <c r="D38" s="2">
        <v>1</v>
      </c>
      <c r="E38" s="2"/>
      <c r="F38" s="16" t="s">
        <v>175</v>
      </c>
      <c r="G38" s="16" t="s">
        <v>175</v>
      </c>
      <c r="H38" s="16" t="s">
        <v>176</v>
      </c>
      <c r="I38" s="2">
        <v>589</v>
      </c>
      <c r="J38" s="2"/>
      <c r="K38" s="2"/>
      <c r="L38" s="2"/>
      <c r="M38" s="2"/>
      <c r="N38" s="2"/>
      <c r="O38" s="2"/>
      <c r="P38" s="2"/>
      <c r="Q38" s="2"/>
      <c r="R38" s="2"/>
    </row>
    <row r="39" spans="1:18" ht="30.75" customHeight="1" x14ac:dyDescent="0.25">
      <c r="A39" s="2" t="s">
        <v>147</v>
      </c>
      <c r="B39" s="15">
        <v>44215</v>
      </c>
      <c r="C39" s="15">
        <v>44215</v>
      </c>
      <c r="D39" s="2">
        <v>1</v>
      </c>
      <c r="E39" s="2"/>
      <c r="F39" s="16" t="s">
        <v>177</v>
      </c>
      <c r="G39" s="16" t="s">
        <v>193</v>
      </c>
      <c r="H39" s="16" t="s">
        <v>90</v>
      </c>
      <c r="I39" s="2">
        <v>590</v>
      </c>
      <c r="J39" s="2"/>
      <c r="K39" s="2"/>
      <c r="L39" s="2"/>
      <c r="M39" s="2"/>
      <c r="N39" s="2"/>
      <c r="O39" s="2"/>
      <c r="P39" s="2">
        <v>60168</v>
      </c>
      <c r="Q39" s="16" t="s">
        <v>331</v>
      </c>
      <c r="R39" s="2"/>
    </row>
    <row r="40" spans="1:18" ht="41.25" customHeight="1" x14ac:dyDescent="0.25">
      <c r="A40" s="2" t="s">
        <v>571</v>
      </c>
      <c r="B40" s="15">
        <v>44216</v>
      </c>
      <c r="C40" s="15">
        <v>44216</v>
      </c>
      <c r="D40" s="2">
        <v>1</v>
      </c>
      <c r="E40" s="2"/>
      <c r="F40" s="2" t="s">
        <v>178</v>
      </c>
      <c r="G40" s="16" t="s">
        <v>179</v>
      </c>
      <c r="H40" s="2" t="s">
        <v>90</v>
      </c>
      <c r="I40" s="2">
        <v>591</v>
      </c>
      <c r="J40" s="2"/>
      <c r="K40" s="2"/>
      <c r="L40" s="2"/>
      <c r="M40" s="2"/>
      <c r="N40" s="2"/>
      <c r="O40" s="2"/>
      <c r="P40" s="2" t="s">
        <v>198</v>
      </c>
      <c r="Q40" s="2" t="s">
        <v>199</v>
      </c>
      <c r="R40" s="16"/>
    </row>
    <row r="41" spans="1:18" x14ac:dyDescent="0.25">
      <c r="A41" s="2" t="s">
        <v>41</v>
      </c>
      <c r="B41" s="15">
        <v>44216</v>
      </c>
      <c r="C41" s="15">
        <v>44216</v>
      </c>
      <c r="D41" s="2">
        <v>1</v>
      </c>
      <c r="E41" s="2"/>
      <c r="F41" s="2" t="s">
        <v>180</v>
      </c>
      <c r="G41" s="16" t="s">
        <v>181</v>
      </c>
      <c r="H41" s="2" t="s">
        <v>125</v>
      </c>
      <c r="I41" s="2">
        <v>592</v>
      </c>
      <c r="J41" s="2"/>
      <c r="K41" s="2"/>
      <c r="L41" s="2"/>
      <c r="M41" s="2"/>
      <c r="N41" s="2"/>
      <c r="O41" s="2"/>
      <c r="P41" s="2">
        <v>59735</v>
      </c>
      <c r="Q41" s="2" t="s">
        <v>195</v>
      </c>
      <c r="R41" s="2"/>
    </row>
    <row r="42" spans="1:18" x14ac:dyDescent="0.25">
      <c r="A42" s="2" t="s">
        <v>94</v>
      </c>
      <c r="B42" s="15">
        <v>44217</v>
      </c>
      <c r="C42" s="15">
        <v>44217</v>
      </c>
      <c r="D42" s="2">
        <v>1</v>
      </c>
      <c r="E42" s="2"/>
      <c r="F42" s="2" t="s">
        <v>182</v>
      </c>
      <c r="G42" s="16" t="s">
        <v>183</v>
      </c>
      <c r="H42" s="2" t="s">
        <v>65</v>
      </c>
      <c r="I42" s="2">
        <v>593</v>
      </c>
      <c r="J42" s="2"/>
      <c r="K42" s="2"/>
      <c r="L42" s="2"/>
      <c r="M42" s="2"/>
      <c r="N42" s="2"/>
      <c r="O42" s="2"/>
      <c r="P42" s="2">
        <v>59745</v>
      </c>
      <c r="Q42" s="2" t="s">
        <v>194</v>
      </c>
      <c r="R42" s="2"/>
    </row>
    <row r="43" spans="1:18" x14ac:dyDescent="0.25">
      <c r="A43" s="2" t="s">
        <v>184</v>
      </c>
      <c r="B43" s="15">
        <v>44217</v>
      </c>
      <c r="C43" s="15">
        <v>44217</v>
      </c>
      <c r="D43" s="2">
        <v>1</v>
      </c>
      <c r="E43" s="2"/>
      <c r="F43" s="2" t="s">
        <v>182</v>
      </c>
      <c r="G43" s="16" t="s">
        <v>185</v>
      </c>
      <c r="H43" s="2" t="s">
        <v>186</v>
      </c>
      <c r="I43" s="2">
        <v>594</v>
      </c>
      <c r="J43" s="2"/>
      <c r="K43" s="2"/>
      <c r="L43" s="2"/>
      <c r="M43" s="2"/>
      <c r="N43" s="2"/>
      <c r="O43" s="2"/>
      <c r="P43" s="2"/>
      <c r="Q43" s="2"/>
      <c r="R43" s="16"/>
    </row>
    <row r="44" spans="1:18" ht="60" x14ac:dyDescent="0.25">
      <c r="A44" s="2" t="s">
        <v>99</v>
      </c>
      <c r="B44" s="15">
        <v>44217</v>
      </c>
      <c r="C44" s="15">
        <v>44237</v>
      </c>
      <c r="D44" s="2"/>
      <c r="E44" s="2"/>
      <c r="F44" s="16" t="s">
        <v>187</v>
      </c>
      <c r="G44" s="16" t="s">
        <v>330</v>
      </c>
      <c r="H44" s="2"/>
      <c r="I44" s="2">
        <v>595</v>
      </c>
      <c r="J44" s="2" t="s">
        <v>232</v>
      </c>
      <c r="K44" s="2"/>
      <c r="L44" s="2"/>
      <c r="M44" s="2">
        <v>7693</v>
      </c>
      <c r="N44" s="2"/>
      <c r="O44" s="16" t="s">
        <v>284</v>
      </c>
      <c r="P44" s="2">
        <v>59752</v>
      </c>
      <c r="Q44" s="2" t="s">
        <v>190</v>
      </c>
      <c r="R44" s="16" t="s">
        <v>233</v>
      </c>
    </row>
    <row r="45" spans="1:18" s="1" customFormat="1" x14ac:dyDescent="0.25">
      <c r="A45" s="2" t="s">
        <v>26</v>
      </c>
      <c r="B45" s="15">
        <v>44218</v>
      </c>
      <c r="C45" s="15">
        <v>44218</v>
      </c>
      <c r="D45" s="2">
        <v>1</v>
      </c>
      <c r="E45" s="2"/>
      <c r="F45" s="16" t="s">
        <v>208</v>
      </c>
      <c r="G45" s="16" t="s">
        <v>209</v>
      </c>
      <c r="H45" s="2" t="s">
        <v>65</v>
      </c>
      <c r="I45" s="2">
        <v>596</v>
      </c>
      <c r="J45" s="2"/>
      <c r="K45" s="2"/>
      <c r="L45" s="2"/>
      <c r="M45" s="2"/>
      <c r="N45" s="2"/>
      <c r="O45" s="2"/>
      <c r="P45" s="2">
        <v>60753</v>
      </c>
      <c r="Q45" s="2" t="s">
        <v>230</v>
      </c>
      <c r="R45" s="2"/>
    </row>
    <row r="46" spans="1:18" ht="33" customHeight="1" x14ac:dyDescent="0.25">
      <c r="A46" s="15" t="s">
        <v>38</v>
      </c>
      <c r="B46" s="15">
        <v>44221</v>
      </c>
      <c r="C46" s="15">
        <v>44221</v>
      </c>
      <c r="D46" s="2">
        <v>1</v>
      </c>
      <c r="E46" s="2"/>
      <c r="F46" s="16" t="s">
        <v>206</v>
      </c>
      <c r="G46" s="16" t="s">
        <v>207</v>
      </c>
      <c r="H46" s="16" t="s">
        <v>84</v>
      </c>
      <c r="I46" s="2">
        <v>597</v>
      </c>
      <c r="J46" s="2"/>
      <c r="K46" s="2"/>
      <c r="L46" s="2"/>
      <c r="M46" s="2"/>
      <c r="N46" s="2"/>
      <c r="O46" s="2"/>
      <c r="P46" s="2"/>
      <c r="Q46" s="16"/>
      <c r="R46" s="2"/>
    </row>
    <row r="47" spans="1:18" s="1" customFormat="1" ht="27" customHeight="1" x14ac:dyDescent="0.25">
      <c r="A47" s="2" t="s">
        <v>36</v>
      </c>
      <c r="B47" s="15">
        <v>44221</v>
      </c>
      <c r="C47" s="15">
        <v>44221</v>
      </c>
      <c r="D47" s="2">
        <v>1</v>
      </c>
      <c r="E47" s="2"/>
      <c r="F47" s="16" t="s">
        <v>210</v>
      </c>
      <c r="G47" s="16" t="s">
        <v>211</v>
      </c>
      <c r="H47" s="16" t="s">
        <v>212</v>
      </c>
      <c r="I47" s="2">
        <v>598</v>
      </c>
      <c r="J47" s="2"/>
      <c r="K47" s="2"/>
      <c r="L47" s="2"/>
      <c r="M47" s="2"/>
      <c r="N47" s="2"/>
      <c r="O47" s="2"/>
      <c r="P47" s="2"/>
      <c r="Q47" s="16"/>
      <c r="R47" s="2"/>
    </row>
    <row r="48" spans="1:18" s="1" customFormat="1" ht="27" customHeight="1" x14ac:dyDescent="0.25">
      <c r="A48" s="2" t="s">
        <v>44</v>
      </c>
      <c r="B48" s="15">
        <v>44221</v>
      </c>
      <c r="C48" s="15">
        <v>44229</v>
      </c>
      <c r="D48" s="2">
        <v>2</v>
      </c>
      <c r="E48" s="2"/>
      <c r="F48" s="16" t="s">
        <v>255</v>
      </c>
      <c r="G48" s="16" t="s">
        <v>256</v>
      </c>
      <c r="H48" s="16" t="s">
        <v>274</v>
      </c>
      <c r="I48" s="2">
        <v>599</v>
      </c>
      <c r="J48" s="2"/>
      <c r="K48" s="2"/>
      <c r="L48" s="2"/>
      <c r="M48" s="2"/>
      <c r="N48" s="2"/>
      <c r="O48" s="2"/>
      <c r="P48" s="2">
        <v>59956</v>
      </c>
      <c r="Q48" s="16" t="s">
        <v>275</v>
      </c>
      <c r="R48" s="2"/>
    </row>
    <row r="49" spans="1:18" ht="45" x14ac:dyDescent="0.25">
      <c r="A49" s="2" t="s">
        <v>39</v>
      </c>
      <c r="B49" s="15">
        <v>44222</v>
      </c>
      <c r="C49" s="15">
        <v>44222</v>
      </c>
      <c r="D49" s="2">
        <v>1</v>
      </c>
      <c r="E49" s="2"/>
      <c r="F49" s="16" t="s">
        <v>213</v>
      </c>
      <c r="G49" s="16" t="s">
        <v>214</v>
      </c>
      <c r="H49" s="2" t="s">
        <v>65</v>
      </c>
      <c r="I49" s="2">
        <v>600</v>
      </c>
      <c r="J49" s="2"/>
      <c r="K49" s="2"/>
      <c r="L49" s="2"/>
      <c r="M49" s="2"/>
      <c r="N49" s="2"/>
      <c r="O49" s="2"/>
      <c r="P49" s="2">
        <v>60762</v>
      </c>
      <c r="Q49" s="2" t="s">
        <v>238</v>
      </c>
      <c r="R49" s="2"/>
    </row>
    <row r="50" spans="1:18" ht="33" customHeight="1" x14ac:dyDescent="0.25">
      <c r="A50" s="2" t="s">
        <v>33</v>
      </c>
      <c r="B50" s="15">
        <v>44222</v>
      </c>
      <c r="C50" s="15">
        <v>44222</v>
      </c>
      <c r="D50" s="2">
        <v>1</v>
      </c>
      <c r="E50" s="2"/>
      <c r="F50" s="16" t="s">
        <v>215</v>
      </c>
      <c r="G50" s="16" t="s">
        <v>217</v>
      </c>
      <c r="H50" s="16" t="s">
        <v>216</v>
      </c>
      <c r="I50" s="2">
        <v>601</v>
      </c>
      <c r="J50" s="2"/>
      <c r="K50" s="2"/>
      <c r="L50" s="2"/>
      <c r="M50" s="2"/>
      <c r="N50" s="2"/>
      <c r="O50" s="2"/>
      <c r="P50" s="2">
        <v>60752</v>
      </c>
      <c r="Q50" s="2" t="s">
        <v>231</v>
      </c>
      <c r="R50" s="16"/>
    </row>
    <row r="51" spans="1:18" ht="31.5" customHeight="1" x14ac:dyDescent="0.25">
      <c r="A51" s="2" t="s">
        <v>571</v>
      </c>
      <c r="B51" s="15">
        <v>44222</v>
      </c>
      <c r="C51" s="15">
        <v>44222</v>
      </c>
      <c r="D51" s="2">
        <v>1</v>
      </c>
      <c r="E51" s="2"/>
      <c r="F51" s="16" t="s">
        <v>218</v>
      </c>
      <c r="G51" s="16" t="s">
        <v>219</v>
      </c>
      <c r="H51" s="16" t="s">
        <v>102</v>
      </c>
      <c r="I51" s="2">
        <v>602</v>
      </c>
      <c r="J51" s="2"/>
      <c r="K51" s="2"/>
      <c r="L51" s="2"/>
      <c r="M51" s="2"/>
      <c r="N51" s="2"/>
      <c r="O51" s="2"/>
      <c r="P51" s="2">
        <v>60770</v>
      </c>
      <c r="Q51" s="16" t="s">
        <v>237</v>
      </c>
      <c r="R51" s="16"/>
    </row>
    <row r="52" spans="1:18" ht="32.25" customHeight="1" x14ac:dyDescent="0.25">
      <c r="A52" s="15" t="s">
        <v>644</v>
      </c>
      <c r="B52" s="15">
        <v>44222</v>
      </c>
      <c r="C52" s="15">
        <v>44222</v>
      </c>
      <c r="D52" s="2">
        <v>1</v>
      </c>
      <c r="E52" s="2"/>
      <c r="F52" s="2" t="s">
        <v>220</v>
      </c>
      <c r="G52" s="16" t="s">
        <v>221</v>
      </c>
      <c r="H52" s="16" t="s">
        <v>222</v>
      </c>
      <c r="I52" s="2">
        <v>603</v>
      </c>
      <c r="J52" s="2"/>
      <c r="K52" s="2"/>
      <c r="L52" s="2"/>
      <c r="M52" s="2"/>
      <c r="N52" s="2"/>
      <c r="O52" s="2"/>
      <c r="P52" s="2"/>
      <c r="Q52" s="2"/>
      <c r="R52" s="16"/>
    </row>
    <row r="53" spans="1:18" ht="30.75" customHeight="1" x14ac:dyDescent="0.25">
      <c r="A53" s="2" t="s">
        <v>41</v>
      </c>
      <c r="B53" s="15">
        <v>44222</v>
      </c>
      <c r="C53" s="15">
        <v>44222</v>
      </c>
      <c r="D53" s="2">
        <v>1</v>
      </c>
      <c r="E53" s="2"/>
      <c r="F53" s="2" t="s">
        <v>220</v>
      </c>
      <c r="G53" s="16" t="s">
        <v>223</v>
      </c>
      <c r="H53" s="16" t="s">
        <v>224</v>
      </c>
      <c r="I53" s="2">
        <v>604</v>
      </c>
      <c r="J53" s="2"/>
      <c r="K53" s="2"/>
      <c r="L53" s="2"/>
      <c r="M53" s="2"/>
      <c r="N53" s="2"/>
      <c r="O53" s="2"/>
      <c r="P53" s="2"/>
      <c r="Q53" s="16"/>
      <c r="R53" s="2"/>
    </row>
    <row r="54" spans="1:18" x14ac:dyDescent="0.25">
      <c r="A54" s="2" t="s">
        <v>41</v>
      </c>
      <c r="B54" s="15">
        <v>44222</v>
      </c>
      <c r="C54" s="15">
        <v>44222</v>
      </c>
      <c r="D54" s="2">
        <v>1</v>
      </c>
      <c r="E54" s="2"/>
      <c r="F54" s="2" t="s">
        <v>225</v>
      </c>
      <c r="G54" s="2" t="s">
        <v>226</v>
      </c>
      <c r="H54" s="2" t="s">
        <v>90</v>
      </c>
      <c r="I54" s="2">
        <v>605</v>
      </c>
      <c r="J54" s="2"/>
      <c r="K54" s="2"/>
      <c r="L54" s="2"/>
      <c r="M54" s="2"/>
      <c r="N54" s="2"/>
      <c r="O54" s="2"/>
      <c r="P54" s="2">
        <v>60757</v>
      </c>
      <c r="Q54" s="2" t="s">
        <v>229</v>
      </c>
      <c r="R54" s="2"/>
    </row>
    <row r="55" spans="1:18" ht="30" x14ac:dyDescent="0.25">
      <c r="A55" s="2" t="s">
        <v>36</v>
      </c>
      <c r="B55" s="15">
        <v>44223</v>
      </c>
      <c r="C55" s="15">
        <v>44225</v>
      </c>
      <c r="D55" s="2">
        <v>2</v>
      </c>
      <c r="E55" s="2"/>
      <c r="F55" s="2" t="s">
        <v>227</v>
      </c>
      <c r="G55" s="2"/>
      <c r="H55" s="16" t="s">
        <v>212</v>
      </c>
      <c r="I55" s="2">
        <v>606</v>
      </c>
      <c r="J55" s="2"/>
      <c r="K55" s="2"/>
      <c r="L55" s="2"/>
      <c r="M55" s="2"/>
      <c r="N55" s="2"/>
      <c r="O55" s="2"/>
      <c r="P55" s="2"/>
      <c r="Q55" s="2"/>
      <c r="R55" s="2"/>
    </row>
    <row r="56" spans="1:18" ht="27.75" customHeight="1" x14ac:dyDescent="0.25">
      <c r="A56" s="2" t="s">
        <v>33</v>
      </c>
      <c r="B56" s="15">
        <v>44223</v>
      </c>
      <c r="C56" s="15">
        <v>44223</v>
      </c>
      <c r="D56" s="2">
        <v>1</v>
      </c>
      <c r="E56" s="2">
        <v>43249</v>
      </c>
      <c r="F56" s="2" t="s">
        <v>240</v>
      </c>
      <c r="G56" s="16" t="s">
        <v>115</v>
      </c>
      <c r="H56" s="16" t="s">
        <v>244</v>
      </c>
      <c r="I56" s="2">
        <v>607</v>
      </c>
      <c r="J56" s="2"/>
      <c r="K56" s="2"/>
      <c r="L56" s="2"/>
      <c r="M56" s="2"/>
      <c r="N56" s="2"/>
      <c r="O56" s="2"/>
      <c r="P56" s="2">
        <v>60777</v>
      </c>
      <c r="Q56" s="16" t="s">
        <v>241</v>
      </c>
      <c r="R56" s="2"/>
    </row>
    <row r="57" spans="1:18" ht="30" customHeight="1" x14ac:dyDescent="0.25">
      <c r="A57" s="2" t="s">
        <v>33</v>
      </c>
      <c r="B57" s="15">
        <v>44224</v>
      </c>
      <c r="C57" s="15">
        <v>44224</v>
      </c>
      <c r="D57" s="2">
        <v>1</v>
      </c>
      <c r="E57" s="2"/>
      <c r="F57" s="16" t="s">
        <v>341</v>
      </c>
      <c r="G57" s="16" t="s">
        <v>242</v>
      </c>
      <c r="H57" s="16" t="s">
        <v>216</v>
      </c>
      <c r="I57" s="2">
        <v>608</v>
      </c>
      <c r="J57" s="2"/>
      <c r="K57" s="2"/>
      <c r="L57" s="2"/>
      <c r="M57" s="2"/>
      <c r="N57" s="2"/>
      <c r="O57" s="2"/>
      <c r="P57" s="2"/>
      <c r="Q57" s="16"/>
      <c r="R57" s="16"/>
    </row>
    <row r="58" spans="1:18" ht="45" x14ac:dyDescent="0.25">
      <c r="A58" s="2" t="s">
        <v>39</v>
      </c>
      <c r="B58" s="15">
        <v>44225</v>
      </c>
      <c r="C58" s="15">
        <v>44225</v>
      </c>
      <c r="D58" s="2">
        <v>1</v>
      </c>
      <c r="E58" s="2">
        <v>63891</v>
      </c>
      <c r="F58" s="2" t="s">
        <v>240</v>
      </c>
      <c r="G58" s="16" t="s">
        <v>243</v>
      </c>
      <c r="H58" s="16" t="s">
        <v>123</v>
      </c>
      <c r="I58" s="2">
        <v>609</v>
      </c>
      <c r="J58" s="2"/>
      <c r="K58" s="2"/>
      <c r="L58" s="2"/>
      <c r="M58" s="2"/>
      <c r="N58" s="2"/>
      <c r="O58" s="2"/>
      <c r="P58" s="2">
        <v>60786</v>
      </c>
      <c r="Q58" s="16" t="s">
        <v>245</v>
      </c>
      <c r="R58" s="2" t="s">
        <v>246</v>
      </c>
    </row>
    <row r="59" spans="1:18" ht="45" x14ac:dyDescent="0.25">
      <c r="A59" s="2" t="s">
        <v>34</v>
      </c>
      <c r="B59" s="15">
        <v>44225</v>
      </c>
      <c r="C59" s="15">
        <v>44225</v>
      </c>
      <c r="D59" s="2">
        <v>1</v>
      </c>
      <c r="E59" s="2">
        <v>94855</v>
      </c>
      <c r="F59" s="2" t="s">
        <v>240</v>
      </c>
      <c r="G59" s="16" t="s">
        <v>247</v>
      </c>
      <c r="H59" s="16" t="s">
        <v>248</v>
      </c>
      <c r="I59" s="2">
        <v>610</v>
      </c>
      <c r="J59" s="2"/>
      <c r="K59" s="2"/>
      <c r="L59" s="2"/>
      <c r="M59" s="2"/>
      <c r="N59" s="2"/>
      <c r="O59" s="2"/>
      <c r="P59" s="2">
        <v>60785</v>
      </c>
      <c r="Q59" s="16" t="s">
        <v>249</v>
      </c>
      <c r="R59" s="2"/>
    </row>
    <row r="60" spans="1:18" ht="90" x14ac:dyDescent="0.25">
      <c r="A60" s="2" t="s">
        <v>37</v>
      </c>
      <c r="B60" s="15">
        <v>44225</v>
      </c>
      <c r="C60" s="15">
        <v>44225</v>
      </c>
      <c r="D60" s="2">
        <v>1</v>
      </c>
      <c r="E60" s="2"/>
      <c r="F60" s="2" t="s">
        <v>250</v>
      </c>
      <c r="G60" s="16" t="s">
        <v>251</v>
      </c>
      <c r="H60" s="2" t="s">
        <v>90</v>
      </c>
      <c r="I60" s="2">
        <v>611</v>
      </c>
      <c r="J60" s="2"/>
      <c r="K60" s="2"/>
      <c r="L60" s="2"/>
      <c r="M60" s="2"/>
      <c r="N60" s="2"/>
      <c r="O60" s="2"/>
      <c r="P60" s="16" t="s">
        <v>278</v>
      </c>
      <c r="Q60" s="16" t="s">
        <v>279</v>
      </c>
      <c r="R60" s="2"/>
    </row>
    <row r="61" spans="1:18" ht="45" x14ac:dyDescent="0.25">
      <c r="A61" s="2" t="s">
        <v>26</v>
      </c>
      <c r="B61" s="15">
        <v>44226</v>
      </c>
      <c r="C61" s="15">
        <v>44226</v>
      </c>
      <c r="D61" s="2">
        <v>1</v>
      </c>
      <c r="E61" s="2"/>
      <c r="F61" s="2" t="s">
        <v>252</v>
      </c>
      <c r="G61" s="16" t="s">
        <v>253</v>
      </c>
      <c r="H61" s="16" t="s">
        <v>254</v>
      </c>
      <c r="I61" s="2">
        <v>612</v>
      </c>
      <c r="J61" s="2"/>
      <c r="K61" s="2"/>
      <c r="L61" s="2"/>
      <c r="M61" s="2"/>
      <c r="N61" s="2"/>
      <c r="O61" s="2"/>
      <c r="P61" s="2"/>
      <c r="Q61" s="2"/>
      <c r="R61" s="2"/>
    </row>
    <row r="62" spans="1:18" ht="27" customHeight="1" x14ac:dyDescent="0.25">
      <c r="A62" s="2" t="s">
        <v>53</v>
      </c>
      <c r="B62" s="15">
        <v>44228</v>
      </c>
      <c r="C62" s="15">
        <v>44228</v>
      </c>
      <c r="D62" s="2">
        <v>1</v>
      </c>
      <c r="E62" s="2">
        <v>6781</v>
      </c>
      <c r="F62" s="16" t="s">
        <v>240</v>
      </c>
      <c r="G62" s="16" t="s">
        <v>276</v>
      </c>
      <c r="H62" s="2" t="s">
        <v>102</v>
      </c>
      <c r="I62" s="2">
        <v>613</v>
      </c>
      <c r="J62" s="2"/>
      <c r="K62" s="2"/>
      <c r="L62" s="2"/>
      <c r="M62" s="2"/>
      <c r="N62" s="2"/>
      <c r="O62" s="2"/>
      <c r="P62" s="2">
        <v>60795</v>
      </c>
      <c r="Q62" s="16" t="s">
        <v>277</v>
      </c>
      <c r="R62" s="16" t="s">
        <v>472</v>
      </c>
    </row>
    <row r="63" spans="1:18" ht="27" customHeight="1" x14ac:dyDescent="0.25">
      <c r="A63" s="2" t="s">
        <v>26</v>
      </c>
      <c r="B63" s="15">
        <v>44228</v>
      </c>
      <c r="C63" s="15">
        <v>44228</v>
      </c>
      <c r="D63" s="2">
        <v>1</v>
      </c>
      <c r="E63" s="2"/>
      <c r="F63" s="2" t="s">
        <v>257</v>
      </c>
      <c r="G63" s="16" t="s">
        <v>258</v>
      </c>
      <c r="H63" s="16" t="s">
        <v>259</v>
      </c>
      <c r="I63" s="2">
        <v>614</v>
      </c>
      <c r="J63" s="2"/>
      <c r="K63" s="2"/>
      <c r="L63" s="2"/>
      <c r="M63" s="2"/>
      <c r="N63" s="2"/>
      <c r="O63" s="2"/>
      <c r="P63" s="2"/>
      <c r="Q63" s="2"/>
      <c r="R63" s="16"/>
    </row>
    <row r="64" spans="1:18" ht="30" customHeight="1" x14ac:dyDescent="0.25">
      <c r="A64" s="2" t="s">
        <v>170</v>
      </c>
      <c r="B64" s="15">
        <v>44228</v>
      </c>
      <c r="C64" s="15">
        <v>44228</v>
      </c>
      <c r="D64" s="2">
        <v>1</v>
      </c>
      <c r="E64" s="2"/>
      <c r="F64" s="2" t="s">
        <v>260</v>
      </c>
      <c r="G64" s="16" t="s">
        <v>261</v>
      </c>
      <c r="H64" s="16" t="s">
        <v>262</v>
      </c>
      <c r="I64" s="2">
        <v>615</v>
      </c>
      <c r="J64" s="2"/>
      <c r="K64" s="2"/>
      <c r="L64" s="2"/>
      <c r="M64" s="2"/>
      <c r="N64" s="2"/>
      <c r="O64" s="2"/>
      <c r="P64" s="2"/>
      <c r="Q64" s="16"/>
      <c r="R64" s="2"/>
    </row>
    <row r="65" spans="1:18" ht="18.75" customHeight="1" x14ac:dyDescent="0.25">
      <c r="A65" s="2" t="s">
        <v>36</v>
      </c>
      <c r="B65" s="15">
        <v>44228</v>
      </c>
      <c r="C65" s="15">
        <v>44228</v>
      </c>
      <c r="D65" s="2">
        <v>1</v>
      </c>
      <c r="E65" s="2"/>
      <c r="F65" s="2" t="s">
        <v>263</v>
      </c>
      <c r="G65" s="16" t="s">
        <v>264</v>
      </c>
      <c r="H65" s="16" t="s">
        <v>90</v>
      </c>
      <c r="I65" s="2">
        <v>616</v>
      </c>
      <c r="J65" s="2"/>
      <c r="K65" s="2"/>
      <c r="L65" s="2"/>
      <c r="M65" s="2"/>
      <c r="N65" s="2"/>
      <c r="O65" s="2"/>
      <c r="P65" s="2"/>
      <c r="Q65" s="2"/>
      <c r="R65" s="2"/>
    </row>
    <row r="66" spans="1:18" ht="45" x14ac:dyDescent="0.25">
      <c r="A66" s="2" t="s">
        <v>38</v>
      </c>
      <c r="B66" s="15">
        <v>44229</v>
      </c>
      <c r="C66" s="15">
        <v>44229</v>
      </c>
      <c r="D66" s="2">
        <v>1</v>
      </c>
      <c r="E66" s="2"/>
      <c r="F66" s="2" t="s">
        <v>265</v>
      </c>
      <c r="G66" s="2" t="s">
        <v>266</v>
      </c>
      <c r="H66" s="16" t="s">
        <v>216</v>
      </c>
      <c r="I66" s="2">
        <v>617</v>
      </c>
      <c r="J66" s="2"/>
      <c r="K66" s="2"/>
      <c r="L66" s="2"/>
      <c r="M66" s="2"/>
      <c r="N66" s="2"/>
      <c r="O66" s="2"/>
      <c r="P66" s="2">
        <v>59957</v>
      </c>
      <c r="Q66" s="2" t="s">
        <v>273</v>
      </c>
      <c r="R66" s="2"/>
    </row>
    <row r="67" spans="1:18" ht="28.5" customHeight="1" x14ac:dyDescent="0.25">
      <c r="A67" s="2" t="s">
        <v>148</v>
      </c>
      <c r="B67" s="15">
        <v>44229</v>
      </c>
      <c r="C67" s="15">
        <v>44229</v>
      </c>
      <c r="D67" s="2">
        <v>1</v>
      </c>
      <c r="E67" s="2"/>
      <c r="F67" s="2" t="s">
        <v>267</v>
      </c>
      <c r="G67" s="16" t="s">
        <v>268</v>
      </c>
      <c r="H67" s="16"/>
      <c r="I67" s="2">
        <v>618</v>
      </c>
      <c r="J67" s="2"/>
      <c r="K67" s="2"/>
      <c r="L67" s="2"/>
      <c r="M67" s="2"/>
      <c r="N67" s="2"/>
      <c r="O67" s="2"/>
      <c r="P67" s="2"/>
      <c r="Q67" s="16"/>
      <c r="R67" s="2"/>
    </row>
    <row r="68" spans="1:18" ht="30" customHeight="1" x14ac:dyDescent="0.25">
      <c r="A68" s="2" t="s">
        <v>38</v>
      </c>
      <c r="B68" s="15">
        <v>44230</v>
      </c>
      <c r="C68" s="15">
        <v>44232</v>
      </c>
      <c r="D68" s="2">
        <v>3</v>
      </c>
      <c r="E68" s="2">
        <v>76337</v>
      </c>
      <c r="F68" s="16" t="s">
        <v>269</v>
      </c>
      <c r="G68" s="16" t="s">
        <v>574</v>
      </c>
      <c r="H68" s="2" t="s">
        <v>125</v>
      </c>
      <c r="I68" s="2">
        <v>619</v>
      </c>
      <c r="J68" s="2"/>
      <c r="K68" s="2"/>
      <c r="L68" s="2"/>
      <c r="M68" s="2"/>
      <c r="N68" s="2"/>
      <c r="O68" s="2" t="s">
        <v>270</v>
      </c>
      <c r="P68" s="2" t="s">
        <v>363</v>
      </c>
      <c r="Q68" s="16" t="s">
        <v>364</v>
      </c>
      <c r="R68" s="2"/>
    </row>
    <row r="69" spans="1:18" x14ac:dyDescent="0.25">
      <c r="A69" s="2" t="s">
        <v>26</v>
      </c>
      <c r="B69" s="15">
        <v>44230</v>
      </c>
      <c r="C69" s="15">
        <v>44230</v>
      </c>
      <c r="D69" s="2">
        <v>1</v>
      </c>
      <c r="E69" s="2"/>
      <c r="F69" s="2" t="s">
        <v>271</v>
      </c>
      <c r="G69" s="2" t="s">
        <v>272</v>
      </c>
      <c r="H69" s="2" t="s">
        <v>125</v>
      </c>
      <c r="I69" s="2">
        <v>620</v>
      </c>
      <c r="J69" s="2"/>
      <c r="K69" s="2"/>
      <c r="L69" s="2"/>
      <c r="M69" s="2"/>
      <c r="N69" s="2"/>
      <c r="O69" s="2"/>
      <c r="P69" s="2">
        <v>59975</v>
      </c>
      <c r="Q69" s="2" t="s">
        <v>282</v>
      </c>
      <c r="R69" s="2"/>
    </row>
    <row r="70" spans="1:18" ht="45" x14ac:dyDescent="0.25">
      <c r="A70" s="2" t="s">
        <v>33</v>
      </c>
      <c r="B70" s="15">
        <v>44231</v>
      </c>
      <c r="C70" s="15">
        <v>44231</v>
      </c>
      <c r="D70" s="2">
        <v>1</v>
      </c>
      <c r="E70" s="2"/>
      <c r="F70" s="2" t="s">
        <v>220</v>
      </c>
      <c r="G70" s="16" t="s">
        <v>404</v>
      </c>
      <c r="H70" s="16" t="s">
        <v>285</v>
      </c>
      <c r="I70" s="2">
        <v>621</v>
      </c>
      <c r="J70" s="2"/>
      <c r="K70" s="2"/>
      <c r="L70" s="2"/>
      <c r="M70" s="2">
        <v>7726</v>
      </c>
      <c r="N70" s="2">
        <v>4202</v>
      </c>
      <c r="O70" s="16" t="s">
        <v>404</v>
      </c>
      <c r="P70" s="2"/>
      <c r="Q70" s="2"/>
      <c r="R70" s="2"/>
    </row>
    <row r="71" spans="1:18" ht="32.25" customHeight="1" x14ac:dyDescent="0.25">
      <c r="A71" s="2" t="s">
        <v>34</v>
      </c>
      <c r="B71" s="15">
        <v>44231</v>
      </c>
      <c r="C71" s="15">
        <v>44231</v>
      </c>
      <c r="D71" s="2">
        <v>1</v>
      </c>
      <c r="E71" s="2"/>
      <c r="F71" s="2" t="s">
        <v>286</v>
      </c>
      <c r="G71" s="16" t="s">
        <v>287</v>
      </c>
      <c r="H71" s="16" t="s">
        <v>65</v>
      </c>
      <c r="I71" s="2">
        <v>622</v>
      </c>
      <c r="J71" s="2"/>
      <c r="K71" s="2"/>
      <c r="L71" s="2"/>
      <c r="M71" s="2"/>
      <c r="N71" s="2"/>
      <c r="O71" s="2"/>
      <c r="P71" s="2"/>
      <c r="Q71" s="16"/>
      <c r="R71" s="2"/>
    </row>
    <row r="72" spans="1:18" ht="30.75" customHeight="1" x14ac:dyDescent="0.25">
      <c r="A72" s="2" t="s">
        <v>43</v>
      </c>
      <c r="B72" s="15">
        <v>44231</v>
      </c>
      <c r="C72" s="15">
        <v>44232</v>
      </c>
      <c r="D72" s="2">
        <v>2</v>
      </c>
      <c r="E72" s="2">
        <v>253857</v>
      </c>
      <c r="F72" s="2" t="s">
        <v>288</v>
      </c>
      <c r="G72" s="16" t="s">
        <v>289</v>
      </c>
      <c r="H72" s="16" t="s">
        <v>290</v>
      </c>
      <c r="I72" s="2">
        <v>623</v>
      </c>
      <c r="J72" s="2"/>
      <c r="K72" s="2"/>
      <c r="L72" s="2"/>
      <c r="M72" s="2"/>
      <c r="N72" s="2"/>
      <c r="O72" s="16" t="s">
        <v>291</v>
      </c>
      <c r="P72" s="2"/>
      <c r="Q72" s="16"/>
      <c r="R72" s="2"/>
    </row>
    <row r="73" spans="1:18" ht="31.5" customHeight="1" x14ac:dyDescent="0.25">
      <c r="A73" s="2" t="s">
        <v>36</v>
      </c>
      <c r="B73" s="15">
        <v>44232</v>
      </c>
      <c r="C73" s="15">
        <v>44232</v>
      </c>
      <c r="D73" s="2">
        <v>1</v>
      </c>
      <c r="E73" s="2"/>
      <c r="F73" s="2" t="s">
        <v>292</v>
      </c>
      <c r="G73" s="16" t="s">
        <v>293</v>
      </c>
      <c r="H73" s="16" t="s">
        <v>84</v>
      </c>
      <c r="I73" s="2">
        <v>624</v>
      </c>
      <c r="J73" s="2"/>
      <c r="K73" s="2"/>
      <c r="L73" s="2"/>
      <c r="M73" s="2"/>
      <c r="N73" s="2"/>
      <c r="O73" s="2"/>
      <c r="P73" s="2" t="s">
        <v>344</v>
      </c>
      <c r="Q73" s="16" t="s">
        <v>345</v>
      </c>
      <c r="R73" s="2"/>
    </row>
    <row r="74" spans="1:18" ht="31.5" customHeight="1" x14ac:dyDescent="0.25">
      <c r="A74" s="2" t="s">
        <v>40</v>
      </c>
      <c r="B74" s="15">
        <v>44232</v>
      </c>
      <c r="C74" s="15">
        <v>44232</v>
      </c>
      <c r="D74" s="2">
        <v>1</v>
      </c>
      <c r="E74" s="2"/>
      <c r="F74" s="2" t="s">
        <v>294</v>
      </c>
      <c r="G74" s="16" t="s">
        <v>295</v>
      </c>
      <c r="H74" s="16" t="s">
        <v>125</v>
      </c>
      <c r="I74" s="2">
        <v>625</v>
      </c>
      <c r="J74" s="2"/>
      <c r="K74" s="2"/>
      <c r="L74" s="2"/>
      <c r="M74" s="2"/>
      <c r="N74" s="2"/>
      <c r="O74" s="2"/>
      <c r="P74" s="2"/>
      <c r="Q74" s="2"/>
      <c r="R74" s="2"/>
    </row>
    <row r="75" spans="1:18" ht="78" customHeight="1" x14ac:dyDescent="0.25">
      <c r="A75" s="2" t="s">
        <v>27</v>
      </c>
      <c r="B75" s="15">
        <v>44232</v>
      </c>
      <c r="C75" s="15">
        <v>44235</v>
      </c>
      <c r="D75" s="2">
        <v>4</v>
      </c>
      <c r="E75" s="2">
        <v>702199</v>
      </c>
      <c r="F75" s="2" t="s">
        <v>296</v>
      </c>
      <c r="G75" s="16" t="s">
        <v>298</v>
      </c>
      <c r="H75" s="16" t="s">
        <v>297</v>
      </c>
      <c r="I75" s="2">
        <v>626</v>
      </c>
      <c r="J75" s="2"/>
      <c r="K75" s="2"/>
      <c r="L75" s="2"/>
      <c r="M75" s="2">
        <v>7703</v>
      </c>
      <c r="N75" s="2">
        <v>4168</v>
      </c>
      <c r="O75" s="16" t="s">
        <v>299</v>
      </c>
      <c r="P75" s="2"/>
      <c r="Q75" s="2"/>
      <c r="R75" s="2" t="s">
        <v>311</v>
      </c>
    </row>
    <row r="76" spans="1:18" s="1" customFormat="1" ht="31.5" customHeight="1" x14ac:dyDescent="0.25">
      <c r="A76" s="2" t="s">
        <v>30</v>
      </c>
      <c r="B76" s="15">
        <v>44232</v>
      </c>
      <c r="C76" s="15">
        <v>44233</v>
      </c>
      <c r="D76" s="2">
        <v>2</v>
      </c>
      <c r="E76" s="2"/>
      <c r="F76" s="16" t="s">
        <v>300</v>
      </c>
      <c r="G76" s="16" t="s">
        <v>301</v>
      </c>
      <c r="H76" s="16" t="s">
        <v>65</v>
      </c>
      <c r="I76" s="2">
        <v>627</v>
      </c>
      <c r="J76" s="2"/>
      <c r="K76" s="2"/>
      <c r="L76" s="2"/>
      <c r="M76" s="2"/>
      <c r="N76" s="2"/>
      <c r="O76" s="16"/>
      <c r="P76" s="2"/>
      <c r="Q76" s="16"/>
      <c r="R76" s="2"/>
    </row>
    <row r="77" spans="1:18" ht="29.25" customHeight="1" x14ac:dyDescent="0.25">
      <c r="A77" s="2" t="s">
        <v>39</v>
      </c>
      <c r="B77" s="15">
        <v>44232</v>
      </c>
      <c r="C77" s="15">
        <v>44233</v>
      </c>
      <c r="D77" s="2">
        <v>2</v>
      </c>
      <c r="E77" s="2"/>
      <c r="F77" s="2" t="s">
        <v>302</v>
      </c>
      <c r="G77" s="16" t="s">
        <v>303</v>
      </c>
      <c r="H77" s="2" t="s">
        <v>90</v>
      </c>
      <c r="I77" s="2">
        <v>628</v>
      </c>
      <c r="J77" s="2"/>
      <c r="K77" s="2"/>
      <c r="L77" s="2"/>
      <c r="M77" s="2"/>
      <c r="N77" s="2"/>
      <c r="O77" s="2"/>
      <c r="P77" s="2">
        <v>60000</v>
      </c>
      <c r="Q77" s="16" t="s">
        <v>339</v>
      </c>
      <c r="R77" s="2"/>
    </row>
    <row r="78" spans="1:18" ht="30" x14ac:dyDescent="0.25">
      <c r="A78" s="2" t="s">
        <v>26</v>
      </c>
      <c r="B78" s="15">
        <v>44232</v>
      </c>
      <c r="C78" s="15">
        <v>44232</v>
      </c>
      <c r="D78" s="2">
        <v>1</v>
      </c>
      <c r="E78" s="2"/>
      <c r="F78" s="2" t="s">
        <v>304</v>
      </c>
      <c r="G78" s="16" t="s">
        <v>305</v>
      </c>
      <c r="H78" s="2"/>
      <c r="I78" s="2">
        <v>629</v>
      </c>
      <c r="J78" s="2"/>
      <c r="K78" s="2"/>
      <c r="L78" s="2"/>
      <c r="M78" s="2"/>
      <c r="N78" s="2"/>
      <c r="O78" s="2"/>
      <c r="P78" s="2"/>
      <c r="Q78" s="2"/>
      <c r="R78" s="2"/>
    </row>
    <row r="79" spans="1:18" ht="33.75" customHeight="1" x14ac:dyDescent="0.25">
      <c r="A79" s="2" t="s">
        <v>306</v>
      </c>
      <c r="B79" s="15">
        <v>44232</v>
      </c>
      <c r="C79" s="15">
        <v>44232</v>
      </c>
      <c r="D79" s="2">
        <v>1</v>
      </c>
      <c r="E79" s="2"/>
      <c r="F79" s="16" t="s">
        <v>307</v>
      </c>
      <c r="G79" s="16" t="s">
        <v>308</v>
      </c>
      <c r="H79" s="16" t="s">
        <v>138</v>
      </c>
      <c r="I79" s="2">
        <v>630</v>
      </c>
      <c r="J79" s="2"/>
      <c r="K79" s="2"/>
      <c r="L79" s="2"/>
      <c r="M79" s="2"/>
      <c r="N79" s="2"/>
      <c r="O79" s="16"/>
      <c r="P79" s="16"/>
      <c r="Q79" s="16"/>
      <c r="R79" s="2"/>
    </row>
    <row r="80" spans="1:18" ht="32.25" customHeight="1" x14ac:dyDescent="0.25">
      <c r="A80" s="2" t="s">
        <v>306</v>
      </c>
      <c r="B80" s="15">
        <v>44232</v>
      </c>
      <c r="C80" s="15">
        <v>44232</v>
      </c>
      <c r="D80" s="2">
        <v>1</v>
      </c>
      <c r="E80" s="2"/>
      <c r="F80" s="16" t="s">
        <v>307</v>
      </c>
      <c r="G80" s="16" t="s">
        <v>309</v>
      </c>
      <c r="H80" s="16" t="s">
        <v>310</v>
      </c>
      <c r="I80" s="2">
        <v>631</v>
      </c>
      <c r="J80" s="2"/>
      <c r="K80" s="2"/>
      <c r="L80" s="2"/>
      <c r="M80" s="2"/>
      <c r="N80" s="2"/>
      <c r="O80" s="2"/>
      <c r="P80" s="2">
        <v>59997</v>
      </c>
      <c r="Q80" s="16" t="s">
        <v>342</v>
      </c>
      <c r="R80" s="17"/>
    </row>
    <row r="81" spans="1:18" ht="30.75" customHeight="1" x14ac:dyDescent="0.25">
      <c r="A81" s="2" t="s">
        <v>34</v>
      </c>
      <c r="B81" s="15">
        <v>44233</v>
      </c>
      <c r="C81" s="15">
        <v>44236</v>
      </c>
      <c r="D81" s="2">
        <v>4</v>
      </c>
      <c r="E81" s="2"/>
      <c r="F81" s="16" t="s">
        <v>313</v>
      </c>
      <c r="G81" s="16" t="s">
        <v>312</v>
      </c>
      <c r="H81" s="16" t="s">
        <v>216</v>
      </c>
      <c r="I81" s="2">
        <v>632</v>
      </c>
      <c r="J81" s="2"/>
      <c r="K81" s="2"/>
      <c r="L81" s="2"/>
      <c r="M81" s="2"/>
      <c r="N81" s="2"/>
      <c r="O81" s="16"/>
      <c r="P81" s="16" t="s">
        <v>392</v>
      </c>
      <c r="Q81" s="16" t="s">
        <v>393</v>
      </c>
      <c r="R81" s="2"/>
    </row>
    <row r="82" spans="1:18" ht="27.75" customHeight="1" x14ac:dyDescent="0.25">
      <c r="A82" s="2" t="s">
        <v>26</v>
      </c>
      <c r="B82" s="15">
        <v>44235</v>
      </c>
      <c r="C82" s="15">
        <v>44235</v>
      </c>
      <c r="D82" s="2">
        <v>1</v>
      </c>
      <c r="E82" s="2"/>
      <c r="F82" s="2" t="s">
        <v>314</v>
      </c>
      <c r="G82" s="16" t="s">
        <v>405</v>
      </c>
      <c r="H82" s="16" t="s">
        <v>315</v>
      </c>
      <c r="I82" s="2">
        <v>633</v>
      </c>
      <c r="J82" s="2"/>
      <c r="K82" s="2"/>
      <c r="L82" s="2"/>
      <c r="M82" s="2">
        <v>7727</v>
      </c>
      <c r="N82" s="2">
        <v>4203</v>
      </c>
      <c r="O82" s="16" t="s">
        <v>405</v>
      </c>
      <c r="P82" s="2"/>
      <c r="Q82" s="16"/>
      <c r="R82" s="2"/>
    </row>
    <row r="83" spans="1:18" ht="30" customHeight="1" x14ac:dyDescent="0.25">
      <c r="A83" s="2" t="s">
        <v>42</v>
      </c>
      <c r="B83" s="15">
        <v>44235</v>
      </c>
      <c r="C83" s="15">
        <v>44235</v>
      </c>
      <c r="D83" s="2">
        <v>1</v>
      </c>
      <c r="E83" s="2"/>
      <c r="F83" s="16" t="s">
        <v>316</v>
      </c>
      <c r="G83" s="2" t="s">
        <v>317</v>
      </c>
      <c r="H83" s="16" t="s">
        <v>90</v>
      </c>
      <c r="I83" s="2">
        <v>634</v>
      </c>
      <c r="J83" s="2"/>
      <c r="K83" s="2"/>
      <c r="L83" s="2"/>
      <c r="M83" s="2"/>
      <c r="N83" s="2"/>
      <c r="O83" s="2"/>
      <c r="P83" s="2">
        <v>59999</v>
      </c>
      <c r="Q83" s="16" t="s">
        <v>340</v>
      </c>
      <c r="R83" s="2"/>
    </row>
    <row r="84" spans="1:18" x14ac:dyDescent="0.25">
      <c r="A84" s="2" t="s">
        <v>28</v>
      </c>
      <c r="B84" s="15">
        <v>44235</v>
      </c>
      <c r="C84" s="15">
        <v>44235</v>
      </c>
      <c r="D84" s="2">
        <v>1</v>
      </c>
      <c r="E84" s="2"/>
      <c r="F84" s="2" t="s">
        <v>318</v>
      </c>
      <c r="G84" s="2" t="s">
        <v>319</v>
      </c>
      <c r="H84" s="2" t="s">
        <v>102</v>
      </c>
      <c r="I84" s="2">
        <v>635</v>
      </c>
      <c r="J84" s="2"/>
      <c r="K84" s="2"/>
      <c r="L84" s="2"/>
      <c r="M84" s="2"/>
      <c r="N84" s="2"/>
      <c r="O84" s="2"/>
      <c r="P84" s="2" t="s">
        <v>332</v>
      </c>
      <c r="Q84" s="2" t="s">
        <v>333</v>
      </c>
      <c r="R84" s="2"/>
    </row>
    <row r="85" spans="1:18" ht="27" customHeight="1" x14ac:dyDescent="0.25">
      <c r="A85" s="2" t="s">
        <v>130</v>
      </c>
      <c r="B85" s="15">
        <v>44236</v>
      </c>
      <c r="C85" s="15">
        <v>44236</v>
      </c>
      <c r="D85" s="2">
        <v>1</v>
      </c>
      <c r="E85" s="2"/>
      <c r="F85" s="2" t="s">
        <v>320</v>
      </c>
      <c r="G85" s="16" t="s">
        <v>321</v>
      </c>
      <c r="H85" s="16" t="s">
        <v>322</v>
      </c>
      <c r="I85" s="2">
        <v>636</v>
      </c>
      <c r="J85" s="2"/>
      <c r="K85" s="2"/>
      <c r="L85" s="2"/>
      <c r="M85" s="2"/>
      <c r="N85" s="2"/>
      <c r="O85" s="2"/>
      <c r="P85" s="2">
        <v>60173</v>
      </c>
      <c r="Q85" s="2" t="s">
        <v>338</v>
      </c>
      <c r="R85" s="2"/>
    </row>
    <row r="86" spans="1:18" ht="28.5" customHeight="1" x14ac:dyDescent="0.25">
      <c r="A86" s="2" t="s">
        <v>32</v>
      </c>
      <c r="B86" s="15">
        <v>44235</v>
      </c>
      <c r="C86" s="15">
        <v>44253</v>
      </c>
      <c r="D86" s="2">
        <v>18</v>
      </c>
      <c r="E86" s="2"/>
      <c r="F86" s="16" t="s">
        <v>109</v>
      </c>
      <c r="G86" s="16" t="s">
        <v>323</v>
      </c>
      <c r="H86" s="16" t="s">
        <v>90</v>
      </c>
      <c r="I86" s="2">
        <v>637</v>
      </c>
      <c r="J86" s="2"/>
      <c r="K86" s="2"/>
      <c r="L86" s="2"/>
      <c r="M86" s="2"/>
      <c r="N86" s="2"/>
      <c r="O86" s="2"/>
      <c r="P86" s="2"/>
      <c r="Q86" s="2"/>
      <c r="R86" s="2"/>
    </row>
    <row r="87" spans="1:18" ht="45" x14ac:dyDescent="0.25">
      <c r="A87" s="2" t="s">
        <v>41</v>
      </c>
      <c r="B87" s="15">
        <v>44236</v>
      </c>
      <c r="C87" s="15">
        <v>44245</v>
      </c>
      <c r="D87" s="2">
        <v>9</v>
      </c>
      <c r="E87" s="2"/>
      <c r="F87" s="2" t="s">
        <v>302</v>
      </c>
      <c r="G87" s="2" t="s">
        <v>388</v>
      </c>
      <c r="H87" s="2"/>
      <c r="I87" s="2">
        <v>638</v>
      </c>
      <c r="J87" s="2"/>
      <c r="K87" s="2"/>
      <c r="L87" s="2"/>
      <c r="M87" s="2"/>
      <c r="N87" s="2"/>
      <c r="O87" s="2"/>
      <c r="P87" s="16" t="s">
        <v>398</v>
      </c>
      <c r="Q87" s="16" t="s">
        <v>399</v>
      </c>
      <c r="R87" s="2"/>
    </row>
    <row r="88" spans="1:18" ht="30.75" customHeight="1" x14ac:dyDescent="0.25">
      <c r="A88" s="2" t="s">
        <v>37</v>
      </c>
      <c r="B88" s="15">
        <v>44237</v>
      </c>
      <c r="C88" s="15">
        <v>44237</v>
      </c>
      <c r="D88" s="2">
        <v>1</v>
      </c>
      <c r="E88" s="2">
        <v>66282</v>
      </c>
      <c r="F88" s="16" t="s">
        <v>324</v>
      </c>
      <c r="G88" s="16" t="s">
        <v>325</v>
      </c>
      <c r="H88" s="16" t="s">
        <v>326</v>
      </c>
      <c r="I88" s="2">
        <v>639</v>
      </c>
      <c r="J88" s="2"/>
      <c r="K88" s="2"/>
      <c r="L88" s="2"/>
      <c r="M88" s="2"/>
      <c r="N88" s="2"/>
      <c r="O88" s="2"/>
      <c r="P88" s="2" t="s">
        <v>389</v>
      </c>
      <c r="Q88" s="16" t="s">
        <v>390</v>
      </c>
      <c r="R88" s="2"/>
    </row>
    <row r="89" spans="1:18" ht="28.5" customHeight="1" x14ac:dyDescent="0.25">
      <c r="A89" s="2" t="s">
        <v>50</v>
      </c>
      <c r="B89" s="15">
        <v>44237</v>
      </c>
      <c r="C89" s="15">
        <v>44237</v>
      </c>
      <c r="D89" s="2">
        <v>1</v>
      </c>
      <c r="E89" s="2">
        <v>17797</v>
      </c>
      <c r="F89" s="16" t="s">
        <v>324</v>
      </c>
      <c r="G89" s="16" t="s">
        <v>327</v>
      </c>
      <c r="H89" s="16" t="s">
        <v>125</v>
      </c>
      <c r="I89" s="2">
        <v>640</v>
      </c>
      <c r="J89" s="2"/>
      <c r="K89" s="2"/>
      <c r="L89" s="2"/>
      <c r="M89" s="2"/>
      <c r="N89" s="2"/>
      <c r="O89" s="2"/>
      <c r="P89" s="2">
        <v>60186</v>
      </c>
      <c r="Q89" s="2" t="s">
        <v>334</v>
      </c>
      <c r="R89" s="16" t="s">
        <v>328</v>
      </c>
    </row>
    <row r="90" spans="1:18" ht="27" customHeight="1" x14ac:dyDescent="0.25">
      <c r="A90" s="2" t="s">
        <v>30</v>
      </c>
      <c r="B90" s="15">
        <v>44237</v>
      </c>
      <c r="C90" s="15">
        <v>44237</v>
      </c>
      <c r="D90" s="2">
        <v>1</v>
      </c>
      <c r="E90" s="2">
        <v>35710</v>
      </c>
      <c r="F90" s="16" t="s">
        <v>324</v>
      </c>
      <c r="G90" s="2" t="s">
        <v>329</v>
      </c>
      <c r="H90" s="16" t="s">
        <v>125</v>
      </c>
      <c r="I90" s="2">
        <v>641</v>
      </c>
      <c r="J90" s="2"/>
      <c r="K90" s="2"/>
      <c r="L90" s="2"/>
      <c r="M90" s="2"/>
      <c r="N90" s="2"/>
      <c r="O90" s="2"/>
      <c r="P90" s="16" t="s">
        <v>400</v>
      </c>
      <c r="Q90" s="16" t="s">
        <v>401</v>
      </c>
      <c r="R90" s="2"/>
    </row>
    <row r="91" spans="1:18" ht="30" customHeight="1" x14ac:dyDescent="0.25">
      <c r="A91" s="2" t="s">
        <v>92</v>
      </c>
      <c r="B91" s="15">
        <v>44237</v>
      </c>
      <c r="C91" s="15">
        <v>44238</v>
      </c>
      <c r="D91" s="2">
        <v>2</v>
      </c>
      <c r="E91" s="2"/>
      <c r="F91" s="16" t="s">
        <v>346</v>
      </c>
      <c r="G91" s="16" t="s">
        <v>347</v>
      </c>
      <c r="H91" s="2" t="s">
        <v>348</v>
      </c>
      <c r="I91" s="2">
        <v>642</v>
      </c>
      <c r="J91" s="2"/>
      <c r="K91" s="2"/>
      <c r="L91" s="2"/>
      <c r="M91" s="2"/>
      <c r="N91" s="2"/>
      <c r="O91" s="16"/>
      <c r="P91" s="2"/>
      <c r="Q91" s="2"/>
      <c r="R91" s="2"/>
    </row>
    <row r="92" spans="1:18" ht="27" customHeight="1" x14ac:dyDescent="0.25">
      <c r="A92" s="2" t="s">
        <v>39</v>
      </c>
      <c r="B92" s="15">
        <v>44237</v>
      </c>
      <c r="C92" s="15">
        <v>44238</v>
      </c>
      <c r="D92" s="2">
        <v>2</v>
      </c>
      <c r="E92" s="2"/>
      <c r="F92" s="16" t="s">
        <v>349</v>
      </c>
      <c r="G92" s="16" t="s">
        <v>350</v>
      </c>
      <c r="H92" s="16" t="s">
        <v>351</v>
      </c>
      <c r="I92" s="2">
        <v>643</v>
      </c>
      <c r="J92" s="2"/>
      <c r="K92" s="2"/>
      <c r="L92" s="2"/>
      <c r="M92" s="2"/>
      <c r="N92" s="2"/>
      <c r="O92" s="16"/>
      <c r="P92" s="2">
        <v>60200</v>
      </c>
      <c r="Q92" s="2" t="s">
        <v>362</v>
      </c>
      <c r="R92" s="2"/>
    </row>
    <row r="93" spans="1:18" ht="60" x14ac:dyDescent="0.25">
      <c r="A93" s="2" t="s">
        <v>352</v>
      </c>
      <c r="B93" s="15">
        <v>44238</v>
      </c>
      <c r="C93" s="15">
        <v>44238</v>
      </c>
      <c r="D93" s="2">
        <v>1</v>
      </c>
      <c r="E93" s="2"/>
      <c r="F93" s="2" t="s">
        <v>353</v>
      </c>
      <c r="G93" s="16" t="s">
        <v>367</v>
      </c>
      <c r="H93" s="16" t="s">
        <v>368</v>
      </c>
      <c r="I93" s="2">
        <v>644</v>
      </c>
      <c r="J93" s="2"/>
      <c r="K93" s="2"/>
      <c r="L93" s="2"/>
      <c r="M93" s="2"/>
      <c r="N93" s="2"/>
      <c r="O93" s="2"/>
      <c r="P93" s="2">
        <v>60195</v>
      </c>
      <c r="Q93" s="2" t="s">
        <v>369</v>
      </c>
      <c r="R93" s="2"/>
    </row>
    <row r="94" spans="1:18" ht="45" x14ac:dyDescent="0.25">
      <c r="A94" s="2" t="s">
        <v>99</v>
      </c>
      <c r="B94" s="15">
        <v>44238</v>
      </c>
      <c r="C94" s="15">
        <v>44239</v>
      </c>
      <c r="D94" s="2">
        <v>2</v>
      </c>
      <c r="E94" s="2"/>
      <c r="F94" s="2" t="s">
        <v>354</v>
      </c>
      <c r="G94" s="2" t="s">
        <v>355</v>
      </c>
      <c r="H94" s="16" t="s">
        <v>310</v>
      </c>
      <c r="I94" s="2">
        <v>645</v>
      </c>
      <c r="J94" s="2"/>
      <c r="K94" s="2"/>
      <c r="L94" s="2"/>
      <c r="M94" s="2"/>
      <c r="N94" s="2"/>
      <c r="O94" s="2"/>
      <c r="P94" s="2"/>
      <c r="Q94" s="2"/>
      <c r="R94" s="16"/>
    </row>
    <row r="95" spans="1:18" ht="34.5" customHeight="1" x14ac:dyDescent="0.25">
      <c r="A95" s="2" t="s">
        <v>40</v>
      </c>
      <c r="B95" s="15">
        <v>44239</v>
      </c>
      <c r="C95" s="15">
        <v>44239</v>
      </c>
      <c r="D95" s="2">
        <v>1</v>
      </c>
      <c r="E95" s="2">
        <v>79457</v>
      </c>
      <c r="F95" s="16" t="s">
        <v>356</v>
      </c>
      <c r="G95" s="16" t="s">
        <v>357</v>
      </c>
      <c r="H95" s="16" t="s">
        <v>358</v>
      </c>
      <c r="I95" s="2">
        <v>646</v>
      </c>
      <c r="J95" s="2"/>
      <c r="K95" s="2"/>
      <c r="L95" s="2"/>
      <c r="M95" s="2"/>
      <c r="N95" s="2"/>
      <c r="O95" s="2"/>
      <c r="P95" s="2" t="s">
        <v>456</v>
      </c>
      <c r="Q95" s="16" t="s">
        <v>457</v>
      </c>
      <c r="R95" s="2"/>
    </row>
    <row r="96" spans="1:18" ht="26.25" customHeight="1" x14ac:dyDescent="0.25">
      <c r="A96" s="2" t="s">
        <v>35</v>
      </c>
      <c r="B96" s="15">
        <v>44239</v>
      </c>
      <c r="C96" s="15">
        <v>44239</v>
      </c>
      <c r="D96" s="2">
        <v>1</v>
      </c>
      <c r="E96" s="2"/>
      <c r="F96" s="16" t="s">
        <v>359</v>
      </c>
      <c r="G96" s="16" t="s">
        <v>360</v>
      </c>
      <c r="H96" s="16" t="s">
        <v>361</v>
      </c>
      <c r="I96" s="2">
        <v>647</v>
      </c>
      <c r="J96" s="2"/>
      <c r="K96" s="2"/>
      <c r="L96" s="2"/>
      <c r="M96" s="2"/>
      <c r="N96" s="2"/>
      <c r="O96" s="2"/>
      <c r="P96" s="2">
        <v>60307</v>
      </c>
      <c r="Q96" s="2" t="s">
        <v>370</v>
      </c>
      <c r="R96" s="2"/>
    </row>
    <row r="97" spans="1:18" ht="35.25" customHeight="1" x14ac:dyDescent="0.25">
      <c r="A97" s="2" t="s">
        <v>26</v>
      </c>
      <c r="B97" s="15">
        <v>44239</v>
      </c>
      <c r="C97" s="15">
        <v>44239</v>
      </c>
      <c r="D97" s="2">
        <v>1</v>
      </c>
      <c r="E97" s="2">
        <v>16879</v>
      </c>
      <c r="F97" s="2" t="s">
        <v>365</v>
      </c>
      <c r="G97" s="16" t="s">
        <v>146</v>
      </c>
      <c r="H97" s="16" t="s">
        <v>65</v>
      </c>
      <c r="I97" s="2">
        <v>648</v>
      </c>
      <c r="J97" s="2"/>
      <c r="K97" s="2"/>
      <c r="L97" s="2"/>
      <c r="M97" s="2"/>
      <c r="N97" s="2"/>
      <c r="O97" s="2"/>
      <c r="P97" s="2">
        <v>60198</v>
      </c>
      <c r="Q97" s="16" t="s">
        <v>366</v>
      </c>
      <c r="R97" s="2"/>
    </row>
    <row r="98" spans="1:18" ht="30" x14ac:dyDescent="0.25">
      <c r="A98" s="2" t="s">
        <v>42</v>
      </c>
      <c r="B98" s="15">
        <v>44243</v>
      </c>
      <c r="C98" s="15">
        <v>44244</v>
      </c>
      <c r="D98" s="2">
        <v>2</v>
      </c>
      <c r="E98" s="2"/>
      <c r="F98" s="16" t="s">
        <v>371</v>
      </c>
      <c r="G98" s="2" t="s">
        <v>372</v>
      </c>
      <c r="H98" s="2" t="s">
        <v>90</v>
      </c>
      <c r="I98" s="2">
        <v>649</v>
      </c>
      <c r="J98" s="2"/>
      <c r="K98" s="2"/>
      <c r="L98" s="2"/>
      <c r="M98" s="2"/>
      <c r="N98" s="2"/>
      <c r="O98" s="2"/>
      <c r="P98" s="2"/>
      <c r="Q98" s="2"/>
      <c r="R98" s="2"/>
    </row>
    <row r="99" spans="1:18" ht="29.25" customHeight="1" x14ac:dyDescent="0.25">
      <c r="A99" s="15" t="s">
        <v>42</v>
      </c>
      <c r="B99" s="15">
        <v>44245</v>
      </c>
      <c r="C99" s="15">
        <v>44245</v>
      </c>
      <c r="D99" s="2">
        <v>1</v>
      </c>
      <c r="E99" s="2"/>
      <c r="F99" s="16" t="s">
        <v>373</v>
      </c>
      <c r="G99" s="16" t="s">
        <v>374</v>
      </c>
      <c r="H99" s="2" t="s">
        <v>90</v>
      </c>
      <c r="I99" s="2">
        <v>650</v>
      </c>
      <c r="J99" s="2"/>
      <c r="K99" s="2"/>
      <c r="L99" s="2"/>
      <c r="M99" s="2"/>
      <c r="N99" s="2"/>
      <c r="O99" s="2"/>
      <c r="P99" s="2"/>
      <c r="Q99" s="2"/>
      <c r="R99" s="2"/>
    </row>
    <row r="100" spans="1:18" ht="45" x14ac:dyDescent="0.25">
      <c r="A100" s="2" t="s">
        <v>94</v>
      </c>
      <c r="B100" s="15">
        <v>44245</v>
      </c>
      <c r="C100" s="15">
        <v>44245</v>
      </c>
      <c r="D100" s="2">
        <v>1</v>
      </c>
      <c r="E100" s="2"/>
      <c r="F100" s="2" t="s">
        <v>375</v>
      </c>
      <c r="G100" s="16" t="s">
        <v>376</v>
      </c>
      <c r="H100" s="2" t="s">
        <v>102</v>
      </c>
      <c r="I100" s="2">
        <v>651</v>
      </c>
      <c r="J100" s="2"/>
      <c r="K100" s="2"/>
      <c r="L100" s="2"/>
      <c r="M100" s="2"/>
      <c r="N100" s="2"/>
      <c r="O100" s="2"/>
      <c r="P100" s="2">
        <v>60326</v>
      </c>
      <c r="Q100" s="2" t="s">
        <v>397</v>
      </c>
      <c r="R100" s="2"/>
    </row>
    <row r="101" spans="1:18" x14ac:dyDescent="0.25">
      <c r="A101" s="2" t="s">
        <v>35</v>
      </c>
      <c r="B101" s="15">
        <v>44245</v>
      </c>
      <c r="C101" s="15">
        <v>44245</v>
      </c>
      <c r="D101" s="2">
        <v>1</v>
      </c>
      <c r="E101" s="2"/>
      <c r="F101" s="2" t="s">
        <v>307</v>
      </c>
      <c r="G101" s="2" t="s">
        <v>377</v>
      </c>
      <c r="H101" s="2" t="s">
        <v>378</v>
      </c>
      <c r="I101" s="2">
        <v>652</v>
      </c>
      <c r="J101" s="2"/>
      <c r="K101" s="2"/>
      <c r="L101" s="2"/>
      <c r="M101" s="2"/>
      <c r="N101" s="2"/>
      <c r="O101" s="2"/>
      <c r="P101" s="2"/>
      <c r="Q101" s="2"/>
      <c r="R101" s="2"/>
    </row>
    <row r="102" spans="1:18" ht="30.75" customHeight="1" x14ac:dyDescent="0.25">
      <c r="A102" s="15" t="s">
        <v>36</v>
      </c>
      <c r="B102" s="15">
        <v>44246</v>
      </c>
      <c r="C102" s="15">
        <v>44246</v>
      </c>
      <c r="D102" s="2">
        <v>1</v>
      </c>
      <c r="E102" s="2">
        <v>36577</v>
      </c>
      <c r="F102" s="16" t="s">
        <v>395</v>
      </c>
      <c r="G102" s="16" t="s">
        <v>396</v>
      </c>
      <c r="H102" s="16" t="s">
        <v>379</v>
      </c>
      <c r="I102" s="2">
        <v>653</v>
      </c>
      <c r="J102" s="2"/>
      <c r="K102" s="2"/>
      <c r="L102" s="2"/>
      <c r="M102" s="2"/>
      <c r="N102" s="2"/>
      <c r="O102" s="2"/>
      <c r="P102" s="2">
        <v>60333</v>
      </c>
      <c r="Q102" s="16" t="s">
        <v>394</v>
      </c>
      <c r="R102" s="2"/>
    </row>
    <row r="103" spans="1:18" ht="66" customHeight="1" x14ac:dyDescent="0.25">
      <c r="A103" s="2" t="s">
        <v>28</v>
      </c>
      <c r="B103" s="15">
        <v>44244</v>
      </c>
      <c r="C103" s="15">
        <v>44245</v>
      </c>
      <c r="D103" s="2">
        <v>2</v>
      </c>
      <c r="E103" s="2">
        <v>261227</v>
      </c>
      <c r="F103" s="16" t="s">
        <v>380</v>
      </c>
      <c r="G103" s="16" t="s">
        <v>380</v>
      </c>
      <c r="H103" s="16" t="s">
        <v>381</v>
      </c>
      <c r="I103" s="2">
        <v>654</v>
      </c>
      <c r="J103" s="2"/>
      <c r="K103" s="2"/>
      <c r="L103" s="2"/>
      <c r="M103" s="2">
        <v>7724</v>
      </c>
      <c r="N103" s="2">
        <v>4198</v>
      </c>
      <c r="O103" s="16" t="s">
        <v>382</v>
      </c>
      <c r="P103" s="2"/>
      <c r="Q103" s="2"/>
      <c r="R103" s="2"/>
    </row>
    <row r="104" spans="1:18" ht="30" x14ac:dyDescent="0.25">
      <c r="A104" s="2" t="s">
        <v>28</v>
      </c>
      <c r="B104" s="15">
        <v>44246</v>
      </c>
      <c r="C104" s="15">
        <v>44246</v>
      </c>
      <c r="D104" s="2">
        <v>1</v>
      </c>
      <c r="E104" s="2"/>
      <c r="F104" s="2" t="s">
        <v>383</v>
      </c>
      <c r="G104" s="16" t="s">
        <v>384</v>
      </c>
      <c r="H104" s="16" t="s">
        <v>90</v>
      </c>
      <c r="I104" s="2">
        <v>655</v>
      </c>
      <c r="J104" s="2"/>
      <c r="K104" s="2"/>
      <c r="L104" s="2"/>
      <c r="M104" s="2"/>
      <c r="N104" s="2"/>
      <c r="O104" s="2"/>
      <c r="P104" s="2">
        <v>60341</v>
      </c>
      <c r="Q104" s="2" t="s">
        <v>391</v>
      </c>
      <c r="R104" s="2"/>
    </row>
    <row r="105" spans="1:18" x14ac:dyDescent="0.25">
      <c r="A105" s="2" t="s">
        <v>51</v>
      </c>
      <c r="B105" s="15">
        <v>44246</v>
      </c>
      <c r="C105" s="15">
        <v>44246</v>
      </c>
      <c r="D105" s="2">
        <v>1</v>
      </c>
      <c r="E105" s="2"/>
      <c r="F105" s="2" t="s">
        <v>385</v>
      </c>
      <c r="G105" s="2" t="s">
        <v>386</v>
      </c>
      <c r="H105" s="2" t="s">
        <v>125</v>
      </c>
      <c r="I105" s="2">
        <v>656</v>
      </c>
      <c r="J105" s="2"/>
      <c r="K105" s="2"/>
      <c r="L105" s="2"/>
      <c r="M105" s="2"/>
      <c r="N105" s="2"/>
      <c r="O105" s="2"/>
      <c r="P105" s="2"/>
      <c r="Q105" s="2"/>
      <c r="R105" s="2"/>
    </row>
    <row r="106" spans="1:18" ht="26.25" customHeight="1" x14ac:dyDescent="0.25">
      <c r="A106" s="2" t="s">
        <v>42</v>
      </c>
      <c r="B106" s="15">
        <v>44247</v>
      </c>
      <c r="C106" s="15">
        <v>44247</v>
      </c>
      <c r="D106" s="2">
        <v>1</v>
      </c>
      <c r="E106" s="2">
        <v>177766</v>
      </c>
      <c r="F106" s="2" t="s">
        <v>240</v>
      </c>
      <c r="G106" s="16" t="s">
        <v>387</v>
      </c>
      <c r="H106" s="16" t="s">
        <v>90</v>
      </c>
      <c r="I106" s="2">
        <v>657</v>
      </c>
      <c r="J106" s="2"/>
      <c r="K106" s="2"/>
      <c r="L106" s="2"/>
      <c r="M106" s="2"/>
      <c r="N106" s="2"/>
      <c r="O106" s="2"/>
      <c r="P106" s="16" t="s">
        <v>448</v>
      </c>
      <c r="Q106" s="16" t="s">
        <v>449</v>
      </c>
      <c r="R106" s="16"/>
    </row>
    <row r="107" spans="1:18" ht="30" customHeight="1" x14ac:dyDescent="0.25">
      <c r="A107" s="2" t="s">
        <v>148</v>
      </c>
      <c r="B107" s="15">
        <v>44250</v>
      </c>
      <c r="C107" s="15">
        <v>44250</v>
      </c>
      <c r="D107" s="2">
        <v>1</v>
      </c>
      <c r="E107" s="2">
        <v>86766</v>
      </c>
      <c r="F107" s="16" t="s">
        <v>409</v>
      </c>
      <c r="G107" s="16" t="s">
        <v>410</v>
      </c>
      <c r="H107" s="16" t="s">
        <v>411</v>
      </c>
      <c r="I107" s="2">
        <v>658</v>
      </c>
      <c r="J107" s="2"/>
      <c r="K107" s="2"/>
      <c r="L107" s="2"/>
      <c r="M107" s="2">
        <v>7725</v>
      </c>
      <c r="N107" s="2">
        <v>4199</v>
      </c>
      <c r="O107" s="16" t="s">
        <v>410</v>
      </c>
      <c r="P107" s="2"/>
      <c r="Q107" s="2"/>
      <c r="R107" s="2"/>
    </row>
    <row r="108" spans="1:18" x14ac:dyDescent="0.25">
      <c r="A108" s="2" t="s">
        <v>94</v>
      </c>
      <c r="B108" s="15">
        <v>44250</v>
      </c>
      <c r="C108" s="15">
        <v>44250</v>
      </c>
      <c r="D108" s="2">
        <v>1</v>
      </c>
      <c r="E108" s="2"/>
      <c r="F108" s="2" t="s">
        <v>359</v>
      </c>
      <c r="G108" s="16" t="s">
        <v>412</v>
      </c>
      <c r="H108" s="2" t="s">
        <v>65</v>
      </c>
      <c r="I108" s="2">
        <v>659</v>
      </c>
      <c r="J108" s="2"/>
      <c r="K108" s="2"/>
      <c r="L108" s="2"/>
      <c r="M108" s="2"/>
      <c r="N108" s="2"/>
      <c r="O108" s="2"/>
      <c r="P108" s="2"/>
      <c r="Q108" s="16"/>
      <c r="R108" s="2"/>
    </row>
    <row r="109" spans="1:18" ht="41.25" customHeight="1" x14ac:dyDescent="0.25">
      <c r="A109" s="2" t="s">
        <v>99</v>
      </c>
      <c r="B109" s="15">
        <v>44250</v>
      </c>
      <c r="C109" s="15">
        <v>44250</v>
      </c>
      <c r="D109" s="2">
        <v>1</v>
      </c>
      <c r="E109" s="2"/>
      <c r="F109" s="2" t="s">
        <v>413</v>
      </c>
      <c r="G109" s="16" t="s">
        <v>414</v>
      </c>
      <c r="H109" s="2" t="s">
        <v>415</v>
      </c>
      <c r="I109" s="2">
        <v>660</v>
      </c>
      <c r="J109" s="2"/>
      <c r="K109" s="2"/>
      <c r="L109" s="2"/>
      <c r="M109" s="2"/>
      <c r="N109" s="2"/>
      <c r="O109" s="2"/>
      <c r="P109" s="2"/>
      <c r="Q109" s="2"/>
      <c r="R109" s="17"/>
    </row>
    <row r="110" spans="1:18" ht="28.5" customHeight="1" x14ac:dyDescent="0.25">
      <c r="A110" s="2" t="s">
        <v>661</v>
      </c>
      <c r="B110" s="15">
        <v>44250</v>
      </c>
      <c r="C110" s="15">
        <v>44252</v>
      </c>
      <c r="D110" s="2">
        <v>2</v>
      </c>
      <c r="E110" s="2"/>
      <c r="F110" s="2" t="s">
        <v>416</v>
      </c>
      <c r="G110" s="16" t="s">
        <v>417</v>
      </c>
      <c r="H110" s="2"/>
      <c r="I110" s="2">
        <v>661</v>
      </c>
      <c r="J110" s="2"/>
      <c r="K110" s="2"/>
      <c r="L110" s="2"/>
      <c r="M110" s="2"/>
      <c r="N110" s="2"/>
      <c r="O110" s="2"/>
      <c r="P110" s="2" t="s">
        <v>455</v>
      </c>
      <c r="Q110" s="2" t="s">
        <v>451</v>
      </c>
      <c r="R110" s="2"/>
    </row>
    <row r="111" spans="1:18" ht="60" x14ac:dyDescent="0.25">
      <c r="A111" s="2" t="s">
        <v>35</v>
      </c>
      <c r="B111" s="15">
        <v>44251</v>
      </c>
      <c r="C111" s="15">
        <v>44251</v>
      </c>
      <c r="D111" s="2">
        <v>1</v>
      </c>
      <c r="E111" s="2">
        <v>17312</v>
      </c>
      <c r="F111" s="2" t="s">
        <v>418</v>
      </c>
      <c r="G111" s="2" t="s">
        <v>325</v>
      </c>
      <c r="H111" s="2" t="s">
        <v>90</v>
      </c>
      <c r="I111" s="2">
        <v>662</v>
      </c>
      <c r="J111" s="2"/>
      <c r="K111" s="2"/>
      <c r="L111" s="2"/>
      <c r="M111" s="2"/>
      <c r="N111" s="2"/>
      <c r="O111" s="2"/>
      <c r="P111" s="16" t="s">
        <v>425</v>
      </c>
      <c r="Q111" s="16" t="s">
        <v>426</v>
      </c>
      <c r="R111" s="2"/>
    </row>
    <row r="112" spans="1:18" ht="30" customHeight="1" x14ac:dyDescent="0.25">
      <c r="A112" s="2" t="s">
        <v>36</v>
      </c>
      <c r="B112" s="15">
        <v>44251</v>
      </c>
      <c r="C112" s="15">
        <v>44251</v>
      </c>
      <c r="D112" s="2">
        <v>1</v>
      </c>
      <c r="E112" s="2"/>
      <c r="F112" s="2" t="s">
        <v>419</v>
      </c>
      <c r="G112" s="16" t="s">
        <v>420</v>
      </c>
      <c r="H112" s="2" t="s">
        <v>102</v>
      </c>
      <c r="I112" s="2">
        <v>663</v>
      </c>
      <c r="J112" s="2"/>
      <c r="K112" s="2"/>
      <c r="L112" s="2"/>
      <c r="M112" s="2"/>
      <c r="N112" s="2"/>
      <c r="O112" s="2"/>
      <c r="P112" s="2"/>
      <c r="Q112" s="2"/>
      <c r="R112" s="2"/>
    </row>
    <row r="113" spans="1:18" x14ac:dyDescent="0.25">
      <c r="A113" s="2" t="s">
        <v>33</v>
      </c>
      <c r="B113" s="15">
        <v>44252</v>
      </c>
      <c r="C113" s="15">
        <v>44253</v>
      </c>
      <c r="D113" s="2">
        <v>2</v>
      </c>
      <c r="E113" s="2"/>
      <c r="F113" s="2" t="s">
        <v>421</v>
      </c>
      <c r="G113" s="14" t="s">
        <v>424</v>
      </c>
      <c r="H113" s="2" t="s">
        <v>90</v>
      </c>
      <c r="I113" s="2">
        <v>664</v>
      </c>
      <c r="J113" s="2"/>
      <c r="K113" s="2"/>
      <c r="L113" s="2"/>
      <c r="M113" s="2"/>
      <c r="N113" s="2"/>
      <c r="O113" s="2"/>
      <c r="P113" s="2"/>
      <c r="Q113" s="2"/>
      <c r="R113" s="2"/>
    </row>
    <row r="114" spans="1:18" ht="30" customHeight="1" x14ac:dyDescent="0.25">
      <c r="A114" s="2" t="s">
        <v>46</v>
      </c>
      <c r="B114" s="15">
        <v>44253</v>
      </c>
      <c r="C114" s="15">
        <v>44253</v>
      </c>
      <c r="D114" s="2">
        <v>1</v>
      </c>
      <c r="E114" s="2"/>
      <c r="F114" s="16" t="s">
        <v>422</v>
      </c>
      <c r="G114" s="16" t="s">
        <v>423</v>
      </c>
      <c r="H114" s="2" t="s">
        <v>125</v>
      </c>
      <c r="I114" s="2">
        <v>666</v>
      </c>
      <c r="J114" s="2"/>
      <c r="K114" s="2"/>
      <c r="L114" s="2"/>
      <c r="M114" s="16"/>
      <c r="N114" s="16"/>
      <c r="O114" s="16"/>
      <c r="P114" s="16" t="s">
        <v>512</v>
      </c>
      <c r="Q114" s="16" t="s">
        <v>513</v>
      </c>
      <c r="R114" s="2"/>
    </row>
    <row r="115" spans="1:18" ht="60" x14ac:dyDescent="0.25">
      <c r="A115" s="15" t="s">
        <v>28</v>
      </c>
      <c r="B115" s="15">
        <v>44254</v>
      </c>
      <c r="C115" s="15">
        <v>44254</v>
      </c>
      <c r="D115" s="2">
        <v>1</v>
      </c>
      <c r="E115" s="2"/>
      <c r="F115" s="16" t="s">
        <v>427</v>
      </c>
      <c r="G115" s="16" t="s">
        <v>428</v>
      </c>
      <c r="H115" s="16" t="s">
        <v>310</v>
      </c>
      <c r="I115" s="2">
        <v>667</v>
      </c>
      <c r="J115" s="2"/>
      <c r="K115" s="2"/>
      <c r="L115" s="2"/>
      <c r="M115" s="2"/>
      <c r="N115" s="2"/>
      <c r="O115" s="16"/>
      <c r="P115" s="16" t="s">
        <v>459</v>
      </c>
      <c r="Q115" s="2" t="s">
        <v>460</v>
      </c>
      <c r="R115" s="16"/>
    </row>
    <row r="116" spans="1:18" x14ac:dyDescent="0.25">
      <c r="A116" s="2" t="s">
        <v>40</v>
      </c>
      <c r="B116" s="15">
        <v>44256</v>
      </c>
      <c r="C116" s="15">
        <v>44256</v>
      </c>
      <c r="D116" s="2">
        <v>1</v>
      </c>
      <c r="E116" s="2"/>
      <c r="F116" s="2" t="s">
        <v>431</v>
      </c>
      <c r="G116" s="2" t="s">
        <v>432</v>
      </c>
      <c r="H116" s="2" t="s">
        <v>90</v>
      </c>
      <c r="I116" s="2">
        <v>668</v>
      </c>
      <c r="J116" s="2"/>
      <c r="K116" s="2"/>
      <c r="L116" s="2"/>
      <c r="M116" s="2"/>
      <c r="N116" s="2"/>
      <c r="O116" s="2"/>
      <c r="P116" s="2">
        <v>60521</v>
      </c>
      <c r="Q116" s="2" t="s">
        <v>450</v>
      </c>
      <c r="R116" s="2"/>
    </row>
    <row r="117" spans="1:18" ht="75" x14ac:dyDescent="0.25">
      <c r="A117" s="2" t="s">
        <v>50</v>
      </c>
      <c r="B117" s="15">
        <v>44256</v>
      </c>
      <c r="C117" s="15">
        <v>44256</v>
      </c>
      <c r="D117" s="2">
        <v>1</v>
      </c>
      <c r="E117" s="2">
        <v>18037</v>
      </c>
      <c r="F117" s="2" t="s">
        <v>240</v>
      </c>
      <c r="G117" s="16" t="s">
        <v>435</v>
      </c>
      <c r="H117" s="16" t="s">
        <v>433</v>
      </c>
      <c r="I117" s="2">
        <v>669</v>
      </c>
      <c r="J117" s="2"/>
      <c r="K117" s="2"/>
      <c r="L117" s="2"/>
      <c r="M117" s="2"/>
      <c r="N117" s="2"/>
      <c r="O117" s="2"/>
      <c r="P117" s="16" t="s">
        <v>452</v>
      </c>
      <c r="Q117" s="16" t="s">
        <v>453</v>
      </c>
      <c r="R117" s="16" t="s">
        <v>434</v>
      </c>
    </row>
    <row r="118" spans="1:18" ht="60" x14ac:dyDescent="0.25">
      <c r="A118" s="2" t="s">
        <v>51</v>
      </c>
      <c r="B118" s="15">
        <v>44256</v>
      </c>
      <c r="C118" s="15">
        <v>44270</v>
      </c>
      <c r="D118" s="2">
        <v>15</v>
      </c>
      <c r="E118" s="2"/>
      <c r="F118" s="2" t="s">
        <v>436</v>
      </c>
      <c r="G118" s="16" t="s">
        <v>523</v>
      </c>
      <c r="H118" s="2"/>
      <c r="I118" s="2">
        <v>670</v>
      </c>
      <c r="J118" s="2"/>
      <c r="K118" s="2"/>
      <c r="L118" s="2"/>
      <c r="M118" s="2"/>
      <c r="N118" s="2"/>
      <c r="O118" s="2"/>
      <c r="P118" s="2">
        <v>60675</v>
      </c>
      <c r="Q118" s="2" t="s">
        <v>462</v>
      </c>
      <c r="R118" s="2"/>
    </row>
    <row r="119" spans="1:18" ht="60" x14ac:dyDescent="0.25">
      <c r="A119" s="2" t="s">
        <v>38</v>
      </c>
      <c r="B119" s="15">
        <v>44257</v>
      </c>
      <c r="C119" s="15">
        <v>44261</v>
      </c>
      <c r="D119" s="2">
        <v>4</v>
      </c>
      <c r="E119" s="2"/>
      <c r="F119" s="2" t="s">
        <v>437</v>
      </c>
      <c r="G119" s="16" t="s">
        <v>447</v>
      </c>
      <c r="H119" s="2" t="s">
        <v>90</v>
      </c>
      <c r="I119" s="2">
        <v>671</v>
      </c>
      <c r="J119" s="2"/>
      <c r="K119" s="2"/>
      <c r="L119" s="2"/>
      <c r="M119" s="2"/>
      <c r="N119" s="2"/>
      <c r="O119" s="2"/>
      <c r="P119" s="16" t="s">
        <v>608</v>
      </c>
      <c r="Q119" s="16" t="s">
        <v>609</v>
      </c>
      <c r="R119" s="2"/>
    </row>
    <row r="120" spans="1:18" x14ac:dyDescent="0.25">
      <c r="A120" s="2" t="s">
        <v>438</v>
      </c>
      <c r="B120" s="15">
        <v>44257</v>
      </c>
      <c r="C120" s="15">
        <v>44260</v>
      </c>
      <c r="D120" s="2">
        <v>4</v>
      </c>
      <c r="E120" s="2"/>
      <c r="F120" s="2" t="s">
        <v>439</v>
      </c>
      <c r="G120" s="2" t="s">
        <v>461</v>
      </c>
      <c r="H120" s="2" t="s">
        <v>65</v>
      </c>
      <c r="I120" s="2">
        <v>672</v>
      </c>
      <c r="J120" s="2"/>
      <c r="K120" s="2"/>
      <c r="L120" s="2"/>
      <c r="M120" s="2"/>
      <c r="N120" s="2"/>
      <c r="O120" s="2"/>
      <c r="P120" s="2" t="s">
        <v>547</v>
      </c>
      <c r="Q120" s="2" t="s">
        <v>548</v>
      </c>
      <c r="R120" s="2"/>
    </row>
    <row r="121" spans="1:18" ht="30" x14ac:dyDescent="0.25">
      <c r="A121" s="2" t="s">
        <v>36</v>
      </c>
      <c r="B121" s="15">
        <v>44258</v>
      </c>
      <c r="C121" s="15">
        <v>44258</v>
      </c>
      <c r="D121" s="2">
        <v>1</v>
      </c>
      <c r="E121" s="2"/>
      <c r="F121" s="2" t="s">
        <v>440</v>
      </c>
      <c r="G121" s="2" t="s">
        <v>441</v>
      </c>
      <c r="H121" s="16" t="s">
        <v>262</v>
      </c>
      <c r="I121" s="2">
        <v>673</v>
      </c>
      <c r="J121" s="2"/>
      <c r="K121" s="2"/>
      <c r="L121" s="2"/>
      <c r="M121" s="2"/>
      <c r="N121" s="2"/>
      <c r="O121" s="2"/>
      <c r="P121" s="2">
        <v>60655</v>
      </c>
      <c r="Q121" s="2" t="s">
        <v>454</v>
      </c>
      <c r="R121" s="2"/>
    </row>
    <row r="122" spans="1:18" ht="45" x14ac:dyDescent="0.25">
      <c r="A122" s="2" t="s">
        <v>48</v>
      </c>
      <c r="B122" s="15">
        <v>44258</v>
      </c>
      <c r="C122" s="15">
        <v>44258</v>
      </c>
      <c r="D122" s="2">
        <v>1</v>
      </c>
      <c r="E122" s="2"/>
      <c r="F122" s="16" t="s">
        <v>442</v>
      </c>
      <c r="G122" s="2" t="s">
        <v>443</v>
      </c>
      <c r="H122" s="16" t="s">
        <v>84</v>
      </c>
      <c r="I122" s="2">
        <v>674</v>
      </c>
      <c r="J122" s="2"/>
      <c r="K122" s="2"/>
      <c r="L122" s="2"/>
      <c r="M122" s="2"/>
      <c r="N122" s="2"/>
      <c r="O122" s="2"/>
      <c r="P122" s="2">
        <v>60682</v>
      </c>
      <c r="Q122" s="2" t="s">
        <v>458</v>
      </c>
      <c r="R122" s="2"/>
    </row>
    <row r="123" spans="1:18" ht="30" x14ac:dyDescent="0.25">
      <c r="A123" s="2" t="s">
        <v>47</v>
      </c>
      <c r="B123" s="15">
        <v>44259</v>
      </c>
      <c r="C123" s="15">
        <v>44259</v>
      </c>
      <c r="D123" s="2">
        <v>1</v>
      </c>
      <c r="E123" s="2">
        <v>132544</v>
      </c>
      <c r="F123" s="2" t="s">
        <v>240</v>
      </c>
      <c r="G123" s="2" t="s">
        <v>444</v>
      </c>
      <c r="H123" s="16" t="s">
        <v>326</v>
      </c>
      <c r="I123" s="2">
        <v>675</v>
      </c>
      <c r="J123" s="2"/>
      <c r="K123" s="2"/>
      <c r="L123" s="2"/>
      <c r="M123" s="2"/>
      <c r="N123" s="2"/>
      <c r="O123" s="2"/>
      <c r="P123" s="2">
        <v>60666</v>
      </c>
      <c r="Q123" s="2" t="s">
        <v>471</v>
      </c>
      <c r="R123" s="2"/>
    </row>
    <row r="124" spans="1:18" x14ac:dyDescent="0.25">
      <c r="A124" s="2" t="s">
        <v>626</v>
      </c>
      <c r="B124" s="15">
        <v>44259</v>
      </c>
      <c r="C124" s="15">
        <v>44266</v>
      </c>
      <c r="D124" s="2">
        <v>7</v>
      </c>
      <c r="E124" s="2"/>
      <c r="F124" s="2" t="s">
        <v>445</v>
      </c>
      <c r="G124" s="2"/>
      <c r="H124" s="2"/>
      <c r="I124" s="2"/>
      <c r="J124" s="2"/>
      <c r="K124" s="2"/>
      <c r="L124" s="2"/>
      <c r="M124" s="2"/>
      <c r="N124" s="2"/>
      <c r="O124" s="2"/>
      <c r="P124" s="2"/>
      <c r="Q124" s="2"/>
      <c r="R124" s="2"/>
    </row>
    <row r="125" spans="1:18" ht="45" x14ac:dyDescent="0.25">
      <c r="A125" s="2" t="s">
        <v>34</v>
      </c>
      <c r="B125" s="15">
        <v>44259</v>
      </c>
      <c r="C125" s="15">
        <v>44259</v>
      </c>
      <c r="D125" s="2">
        <v>1</v>
      </c>
      <c r="E125" s="2">
        <v>99224</v>
      </c>
      <c r="F125" s="16" t="s">
        <v>463</v>
      </c>
      <c r="G125" s="16" t="s">
        <v>464</v>
      </c>
      <c r="H125" s="2" t="s">
        <v>125</v>
      </c>
      <c r="I125" s="2">
        <v>677</v>
      </c>
      <c r="J125" s="2"/>
      <c r="K125" s="2"/>
      <c r="L125" s="2"/>
      <c r="M125" s="2"/>
      <c r="N125" s="2"/>
      <c r="O125" s="2"/>
      <c r="P125" s="2">
        <v>60670</v>
      </c>
      <c r="Q125" s="16" t="s">
        <v>465</v>
      </c>
      <c r="R125" s="2"/>
    </row>
    <row r="126" spans="1:18" x14ac:dyDescent="0.25">
      <c r="A126" s="2" t="s">
        <v>28</v>
      </c>
      <c r="B126" s="15">
        <v>44261</v>
      </c>
      <c r="C126" s="15">
        <v>44261</v>
      </c>
      <c r="D126" s="2">
        <v>1</v>
      </c>
      <c r="E126" s="2"/>
      <c r="F126" s="2" t="s">
        <v>466</v>
      </c>
      <c r="G126" s="2" t="s">
        <v>467</v>
      </c>
      <c r="H126" s="2" t="s">
        <v>415</v>
      </c>
      <c r="I126" s="2">
        <v>678</v>
      </c>
      <c r="J126" s="2"/>
      <c r="K126" s="2"/>
      <c r="L126" s="2"/>
      <c r="M126" s="2"/>
      <c r="N126" s="2"/>
      <c r="O126" s="2"/>
      <c r="P126" s="2"/>
      <c r="Q126" s="2"/>
      <c r="R126" s="2"/>
    </row>
    <row r="127" spans="1:18" ht="30" x14ac:dyDescent="0.25">
      <c r="A127" s="2" t="s">
        <v>43</v>
      </c>
      <c r="B127" s="15">
        <v>44260</v>
      </c>
      <c r="C127" s="15">
        <v>44260</v>
      </c>
      <c r="D127" s="2">
        <v>1</v>
      </c>
      <c r="E127" s="2"/>
      <c r="F127" s="2" t="s">
        <v>468</v>
      </c>
      <c r="G127" s="16" t="s">
        <v>469</v>
      </c>
      <c r="H127" s="2" t="s">
        <v>470</v>
      </c>
      <c r="I127" s="2">
        <v>679</v>
      </c>
      <c r="J127" s="2"/>
      <c r="K127" s="2"/>
      <c r="L127" s="2"/>
      <c r="M127" s="2"/>
      <c r="N127" s="2"/>
      <c r="O127" s="2"/>
      <c r="P127" s="2"/>
      <c r="Q127" s="2"/>
      <c r="R127" s="2"/>
    </row>
    <row r="128" spans="1:18" ht="30" x14ac:dyDescent="0.25">
      <c r="A128" s="2" t="s">
        <v>35</v>
      </c>
      <c r="B128" s="15">
        <v>44263</v>
      </c>
      <c r="C128" s="15">
        <v>44263</v>
      </c>
      <c r="D128" s="2">
        <v>1</v>
      </c>
      <c r="E128" s="2"/>
      <c r="F128" s="16" t="s">
        <v>477</v>
      </c>
      <c r="G128" s="16" t="s">
        <v>478</v>
      </c>
      <c r="H128" s="2" t="s">
        <v>90</v>
      </c>
      <c r="I128" s="2">
        <v>680</v>
      </c>
      <c r="J128" s="2"/>
      <c r="K128" s="2"/>
      <c r="L128" s="2"/>
      <c r="M128" s="2"/>
      <c r="N128" s="2"/>
      <c r="O128" s="2"/>
      <c r="P128" s="2"/>
      <c r="Q128" s="2"/>
      <c r="R128" s="2"/>
    </row>
    <row r="129" spans="1:18" ht="45" x14ac:dyDescent="0.25">
      <c r="A129" s="2" t="s">
        <v>40</v>
      </c>
      <c r="B129" s="15">
        <v>44263</v>
      </c>
      <c r="C129" s="15">
        <v>44265</v>
      </c>
      <c r="D129" s="2">
        <v>2</v>
      </c>
      <c r="E129" s="2"/>
      <c r="F129" s="16" t="s">
        <v>479</v>
      </c>
      <c r="G129" s="16" t="s">
        <v>490</v>
      </c>
      <c r="H129" s="16" t="s">
        <v>84</v>
      </c>
      <c r="I129" s="2">
        <v>681</v>
      </c>
      <c r="J129" s="2"/>
      <c r="K129" s="2"/>
      <c r="L129" s="2"/>
      <c r="M129" s="2"/>
      <c r="N129" s="2"/>
      <c r="O129" s="2"/>
      <c r="P129" s="2" t="s">
        <v>611</v>
      </c>
      <c r="Q129" s="16" t="s">
        <v>612</v>
      </c>
      <c r="R129" s="2"/>
    </row>
    <row r="130" spans="1:18" x14ac:dyDescent="0.25">
      <c r="A130" s="2" t="s">
        <v>48</v>
      </c>
      <c r="B130" s="15">
        <v>44263</v>
      </c>
      <c r="C130" s="15">
        <v>44263</v>
      </c>
      <c r="D130" s="2">
        <v>1</v>
      </c>
      <c r="E130" s="2"/>
      <c r="F130" s="2" t="s">
        <v>480</v>
      </c>
      <c r="G130" s="2" t="s">
        <v>481</v>
      </c>
      <c r="H130" s="2" t="s">
        <v>90</v>
      </c>
      <c r="I130" s="2">
        <v>682</v>
      </c>
      <c r="J130" s="2"/>
      <c r="K130" s="2"/>
      <c r="L130" s="2"/>
      <c r="M130" s="2"/>
      <c r="N130" s="2"/>
      <c r="O130" s="2"/>
      <c r="P130" s="2"/>
      <c r="Q130" s="2"/>
      <c r="R130" s="2"/>
    </row>
    <row r="131" spans="1:18" ht="60" x14ac:dyDescent="0.25">
      <c r="A131" s="2" t="s">
        <v>53</v>
      </c>
      <c r="B131" s="15">
        <v>44264</v>
      </c>
      <c r="C131" s="15">
        <v>44264</v>
      </c>
      <c r="D131" s="2">
        <v>1</v>
      </c>
      <c r="E131" s="2">
        <v>7008</v>
      </c>
      <c r="F131" s="16" t="s">
        <v>482</v>
      </c>
      <c r="G131" s="16" t="s">
        <v>483</v>
      </c>
      <c r="H131" s="2" t="s">
        <v>102</v>
      </c>
      <c r="I131" s="2">
        <v>683</v>
      </c>
      <c r="J131" s="2"/>
      <c r="K131" s="2"/>
      <c r="L131" s="2"/>
      <c r="M131" s="2"/>
      <c r="N131" s="2"/>
      <c r="O131" s="2"/>
      <c r="P131" s="2">
        <v>60689</v>
      </c>
      <c r="Q131" s="16" t="s">
        <v>515</v>
      </c>
      <c r="R131" s="16" t="s">
        <v>516</v>
      </c>
    </row>
    <row r="132" spans="1:18" x14ac:dyDescent="0.25">
      <c r="A132" s="2" t="s">
        <v>33</v>
      </c>
      <c r="B132" s="15">
        <v>44264</v>
      </c>
      <c r="C132" s="15">
        <v>44264</v>
      </c>
      <c r="D132" s="2">
        <v>1</v>
      </c>
      <c r="E132" s="2"/>
      <c r="F132" s="2" t="s">
        <v>484</v>
      </c>
      <c r="G132" s="2" t="s">
        <v>485</v>
      </c>
      <c r="H132" s="2" t="s">
        <v>90</v>
      </c>
      <c r="I132" s="2">
        <v>684</v>
      </c>
      <c r="J132" s="2"/>
      <c r="K132" s="2"/>
      <c r="L132" s="2"/>
      <c r="M132" s="2"/>
      <c r="N132" s="2"/>
      <c r="O132" s="2"/>
      <c r="P132" s="2">
        <v>60692</v>
      </c>
      <c r="Q132" s="2" t="s">
        <v>514</v>
      </c>
      <c r="R132" s="2"/>
    </row>
    <row r="133" spans="1:18" ht="30" x14ac:dyDescent="0.25">
      <c r="A133" s="2" t="s">
        <v>43</v>
      </c>
      <c r="B133" s="15">
        <v>44265</v>
      </c>
      <c r="C133" s="15">
        <v>44265</v>
      </c>
      <c r="D133" s="2">
        <v>1</v>
      </c>
      <c r="E133" s="2">
        <v>267432</v>
      </c>
      <c r="F133" s="2" t="s">
        <v>486</v>
      </c>
      <c r="G133" s="16" t="s">
        <v>487</v>
      </c>
      <c r="H133" s="2" t="s">
        <v>102</v>
      </c>
      <c r="I133" s="2">
        <v>685</v>
      </c>
      <c r="J133" s="2"/>
      <c r="K133" s="2"/>
      <c r="L133" s="2"/>
      <c r="M133" s="2"/>
      <c r="N133" s="2"/>
      <c r="O133" s="2"/>
      <c r="P133" s="2">
        <v>60695</v>
      </c>
      <c r="Q133" s="2" t="s">
        <v>511</v>
      </c>
      <c r="R133" s="2"/>
    </row>
    <row r="134" spans="1:18" ht="45" x14ac:dyDescent="0.25">
      <c r="A134" s="2" t="s">
        <v>39</v>
      </c>
      <c r="B134" s="15">
        <v>44265</v>
      </c>
      <c r="C134" s="15">
        <v>44265</v>
      </c>
      <c r="D134" s="2">
        <v>1</v>
      </c>
      <c r="E134" s="2">
        <v>68899</v>
      </c>
      <c r="F134" s="2" t="s">
        <v>240</v>
      </c>
      <c r="G134" s="2" t="s">
        <v>488</v>
      </c>
      <c r="H134" s="16" t="s">
        <v>489</v>
      </c>
      <c r="I134" s="2">
        <v>686</v>
      </c>
      <c r="J134" s="2"/>
      <c r="K134" s="2"/>
      <c r="L134" s="2"/>
      <c r="M134" s="2"/>
      <c r="N134" s="2"/>
      <c r="O134" s="2"/>
      <c r="P134" s="2">
        <v>61102</v>
      </c>
      <c r="Q134" s="16" t="s">
        <v>517</v>
      </c>
      <c r="R134" s="2"/>
    </row>
    <row r="135" spans="1:18" ht="45" x14ac:dyDescent="0.25">
      <c r="A135" s="2" t="s">
        <v>661</v>
      </c>
      <c r="B135" s="15">
        <v>44266</v>
      </c>
      <c r="C135" s="15">
        <v>44270</v>
      </c>
      <c r="D135" s="2">
        <v>4</v>
      </c>
      <c r="E135" s="2"/>
      <c r="F135" s="2" t="s">
        <v>492</v>
      </c>
      <c r="G135" s="16" t="s">
        <v>522</v>
      </c>
      <c r="H135" s="2"/>
      <c r="I135" s="2">
        <v>687</v>
      </c>
      <c r="J135" s="2"/>
      <c r="K135" s="2"/>
      <c r="L135" s="2"/>
      <c r="M135" s="2">
        <v>7780</v>
      </c>
      <c r="N135" s="2"/>
      <c r="O135" s="2" t="s">
        <v>561</v>
      </c>
      <c r="P135" s="2"/>
      <c r="Q135" s="2"/>
      <c r="R135" s="2"/>
    </row>
    <row r="136" spans="1:18" x14ac:dyDescent="0.25">
      <c r="A136" s="2" t="s">
        <v>50</v>
      </c>
      <c r="B136" s="15">
        <v>44266</v>
      </c>
      <c r="C136" s="15">
        <v>44266</v>
      </c>
      <c r="D136" s="2">
        <v>1</v>
      </c>
      <c r="E136" s="2"/>
      <c r="F136" s="2" t="s">
        <v>493</v>
      </c>
      <c r="G136" s="2" t="s">
        <v>494</v>
      </c>
      <c r="H136" s="2" t="s">
        <v>102</v>
      </c>
      <c r="I136" s="2">
        <v>688</v>
      </c>
      <c r="J136" s="2"/>
      <c r="K136" s="2"/>
      <c r="L136" s="2"/>
      <c r="M136" s="2"/>
      <c r="N136" s="2"/>
      <c r="O136" s="2"/>
      <c r="P136" s="2">
        <v>61108</v>
      </c>
      <c r="Q136" s="2" t="s">
        <v>519</v>
      </c>
      <c r="R136" s="2"/>
    </row>
    <row r="137" spans="1:18" ht="30" x14ac:dyDescent="0.25">
      <c r="A137" s="2" t="s">
        <v>37</v>
      </c>
      <c r="B137" s="15">
        <v>44266</v>
      </c>
      <c r="C137" s="15">
        <v>44266</v>
      </c>
      <c r="D137" s="2">
        <v>1</v>
      </c>
      <c r="E137" s="2"/>
      <c r="F137" s="2" t="s">
        <v>495</v>
      </c>
      <c r="G137" s="16" t="s">
        <v>496</v>
      </c>
      <c r="H137" s="2" t="s">
        <v>102</v>
      </c>
      <c r="I137" s="2">
        <v>689</v>
      </c>
      <c r="J137" s="2"/>
      <c r="K137" s="2"/>
      <c r="L137" s="2"/>
      <c r="M137" s="2"/>
      <c r="N137" s="2"/>
      <c r="O137" s="2"/>
      <c r="P137" s="2"/>
      <c r="Q137" s="2"/>
      <c r="R137" s="2"/>
    </row>
    <row r="138" spans="1:18" x14ac:dyDescent="0.25">
      <c r="A138" s="2" t="s">
        <v>497</v>
      </c>
      <c r="B138" s="15">
        <v>44266</v>
      </c>
      <c r="C138" s="15">
        <v>44266</v>
      </c>
      <c r="D138" s="2">
        <v>1</v>
      </c>
      <c r="E138" s="2"/>
      <c r="F138" s="2" t="s">
        <v>498</v>
      </c>
      <c r="G138" s="2" t="s">
        <v>499</v>
      </c>
      <c r="H138" s="2" t="s">
        <v>415</v>
      </c>
      <c r="I138" s="2">
        <v>690</v>
      </c>
      <c r="J138" s="2"/>
      <c r="K138" s="2"/>
      <c r="L138" s="2"/>
      <c r="M138" s="2"/>
      <c r="N138" s="2"/>
      <c r="O138" s="2"/>
      <c r="P138" s="2"/>
      <c r="Q138" s="2"/>
      <c r="R138" s="2"/>
    </row>
    <row r="139" spans="1:18" ht="45" x14ac:dyDescent="0.25">
      <c r="A139" s="2" t="s">
        <v>35</v>
      </c>
      <c r="B139" s="15">
        <v>44266</v>
      </c>
      <c r="C139" s="15">
        <v>44266</v>
      </c>
      <c r="D139" s="2">
        <v>1</v>
      </c>
      <c r="E139" s="2"/>
      <c r="F139" s="2" t="s">
        <v>500</v>
      </c>
      <c r="G139" s="2" t="s">
        <v>501</v>
      </c>
      <c r="H139" s="16" t="s">
        <v>502</v>
      </c>
      <c r="I139" s="2">
        <v>691</v>
      </c>
      <c r="J139" s="2"/>
      <c r="K139" s="2"/>
      <c r="L139" s="2"/>
      <c r="M139" s="2"/>
      <c r="N139" s="2"/>
      <c r="O139" s="2"/>
      <c r="P139" s="2"/>
      <c r="Q139" s="2"/>
      <c r="R139" s="2"/>
    </row>
    <row r="140" spans="1:18" x14ac:dyDescent="0.25">
      <c r="A140" s="2" t="s">
        <v>34</v>
      </c>
      <c r="B140" s="15">
        <v>44266</v>
      </c>
      <c r="C140" s="15">
        <v>44266</v>
      </c>
      <c r="D140" s="2">
        <v>1</v>
      </c>
      <c r="E140" s="2"/>
      <c r="F140" s="2" t="s">
        <v>503</v>
      </c>
      <c r="G140" s="2"/>
      <c r="H140" s="2" t="s">
        <v>90</v>
      </c>
      <c r="I140" s="2">
        <v>692</v>
      </c>
      <c r="J140" s="2"/>
      <c r="K140" s="2"/>
      <c r="L140" s="2"/>
      <c r="M140" s="2"/>
      <c r="N140" s="2"/>
      <c r="O140" s="2"/>
      <c r="P140" s="2">
        <v>61242</v>
      </c>
      <c r="Q140" s="2" t="s">
        <v>559</v>
      </c>
      <c r="R140" s="2" t="s">
        <v>504</v>
      </c>
    </row>
    <row r="141" spans="1:18" ht="75" x14ac:dyDescent="0.25">
      <c r="A141" s="2" t="s">
        <v>26</v>
      </c>
      <c r="B141" s="15">
        <v>44267</v>
      </c>
      <c r="C141" s="15">
        <v>44267</v>
      </c>
      <c r="D141" s="2">
        <v>1</v>
      </c>
      <c r="E141" s="2">
        <v>20836</v>
      </c>
      <c r="F141" s="16" t="s">
        <v>505</v>
      </c>
      <c r="G141" s="16" t="s">
        <v>506</v>
      </c>
      <c r="H141" s="16" t="s">
        <v>433</v>
      </c>
      <c r="I141" s="2">
        <v>694</v>
      </c>
      <c r="J141" s="2"/>
      <c r="K141" s="2"/>
      <c r="L141" s="2"/>
      <c r="M141" s="2"/>
      <c r="N141" s="2"/>
      <c r="O141" s="2"/>
      <c r="P141" s="16" t="s">
        <v>520</v>
      </c>
      <c r="Q141" s="16" t="s">
        <v>521</v>
      </c>
      <c r="R141" s="2" t="s">
        <v>507</v>
      </c>
    </row>
    <row r="142" spans="1:18" ht="45" x14ac:dyDescent="0.25">
      <c r="A142" s="2" t="s">
        <v>491</v>
      </c>
      <c r="B142" s="15">
        <v>44267</v>
      </c>
      <c r="C142" s="15">
        <v>44272</v>
      </c>
      <c r="D142" s="2">
        <v>5</v>
      </c>
      <c r="E142" s="2"/>
      <c r="F142" s="2" t="s">
        <v>131</v>
      </c>
      <c r="G142" s="16" t="s">
        <v>525</v>
      </c>
      <c r="H142" s="2"/>
      <c r="I142" s="2">
        <v>695</v>
      </c>
      <c r="J142" s="2"/>
      <c r="K142" s="2"/>
      <c r="L142" s="2"/>
      <c r="M142" s="2"/>
      <c r="N142" s="2"/>
      <c r="O142" s="2"/>
      <c r="P142" s="2">
        <v>61316</v>
      </c>
      <c r="Q142" s="2" t="s">
        <v>610</v>
      </c>
      <c r="R142" s="2"/>
    </row>
    <row r="143" spans="1:18" x14ac:dyDescent="0.25">
      <c r="A143" s="2" t="s">
        <v>32</v>
      </c>
      <c r="B143" s="15">
        <v>44267</v>
      </c>
      <c r="C143" s="15">
        <v>44267</v>
      </c>
      <c r="D143" s="2">
        <v>1</v>
      </c>
      <c r="E143" s="2"/>
      <c r="F143" s="2" t="s">
        <v>508</v>
      </c>
      <c r="G143" s="2" t="s">
        <v>509</v>
      </c>
      <c r="H143" s="2"/>
      <c r="I143" s="2">
        <v>696</v>
      </c>
      <c r="J143" s="2"/>
      <c r="K143" s="2"/>
      <c r="L143" s="2"/>
      <c r="M143" s="2"/>
      <c r="N143" s="2"/>
      <c r="O143" s="2"/>
      <c r="P143" s="2">
        <v>61100</v>
      </c>
      <c r="Q143" s="2" t="s">
        <v>556</v>
      </c>
      <c r="R143" s="2"/>
    </row>
    <row r="144" spans="1:18" ht="30" x14ac:dyDescent="0.25">
      <c r="A144" s="2" t="s">
        <v>94</v>
      </c>
      <c r="B144" s="15">
        <v>44268</v>
      </c>
      <c r="C144" s="15">
        <v>44268</v>
      </c>
      <c r="D144" s="2">
        <v>1</v>
      </c>
      <c r="E144" s="2"/>
      <c r="F144" s="2" t="s">
        <v>603</v>
      </c>
      <c r="G144" s="16" t="s">
        <v>510</v>
      </c>
      <c r="H144" s="2" t="s">
        <v>102</v>
      </c>
      <c r="I144" s="2">
        <v>697</v>
      </c>
      <c r="J144" s="2"/>
      <c r="K144" s="2"/>
      <c r="L144" s="2"/>
      <c r="M144" s="2"/>
      <c r="N144" s="2"/>
      <c r="O144" s="2"/>
      <c r="P144" s="2">
        <v>61084</v>
      </c>
      <c r="Q144" s="2" t="s">
        <v>518</v>
      </c>
      <c r="R144" s="2"/>
    </row>
    <row r="145" spans="1:18" ht="75" x14ac:dyDescent="0.25">
      <c r="A145" s="2" t="s">
        <v>352</v>
      </c>
      <c r="B145" s="15">
        <v>44269</v>
      </c>
      <c r="C145" s="15">
        <v>44293</v>
      </c>
      <c r="D145" s="2"/>
      <c r="E145" s="2"/>
      <c r="F145" s="16" t="s">
        <v>524</v>
      </c>
      <c r="G145" s="16" t="s">
        <v>713</v>
      </c>
      <c r="H145" s="2"/>
      <c r="I145" s="2">
        <v>698</v>
      </c>
      <c r="J145" s="2"/>
      <c r="K145" s="2"/>
      <c r="L145" s="2"/>
      <c r="M145" s="2"/>
      <c r="N145" s="2"/>
      <c r="O145" s="2"/>
      <c r="P145" s="16" t="s">
        <v>701</v>
      </c>
      <c r="Q145" s="16" t="s">
        <v>702</v>
      </c>
      <c r="R145" s="2"/>
    </row>
    <row r="146" spans="1:18" ht="45" x14ac:dyDescent="0.25">
      <c r="A146" s="2" t="s">
        <v>48</v>
      </c>
      <c r="B146" s="15">
        <v>44271</v>
      </c>
      <c r="C146" s="15">
        <v>44271</v>
      </c>
      <c r="D146" s="2">
        <v>1</v>
      </c>
      <c r="E146" s="2">
        <v>4672</v>
      </c>
      <c r="F146" s="2" t="s">
        <v>114</v>
      </c>
      <c r="G146" s="16" t="s">
        <v>529</v>
      </c>
      <c r="H146" s="16" t="s">
        <v>489</v>
      </c>
      <c r="I146" s="2">
        <v>699</v>
      </c>
      <c r="J146" s="2"/>
      <c r="K146" s="2"/>
      <c r="L146" s="2"/>
      <c r="M146" s="2"/>
      <c r="N146" s="2"/>
      <c r="O146" s="2"/>
      <c r="P146" s="2" t="s">
        <v>539</v>
      </c>
      <c r="Q146" s="16" t="s">
        <v>540</v>
      </c>
      <c r="R146" s="16" t="s">
        <v>560</v>
      </c>
    </row>
    <row r="147" spans="1:18" ht="45" x14ac:dyDescent="0.25">
      <c r="A147" s="2" t="s">
        <v>37</v>
      </c>
      <c r="B147" s="15">
        <v>44271</v>
      </c>
      <c r="C147" s="15">
        <v>44271</v>
      </c>
      <c r="D147" s="2">
        <v>1</v>
      </c>
      <c r="E147" s="2"/>
      <c r="F147" s="16" t="s">
        <v>530</v>
      </c>
      <c r="G147" s="16" t="s">
        <v>531</v>
      </c>
      <c r="H147" s="2" t="s">
        <v>65</v>
      </c>
      <c r="I147" s="2">
        <v>700</v>
      </c>
      <c r="J147" s="2"/>
      <c r="K147" s="2"/>
      <c r="L147" s="2"/>
      <c r="M147" s="2"/>
      <c r="N147" s="2"/>
      <c r="O147" s="2"/>
      <c r="P147" s="2" t="s">
        <v>543</v>
      </c>
      <c r="Q147" s="16" t="s">
        <v>544</v>
      </c>
      <c r="R147" s="2"/>
    </row>
    <row r="148" spans="1:18" ht="45" x14ac:dyDescent="0.25">
      <c r="A148" s="2" t="s">
        <v>532</v>
      </c>
      <c r="B148" s="15">
        <v>44271</v>
      </c>
      <c r="C148" s="15">
        <v>44271</v>
      </c>
      <c r="D148" s="2">
        <v>1</v>
      </c>
      <c r="E148" s="2"/>
      <c r="F148" s="2" t="s">
        <v>533</v>
      </c>
      <c r="G148" s="16" t="s">
        <v>534</v>
      </c>
      <c r="H148" s="2" t="s">
        <v>102</v>
      </c>
      <c r="I148" s="2">
        <v>701</v>
      </c>
      <c r="J148" s="2"/>
      <c r="K148" s="2"/>
      <c r="L148" s="2"/>
      <c r="M148" s="2"/>
      <c r="N148" s="2"/>
      <c r="O148" s="2"/>
      <c r="P148" s="2" t="s">
        <v>705</v>
      </c>
      <c r="Q148" s="2" t="s">
        <v>706</v>
      </c>
      <c r="R148" s="2"/>
    </row>
    <row r="149" spans="1:18" ht="60" x14ac:dyDescent="0.25">
      <c r="A149" s="2" t="s">
        <v>52</v>
      </c>
      <c r="B149" s="15">
        <v>44271</v>
      </c>
      <c r="C149" s="15">
        <v>44271</v>
      </c>
      <c r="D149" s="2">
        <v>1</v>
      </c>
      <c r="E149" s="2">
        <v>7657</v>
      </c>
      <c r="F149" s="2" t="s">
        <v>324</v>
      </c>
      <c r="G149" s="16" t="s">
        <v>535</v>
      </c>
      <c r="H149" s="2" t="s">
        <v>90</v>
      </c>
      <c r="I149" s="2">
        <v>702</v>
      </c>
      <c r="J149" s="2"/>
      <c r="K149" s="2"/>
      <c r="L149" s="2"/>
      <c r="M149" s="2"/>
      <c r="N149" s="2"/>
      <c r="O149" s="2"/>
      <c r="P149" s="2" t="s">
        <v>557</v>
      </c>
      <c r="Q149" s="2" t="s">
        <v>558</v>
      </c>
      <c r="R149" s="16" t="s">
        <v>553</v>
      </c>
    </row>
    <row r="150" spans="1:18" ht="45" x14ac:dyDescent="0.25">
      <c r="A150" s="2" t="s">
        <v>50</v>
      </c>
      <c r="B150" s="15">
        <v>44272</v>
      </c>
      <c r="C150" s="15">
        <v>44272</v>
      </c>
      <c r="D150" s="2">
        <v>1</v>
      </c>
      <c r="E150" s="2"/>
      <c r="F150" s="2" t="s">
        <v>545</v>
      </c>
      <c r="G150" s="2" t="s">
        <v>546</v>
      </c>
      <c r="H150" s="16" t="s">
        <v>433</v>
      </c>
      <c r="I150" s="2">
        <v>703</v>
      </c>
      <c r="J150" s="2"/>
      <c r="K150" s="2"/>
      <c r="L150" s="2"/>
      <c r="M150" s="2"/>
      <c r="N150" s="2"/>
      <c r="O150" s="2"/>
      <c r="P150" s="16" t="s">
        <v>601</v>
      </c>
      <c r="Q150" s="16" t="s">
        <v>602</v>
      </c>
      <c r="R150" s="2"/>
    </row>
    <row r="151" spans="1:18" x14ac:dyDescent="0.25">
      <c r="A151" s="2" t="s">
        <v>39</v>
      </c>
      <c r="B151" s="15">
        <v>44272</v>
      </c>
      <c r="C151" s="15">
        <v>44272</v>
      </c>
      <c r="D151" s="2">
        <v>1</v>
      </c>
      <c r="E151" s="2"/>
      <c r="F151" s="2" t="s">
        <v>359</v>
      </c>
      <c r="G151" s="2" t="s">
        <v>536</v>
      </c>
      <c r="H151" s="2" t="s">
        <v>65</v>
      </c>
      <c r="I151" s="2">
        <v>704</v>
      </c>
      <c r="J151" s="2"/>
      <c r="K151" s="2"/>
      <c r="L151" s="2"/>
      <c r="M151" s="2"/>
      <c r="N151" s="2"/>
      <c r="O151" s="2"/>
      <c r="P151" s="2" t="s">
        <v>549</v>
      </c>
      <c r="Q151" s="2" t="s">
        <v>550</v>
      </c>
      <c r="R151" s="2"/>
    </row>
    <row r="152" spans="1:18" x14ac:dyDescent="0.25">
      <c r="A152" s="2" t="s">
        <v>626</v>
      </c>
      <c r="B152" s="15">
        <v>44273</v>
      </c>
      <c r="C152" s="15">
        <v>44273</v>
      </c>
      <c r="D152" s="2">
        <v>1</v>
      </c>
      <c r="E152" s="2"/>
      <c r="F152" s="2" t="s">
        <v>537</v>
      </c>
      <c r="G152" s="2" t="s">
        <v>538</v>
      </c>
      <c r="H152" s="2" t="s">
        <v>415</v>
      </c>
      <c r="I152" s="2">
        <v>705</v>
      </c>
      <c r="J152" s="2"/>
      <c r="K152" s="2"/>
      <c r="L152" s="2"/>
      <c r="M152" s="2"/>
      <c r="N152" s="2"/>
      <c r="O152" s="2"/>
      <c r="P152" s="2" t="s">
        <v>555</v>
      </c>
      <c r="Q152" s="2" t="s">
        <v>554</v>
      </c>
      <c r="R152" s="2"/>
    </row>
    <row r="153" spans="1:18" s="1" customFormat="1" x14ac:dyDescent="0.25">
      <c r="A153" s="2" t="s">
        <v>48</v>
      </c>
      <c r="B153" s="15">
        <v>44274</v>
      </c>
      <c r="C153" s="15">
        <v>44274</v>
      </c>
      <c r="D153" s="2">
        <v>1</v>
      </c>
      <c r="E153" s="2"/>
      <c r="F153" s="2" t="s">
        <v>575</v>
      </c>
      <c r="G153" s="2" t="s">
        <v>576</v>
      </c>
      <c r="H153" s="2" t="s">
        <v>577</v>
      </c>
      <c r="I153" s="2"/>
      <c r="J153" s="2"/>
      <c r="K153" s="2"/>
      <c r="L153" s="2"/>
      <c r="M153" s="2"/>
      <c r="N153" s="2"/>
      <c r="O153" s="2"/>
      <c r="P153" s="2"/>
      <c r="Q153" s="2"/>
      <c r="R153" s="2"/>
    </row>
    <row r="154" spans="1:18" x14ac:dyDescent="0.25">
      <c r="A154" s="2" t="s">
        <v>34</v>
      </c>
      <c r="B154" s="15">
        <v>44274</v>
      </c>
      <c r="C154" s="15">
        <v>44274</v>
      </c>
      <c r="D154" s="2">
        <v>1</v>
      </c>
      <c r="E154" s="2"/>
      <c r="F154" s="2" t="s">
        <v>416</v>
      </c>
      <c r="G154" s="2" t="s">
        <v>564</v>
      </c>
      <c r="H154" s="2" t="s">
        <v>65</v>
      </c>
      <c r="I154" s="2">
        <v>706</v>
      </c>
      <c r="J154" s="2"/>
      <c r="K154" s="2"/>
      <c r="L154" s="2"/>
      <c r="M154" s="2"/>
      <c r="N154" s="2"/>
      <c r="O154" s="2"/>
      <c r="P154" s="2"/>
      <c r="Q154" s="2"/>
      <c r="R154" s="2"/>
    </row>
    <row r="155" spans="1:18" x14ac:dyDescent="0.25">
      <c r="A155" s="2" t="s">
        <v>28</v>
      </c>
      <c r="B155" s="15">
        <v>44274</v>
      </c>
      <c r="C155" s="15">
        <v>44274</v>
      </c>
      <c r="D155" s="2">
        <v>1</v>
      </c>
      <c r="E155" s="2"/>
      <c r="F155" s="2" t="s">
        <v>307</v>
      </c>
      <c r="G155" s="2" t="s">
        <v>565</v>
      </c>
      <c r="H155" s="2" t="s">
        <v>566</v>
      </c>
      <c r="I155" s="2">
        <v>707</v>
      </c>
      <c r="J155" s="2"/>
      <c r="K155" s="2"/>
      <c r="L155" s="2"/>
      <c r="M155" s="2"/>
      <c r="N155" s="2"/>
      <c r="O155" s="2"/>
      <c r="P155" s="2"/>
      <c r="Q155" s="2"/>
      <c r="R155" s="2"/>
    </row>
    <row r="156" spans="1:18" ht="60" x14ac:dyDescent="0.25">
      <c r="A156" s="2" t="s">
        <v>50</v>
      </c>
      <c r="B156" s="15">
        <v>44278</v>
      </c>
      <c r="C156" s="15">
        <v>44278</v>
      </c>
      <c r="D156" s="2">
        <v>1</v>
      </c>
      <c r="E156" s="2">
        <v>18258</v>
      </c>
      <c r="F156" s="2" t="s">
        <v>567</v>
      </c>
      <c r="G156" s="16" t="s">
        <v>568</v>
      </c>
      <c r="H156" s="2" t="s">
        <v>65</v>
      </c>
      <c r="I156" s="2">
        <v>708</v>
      </c>
      <c r="J156" s="2"/>
      <c r="K156" s="2"/>
      <c r="L156" s="2"/>
      <c r="M156" s="2"/>
      <c r="N156" s="2"/>
      <c r="O156" s="2"/>
      <c r="P156" s="2">
        <v>61318</v>
      </c>
      <c r="Q156" s="16" t="s">
        <v>606</v>
      </c>
      <c r="R156" s="16" t="s">
        <v>607</v>
      </c>
    </row>
    <row r="157" spans="1:18" x14ac:dyDescent="0.25">
      <c r="A157" s="2" t="s">
        <v>94</v>
      </c>
      <c r="B157" s="15">
        <v>44278</v>
      </c>
      <c r="C157" s="15">
        <v>44278</v>
      </c>
      <c r="D157" s="2">
        <v>1</v>
      </c>
      <c r="E157" s="2"/>
      <c r="F157" s="2" t="s">
        <v>569</v>
      </c>
      <c r="G157" s="2" t="s">
        <v>570</v>
      </c>
      <c r="H157" s="2" t="s">
        <v>90</v>
      </c>
      <c r="I157" s="2">
        <v>709</v>
      </c>
      <c r="J157" s="2"/>
      <c r="K157" s="2"/>
      <c r="L157" s="2"/>
      <c r="M157" s="2"/>
      <c r="N157" s="2"/>
      <c r="O157" s="2"/>
      <c r="P157" s="2">
        <v>61320</v>
      </c>
      <c r="Q157" s="2" t="s">
        <v>604</v>
      </c>
      <c r="R157" s="2"/>
    </row>
    <row r="158" spans="1:18" ht="90" x14ac:dyDescent="0.25">
      <c r="A158" s="2" t="s">
        <v>571</v>
      </c>
      <c r="B158" s="15">
        <v>44278</v>
      </c>
      <c r="C158" s="15">
        <v>44278</v>
      </c>
      <c r="D158" s="2">
        <v>1</v>
      </c>
      <c r="E158" s="2"/>
      <c r="F158" s="2" t="s">
        <v>307</v>
      </c>
      <c r="G158" s="16" t="s">
        <v>572</v>
      </c>
      <c r="H158" s="2" t="s">
        <v>90</v>
      </c>
      <c r="I158" s="2">
        <v>710</v>
      </c>
      <c r="J158" s="2"/>
      <c r="K158" s="2"/>
      <c r="L158" s="2"/>
      <c r="M158" s="2"/>
      <c r="N158" s="2"/>
      <c r="O158" s="2"/>
      <c r="P158" s="2"/>
      <c r="Q158" s="2"/>
      <c r="R158" s="2"/>
    </row>
    <row r="159" spans="1:18" ht="63.75" customHeight="1" x14ac:dyDescent="0.25">
      <c r="A159" s="2" t="s">
        <v>27</v>
      </c>
      <c r="B159" s="15">
        <v>44278</v>
      </c>
      <c r="C159" s="15">
        <v>44279</v>
      </c>
      <c r="D159" s="2">
        <v>2</v>
      </c>
      <c r="E159" s="2">
        <v>711374</v>
      </c>
      <c r="F159" s="2" t="s">
        <v>573</v>
      </c>
      <c r="G159" s="16" t="s">
        <v>620</v>
      </c>
      <c r="H159" s="16" t="s">
        <v>619</v>
      </c>
      <c r="I159" s="2">
        <v>711</v>
      </c>
      <c r="J159" s="2"/>
      <c r="K159" s="2"/>
      <c r="L159" s="2"/>
      <c r="M159" s="2"/>
      <c r="N159" s="2"/>
      <c r="O159" s="16" t="s">
        <v>621</v>
      </c>
      <c r="P159" s="2"/>
      <c r="Q159" s="2"/>
      <c r="R159" s="2" t="s">
        <v>618</v>
      </c>
    </row>
    <row r="160" spans="1:18" x14ac:dyDescent="0.25">
      <c r="A160" s="2" t="s">
        <v>42</v>
      </c>
      <c r="B160" s="15">
        <v>44277</v>
      </c>
      <c r="C160" s="15">
        <v>44277</v>
      </c>
      <c r="D160" s="2">
        <v>1</v>
      </c>
      <c r="E160" s="2"/>
      <c r="F160" s="2" t="s">
        <v>307</v>
      </c>
      <c r="G160" s="2" t="s">
        <v>578</v>
      </c>
      <c r="H160" s="2" t="s">
        <v>90</v>
      </c>
      <c r="I160" s="2">
        <v>712</v>
      </c>
      <c r="J160" s="2"/>
      <c r="K160" s="2"/>
      <c r="L160" s="2"/>
      <c r="M160" s="2"/>
      <c r="N160" s="2"/>
      <c r="O160" s="2"/>
      <c r="P160" s="2"/>
      <c r="Q160" s="2"/>
      <c r="R160" s="2"/>
    </row>
    <row r="161" spans="1:18" ht="30" x14ac:dyDescent="0.25">
      <c r="A161" s="2" t="s">
        <v>579</v>
      </c>
      <c r="B161" s="15">
        <v>44277</v>
      </c>
      <c r="C161" s="15">
        <v>44277</v>
      </c>
      <c r="D161" s="2">
        <v>1</v>
      </c>
      <c r="E161" s="2"/>
      <c r="F161" s="2" t="s">
        <v>307</v>
      </c>
      <c r="G161" s="16" t="s">
        <v>580</v>
      </c>
      <c r="H161" s="2" t="s">
        <v>90</v>
      </c>
      <c r="I161" s="2">
        <v>713</v>
      </c>
      <c r="J161" s="2"/>
      <c r="K161" s="2"/>
      <c r="L161" s="2"/>
      <c r="M161" s="2"/>
      <c r="N161" s="2"/>
      <c r="O161" s="2"/>
      <c r="P161" s="2"/>
      <c r="Q161" s="2"/>
      <c r="R161" s="2"/>
    </row>
    <row r="162" spans="1:18" x14ac:dyDescent="0.25">
      <c r="A162" s="2" t="s">
        <v>46</v>
      </c>
      <c r="B162" s="15">
        <v>44277</v>
      </c>
      <c r="C162" s="15">
        <v>44277</v>
      </c>
      <c r="D162" s="2">
        <v>1</v>
      </c>
      <c r="E162" s="2"/>
      <c r="F162" s="2" t="s">
        <v>613</v>
      </c>
      <c r="G162" s="2" t="s">
        <v>581</v>
      </c>
      <c r="H162" s="2" t="s">
        <v>65</v>
      </c>
      <c r="I162" s="2">
        <v>714</v>
      </c>
      <c r="J162" s="2"/>
      <c r="K162" s="2"/>
      <c r="L162" s="2"/>
      <c r="M162" s="2"/>
      <c r="N162" s="2"/>
      <c r="O162" s="2"/>
      <c r="P162" s="2">
        <v>61336</v>
      </c>
      <c r="Q162" s="2" t="s">
        <v>614</v>
      </c>
      <c r="R162" s="2"/>
    </row>
    <row r="163" spans="1:18" ht="30" x14ac:dyDescent="0.25">
      <c r="A163" s="2" t="s">
        <v>582</v>
      </c>
      <c r="B163" s="15">
        <v>44278</v>
      </c>
      <c r="C163" s="15">
        <v>44279</v>
      </c>
      <c r="D163" s="2">
        <v>1</v>
      </c>
      <c r="E163" s="2"/>
      <c r="F163" s="2" t="s">
        <v>307</v>
      </c>
      <c r="G163" s="16" t="s">
        <v>583</v>
      </c>
      <c r="H163" s="2" t="s">
        <v>90</v>
      </c>
      <c r="I163" s="2">
        <v>715</v>
      </c>
      <c r="J163" s="2"/>
      <c r="K163" s="2"/>
      <c r="L163" s="2"/>
      <c r="M163" s="2"/>
      <c r="N163" s="2"/>
      <c r="O163" s="2"/>
      <c r="P163" s="2">
        <v>61319</v>
      </c>
      <c r="Q163" s="2" t="s">
        <v>605</v>
      </c>
      <c r="R163" s="16" t="s">
        <v>584</v>
      </c>
    </row>
    <row r="164" spans="1:18" ht="45" x14ac:dyDescent="0.25">
      <c r="A164" s="2" t="s">
        <v>53</v>
      </c>
      <c r="B164" s="15">
        <v>44279</v>
      </c>
      <c r="C164" s="15">
        <v>44279</v>
      </c>
      <c r="D164" s="2">
        <v>1</v>
      </c>
      <c r="E164" s="2"/>
      <c r="F164" s="16" t="s">
        <v>585</v>
      </c>
      <c r="G164" s="2" t="s">
        <v>586</v>
      </c>
      <c r="H164" s="16" t="s">
        <v>244</v>
      </c>
      <c r="I164" s="2">
        <v>716</v>
      </c>
      <c r="J164" s="2"/>
      <c r="K164" s="2"/>
      <c r="L164" s="2"/>
      <c r="M164" s="2"/>
      <c r="N164" s="2"/>
      <c r="O164" s="2"/>
      <c r="P164" s="2"/>
      <c r="Q164" s="2"/>
      <c r="R164" s="2"/>
    </row>
    <row r="165" spans="1:18" ht="30" x14ac:dyDescent="0.25">
      <c r="A165" s="2" t="s">
        <v>37</v>
      </c>
      <c r="B165" s="15">
        <v>44279</v>
      </c>
      <c r="C165" s="15">
        <v>44279</v>
      </c>
      <c r="D165" s="2">
        <v>1</v>
      </c>
      <c r="E165" s="2"/>
      <c r="F165" s="2" t="s">
        <v>359</v>
      </c>
      <c r="G165" s="16" t="s">
        <v>640</v>
      </c>
      <c r="H165" s="2" t="s">
        <v>65</v>
      </c>
      <c r="I165" s="2">
        <v>717</v>
      </c>
      <c r="J165" s="2"/>
      <c r="K165" s="2"/>
      <c r="L165" s="2"/>
      <c r="M165" s="2"/>
      <c r="N165" s="2"/>
      <c r="O165" s="2"/>
      <c r="P165" s="2">
        <v>61331</v>
      </c>
      <c r="Q165" s="16" t="s">
        <v>641</v>
      </c>
      <c r="R165" s="2"/>
    </row>
    <row r="166" spans="1:18" ht="45" x14ac:dyDescent="0.25">
      <c r="A166" s="2" t="s">
        <v>35</v>
      </c>
      <c r="B166" s="15">
        <v>44279</v>
      </c>
      <c r="C166" s="15">
        <v>44279</v>
      </c>
      <c r="D166" s="2">
        <v>1</v>
      </c>
      <c r="E166" s="2"/>
      <c r="F166" s="2" t="s">
        <v>307</v>
      </c>
      <c r="G166" s="2" t="s">
        <v>587</v>
      </c>
      <c r="H166" s="16" t="s">
        <v>588</v>
      </c>
      <c r="I166" s="2">
        <v>718</v>
      </c>
      <c r="J166" s="2"/>
      <c r="K166" s="2"/>
      <c r="L166" s="2"/>
      <c r="M166" s="2"/>
      <c r="N166" s="2"/>
      <c r="O166" s="2"/>
      <c r="P166" s="2">
        <v>61332</v>
      </c>
      <c r="Q166" s="2" t="s">
        <v>639</v>
      </c>
      <c r="R166" s="2"/>
    </row>
    <row r="167" spans="1:18" x14ac:dyDescent="0.25">
      <c r="A167" s="2" t="s">
        <v>41</v>
      </c>
      <c r="B167" s="15">
        <v>44279</v>
      </c>
      <c r="C167" s="15">
        <v>44279</v>
      </c>
      <c r="D167" s="2">
        <v>1</v>
      </c>
      <c r="E167" s="2"/>
      <c r="F167" s="2" t="s">
        <v>589</v>
      </c>
      <c r="G167" s="2" t="s">
        <v>598</v>
      </c>
      <c r="H167" s="2" t="s">
        <v>90</v>
      </c>
      <c r="I167" s="2">
        <v>719</v>
      </c>
      <c r="J167" s="2"/>
      <c r="K167" s="2"/>
      <c r="L167" s="2"/>
      <c r="M167" s="2"/>
      <c r="N167" s="2"/>
      <c r="O167" s="2"/>
      <c r="P167" s="2" t="s">
        <v>599</v>
      </c>
      <c r="Q167" s="2" t="s">
        <v>600</v>
      </c>
      <c r="R167" s="2"/>
    </row>
    <row r="168" spans="1:18" ht="30" x14ac:dyDescent="0.25">
      <c r="A168" s="2" t="s">
        <v>36</v>
      </c>
      <c r="B168" s="15">
        <v>44280</v>
      </c>
      <c r="C168" s="15">
        <v>44286</v>
      </c>
      <c r="D168" s="2">
        <v>7</v>
      </c>
      <c r="E168" s="2"/>
      <c r="F168" s="16" t="s">
        <v>590</v>
      </c>
      <c r="G168" s="16" t="s">
        <v>591</v>
      </c>
      <c r="H168" s="16" t="s">
        <v>592</v>
      </c>
      <c r="I168" s="2">
        <v>720</v>
      </c>
      <c r="J168" s="2"/>
      <c r="K168" s="2"/>
      <c r="L168" s="2"/>
      <c r="M168" s="2"/>
      <c r="N168" s="2"/>
      <c r="O168" s="2"/>
      <c r="P168" s="2"/>
      <c r="Q168" s="2"/>
      <c r="R168" s="2"/>
    </row>
    <row r="169" spans="1:18" ht="75" x14ac:dyDescent="0.25">
      <c r="A169" s="2" t="s">
        <v>655</v>
      </c>
      <c r="B169" s="15">
        <v>44280</v>
      </c>
      <c r="C169" s="2"/>
      <c r="D169" s="2"/>
      <c r="E169" s="2"/>
      <c r="F169" s="2" t="s">
        <v>109</v>
      </c>
      <c r="G169" s="16" t="s">
        <v>593</v>
      </c>
      <c r="H169" s="16" t="s">
        <v>592</v>
      </c>
      <c r="I169" s="2">
        <v>721</v>
      </c>
      <c r="J169" s="2"/>
      <c r="K169" s="2"/>
      <c r="L169" s="2"/>
      <c r="M169" s="2"/>
      <c r="N169" s="2"/>
      <c r="O169" s="2"/>
      <c r="P169" s="2"/>
      <c r="Q169" s="2"/>
      <c r="R169" s="2"/>
    </row>
    <row r="170" spans="1:18" ht="45" x14ac:dyDescent="0.25">
      <c r="A170" s="2" t="s">
        <v>594</v>
      </c>
      <c r="B170" s="15">
        <v>44280</v>
      </c>
      <c r="C170" s="15">
        <v>44280</v>
      </c>
      <c r="D170" s="2">
        <v>1</v>
      </c>
      <c r="E170" s="2"/>
      <c r="F170" s="2" t="s">
        <v>595</v>
      </c>
      <c r="G170" s="16" t="s">
        <v>596</v>
      </c>
      <c r="H170" s="2" t="s">
        <v>102</v>
      </c>
      <c r="I170" s="2">
        <v>722</v>
      </c>
      <c r="J170" s="2"/>
      <c r="K170" s="2"/>
      <c r="L170" s="2"/>
      <c r="M170" s="2"/>
      <c r="N170" s="2"/>
      <c r="O170" s="2"/>
      <c r="P170" s="2" t="s">
        <v>704</v>
      </c>
      <c r="Q170" s="2" t="s">
        <v>703</v>
      </c>
      <c r="R170" s="2"/>
    </row>
    <row r="171" spans="1:18" ht="45" x14ac:dyDescent="0.25">
      <c r="A171" s="2" t="s">
        <v>38</v>
      </c>
      <c r="B171" s="15">
        <v>44280</v>
      </c>
      <c r="C171" s="15">
        <v>44280</v>
      </c>
      <c r="D171" s="2">
        <v>1</v>
      </c>
      <c r="E171" s="2">
        <v>81431</v>
      </c>
      <c r="F171" s="2" t="s">
        <v>324</v>
      </c>
      <c r="G171" s="2" t="s">
        <v>597</v>
      </c>
      <c r="H171" s="16" t="s">
        <v>588</v>
      </c>
      <c r="I171" s="2">
        <v>723</v>
      </c>
      <c r="J171" s="2"/>
      <c r="K171" s="2"/>
      <c r="L171" s="2"/>
      <c r="M171" s="2"/>
      <c r="N171" s="2"/>
      <c r="O171" s="2"/>
      <c r="P171" s="2">
        <v>61343</v>
      </c>
      <c r="Q171" s="16" t="s">
        <v>615</v>
      </c>
      <c r="R171" s="2"/>
    </row>
    <row r="172" spans="1:18" x14ac:dyDescent="0.25">
      <c r="A172" s="2" t="s">
        <v>33</v>
      </c>
      <c r="B172" s="15">
        <v>44280</v>
      </c>
      <c r="C172" s="15">
        <v>44280</v>
      </c>
      <c r="D172" s="2">
        <v>1</v>
      </c>
      <c r="E172" s="2"/>
      <c r="F172" s="2" t="s">
        <v>622</v>
      </c>
      <c r="G172" s="2" t="s">
        <v>623</v>
      </c>
      <c r="H172" s="2" t="s">
        <v>90</v>
      </c>
      <c r="I172" s="2">
        <v>724</v>
      </c>
      <c r="J172" s="2"/>
      <c r="K172" s="2"/>
      <c r="L172" s="2"/>
      <c r="M172" s="2"/>
      <c r="N172" s="2"/>
      <c r="O172" s="2"/>
      <c r="P172" s="2"/>
      <c r="Q172" s="2"/>
      <c r="R172" s="2"/>
    </row>
    <row r="173" spans="1:18" ht="30" customHeight="1" x14ac:dyDescent="0.25">
      <c r="A173" s="2" t="s">
        <v>42</v>
      </c>
      <c r="B173" s="15">
        <v>44281</v>
      </c>
      <c r="C173" s="15">
        <v>44281</v>
      </c>
      <c r="D173" s="2">
        <v>1</v>
      </c>
      <c r="E173" s="2">
        <v>183175</v>
      </c>
      <c r="F173" s="2" t="s">
        <v>624</v>
      </c>
      <c r="G173" s="2" t="s">
        <v>625</v>
      </c>
      <c r="H173" s="16" t="s">
        <v>588</v>
      </c>
      <c r="I173" s="2">
        <v>725</v>
      </c>
      <c r="J173" s="2"/>
      <c r="K173" s="2"/>
      <c r="L173" s="2"/>
      <c r="M173" s="2"/>
      <c r="N173" s="2"/>
      <c r="O173" s="2"/>
      <c r="P173" s="2">
        <v>61604</v>
      </c>
      <c r="Q173" s="16" t="s">
        <v>643</v>
      </c>
      <c r="R173" s="2"/>
    </row>
    <row r="174" spans="1:18" x14ac:dyDescent="0.25">
      <c r="A174" s="2" t="s">
        <v>626</v>
      </c>
      <c r="B174" s="15">
        <v>44281</v>
      </c>
      <c r="C174" s="15">
        <v>44281</v>
      </c>
      <c r="D174" s="2">
        <v>1</v>
      </c>
      <c r="E174" s="2"/>
      <c r="F174" s="2" t="s">
        <v>627</v>
      </c>
      <c r="G174" s="2" t="s">
        <v>628</v>
      </c>
      <c r="H174" s="2" t="s">
        <v>415</v>
      </c>
      <c r="I174" s="2">
        <v>726</v>
      </c>
      <c r="J174" s="2"/>
      <c r="K174" s="2"/>
      <c r="L174" s="2"/>
      <c r="M174" s="2"/>
      <c r="N174" s="2"/>
      <c r="O174" s="2"/>
      <c r="P174" s="2">
        <v>61601</v>
      </c>
      <c r="Q174" s="2" t="s">
        <v>645</v>
      </c>
      <c r="R174" s="2"/>
    </row>
    <row r="175" spans="1:18" x14ac:dyDescent="0.25">
      <c r="A175" s="2" t="s">
        <v>30</v>
      </c>
      <c r="B175" s="15">
        <v>44281</v>
      </c>
      <c r="C175" s="15">
        <v>44281</v>
      </c>
      <c r="D175" s="2">
        <v>1</v>
      </c>
      <c r="E175" s="2"/>
      <c r="F175" s="2" t="s">
        <v>359</v>
      </c>
      <c r="G175" s="2" t="s">
        <v>629</v>
      </c>
      <c r="H175" s="2" t="s">
        <v>65</v>
      </c>
      <c r="I175" s="2">
        <v>727</v>
      </c>
      <c r="J175" s="2"/>
      <c r="K175" s="2"/>
      <c r="L175" s="2"/>
      <c r="M175" s="2"/>
      <c r="N175" s="2"/>
      <c r="O175" s="2"/>
      <c r="P175" s="2"/>
      <c r="Q175" s="2"/>
      <c r="R175" s="2"/>
    </row>
    <row r="176" spans="1:18" ht="30" x14ac:dyDescent="0.25">
      <c r="A176" s="2" t="s">
        <v>438</v>
      </c>
      <c r="B176" s="15">
        <v>44282</v>
      </c>
      <c r="C176" s="15">
        <v>44292</v>
      </c>
      <c r="D176" s="2"/>
      <c r="E176" s="2"/>
      <c r="F176" s="2" t="s">
        <v>630</v>
      </c>
      <c r="G176" s="16" t="s">
        <v>719</v>
      </c>
      <c r="H176" s="2" t="s">
        <v>65</v>
      </c>
      <c r="I176" s="2">
        <v>728</v>
      </c>
      <c r="J176" s="2"/>
      <c r="K176" s="2"/>
      <c r="L176" s="2"/>
      <c r="M176" s="2"/>
      <c r="N176" s="2"/>
      <c r="O176" s="2"/>
      <c r="P176" s="2">
        <v>61904</v>
      </c>
      <c r="Q176" s="2" t="s">
        <v>700</v>
      </c>
      <c r="R176" s="2"/>
    </row>
    <row r="177" spans="1:18" x14ac:dyDescent="0.25">
      <c r="A177" s="2" t="s">
        <v>43</v>
      </c>
      <c r="B177" s="15">
        <v>44284</v>
      </c>
      <c r="C177" s="15">
        <v>44284</v>
      </c>
      <c r="D177" s="2">
        <v>1</v>
      </c>
      <c r="E177" s="2"/>
      <c r="F177" s="2" t="s">
        <v>307</v>
      </c>
      <c r="G177" s="2" t="s">
        <v>660</v>
      </c>
      <c r="H177" s="2" t="s">
        <v>470</v>
      </c>
      <c r="I177" s="2">
        <v>729</v>
      </c>
      <c r="J177" s="2"/>
      <c r="K177" s="2"/>
      <c r="L177" s="2"/>
      <c r="M177" s="2"/>
      <c r="N177" s="2"/>
      <c r="O177" s="2"/>
      <c r="P177" s="2"/>
      <c r="Q177" s="2"/>
      <c r="R177" s="2"/>
    </row>
    <row r="178" spans="1:18" ht="75" x14ac:dyDescent="0.25">
      <c r="A178" s="2" t="s">
        <v>39</v>
      </c>
      <c r="B178" s="15">
        <v>44284</v>
      </c>
      <c r="C178" s="15">
        <v>44294</v>
      </c>
      <c r="D178" s="2"/>
      <c r="E178" s="2"/>
      <c r="F178" s="16" t="s">
        <v>642</v>
      </c>
      <c r="G178" s="16" t="s">
        <v>711</v>
      </c>
      <c r="H178" s="2"/>
      <c r="I178" s="2">
        <v>730</v>
      </c>
      <c r="J178" s="2"/>
      <c r="K178" s="2"/>
      <c r="L178" s="2"/>
      <c r="M178" s="2">
        <v>7826</v>
      </c>
      <c r="N178" s="2"/>
      <c r="O178" s="16" t="s">
        <v>654</v>
      </c>
      <c r="P178" s="16" t="s">
        <v>695</v>
      </c>
      <c r="Q178" s="16" t="s">
        <v>696</v>
      </c>
      <c r="R178" s="2"/>
    </row>
    <row r="179" spans="1:18" ht="60" x14ac:dyDescent="0.25">
      <c r="A179" s="2" t="s">
        <v>40</v>
      </c>
      <c r="B179" s="15">
        <v>44285</v>
      </c>
      <c r="C179" s="15">
        <v>44285</v>
      </c>
      <c r="D179" s="2">
        <v>1</v>
      </c>
      <c r="E179" s="2">
        <v>84938</v>
      </c>
      <c r="F179" s="2" t="s">
        <v>324</v>
      </c>
      <c r="G179" s="2" t="s">
        <v>631</v>
      </c>
      <c r="H179" s="16" t="s">
        <v>248</v>
      </c>
      <c r="I179" s="2">
        <v>731</v>
      </c>
      <c r="J179" s="2"/>
      <c r="K179" s="2"/>
      <c r="L179" s="2"/>
      <c r="M179" s="2"/>
      <c r="N179" s="2"/>
      <c r="O179" s="2"/>
      <c r="P179" s="2" t="s">
        <v>697</v>
      </c>
      <c r="Q179" s="16" t="s">
        <v>698</v>
      </c>
      <c r="R179" s="2"/>
    </row>
    <row r="180" spans="1:18" x14ac:dyDescent="0.25">
      <c r="A180" s="2" t="s">
        <v>33</v>
      </c>
      <c r="B180" s="15">
        <v>44284</v>
      </c>
      <c r="C180" s="15">
        <v>44284</v>
      </c>
      <c r="D180" s="2">
        <v>1</v>
      </c>
      <c r="E180" s="2"/>
      <c r="F180" s="2" t="s">
        <v>632</v>
      </c>
      <c r="G180" s="2" t="s">
        <v>633</v>
      </c>
      <c r="H180" s="2" t="s">
        <v>90</v>
      </c>
      <c r="I180" s="2">
        <v>732</v>
      </c>
      <c r="J180" s="2"/>
      <c r="K180" s="2"/>
      <c r="L180" s="2"/>
      <c r="M180" s="2"/>
      <c r="N180" s="2"/>
      <c r="O180" s="2"/>
      <c r="P180" s="2"/>
      <c r="Q180" s="2"/>
      <c r="R180" s="2"/>
    </row>
    <row r="181" spans="1:18" x14ac:dyDescent="0.25">
      <c r="A181" s="2" t="s">
        <v>92</v>
      </c>
      <c r="B181" s="15">
        <v>44285</v>
      </c>
      <c r="C181" s="15">
        <v>44285</v>
      </c>
      <c r="D181" s="2">
        <v>1</v>
      </c>
      <c r="E181" s="2"/>
      <c r="F181" s="2" t="s">
        <v>637</v>
      </c>
      <c r="G181" s="2" t="s">
        <v>638</v>
      </c>
      <c r="H181" s="2" t="s">
        <v>415</v>
      </c>
      <c r="I181" s="2">
        <v>733</v>
      </c>
      <c r="J181" s="2"/>
      <c r="K181" s="2"/>
      <c r="L181" s="2"/>
      <c r="M181" s="2"/>
      <c r="N181" s="2"/>
      <c r="O181" s="2"/>
      <c r="P181" s="2"/>
      <c r="Q181" s="2"/>
      <c r="R181" s="2"/>
    </row>
    <row r="182" spans="1:18" ht="30" x14ac:dyDescent="0.25">
      <c r="A182" s="2" t="s">
        <v>42</v>
      </c>
      <c r="B182" s="15">
        <v>44286</v>
      </c>
      <c r="C182" s="15">
        <v>44286</v>
      </c>
      <c r="D182" s="2">
        <v>1</v>
      </c>
      <c r="E182" s="2"/>
      <c r="F182" s="2" t="s">
        <v>646</v>
      </c>
      <c r="G182" s="16" t="s">
        <v>647</v>
      </c>
      <c r="H182" s="2" t="s">
        <v>90</v>
      </c>
      <c r="I182" s="2">
        <v>734</v>
      </c>
      <c r="J182" s="2"/>
      <c r="K182" s="2"/>
      <c r="L182" s="2"/>
      <c r="M182" s="2"/>
      <c r="N182" s="2"/>
      <c r="O182" s="2"/>
      <c r="P182" s="2" t="s">
        <v>693</v>
      </c>
      <c r="Q182" s="2" t="s">
        <v>694</v>
      </c>
      <c r="R182" s="2"/>
    </row>
    <row r="183" spans="1:18" x14ac:dyDescent="0.25">
      <c r="A183" s="2" t="s">
        <v>34</v>
      </c>
      <c r="B183" s="15">
        <v>44286</v>
      </c>
      <c r="C183" s="15">
        <v>44286</v>
      </c>
      <c r="D183" s="2">
        <v>1</v>
      </c>
      <c r="E183" s="2"/>
      <c r="F183" s="2" t="s">
        <v>648</v>
      </c>
      <c r="G183" s="2" t="s">
        <v>649</v>
      </c>
      <c r="H183" s="2" t="s">
        <v>378</v>
      </c>
      <c r="I183" s="2">
        <v>735</v>
      </c>
      <c r="J183" s="2"/>
      <c r="K183" s="2"/>
      <c r="L183" s="2"/>
      <c r="M183" s="2"/>
      <c r="N183" s="2"/>
      <c r="O183" s="2"/>
      <c r="P183" s="2"/>
      <c r="Q183" s="2"/>
      <c r="R183" s="2"/>
    </row>
    <row r="184" spans="1:18" x14ac:dyDescent="0.25">
      <c r="A184" s="2" t="s">
        <v>582</v>
      </c>
      <c r="B184" s="15">
        <v>44286</v>
      </c>
      <c r="C184" s="2"/>
      <c r="D184" s="2"/>
      <c r="E184" s="2"/>
      <c r="F184" s="2" t="s">
        <v>650</v>
      </c>
      <c r="G184" s="2"/>
      <c r="H184" s="2"/>
      <c r="I184" s="2">
        <v>736</v>
      </c>
      <c r="J184" s="2"/>
      <c r="K184" s="2"/>
      <c r="L184" s="2"/>
      <c r="M184" s="2"/>
      <c r="N184" s="2"/>
      <c r="O184" s="2"/>
      <c r="P184" s="2">
        <v>61906</v>
      </c>
      <c r="Q184" s="2" t="s">
        <v>699</v>
      </c>
      <c r="R184" s="2"/>
    </row>
    <row r="185" spans="1:18" x14ac:dyDescent="0.25">
      <c r="A185" s="2" t="s">
        <v>626</v>
      </c>
      <c r="B185" s="15">
        <v>44286</v>
      </c>
      <c r="C185" s="15">
        <v>44286</v>
      </c>
      <c r="D185" s="2">
        <v>1</v>
      </c>
      <c r="E185" s="2"/>
      <c r="F185" s="2" t="s">
        <v>651</v>
      </c>
      <c r="G185" s="2" t="s">
        <v>651</v>
      </c>
      <c r="H185" s="2" t="s">
        <v>415</v>
      </c>
      <c r="I185" s="2">
        <v>737</v>
      </c>
      <c r="J185" s="2"/>
      <c r="K185" s="2"/>
      <c r="L185" s="2"/>
      <c r="M185" s="2"/>
      <c r="N185" s="2"/>
      <c r="O185" s="2"/>
      <c r="P185" s="2"/>
      <c r="Q185" s="2"/>
      <c r="R185" s="2"/>
    </row>
    <row r="186" spans="1:18" x14ac:dyDescent="0.25">
      <c r="A186" s="2" t="s">
        <v>33</v>
      </c>
      <c r="B186" s="15">
        <v>44286</v>
      </c>
      <c r="C186" s="15">
        <v>44286</v>
      </c>
      <c r="D186" s="2">
        <v>1</v>
      </c>
      <c r="E186" s="2"/>
      <c r="F186" s="2" t="s">
        <v>652</v>
      </c>
      <c r="G186" s="2" t="s">
        <v>653</v>
      </c>
      <c r="H186" s="2" t="s">
        <v>415</v>
      </c>
      <c r="I186" s="2">
        <v>738</v>
      </c>
      <c r="J186" s="2"/>
      <c r="K186" s="2"/>
      <c r="L186" s="2"/>
      <c r="M186" s="2"/>
      <c r="N186" s="2"/>
      <c r="O186" s="2"/>
      <c r="P186" s="2">
        <v>61627</v>
      </c>
      <c r="Q186" s="2" t="s">
        <v>692</v>
      </c>
      <c r="R186" s="2"/>
    </row>
    <row r="187" spans="1:18" ht="30" x14ac:dyDescent="0.25">
      <c r="A187" s="2" t="s">
        <v>661</v>
      </c>
      <c r="B187" s="15">
        <v>44287</v>
      </c>
      <c r="C187" s="15">
        <v>44287</v>
      </c>
      <c r="D187" s="2">
        <v>1</v>
      </c>
      <c r="E187" s="2"/>
      <c r="F187" s="2" t="s">
        <v>662</v>
      </c>
      <c r="G187" s="16" t="s">
        <v>663</v>
      </c>
      <c r="H187" s="2" t="s">
        <v>102</v>
      </c>
      <c r="I187" s="2">
        <v>739</v>
      </c>
      <c r="J187" s="2"/>
      <c r="K187" s="2"/>
      <c r="L187" s="2"/>
      <c r="M187" s="2"/>
      <c r="N187" s="2"/>
      <c r="O187" s="2"/>
      <c r="P187" s="2"/>
      <c r="Q187" s="2"/>
      <c r="R187" s="2"/>
    </row>
    <row r="188" spans="1:18" ht="90" x14ac:dyDescent="0.25">
      <c r="A188" s="2" t="s">
        <v>53</v>
      </c>
      <c r="B188" s="15">
        <v>44287</v>
      </c>
      <c r="C188" s="15">
        <v>44294</v>
      </c>
      <c r="D188" s="2">
        <v>8</v>
      </c>
      <c r="E188" s="2"/>
      <c r="F188" s="16" t="s">
        <v>664</v>
      </c>
      <c r="G188" s="16" t="s">
        <v>715</v>
      </c>
      <c r="H188" s="2"/>
      <c r="I188" s="2">
        <v>740</v>
      </c>
      <c r="J188" s="2"/>
      <c r="K188" s="2"/>
      <c r="L188" s="2"/>
      <c r="M188" s="2"/>
      <c r="N188" s="2"/>
      <c r="O188" s="2"/>
      <c r="P188" s="2" t="s">
        <v>707</v>
      </c>
      <c r="Q188" s="16" t="s">
        <v>708</v>
      </c>
      <c r="R188" s="2"/>
    </row>
    <row r="189" spans="1:18" ht="60" x14ac:dyDescent="0.25">
      <c r="A189" s="2" t="s">
        <v>33</v>
      </c>
      <c r="B189" s="15">
        <v>44287</v>
      </c>
      <c r="C189" s="2"/>
      <c r="D189" s="2"/>
      <c r="E189" s="2"/>
      <c r="F189" s="16" t="s">
        <v>710</v>
      </c>
      <c r="G189" s="2"/>
      <c r="H189" s="2"/>
      <c r="I189" s="2">
        <v>741</v>
      </c>
      <c r="J189" s="2"/>
      <c r="K189" s="2"/>
      <c r="L189" s="2"/>
      <c r="M189" s="2"/>
      <c r="N189" s="2"/>
      <c r="O189" s="2"/>
      <c r="P189" s="2"/>
      <c r="Q189" s="2"/>
      <c r="R189" s="2"/>
    </row>
    <row r="190" spans="1:18" ht="53.25" customHeight="1" x14ac:dyDescent="0.25">
      <c r="A190" s="2" t="s">
        <v>148</v>
      </c>
      <c r="B190" s="15">
        <v>44291</v>
      </c>
      <c r="C190" s="15">
        <v>44291</v>
      </c>
      <c r="D190" s="2">
        <v>1</v>
      </c>
      <c r="E190" s="2">
        <v>96018</v>
      </c>
      <c r="F190" s="16" t="s">
        <v>665</v>
      </c>
      <c r="G190" s="16" t="s">
        <v>666</v>
      </c>
      <c r="H190" s="16" t="s">
        <v>668</v>
      </c>
      <c r="I190" s="2">
        <v>742</v>
      </c>
      <c r="J190" s="2"/>
      <c r="K190" s="2"/>
      <c r="L190" s="2"/>
      <c r="M190" s="2"/>
      <c r="N190" s="2"/>
      <c r="O190" s="16" t="s">
        <v>667</v>
      </c>
      <c r="P190" s="2"/>
      <c r="Q190" s="2"/>
      <c r="R190" s="2"/>
    </row>
    <row r="191" spans="1:18" x14ac:dyDescent="0.25">
      <c r="A191" s="2" t="s">
        <v>43</v>
      </c>
      <c r="B191" s="15">
        <v>44291</v>
      </c>
      <c r="C191" s="15">
        <v>44291</v>
      </c>
      <c r="D191" s="2">
        <v>1</v>
      </c>
      <c r="E191" s="2"/>
      <c r="F191" s="2" t="s">
        <v>669</v>
      </c>
      <c r="G191" s="2" t="s">
        <v>670</v>
      </c>
      <c r="H191" s="2" t="s">
        <v>65</v>
      </c>
      <c r="I191" s="2">
        <v>743</v>
      </c>
      <c r="J191" s="2"/>
      <c r="K191" s="2"/>
      <c r="L191" s="2"/>
      <c r="M191" s="2"/>
      <c r="N191" s="2"/>
      <c r="O191" s="2"/>
      <c r="P191" s="2"/>
      <c r="Q191" s="2"/>
      <c r="R191" s="2"/>
    </row>
    <row r="192" spans="1:18" ht="30" x14ac:dyDescent="0.25">
      <c r="A192" s="2" t="s">
        <v>491</v>
      </c>
      <c r="B192" s="15">
        <v>44287</v>
      </c>
      <c r="C192" s="15">
        <v>44298</v>
      </c>
      <c r="D192" s="2"/>
      <c r="E192" s="2"/>
      <c r="F192" s="16" t="s">
        <v>671</v>
      </c>
      <c r="G192" s="2"/>
      <c r="H192" s="2"/>
      <c r="I192" s="2">
        <v>744</v>
      </c>
      <c r="J192" s="2"/>
      <c r="K192" s="2"/>
      <c r="L192" s="2"/>
      <c r="M192" s="2"/>
      <c r="N192" s="2"/>
      <c r="O192" s="2"/>
      <c r="P192" s="2"/>
      <c r="Q192" s="2"/>
      <c r="R192" s="2"/>
    </row>
    <row r="193" spans="1:18" ht="62.25" customHeight="1" x14ac:dyDescent="0.25">
      <c r="A193" s="2" t="s">
        <v>50</v>
      </c>
      <c r="B193" s="15">
        <v>44292</v>
      </c>
      <c r="C193" s="15">
        <v>44295</v>
      </c>
      <c r="D193" s="2"/>
      <c r="E193" s="2"/>
      <c r="F193" s="2" t="s">
        <v>672</v>
      </c>
      <c r="G193" s="16" t="s">
        <v>714</v>
      </c>
      <c r="H193" s="2"/>
      <c r="I193" s="2">
        <v>745</v>
      </c>
      <c r="J193" s="2"/>
      <c r="K193" s="2"/>
      <c r="L193" s="2"/>
      <c r="M193" s="2"/>
      <c r="N193" s="2"/>
      <c r="O193" s="2"/>
      <c r="P193" s="2"/>
      <c r="Q193" s="2"/>
      <c r="R193" s="2"/>
    </row>
    <row r="194" spans="1:18" x14ac:dyDescent="0.25">
      <c r="A194" s="2" t="s">
        <v>43</v>
      </c>
      <c r="B194" s="15">
        <v>44293</v>
      </c>
      <c r="C194" s="15">
        <v>44293</v>
      </c>
      <c r="D194" s="2">
        <v>1</v>
      </c>
      <c r="E194" s="2"/>
      <c r="F194" s="2" t="s">
        <v>673</v>
      </c>
      <c r="G194" s="2" t="s">
        <v>674</v>
      </c>
      <c r="H194" s="2" t="s">
        <v>125</v>
      </c>
      <c r="I194" s="2">
        <v>746</v>
      </c>
      <c r="J194" s="2"/>
      <c r="K194" s="2"/>
      <c r="L194" s="2"/>
      <c r="M194" s="2"/>
      <c r="N194" s="2"/>
      <c r="O194" s="2"/>
      <c r="P194" s="2">
        <v>61647</v>
      </c>
      <c r="Q194" s="2" t="s">
        <v>690</v>
      </c>
      <c r="R194" s="2"/>
    </row>
    <row r="195" spans="1:18" x14ac:dyDescent="0.25">
      <c r="A195" s="2" t="s">
        <v>661</v>
      </c>
      <c r="B195" s="15">
        <v>44293</v>
      </c>
      <c r="C195" s="15">
        <v>44294</v>
      </c>
      <c r="D195" s="2">
        <v>2</v>
      </c>
      <c r="E195" s="2"/>
      <c r="F195" s="2" t="s">
        <v>675</v>
      </c>
      <c r="G195" s="2" t="s">
        <v>676</v>
      </c>
      <c r="H195" s="2" t="s">
        <v>65</v>
      </c>
      <c r="I195" s="2">
        <v>747</v>
      </c>
      <c r="J195" s="2"/>
      <c r="K195" s="2"/>
      <c r="L195" s="2"/>
      <c r="M195" s="2"/>
      <c r="N195" s="2"/>
      <c r="O195" s="2"/>
      <c r="P195" s="2"/>
      <c r="Q195" s="2"/>
      <c r="R195" s="2"/>
    </row>
    <row r="196" spans="1:18" x14ac:dyDescent="0.25">
      <c r="A196" s="2" t="s">
        <v>32</v>
      </c>
      <c r="B196" s="15">
        <v>44293</v>
      </c>
      <c r="C196" s="15">
        <v>44293</v>
      </c>
      <c r="D196" s="2">
        <v>1</v>
      </c>
      <c r="E196" s="2"/>
      <c r="F196" s="2" t="s">
        <v>122</v>
      </c>
      <c r="G196" s="2" t="s">
        <v>677</v>
      </c>
      <c r="H196" s="2" t="s">
        <v>125</v>
      </c>
      <c r="I196" s="2">
        <v>748</v>
      </c>
      <c r="J196" s="2"/>
      <c r="K196" s="2"/>
      <c r="L196" s="2"/>
      <c r="M196" s="2"/>
      <c r="N196" s="2"/>
      <c r="O196" s="2"/>
      <c r="P196" s="2">
        <v>61645</v>
      </c>
      <c r="Q196" s="2" t="s">
        <v>691</v>
      </c>
      <c r="R196" s="2"/>
    </row>
    <row r="197" spans="1:18" ht="30" x14ac:dyDescent="0.25">
      <c r="A197" s="2" t="s">
        <v>43</v>
      </c>
      <c r="B197" s="15">
        <v>44294</v>
      </c>
      <c r="C197" s="15">
        <v>44294</v>
      </c>
      <c r="D197" s="2">
        <v>1</v>
      </c>
      <c r="E197" s="2"/>
      <c r="F197" s="2" t="s">
        <v>678</v>
      </c>
      <c r="G197" s="16" t="s">
        <v>679</v>
      </c>
      <c r="H197" s="2" t="s">
        <v>65</v>
      </c>
      <c r="I197" s="2">
        <v>749</v>
      </c>
      <c r="J197" s="2"/>
      <c r="K197" s="2"/>
      <c r="L197" s="2"/>
      <c r="M197" s="2"/>
      <c r="N197" s="2"/>
      <c r="O197" s="2"/>
      <c r="P197" s="2"/>
      <c r="Q197" s="2"/>
      <c r="R197" s="2"/>
    </row>
    <row r="198" spans="1:18" x14ac:dyDescent="0.25">
      <c r="A198" s="2" t="s">
        <v>680</v>
      </c>
      <c r="B198" s="15">
        <v>44293</v>
      </c>
      <c r="C198" s="2"/>
      <c r="D198" s="2"/>
      <c r="E198" s="2"/>
      <c r="F198" s="2" t="s">
        <v>681</v>
      </c>
      <c r="G198" s="2" t="s">
        <v>682</v>
      </c>
      <c r="H198" s="2"/>
      <c r="I198" s="2">
        <v>750</v>
      </c>
      <c r="J198" s="2"/>
      <c r="K198" s="2"/>
      <c r="L198" s="2"/>
      <c r="M198" s="2"/>
      <c r="N198" s="2"/>
      <c r="O198" s="2"/>
      <c r="P198" s="2"/>
      <c r="Q198" s="2"/>
      <c r="R198" s="2"/>
    </row>
    <row r="199" spans="1:18" x14ac:dyDescent="0.25">
      <c r="A199" s="2" t="s">
        <v>683</v>
      </c>
      <c r="B199" s="15">
        <v>44293</v>
      </c>
      <c r="C199" s="2"/>
      <c r="D199" s="2"/>
      <c r="E199" s="2"/>
      <c r="F199" s="2" t="s">
        <v>681</v>
      </c>
      <c r="G199" s="2"/>
      <c r="H199" s="2"/>
      <c r="I199" s="2">
        <v>751</v>
      </c>
      <c r="J199" s="2"/>
      <c r="K199" s="2"/>
      <c r="L199" s="2"/>
      <c r="M199" s="2"/>
      <c r="N199" s="2"/>
      <c r="O199" s="2"/>
      <c r="P199" s="2"/>
      <c r="Q199" s="2"/>
      <c r="R199" s="2"/>
    </row>
    <row r="200" spans="1:18" ht="30" x14ac:dyDescent="0.25">
      <c r="A200" s="2" t="s">
        <v>39</v>
      </c>
      <c r="B200" s="15">
        <v>44294</v>
      </c>
      <c r="C200" s="15">
        <v>44294</v>
      </c>
      <c r="D200" s="2"/>
      <c r="E200" s="2"/>
      <c r="F200" s="2" t="s">
        <v>684</v>
      </c>
      <c r="G200" s="2"/>
      <c r="H200" s="2" t="s">
        <v>685</v>
      </c>
      <c r="I200" s="2">
        <v>752</v>
      </c>
      <c r="J200" s="2"/>
      <c r="K200" s="2"/>
      <c r="L200" s="2"/>
      <c r="M200" s="2"/>
      <c r="N200" s="2"/>
      <c r="O200" s="16" t="s">
        <v>712</v>
      </c>
      <c r="P200" s="2"/>
      <c r="Q200" s="2"/>
      <c r="R200" s="2"/>
    </row>
    <row r="201" spans="1:18" x14ac:dyDescent="0.25">
      <c r="A201" s="2" t="s">
        <v>352</v>
      </c>
      <c r="B201" s="15">
        <v>44298</v>
      </c>
      <c r="C201" s="15">
        <v>44298</v>
      </c>
      <c r="D201" s="2">
        <v>1</v>
      </c>
      <c r="E201" s="2"/>
      <c r="F201" s="2" t="s">
        <v>686</v>
      </c>
      <c r="G201" s="2" t="s">
        <v>687</v>
      </c>
      <c r="H201" s="2" t="s">
        <v>102</v>
      </c>
      <c r="I201" s="2">
        <v>753</v>
      </c>
      <c r="J201" s="2"/>
      <c r="K201" s="2"/>
      <c r="L201" s="2"/>
      <c r="M201" s="2"/>
      <c r="N201" s="2"/>
      <c r="O201" s="2"/>
      <c r="P201" s="2">
        <v>61917</v>
      </c>
      <c r="Q201" s="2" t="s">
        <v>709</v>
      </c>
      <c r="R201" s="2"/>
    </row>
    <row r="202" spans="1:18" ht="45" x14ac:dyDescent="0.25">
      <c r="A202" s="2" t="s">
        <v>37</v>
      </c>
      <c r="B202" s="15">
        <v>44298</v>
      </c>
      <c r="C202" s="15">
        <v>44298</v>
      </c>
      <c r="D202" s="2">
        <v>1</v>
      </c>
      <c r="E202" s="2">
        <v>71674</v>
      </c>
      <c r="F202" s="16" t="s">
        <v>688</v>
      </c>
      <c r="G202" s="16" t="s">
        <v>689</v>
      </c>
      <c r="H202" s="16" t="s">
        <v>358</v>
      </c>
      <c r="I202" s="2">
        <v>754</v>
      </c>
      <c r="J202" s="2"/>
      <c r="K202" s="2"/>
      <c r="L202" s="2"/>
      <c r="M202" s="2"/>
      <c r="N202" s="2"/>
      <c r="O202" s="2"/>
      <c r="P202" s="2"/>
      <c r="Q202" s="2"/>
      <c r="R202" s="2"/>
    </row>
    <row r="203" spans="1:18" x14ac:dyDescent="0.25">
      <c r="A203" s="2" t="s">
        <v>41</v>
      </c>
      <c r="B203" s="15">
        <v>44293</v>
      </c>
      <c r="C203" s="2"/>
      <c r="D203" s="2"/>
      <c r="E203" s="2"/>
      <c r="F203" s="2" t="s">
        <v>716</v>
      </c>
      <c r="G203" s="2"/>
      <c r="H203" s="2"/>
      <c r="I203" s="2"/>
      <c r="J203" s="2"/>
      <c r="K203" s="2"/>
      <c r="L203" s="2"/>
      <c r="M203" s="2"/>
      <c r="N203" s="2"/>
      <c r="O203" s="2"/>
      <c r="P203" s="2"/>
      <c r="Q203" s="2"/>
      <c r="R203" s="2"/>
    </row>
    <row r="204" spans="1:18" x14ac:dyDescent="0.25">
      <c r="A204" s="2"/>
      <c r="B204" s="2"/>
      <c r="C204" s="2"/>
      <c r="D204" s="2"/>
      <c r="E204" s="2"/>
      <c r="F204" s="2"/>
      <c r="G204" s="2"/>
      <c r="H204" s="2"/>
      <c r="I204" s="2"/>
      <c r="J204" s="2"/>
      <c r="K204" s="2"/>
      <c r="L204" s="2"/>
      <c r="M204" s="2"/>
      <c r="N204" s="2"/>
      <c r="O204" s="2"/>
      <c r="P204" s="2"/>
      <c r="Q204" s="2"/>
      <c r="R204" s="2"/>
    </row>
    <row r="205" spans="1:18" x14ac:dyDescent="0.25">
      <c r="A205" s="2"/>
      <c r="B205" s="2"/>
      <c r="C205" s="2"/>
      <c r="D205" s="2"/>
      <c r="E205" s="2"/>
      <c r="F205" s="2"/>
      <c r="G205" s="2"/>
      <c r="H205" s="2"/>
      <c r="I205" s="2"/>
      <c r="J205" s="2"/>
      <c r="K205" s="2"/>
      <c r="L205" s="2"/>
      <c r="M205" s="2"/>
      <c r="N205" s="2"/>
      <c r="O205" s="2"/>
      <c r="P205" s="2"/>
      <c r="Q205" s="2"/>
      <c r="R205" s="2"/>
    </row>
    <row r="206" spans="1:18" x14ac:dyDescent="0.25">
      <c r="A206" s="2"/>
      <c r="B206" s="2"/>
      <c r="C206" s="2"/>
      <c r="D206" s="2"/>
      <c r="E206" s="2"/>
      <c r="F206" s="2"/>
      <c r="G206" s="2"/>
      <c r="H206" s="2"/>
      <c r="I206" s="2"/>
      <c r="J206" s="2"/>
      <c r="K206" s="2"/>
      <c r="L206" s="2"/>
      <c r="M206" s="2"/>
      <c r="N206" s="2"/>
      <c r="O206" s="2"/>
      <c r="P206" s="2"/>
      <c r="Q206" s="2"/>
      <c r="R206" s="2"/>
    </row>
    <row r="207" spans="1:18" x14ac:dyDescent="0.25">
      <c r="A207" s="2"/>
      <c r="B207" s="2"/>
      <c r="C207" s="2"/>
      <c r="D207" s="2"/>
      <c r="E207" s="2"/>
      <c r="F207" s="2"/>
      <c r="G207" s="2"/>
      <c r="H207" s="2"/>
      <c r="I207" s="2"/>
      <c r="J207" s="2"/>
      <c r="K207" s="2"/>
      <c r="L207" s="2"/>
      <c r="M207" s="2"/>
      <c r="N207" s="2"/>
      <c r="O207" s="2"/>
      <c r="P207" s="2"/>
      <c r="Q207" s="2"/>
      <c r="R207" s="2"/>
    </row>
    <row r="208" spans="1:18" x14ac:dyDescent="0.25">
      <c r="A208" s="2"/>
      <c r="B208" s="2"/>
      <c r="C208" s="2"/>
      <c r="D208" s="2"/>
      <c r="E208" s="2"/>
      <c r="F208" s="2"/>
      <c r="G208" s="2"/>
      <c r="H208" s="2"/>
      <c r="I208" s="2"/>
      <c r="J208" s="2"/>
      <c r="K208" s="2"/>
      <c r="L208" s="2"/>
      <c r="M208" s="2"/>
      <c r="N208" s="2"/>
      <c r="O208" s="2"/>
      <c r="P208" s="2"/>
      <c r="Q208" s="2"/>
      <c r="R208" s="2"/>
    </row>
    <row r="209" spans="1:18" x14ac:dyDescent="0.25">
      <c r="A209" s="2"/>
      <c r="B209" s="2"/>
      <c r="C209" s="2"/>
      <c r="D209" s="2"/>
      <c r="E209" s="2"/>
      <c r="F209" s="2"/>
      <c r="G209" s="2"/>
      <c r="H209" s="2"/>
      <c r="I209" s="2"/>
      <c r="J209" s="2"/>
      <c r="K209" s="2"/>
      <c r="L209" s="2"/>
      <c r="M209" s="2"/>
      <c r="N209" s="2"/>
      <c r="O209" s="2"/>
      <c r="P209" s="2"/>
      <c r="Q209" s="2"/>
      <c r="R209" s="2"/>
    </row>
    <row r="210" spans="1:18" x14ac:dyDescent="0.25">
      <c r="A210" s="2"/>
      <c r="B210" s="2"/>
      <c r="C210" s="2"/>
      <c r="D210" s="2"/>
      <c r="E210" s="2"/>
      <c r="F210" s="2"/>
      <c r="G210" s="2"/>
      <c r="H210" s="2"/>
      <c r="I210" s="2"/>
      <c r="J210" s="2"/>
      <c r="K210" s="2"/>
      <c r="L210" s="2"/>
      <c r="M210" s="2"/>
      <c r="N210" s="2"/>
      <c r="O210" s="2"/>
      <c r="P210" s="2"/>
      <c r="Q210" s="2"/>
      <c r="R210" s="2"/>
    </row>
    <row r="211" spans="1:18" x14ac:dyDescent="0.25">
      <c r="A211" s="2"/>
      <c r="B211" s="2"/>
      <c r="C211" s="2"/>
      <c r="D211" s="2"/>
      <c r="E211" s="2"/>
      <c r="F211" s="2"/>
      <c r="G211" s="2"/>
      <c r="H211" s="2"/>
      <c r="I211" s="2"/>
      <c r="J211" s="2"/>
      <c r="K211" s="2"/>
      <c r="L211" s="2"/>
      <c r="M211" s="2"/>
      <c r="N211" s="2"/>
      <c r="O211" s="2"/>
      <c r="P211" s="2"/>
      <c r="Q211" s="2"/>
      <c r="R211" s="2"/>
    </row>
    <row r="212" spans="1:18" x14ac:dyDescent="0.25">
      <c r="A212" s="2"/>
      <c r="B212" s="2"/>
      <c r="C212" s="2"/>
      <c r="D212" s="2"/>
      <c r="E212" s="2"/>
      <c r="F212" s="2"/>
      <c r="G212" s="2"/>
      <c r="H212" s="2"/>
      <c r="I212" s="2"/>
      <c r="J212" s="2"/>
      <c r="K212" s="2"/>
      <c r="L212" s="2"/>
      <c r="M212" s="2"/>
      <c r="N212" s="2"/>
      <c r="O212" s="2"/>
      <c r="P212" s="2"/>
      <c r="Q212" s="2"/>
      <c r="R212" s="2"/>
    </row>
    <row r="213" spans="1:18" x14ac:dyDescent="0.25">
      <c r="A213" s="2"/>
      <c r="B213" s="2"/>
      <c r="C213" s="2"/>
      <c r="D213" s="2"/>
      <c r="E213" s="2"/>
      <c r="F213" s="2"/>
      <c r="G213" s="2"/>
      <c r="H213" s="2"/>
      <c r="I213" s="2"/>
      <c r="J213" s="2"/>
      <c r="K213" s="2"/>
      <c r="L213" s="2"/>
      <c r="M213" s="2"/>
      <c r="N213" s="2"/>
      <c r="O213" s="2"/>
      <c r="P213" s="2"/>
      <c r="Q213" s="2"/>
      <c r="R213" s="2"/>
    </row>
    <row r="214" spans="1:18" x14ac:dyDescent="0.25">
      <c r="A214" s="2"/>
      <c r="B214" s="2"/>
      <c r="C214" s="2"/>
      <c r="D214" s="2"/>
      <c r="E214" s="2"/>
      <c r="F214" s="2"/>
      <c r="G214" s="2"/>
      <c r="H214" s="2"/>
      <c r="I214" s="2"/>
      <c r="J214" s="2"/>
      <c r="K214" s="2"/>
      <c r="L214" s="2"/>
      <c r="M214" s="2"/>
      <c r="N214" s="2"/>
      <c r="O214" s="2"/>
      <c r="P214" s="2"/>
      <c r="Q214" s="2"/>
      <c r="R214" s="2"/>
    </row>
    <row r="215" spans="1:18" x14ac:dyDescent="0.25">
      <c r="A215" s="2"/>
      <c r="B215" s="2"/>
      <c r="C215" s="2"/>
      <c r="D215" s="2"/>
      <c r="E215" s="2"/>
      <c r="F215" s="2"/>
      <c r="G215" s="2"/>
      <c r="H215" s="2"/>
      <c r="I215" s="2"/>
      <c r="J215" s="2"/>
      <c r="K215" s="2"/>
      <c r="L215" s="2"/>
      <c r="M215" s="2"/>
      <c r="N215" s="2"/>
      <c r="O215" s="2"/>
      <c r="P215" s="2"/>
      <c r="Q215" s="2"/>
      <c r="R215" s="2"/>
    </row>
    <row r="216" spans="1:18" x14ac:dyDescent="0.25">
      <c r="A216" s="2"/>
      <c r="B216" s="2"/>
      <c r="C216" s="2"/>
      <c r="D216" s="2"/>
      <c r="E216" s="2"/>
      <c r="F216" s="2"/>
      <c r="G216" s="2"/>
      <c r="H216" s="2"/>
      <c r="I216" s="2"/>
      <c r="J216" s="2"/>
      <c r="K216" s="2"/>
      <c r="L216" s="2"/>
      <c r="M216" s="2"/>
      <c r="N216" s="2"/>
      <c r="O216" s="2"/>
      <c r="P216" s="2"/>
      <c r="Q216" s="2"/>
      <c r="R216" s="2"/>
    </row>
    <row r="217" spans="1:18" x14ac:dyDescent="0.25">
      <c r="A217" s="2"/>
      <c r="B217" s="2"/>
      <c r="C217" s="2"/>
      <c r="D217" s="2"/>
      <c r="E217" s="2"/>
      <c r="F217" s="2"/>
      <c r="G217" s="2"/>
      <c r="H217" s="2"/>
      <c r="I217" s="2"/>
      <c r="J217" s="2"/>
      <c r="K217" s="2"/>
      <c r="L217" s="2"/>
      <c r="M217" s="2"/>
      <c r="N217" s="2"/>
      <c r="O217" s="2"/>
      <c r="P217" s="2"/>
      <c r="Q217" s="2"/>
      <c r="R217" s="2"/>
    </row>
    <row r="218" spans="1:18" x14ac:dyDescent="0.25">
      <c r="A218" s="2"/>
      <c r="B218" s="2"/>
      <c r="C218" s="2"/>
      <c r="D218" s="2"/>
      <c r="E218" s="2"/>
      <c r="F218" s="2"/>
      <c r="G218" s="2"/>
      <c r="H218" s="2"/>
      <c r="I218" s="2"/>
      <c r="J218" s="2"/>
      <c r="K218" s="2"/>
      <c r="L218" s="2"/>
      <c r="M218" s="2"/>
      <c r="N218" s="2"/>
      <c r="O218" s="2"/>
      <c r="P218" s="2"/>
      <c r="Q218" s="2"/>
      <c r="R218" s="2"/>
    </row>
    <row r="219" spans="1:18" x14ac:dyDescent="0.25">
      <c r="A219" s="2"/>
      <c r="B219" s="2"/>
      <c r="C219" s="2"/>
      <c r="D219" s="2"/>
      <c r="E219" s="2"/>
      <c r="F219" s="2"/>
      <c r="G219" s="2"/>
      <c r="H219" s="2"/>
      <c r="I219" s="2"/>
      <c r="J219" s="2"/>
      <c r="K219" s="2"/>
      <c r="L219" s="2"/>
      <c r="M219" s="2"/>
      <c r="N219" s="2"/>
      <c r="O219" s="2"/>
      <c r="P219" s="2"/>
      <c r="Q219" s="2"/>
      <c r="R219" s="2"/>
    </row>
    <row r="220" spans="1:18" x14ac:dyDescent="0.25">
      <c r="A220" s="2"/>
      <c r="B220" s="2"/>
      <c r="C220" s="2"/>
      <c r="D220" s="2"/>
      <c r="E220" s="2"/>
      <c r="F220" s="2"/>
      <c r="G220" s="2"/>
      <c r="H220" s="2"/>
      <c r="I220" s="2"/>
      <c r="J220" s="2"/>
      <c r="K220" s="2"/>
      <c r="L220" s="2"/>
      <c r="M220" s="2"/>
      <c r="N220" s="2"/>
      <c r="O220" s="2"/>
      <c r="P220" s="2"/>
      <c r="Q220" s="2"/>
      <c r="R220" s="2"/>
    </row>
    <row r="221" spans="1:18" x14ac:dyDescent="0.25">
      <c r="A221" s="2"/>
      <c r="B221" s="2"/>
      <c r="C221" s="2"/>
      <c r="D221" s="2"/>
      <c r="E221" s="2"/>
      <c r="F221" s="2"/>
      <c r="G221" s="2"/>
      <c r="H221" s="2"/>
      <c r="I221" s="2"/>
      <c r="J221" s="2"/>
      <c r="K221" s="2"/>
      <c r="L221" s="2"/>
      <c r="M221" s="2"/>
      <c r="N221" s="2"/>
      <c r="O221" s="2"/>
      <c r="P221" s="2"/>
      <c r="Q221" s="2"/>
      <c r="R221" s="2"/>
    </row>
    <row r="222" spans="1:18" x14ac:dyDescent="0.25">
      <c r="A222" s="2"/>
      <c r="B222" s="2"/>
      <c r="C222" s="2"/>
      <c r="D222" s="2"/>
      <c r="E222" s="2"/>
      <c r="F222" s="2"/>
      <c r="G222" s="2"/>
      <c r="H222" s="2"/>
      <c r="I222" s="2"/>
      <c r="J222" s="2"/>
      <c r="K222" s="2"/>
      <c r="L222" s="2"/>
      <c r="M222" s="2"/>
      <c r="N222" s="2"/>
      <c r="O222" s="2"/>
      <c r="P222" s="2"/>
      <c r="Q222" s="2"/>
      <c r="R222" s="2"/>
    </row>
    <row r="223" spans="1:18" x14ac:dyDescent="0.25">
      <c r="A223" s="2"/>
      <c r="B223" s="2"/>
      <c r="C223" s="2"/>
      <c r="D223" s="2"/>
      <c r="E223" s="2"/>
      <c r="F223" s="2"/>
      <c r="G223" s="2"/>
      <c r="H223" s="2"/>
      <c r="I223" s="2"/>
      <c r="J223" s="2"/>
      <c r="K223" s="2"/>
      <c r="L223" s="2"/>
      <c r="M223" s="2"/>
      <c r="N223" s="2"/>
      <c r="O223" s="2"/>
      <c r="P223" s="2"/>
      <c r="Q223" s="2"/>
      <c r="R223" s="2"/>
    </row>
    <row r="224" spans="1:18" x14ac:dyDescent="0.25">
      <c r="A224" s="2"/>
      <c r="B224" s="2"/>
      <c r="C224" s="2"/>
      <c r="D224" s="2"/>
      <c r="E224" s="2"/>
      <c r="F224" s="2"/>
      <c r="G224" s="2"/>
      <c r="H224" s="2"/>
      <c r="I224" s="2"/>
      <c r="J224" s="2"/>
      <c r="K224" s="2"/>
      <c r="L224" s="2"/>
      <c r="M224" s="2"/>
      <c r="N224" s="2"/>
      <c r="O224" s="2"/>
      <c r="P224" s="2"/>
      <c r="Q224" s="2"/>
      <c r="R224" s="2"/>
    </row>
    <row r="225" spans="1:18" x14ac:dyDescent="0.25">
      <c r="A225" s="2"/>
      <c r="B225" s="2"/>
      <c r="C225" s="2"/>
      <c r="D225" s="2"/>
      <c r="E225" s="2"/>
      <c r="F225" s="2"/>
      <c r="G225" s="2"/>
      <c r="H225" s="2"/>
      <c r="I225" s="2"/>
      <c r="J225" s="2"/>
      <c r="K225" s="2"/>
      <c r="L225" s="2"/>
      <c r="M225" s="2"/>
      <c r="N225" s="2"/>
      <c r="O225" s="2"/>
      <c r="P225" s="2"/>
      <c r="Q225" s="2"/>
      <c r="R225" s="2"/>
    </row>
    <row r="226" spans="1:18" x14ac:dyDescent="0.25">
      <c r="A226" s="2"/>
      <c r="B226" s="2"/>
      <c r="C226" s="2"/>
      <c r="D226" s="2"/>
      <c r="E226" s="2"/>
      <c r="F226" s="2"/>
      <c r="G226" s="2"/>
      <c r="H226" s="2"/>
      <c r="I226" s="2"/>
      <c r="J226" s="2"/>
      <c r="K226" s="2"/>
      <c r="L226" s="2"/>
      <c r="M226" s="2"/>
      <c r="N226" s="2"/>
      <c r="O226" s="2"/>
      <c r="P226" s="2"/>
      <c r="Q226" s="2"/>
      <c r="R226" s="2"/>
    </row>
    <row r="227" spans="1:18" x14ac:dyDescent="0.25">
      <c r="A227" s="2"/>
      <c r="B227" s="2"/>
      <c r="C227" s="2"/>
      <c r="D227" s="2"/>
      <c r="E227" s="2"/>
      <c r="F227" s="2"/>
      <c r="G227" s="2"/>
      <c r="H227" s="2"/>
      <c r="I227" s="2"/>
      <c r="J227" s="2"/>
      <c r="K227" s="2"/>
      <c r="L227" s="2"/>
      <c r="M227" s="2"/>
      <c r="N227" s="2"/>
      <c r="O227" s="2"/>
      <c r="P227" s="2"/>
      <c r="Q227" s="2"/>
      <c r="R227" s="2"/>
    </row>
    <row r="228" spans="1:18" x14ac:dyDescent="0.25">
      <c r="A228" s="2"/>
      <c r="B228" s="2"/>
      <c r="C228" s="2"/>
      <c r="D228" s="2"/>
      <c r="E228" s="2"/>
      <c r="F228" s="2"/>
      <c r="G228" s="2"/>
      <c r="H228" s="2"/>
      <c r="I228" s="2"/>
      <c r="J228" s="2"/>
      <c r="K228" s="2"/>
      <c r="L228" s="2"/>
      <c r="M228" s="2"/>
      <c r="N228" s="2"/>
      <c r="O228" s="2"/>
      <c r="P228" s="2"/>
      <c r="Q228" s="2"/>
      <c r="R228" s="2"/>
    </row>
    <row r="229" spans="1:18" x14ac:dyDescent="0.25">
      <c r="A229" s="2"/>
      <c r="B229" s="2"/>
      <c r="C229" s="2"/>
      <c r="D229" s="2"/>
      <c r="E229" s="2"/>
      <c r="F229" s="2"/>
      <c r="G229" s="2"/>
      <c r="H229" s="2"/>
      <c r="I229" s="2"/>
      <c r="J229" s="2"/>
      <c r="K229" s="2"/>
      <c r="L229" s="2"/>
      <c r="M229" s="2"/>
      <c r="N229" s="2"/>
      <c r="O229" s="2"/>
      <c r="P229" s="2"/>
      <c r="Q229" s="2"/>
      <c r="R229" s="2"/>
    </row>
    <row r="230" spans="1:18" x14ac:dyDescent="0.25">
      <c r="A230" s="2"/>
      <c r="B230" s="2"/>
      <c r="C230" s="2"/>
      <c r="D230" s="2"/>
      <c r="E230" s="2"/>
      <c r="F230" s="2"/>
      <c r="G230" s="2"/>
      <c r="H230" s="2"/>
      <c r="I230" s="2"/>
      <c r="J230" s="2"/>
      <c r="K230" s="2"/>
      <c r="L230" s="2"/>
      <c r="M230" s="2"/>
      <c r="N230" s="2"/>
      <c r="O230" s="2"/>
      <c r="P230" s="2"/>
      <c r="Q230" s="2"/>
      <c r="R230" s="2"/>
    </row>
    <row r="231" spans="1:18" x14ac:dyDescent="0.25">
      <c r="A231" s="2"/>
      <c r="B231" s="2"/>
      <c r="C231" s="2"/>
      <c r="D231" s="2"/>
      <c r="E231" s="2"/>
      <c r="F231" s="2"/>
      <c r="G231" s="2"/>
      <c r="H231" s="2"/>
      <c r="I231" s="2"/>
      <c r="J231" s="2"/>
      <c r="K231" s="2"/>
      <c r="L231" s="2"/>
      <c r="M231" s="2"/>
      <c r="N231" s="2"/>
      <c r="O231" s="2"/>
      <c r="P231" s="2"/>
      <c r="Q231" s="2"/>
      <c r="R231" s="2"/>
    </row>
    <row r="232" spans="1:18" x14ac:dyDescent="0.25">
      <c r="A232" s="2"/>
      <c r="B232" s="2"/>
      <c r="C232" s="2"/>
      <c r="D232" s="2"/>
      <c r="E232" s="2"/>
      <c r="F232" s="2"/>
      <c r="G232" s="2"/>
      <c r="H232" s="2"/>
      <c r="I232" s="2"/>
      <c r="J232" s="2"/>
      <c r="K232" s="2"/>
      <c r="L232" s="2"/>
      <c r="M232" s="2"/>
      <c r="N232" s="2"/>
      <c r="O232" s="2"/>
      <c r="P232" s="2"/>
      <c r="Q232" s="2"/>
      <c r="R232" s="2"/>
    </row>
    <row r="233" spans="1:18" x14ac:dyDescent="0.25">
      <c r="A233" s="2"/>
      <c r="B233" s="2"/>
      <c r="C233" s="2"/>
      <c r="D233" s="2"/>
      <c r="E233" s="2"/>
      <c r="F233" s="2"/>
      <c r="G233" s="2"/>
      <c r="H233" s="2"/>
      <c r="I233" s="2"/>
      <c r="J233" s="2"/>
      <c r="K233" s="2"/>
      <c r="L233" s="2"/>
      <c r="M233" s="2"/>
      <c r="N233" s="2"/>
      <c r="O233" s="2"/>
      <c r="P233" s="2"/>
      <c r="Q233" s="2"/>
      <c r="R233" s="2"/>
    </row>
    <row r="234" spans="1:18" x14ac:dyDescent="0.25">
      <c r="A234" s="2"/>
      <c r="B234" s="2"/>
      <c r="C234" s="2"/>
      <c r="D234" s="2"/>
      <c r="E234" s="2"/>
      <c r="F234" s="2"/>
      <c r="G234" s="2"/>
      <c r="H234" s="2"/>
      <c r="I234" s="2"/>
      <c r="J234" s="2"/>
      <c r="K234" s="2"/>
      <c r="L234" s="2"/>
      <c r="M234" s="2"/>
      <c r="N234" s="2"/>
      <c r="O234" s="2"/>
      <c r="P234" s="2"/>
      <c r="Q234" s="2"/>
      <c r="R234" s="2"/>
    </row>
    <row r="235" spans="1:18" x14ac:dyDescent="0.25">
      <c r="A235" s="2"/>
      <c r="B235" s="2"/>
      <c r="C235" s="2"/>
      <c r="D235" s="2"/>
      <c r="E235" s="2"/>
      <c r="F235" s="2"/>
      <c r="G235" s="2"/>
      <c r="H235" s="2"/>
      <c r="I235" s="2"/>
      <c r="J235" s="2"/>
      <c r="K235" s="2"/>
      <c r="L235" s="2"/>
      <c r="M235" s="2"/>
      <c r="N235" s="2"/>
      <c r="O235" s="2"/>
      <c r="P235" s="2"/>
      <c r="Q235" s="2"/>
      <c r="R235" s="2"/>
    </row>
    <row r="236" spans="1:18" x14ac:dyDescent="0.25">
      <c r="A236" s="2"/>
      <c r="B236" s="2"/>
      <c r="C236" s="2"/>
      <c r="D236" s="2"/>
      <c r="E236" s="2"/>
      <c r="F236" s="2"/>
      <c r="G236" s="2"/>
      <c r="H236" s="2"/>
      <c r="I236" s="2"/>
      <c r="J236" s="2"/>
      <c r="K236" s="2"/>
      <c r="L236" s="2"/>
      <c r="M236" s="2"/>
      <c r="N236" s="2"/>
      <c r="O236" s="2"/>
      <c r="P236" s="2"/>
      <c r="Q236" s="2"/>
      <c r="R236" s="2"/>
    </row>
    <row r="237" spans="1:18" x14ac:dyDescent="0.25">
      <c r="A237" s="2"/>
      <c r="B237" s="2"/>
      <c r="C237" s="2"/>
      <c r="D237" s="2"/>
      <c r="E237" s="2"/>
      <c r="F237" s="2"/>
      <c r="G237" s="2"/>
      <c r="H237" s="2"/>
      <c r="I237" s="2"/>
      <c r="J237" s="2"/>
      <c r="K237" s="2"/>
      <c r="L237" s="2"/>
      <c r="M237" s="2"/>
      <c r="N237" s="2"/>
      <c r="O237" s="2"/>
      <c r="P237" s="2"/>
      <c r="Q237" s="2"/>
      <c r="R237" s="2"/>
    </row>
    <row r="238" spans="1:18" x14ac:dyDescent="0.25">
      <c r="A238" s="2"/>
      <c r="B238" s="2"/>
      <c r="C238" s="2"/>
      <c r="D238" s="2"/>
      <c r="E238" s="2"/>
      <c r="F238" s="2"/>
      <c r="G238" s="2"/>
      <c r="H238" s="2"/>
      <c r="I238" s="2"/>
      <c r="J238" s="2"/>
      <c r="K238" s="2"/>
      <c r="L238" s="2"/>
      <c r="M238" s="2"/>
      <c r="N238" s="2"/>
      <c r="O238" s="2"/>
      <c r="P238" s="2"/>
      <c r="Q238" s="2"/>
      <c r="R238" s="2"/>
    </row>
    <row r="239" spans="1:18" x14ac:dyDescent="0.25">
      <c r="A239" s="2"/>
      <c r="B239" s="2"/>
      <c r="C239" s="2"/>
      <c r="D239" s="2"/>
      <c r="E239" s="2"/>
      <c r="F239" s="2"/>
      <c r="G239" s="2"/>
      <c r="H239" s="2"/>
      <c r="I239" s="2"/>
      <c r="J239" s="2"/>
      <c r="K239" s="2"/>
      <c r="L239" s="2"/>
      <c r="M239" s="2"/>
      <c r="N239" s="2"/>
      <c r="O239" s="2"/>
      <c r="P239" s="2"/>
      <c r="Q239" s="2"/>
      <c r="R239" s="2"/>
    </row>
    <row r="240" spans="1:18" x14ac:dyDescent="0.25">
      <c r="A240" s="2"/>
      <c r="B240" s="2"/>
      <c r="C240" s="2"/>
      <c r="D240" s="2"/>
      <c r="E240" s="2"/>
      <c r="F240" s="2"/>
      <c r="G240" s="2"/>
      <c r="H240" s="2"/>
      <c r="I240" s="2"/>
      <c r="J240" s="2"/>
      <c r="K240" s="2"/>
      <c r="L240" s="2"/>
      <c r="M240" s="2"/>
      <c r="N240" s="2"/>
      <c r="O240" s="2"/>
      <c r="P240" s="2"/>
      <c r="Q240" s="2"/>
      <c r="R240" s="2"/>
    </row>
    <row r="241" spans="1:18" x14ac:dyDescent="0.25">
      <c r="A241" s="2"/>
      <c r="B241" s="2"/>
      <c r="C241" s="2"/>
      <c r="D241" s="2"/>
      <c r="E241" s="2"/>
      <c r="F241" s="2"/>
      <c r="G241" s="2"/>
      <c r="H241" s="2"/>
      <c r="I241" s="2"/>
      <c r="J241" s="2"/>
      <c r="K241" s="2"/>
      <c r="L241" s="2"/>
      <c r="M241" s="2"/>
      <c r="N241" s="2"/>
      <c r="O241" s="2"/>
      <c r="P241" s="2"/>
      <c r="Q241" s="2"/>
      <c r="R241" s="2"/>
    </row>
    <row r="242" spans="1:18" x14ac:dyDescent="0.25">
      <c r="A242" s="2"/>
      <c r="B242" s="2"/>
      <c r="C242" s="2"/>
      <c r="D242" s="2"/>
      <c r="E242" s="2"/>
      <c r="F242" s="2"/>
      <c r="G242" s="2"/>
      <c r="H242" s="2"/>
      <c r="I242" s="2"/>
      <c r="J242" s="2"/>
      <c r="K242" s="2"/>
      <c r="L242" s="2"/>
      <c r="M242" s="2"/>
      <c r="N242" s="2"/>
      <c r="O242" s="2"/>
      <c r="P242" s="2"/>
      <c r="Q242" s="2"/>
      <c r="R242" s="2"/>
    </row>
    <row r="243" spans="1:18" x14ac:dyDescent="0.25">
      <c r="A243" s="2"/>
      <c r="B243" s="2"/>
      <c r="C243" s="2"/>
      <c r="D243" s="2"/>
      <c r="E243" s="2"/>
      <c r="F243" s="2"/>
      <c r="G243" s="2"/>
      <c r="H243" s="2"/>
      <c r="I243" s="2"/>
      <c r="J243" s="2"/>
      <c r="K243" s="2"/>
      <c r="L243" s="2"/>
      <c r="M243" s="2"/>
      <c r="N243" s="2"/>
      <c r="O243" s="2"/>
      <c r="P243" s="2"/>
      <c r="Q243" s="2"/>
      <c r="R243" s="2"/>
    </row>
    <row r="244" spans="1:18" x14ac:dyDescent="0.25">
      <c r="A244" s="2"/>
      <c r="B244" s="2"/>
      <c r="C244" s="2"/>
      <c r="D244" s="2"/>
      <c r="E244" s="2"/>
      <c r="F244" s="2"/>
      <c r="G244" s="2"/>
      <c r="H244" s="2"/>
      <c r="I244" s="2"/>
      <c r="J244" s="2"/>
      <c r="K244" s="2"/>
      <c r="L244" s="2"/>
      <c r="M244" s="2"/>
      <c r="N244" s="2"/>
      <c r="O244" s="2"/>
      <c r="P244" s="2"/>
      <c r="Q244" s="2"/>
      <c r="R244" s="2"/>
    </row>
    <row r="245" spans="1:18" x14ac:dyDescent="0.25">
      <c r="A245" s="2"/>
      <c r="B245" s="2"/>
      <c r="C245" s="2"/>
      <c r="D245" s="2"/>
      <c r="E245" s="2"/>
      <c r="F245" s="2"/>
      <c r="G245" s="2"/>
      <c r="H245" s="2"/>
      <c r="I245" s="2"/>
      <c r="J245" s="2"/>
      <c r="K245" s="2"/>
      <c r="L245" s="2"/>
      <c r="M245" s="2"/>
      <c r="N245" s="2"/>
      <c r="O245" s="2"/>
      <c r="P245" s="2"/>
      <c r="Q245" s="2"/>
      <c r="R245" s="2"/>
    </row>
    <row r="246" spans="1:18" x14ac:dyDescent="0.25">
      <c r="A246" s="2"/>
      <c r="B246" s="2"/>
      <c r="C246" s="2"/>
      <c r="D246" s="2"/>
      <c r="E246" s="2"/>
      <c r="F246" s="2"/>
      <c r="G246" s="2"/>
      <c r="H246" s="2"/>
      <c r="I246" s="2"/>
      <c r="J246" s="2"/>
      <c r="K246" s="2"/>
      <c r="L246" s="2"/>
      <c r="M246" s="2"/>
      <c r="N246" s="2"/>
      <c r="O246" s="2"/>
      <c r="P246" s="2"/>
      <c r="Q246" s="2"/>
      <c r="R246" s="2"/>
    </row>
    <row r="247" spans="1:18" x14ac:dyDescent="0.25">
      <c r="A247" s="2"/>
      <c r="B247" s="2"/>
      <c r="C247" s="2"/>
      <c r="D247" s="2"/>
      <c r="E247" s="2"/>
      <c r="F247" s="2"/>
      <c r="G247" s="2"/>
      <c r="H247" s="2"/>
      <c r="I247" s="2"/>
      <c r="J247" s="2"/>
      <c r="K247" s="2"/>
      <c r="L247" s="2"/>
      <c r="M247" s="2"/>
      <c r="N247" s="2"/>
      <c r="O247" s="2"/>
      <c r="P247" s="2"/>
      <c r="Q247" s="2"/>
      <c r="R247" s="2"/>
    </row>
    <row r="248" spans="1:18" x14ac:dyDescent="0.25">
      <c r="A248" s="2"/>
      <c r="B248" s="2"/>
      <c r="C248" s="2"/>
      <c r="D248" s="2"/>
      <c r="E248" s="2"/>
      <c r="F248" s="2"/>
      <c r="G248" s="2"/>
      <c r="H248" s="2"/>
      <c r="I248" s="2"/>
      <c r="J248" s="2"/>
      <c r="K248" s="2"/>
      <c r="L248" s="2"/>
      <c r="M248" s="2"/>
      <c r="N248" s="2"/>
      <c r="O248" s="2"/>
      <c r="P248" s="2"/>
      <c r="Q248" s="2"/>
      <c r="R248" s="2"/>
    </row>
    <row r="249" spans="1:18" x14ac:dyDescent="0.25">
      <c r="A249" s="2"/>
      <c r="B249" s="2"/>
      <c r="C249" s="2"/>
      <c r="D249" s="2"/>
      <c r="E249" s="2"/>
      <c r="F249" s="2"/>
      <c r="G249" s="2"/>
      <c r="H249" s="2"/>
      <c r="I249" s="2"/>
      <c r="J249" s="2"/>
      <c r="K249" s="2"/>
      <c r="L249" s="2"/>
      <c r="M249" s="2"/>
      <c r="N249" s="2"/>
      <c r="O249" s="2"/>
      <c r="P249" s="2"/>
      <c r="Q249" s="2"/>
      <c r="R249" s="2"/>
    </row>
    <row r="250" spans="1:18" x14ac:dyDescent="0.25">
      <c r="A250" s="2"/>
      <c r="B250" s="2"/>
      <c r="C250" s="2"/>
      <c r="D250" s="2"/>
      <c r="E250" s="2"/>
      <c r="F250" s="2"/>
      <c r="G250" s="2"/>
      <c r="H250" s="2"/>
      <c r="I250" s="2"/>
      <c r="J250" s="2"/>
      <c r="K250" s="2"/>
      <c r="L250" s="2"/>
      <c r="M250" s="2"/>
      <c r="N250" s="2"/>
      <c r="O250" s="2"/>
      <c r="P250" s="2"/>
      <c r="Q250" s="2"/>
      <c r="R250" s="2"/>
    </row>
    <row r="251" spans="1:18" x14ac:dyDescent="0.25">
      <c r="A251" s="2"/>
      <c r="B251" s="2"/>
      <c r="C251" s="2"/>
      <c r="D251" s="2"/>
      <c r="E251" s="2"/>
      <c r="F251" s="2"/>
      <c r="G251" s="2"/>
      <c r="H251" s="2"/>
      <c r="I251" s="2"/>
      <c r="J251" s="2"/>
      <c r="K251" s="2"/>
      <c r="L251" s="2"/>
      <c r="M251" s="2"/>
      <c r="N251" s="2"/>
      <c r="O251" s="2"/>
      <c r="P251" s="2"/>
      <c r="Q251" s="2"/>
      <c r="R251" s="2"/>
    </row>
    <row r="252" spans="1:18" x14ac:dyDescent="0.25">
      <c r="A252" s="2"/>
      <c r="B252" s="2"/>
      <c r="C252" s="2"/>
      <c r="D252" s="2"/>
      <c r="E252" s="2"/>
      <c r="F252" s="2"/>
      <c r="G252" s="2"/>
      <c r="H252" s="2"/>
      <c r="I252" s="2"/>
      <c r="J252" s="2"/>
      <c r="K252" s="2"/>
      <c r="L252" s="2"/>
      <c r="M252" s="2"/>
      <c r="N252" s="2"/>
      <c r="O252" s="2"/>
      <c r="P252" s="2"/>
      <c r="Q252" s="2"/>
      <c r="R252" s="2"/>
    </row>
    <row r="253" spans="1:18" x14ac:dyDescent="0.25">
      <c r="A253" s="2"/>
      <c r="B253" s="2"/>
      <c r="C253" s="2"/>
      <c r="D253" s="2"/>
      <c r="E253" s="2"/>
      <c r="F253" s="2"/>
      <c r="G253" s="2"/>
      <c r="H253" s="2"/>
      <c r="I253" s="2"/>
      <c r="J253" s="2"/>
      <c r="K253" s="2"/>
      <c r="L253" s="2"/>
      <c r="M253" s="2"/>
      <c r="N253" s="2"/>
      <c r="O253" s="2"/>
      <c r="P253" s="2"/>
      <c r="Q253" s="2"/>
      <c r="R253" s="2"/>
    </row>
    <row r="254" spans="1:18" x14ac:dyDescent="0.25">
      <c r="A254" s="2"/>
      <c r="B254" s="2"/>
      <c r="C254" s="2"/>
      <c r="D254" s="2"/>
      <c r="E254" s="2"/>
      <c r="F254" s="2"/>
      <c r="G254" s="2"/>
      <c r="H254" s="2"/>
      <c r="I254" s="2"/>
      <c r="J254" s="2"/>
      <c r="K254" s="2"/>
      <c r="L254" s="2"/>
      <c r="M254" s="2"/>
      <c r="N254" s="2"/>
      <c r="O254" s="2"/>
      <c r="P254" s="2"/>
      <c r="Q254" s="2"/>
      <c r="R254" s="2"/>
    </row>
    <row r="255" spans="1:18" x14ac:dyDescent="0.25">
      <c r="A255" s="2"/>
      <c r="B255" s="2"/>
      <c r="C255" s="2"/>
      <c r="D255" s="2"/>
      <c r="E255" s="2"/>
      <c r="F255" s="2"/>
      <c r="G255" s="2"/>
      <c r="H255" s="2"/>
      <c r="I255" s="2"/>
      <c r="J255" s="2"/>
      <c r="K255" s="2"/>
      <c r="L255" s="2"/>
      <c r="M255" s="2"/>
      <c r="N255" s="2"/>
      <c r="O255" s="2"/>
      <c r="P255" s="2"/>
      <c r="Q255" s="2"/>
      <c r="R255" s="2"/>
    </row>
    <row r="256" spans="1:18" x14ac:dyDescent="0.25">
      <c r="A256" s="2"/>
      <c r="B256" s="2"/>
      <c r="C256" s="2"/>
      <c r="D256" s="2"/>
      <c r="E256" s="2"/>
      <c r="F256" s="2"/>
      <c r="G256" s="2"/>
      <c r="H256" s="2"/>
      <c r="I256" s="2"/>
      <c r="J256" s="2"/>
      <c r="K256" s="2"/>
      <c r="L256" s="2"/>
      <c r="M256" s="2"/>
      <c r="N256" s="2"/>
      <c r="O256" s="2"/>
      <c r="P256" s="2"/>
      <c r="Q256" s="2"/>
      <c r="R256" s="2"/>
    </row>
    <row r="257" spans="1:18" x14ac:dyDescent="0.25">
      <c r="A257" s="2"/>
      <c r="B257" s="2"/>
      <c r="C257" s="2"/>
      <c r="D257" s="2"/>
      <c r="E257" s="2"/>
      <c r="F257" s="2"/>
      <c r="G257" s="2"/>
      <c r="H257" s="2"/>
      <c r="I257" s="2"/>
      <c r="J257" s="2"/>
      <c r="K257" s="2"/>
      <c r="L257" s="2"/>
      <c r="M257" s="2"/>
      <c r="N257" s="2"/>
      <c r="O257" s="2"/>
      <c r="P257" s="2"/>
      <c r="Q257" s="2"/>
      <c r="R257" s="2"/>
    </row>
    <row r="258" spans="1:18" x14ac:dyDescent="0.25">
      <c r="A258" s="2"/>
      <c r="B258" s="2"/>
      <c r="C258" s="2"/>
      <c r="D258" s="2"/>
      <c r="E258" s="2"/>
      <c r="F258" s="2"/>
      <c r="G258" s="2"/>
      <c r="H258" s="2"/>
      <c r="I258" s="2"/>
      <c r="J258" s="2"/>
      <c r="K258" s="2"/>
      <c r="L258" s="2"/>
      <c r="M258" s="2"/>
      <c r="N258" s="2"/>
      <c r="O258" s="2"/>
      <c r="P258" s="2"/>
      <c r="Q258" s="2"/>
      <c r="R258" s="2"/>
    </row>
    <row r="259" spans="1:18" x14ac:dyDescent="0.25">
      <c r="A259" s="2"/>
      <c r="B259" s="2"/>
      <c r="C259" s="2"/>
      <c r="D259" s="2"/>
      <c r="E259" s="2"/>
      <c r="F259" s="2"/>
      <c r="G259" s="2"/>
      <c r="H259" s="2"/>
      <c r="I259" s="2"/>
      <c r="J259" s="2"/>
      <c r="K259" s="2"/>
      <c r="L259" s="2"/>
      <c r="M259" s="2"/>
      <c r="N259" s="2"/>
      <c r="O259" s="2"/>
      <c r="P259" s="2"/>
      <c r="Q259" s="2"/>
      <c r="R259" s="2"/>
    </row>
    <row r="260" spans="1:18" x14ac:dyDescent="0.25">
      <c r="A260" s="2"/>
      <c r="B260" s="2"/>
      <c r="C260" s="2"/>
      <c r="D260" s="2"/>
      <c r="E260" s="2"/>
      <c r="F260" s="2"/>
      <c r="G260" s="2"/>
      <c r="H260" s="2"/>
      <c r="I260" s="2"/>
      <c r="J260" s="2"/>
      <c r="K260" s="2"/>
      <c r="L260" s="2"/>
      <c r="M260" s="2"/>
      <c r="N260" s="2"/>
      <c r="O260" s="2"/>
      <c r="P260" s="2"/>
      <c r="Q260" s="2"/>
      <c r="R260" s="2"/>
    </row>
    <row r="261" spans="1:18" x14ac:dyDescent="0.25">
      <c r="A261" s="2"/>
      <c r="B261" s="2"/>
      <c r="C261" s="2"/>
      <c r="D261" s="2"/>
      <c r="E261" s="2"/>
      <c r="F261" s="2"/>
      <c r="G261" s="2"/>
      <c r="H261" s="2"/>
      <c r="I261" s="2"/>
      <c r="J261" s="2"/>
      <c r="K261" s="2"/>
      <c r="L261" s="2"/>
      <c r="M261" s="2"/>
      <c r="N261" s="2"/>
      <c r="O261" s="2"/>
      <c r="P261" s="2"/>
      <c r="Q261" s="2"/>
      <c r="R261" s="2"/>
    </row>
    <row r="262" spans="1:18" x14ac:dyDescent="0.25">
      <c r="A262" s="2"/>
      <c r="B262" s="2"/>
      <c r="C262" s="2"/>
      <c r="D262" s="2"/>
      <c r="E262" s="2"/>
      <c r="F262" s="2"/>
      <c r="G262" s="2"/>
      <c r="H262" s="2"/>
      <c r="I262" s="2"/>
      <c r="J262" s="2"/>
      <c r="K262" s="2"/>
      <c r="L262" s="2"/>
      <c r="M262" s="2"/>
      <c r="N262" s="2"/>
      <c r="O262" s="2"/>
      <c r="P262" s="2"/>
      <c r="Q262" s="2"/>
      <c r="R262" s="2"/>
    </row>
    <row r="263" spans="1:18" x14ac:dyDescent="0.25">
      <c r="A263" s="2"/>
      <c r="B263" s="2"/>
      <c r="C263" s="2"/>
      <c r="D263" s="2"/>
      <c r="E263" s="2"/>
      <c r="F263" s="2"/>
      <c r="G263" s="2"/>
      <c r="H263" s="2"/>
      <c r="I263" s="2"/>
      <c r="J263" s="2"/>
      <c r="K263" s="2"/>
      <c r="L263" s="2"/>
      <c r="M263" s="2"/>
      <c r="N263" s="2"/>
      <c r="O263" s="2"/>
      <c r="P263" s="2"/>
      <c r="Q263" s="2"/>
      <c r="R263" s="2"/>
    </row>
    <row r="264" spans="1:18" x14ac:dyDescent="0.25">
      <c r="A264" s="2"/>
      <c r="B264" s="2"/>
      <c r="C264" s="2"/>
      <c r="D264" s="2"/>
      <c r="E264" s="2"/>
      <c r="F264" s="2"/>
      <c r="G264" s="2"/>
      <c r="H264" s="2"/>
      <c r="I264" s="2"/>
      <c r="J264" s="2"/>
      <c r="K264" s="2"/>
      <c r="L264" s="2"/>
      <c r="M264" s="2"/>
      <c r="N264" s="2"/>
      <c r="O264" s="2"/>
      <c r="P264" s="2"/>
      <c r="Q264" s="2"/>
      <c r="R264" s="2"/>
    </row>
    <row r="265" spans="1:18" x14ac:dyDescent="0.25">
      <c r="A265" s="2"/>
      <c r="B265" s="2"/>
      <c r="C265" s="2"/>
      <c r="D265" s="2"/>
      <c r="E265" s="2"/>
      <c r="F265" s="2"/>
      <c r="G265" s="2"/>
      <c r="H265" s="2"/>
      <c r="I265" s="2"/>
      <c r="J265" s="2"/>
      <c r="K265" s="2"/>
      <c r="L265" s="2"/>
      <c r="M265" s="2"/>
      <c r="N265" s="2"/>
      <c r="O265" s="2"/>
      <c r="P265" s="2"/>
      <c r="Q265" s="2"/>
      <c r="R265" s="2"/>
    </row>
    <row r="266" spans="1:18" x14ac:dyDescent="0.25">
      <c r="A266" s="2"/>
      <c r="B266" s="2"/>
      <c r="C266" s="2"/>
      <c r="D266" s="2"/>
      <c r="E266" s="2"/>
      <c r="F266" s="2"/>
      <c r="G266" s="2"/>
      <c r="H266" s="2"/>
      <c r="I266" s="2"/>
      <c r="J266" s="2"/>
      <c r="K266" s="2"/>
      <c r="L266" s="2"/>
      <c r="M266" s="2"/>
      <c r="N266" s="2"/>
      <c r="O266" s="2"/>
      <c r="P266" s="2"/>
      <c r="Q266" s="2"/>
      <c r="R266" s="2"/>
    </row>
    <row r="267" spans="1:18" x14ac:dyDescent="0.25">
      <c r="A267" s="2"/>
      <c r="B267" s="2"/>
      <c r="C267" s="2"/>
      <c r="D267" s="2"/>
      <c r="E267" s="2"/>
      <c r="F267" s="2"/>
      <c r="G267" s="2"/>
      <c r="H267" s="2"/>
      <c r="I267" s="2"/>
      <c r="J267" s="2"/>
      <c r="K267" s="2"/>
      <c r="L267" s="2"/>
      <c r="M267" s="2"/>
      <c r="N267" s="2"/>
      <c r="O267" s="2"/>
      <c r="P267" s="2"/>
      <c r="Q267" s="2"/>
      <c r="R267" s="2"/>
    </row>
    <row r="268" spans="1:18" x14ac:dyDescent="0.25">
      <c r="A268" s="2"/>
      <c r="B268" s="2"/>
      <c r="C268" s="2"/>
      <c r="D268" s="2"/>
      <c r="E268" s="2"/>
      <c r="F268" s="2"/>
      <c r="G268" s="2"/>
      <c r="H268" s="2"/>
      <c r="I268" s="2"/>
      <c r="J268" s="2"/>
      <c r="K268" s="2"/>
      <c r="L268" s="2"/>
      <c r="M268" s="2"/>
      <c r="N268" s="2"/>
      <c r="O268" s="2"/>
      <c r="P268" s="2"/>
      <c r="Q268" s="2"/>
      <c r="R268" s="2"/>
    </row>
    <row r="269" spans="1:18" x14ac:dyDescent="0.25">
      <c r="A269" s="2"/>
      <c r="B269" s="2"/>
      <c r="C269" s="2"/>
      <c r="D269" s="2"/>
      <c r="E269" s="2"/>
      <c r="F269" s="2"/>
      <c r="G269" s="2"/>
      <c r="H269" s="2"/>
      <c r="I269" s="2"/>
      <c r="J269" s="2"/>
      <c r="K269" s="2"/>
      <c r="L269" s="2"/>
      <c r="M269" s="2"/>
      <c r="N269" s="2"/>
      <c r="O269" s="2"/>
      <c r="P269" s="2"/>
      <c r="Q269" s="2"/>
      <c r="R269" s="2"/>
    </row>
    <row r="270" spans="1:18" x14ac:dyDescent="0.25">
      <c r="A270" s="2"/>
      <c r="B270" s="2"/>
      <c r="C270" s="2"/>
      <c r="D270" s="2"/>
      <c r="E270" s="2"/>
      <c r="F270" s="2"/>
      <c r="G270" s="2"/>
      <c r="H270" s="2"/>
      <c r="I270" s="2"/>
      <c r="J270" s="2"/>
      <c r="K270" s="2"/>
      <c r="L270" s="2"/>
      <c r="M270" s="2"/>
      <c r="N270" s="2"/>
      <c r="O270" s="2"/>
      <c r="P270" s="2"/>
      <c r="Q270" s="2"/>
      <c r="R270" s="2"/>
    </row>
    <row r="271" spans="1:18" x14ac:dyDescent="0.25">
      <c r="A271" s="2"/>
      <c r="B271" s="2"/>
      <c r="C271" s="2"/>
      <c r="D271" s="2"/>
      <c r="E271" s="2"/>
      <c r="F271" s="2"/>
      <c r="G271" s="2"/>
      <c r="H271" s="2"/>
      <c r="I271" s="2"/>
      <c r="J271" s="2"/>
      <c r="K271" s="2"/>
      <c r="L271" s="2"/>
      <c r="M271" s="2"/>
      <c r="N271" s="2"/>
      <c r="O271" s="2"/>
      <c r="P271" s="2"/>
      <c r="Q271" s="2"/>
      <c r="R271" s="2"/>
    </row>
    <row r="272" spans="1:18" x14ac:dyDescent="0.25">
      <c r="A272" s="2"/>
      <c r="B272" s="2"/>
      <c r="C272" s="2"/>
      <c r="D272" s="2"/>
      <c r="E272" s="2"/>
      <c r="F272" s="2"/>
      <c r="G272" s="2"/>
      <c r="H272" s="2"/>
      <c r="I272" s="2"/>
      <c r="J272" s="2"/>
      <c r="K272" s="2"/>
      <c r="L272" s="2"/>
      <c r="M272" s="2"/>
      <c r="N272" s="2"/>
      <c r="O272" s="2"/>
      <c r="P272" s="2"/>
      <c r="Q272" s="2"/>
      <c r="R272" s="2"/>
    </row>
    <row r="273" spans="1:18" x14ac:dyDescent="0.25">
      <c r="A273" s="2"/>
      <c r="B273" s="2"/>
      <c r="C273" s="2"/>
      <c r="D273" s="2"/>
      <c r="E273" s="2"/>
      <c r="F273" s="2"/>
      <c r="G273" s="2"/>
      <c r="H273" s="2"/>
      <c r="I273" s="2"/>
      <c r="J273" s="2"/>
      <c r="K273" s="2"/>
      <c r="L273" s="2"/>
      <c r="M273" s="2"/>
      <c r="N273" s="2"/>
      <c r="O273" s="2"/>
      <c r="P273" s="2"/>
      <c r="Q273" s="2"/>
      <c r="R273" s="2"/>
    </row>
    <row r="274" spans="1:18" x14ac:dyDescent="0.25">
      <c r="A274" s="2"/>
      <c r="B274" s="2"/>
      <c r="C274" s="2"/>
      <c r="D274" s="2"/>
      <c r="E274" s="2"/>
      <c r="F274" s="2"/>
      <c r="G274" s="2"/>
      <c r="H274" s="2"/>
      <c r="I274" s="2"/>
      <c r="J274" s="2"/>
      <c r="K274" s="2"/>
      <c r="L274" s="2"/>
      <c r="M274" s="2"/>
      <c r="N274" s="2"/>
      <c r="O274" s="2"/>
      <c r="P274" s="2"/>
      <c r="Q274" s="2"/>
      <c r="R274" s="2"/>
    </row>
    <row r="275" spans="1:18" x14ac:dyDescent="0.25">
      <c r="A275" s="2"/>
      <c r="B275" s="2"/>
      <c r="C275" s="2"/>
      <c r="D275" s="2"/>
      <c r="E275" s="2"/>
      <c r="F275" s="2"/>
      <c r="G275" s="2"/>
      <c r="H275" s="2"/>
      <c r="I275" s="2"/>
      <c r="J275" s="2"/>
      <c r="K275" s="2"/>
      <c r="L275" s="2"/>
      <c r="M275" s="2"/>
      <c r="N275" s="2"/>
      <c r="O275" s="2"/>
      <c r="P275" s="2"/>
      <c r="Q275" s="2"/>
      <c r="R275" s="2"/>
    </row>
    <row r="276" spans="1:18" x14ac:dyDescent="0.25">
      <c r="A276" s="2"/>
      <c r="B276" s="2"/>
      <c r="C276" s="2"/>
      <c r="D276" s="2"/>
      <c r="E276" s="2"/>
      <c r="F276" s="2"/>
      <c r="G276" s="2"/>
      <c r="H276" s="2"/>
      <c r="I276" s="2"/>
      <c r="J276" s="2"/>
      <c r="K276" s="2"/>
      <c r="L276" s="2"/>
      <c r="M276" s="2"/>
      <c r="N276" s="2"/>
      <c r="O276" s="2"/>
      <c r="P276" s="2"/>
      <c r="Q276" s="2"/>
      <c r="R276" s="2"/>
    </row>
    <row r="277" spans="1:18" x14ac:dyDescent="0.25">
      <c r="A277" s="2"/>
      <c r="B277" s="2"/>
      <c r="C277" s="2"/>
      <c r="D277" s="2"/>
      <c r="E277" s="2"/>
      <c r="F277" s="2"/>
      <c r="G277" s="2"/>
      <c r="H277" s="2"/>
      <c r="I277" s="2"/>
      <c r="J277" s="2"/>
      <c r="K277" s="2"/>
      <c r="L277" s="2"/>
      <c r="M277" s="2"/>
      <c r="N277" s="2"/>
      <c r="O277" s="2"/>
      <c r="P277" s="2"/>
      <c r="Q277" s="2"/>
      <c r="R277" s="2"/>
    </row>
    <row r="278" spans="1:18" x14ac:dyDescent="0.25">
      <c r="A278" s="2"/>
      <c r="B278" s="2"/>
      <c r="C278" s="2"/>
      <c r="D278" s="2"/>
      <c r="E278" s="2"/>
      <c r="F278" s="2"/>
      <c r="G278" s="2"/>
      <c r="H278" s="2"/>
      <c r="I278" s="2"/>
      <c r="J278" s="2"/>
      <c r="K278" s="2"/>
      <c r="L278" s="2"/>
      <c r="M278" s="2"/>
      <c r="N278" s="2"/>
      <c r="O278" s="2"/>
      <c r="P278" s="2"/>
      <c r="Q278" s="2"/>
      <c r="R278" s="2"/>
    </row>
    <row r="279" spans="1:18" x14ac:dyDescent="0.25">
      <c r="A279" s="2"/>
      <c r="B279" s="2"/>
      <c r="C279" s="2"/>
      <c r="D279" s="2"/>
      <c r="E279" s="2"/>
      <c r="F279" s="2"/>
      <c r="G279" s="2"/>
      <c r="H279" s="2"/>
      <c r="I279" s="2"/>
      <c r="J279" s="2"/>
      <c r="K279" s="2"/>
      <c r="L279" s="2"/>
      <c r="M279" s="2"/>
      <c r="N279" s="2"/>
      <c r="O279" s="2"/>
      <c r="P279" s="2"/>
      <c r="Q279" s="2"/>
      <c r="R279" s="2"/>
    </row>
    <row r="280" spans="1:18" x14ac:dyDescent="0.25">
      <c r="A280" s="2"/>
      <c r="B280" s="2"/>
      <c r="C280" s="2"/>
      <c r="D280" s="2"/>
      <c r="E280" s="2"/>
      <c r="F280" s="2"/>
      <c r="G280" s="2"/>
      <c r="H280" s="2"/>
      <c r="I280" s="2"/>
      <c r="J280" s="2"/>
      <c r="K280" s="2"/>
      <c r="L280" s="2"/>
      <c r="M280" s="2"/>
      <c r="N280" s="2"/>
      <c r="O280" s="2"/>
      <c r="P280" s="2"/>
      <c r="Q280" s="2"/>
      <c r="R280" s="2"/>
    </row>
    <row r="281" spans="1:18" x14ac:dyDescent="0.25">
      <c r="A281" s="2"/>
      <c r="B281" s="2"/>
      <c r="C281" s="2"/>
      <c r="D281" s="2"/>
      <c r="E281" s="2"/>
      <c r="F281" s="2"/>
      <c r="G281" s="2"/>
      <c r="H281" s="2"/>
      <c r="I281" s="2"/>
      <c r="J281" s="2"/>
      <c r="K281" s="2"/>
      <c r="L281" s="2"/>
      <c r="M281" s="2"/>
      <c r="N281" s="2"/>
      <c r="O281" s="2"/>
      <c r="P281" s="2"/>
      <c r="Q281" s="2"/>
      <c r="R281" s="2"/>
    </row>
    <row r="282" spans="1:18" x14ac:dyDescent="0.25">
      <c r="A282" s="2"/>
      <c r="B282" s="2"/>
      <c r="C282" s="2"/>
      <c r="D282" s="2"/>
      <c r="E282" s="2"/>
      <c r="F282" s="2"/>
      <c r="G282" s="2"/>
      <c r="H282" s="2"/>
      <c r="I282" s="2"/>
      <c r="J282" s="2"/>
      <c r="K282" s="2"/>
      <c r="L282" s="2"/>
      <c r="M282" s="2"/>
      <c r="N282" s="2"/>
      <c r="O282" s="2"/>
      <c r="P282" s="2"/>
      <c r="Q282" s="2"/>
      <c r="R282" s="2"/>
    </row>
    <row r="283" spans="1:18" x14ac:dyDescent="0.25">
      <c r="A283" s="2"/>
      <c r="B283" s="2"/>
      <c r="C283" s="2"/>
      <c r="D283" s="2"/>
      <c r="E283" s="2"/>
      <c r="F283" s="2"/>
      <c r="G283" s="2"/>
      <c r="H283" s="2"/>
      <c r="I283" s="2"/>
      <c r="J283" s="2"/>
      <c r="K283" s="2"/>
      <c r="L283" s="2"/>
      <c r="M283" s="2"/>
      <c r="N283" s="2"/>
      <c r="O283" s="2"/>
      <c r="P283" s="2"/>
      <c r="Q283" s="2"/>
      <c r="R283" s="2"/>
    </row>
    <row r="284" spans="1:18" x14ac:dyDescent="0.25">
      <c r="A284" s="2"/>
      <c r="B284" s="2"/>
      <c r="C284" s="2"/>
      <c r="D284" s="2"/>
      <c r="E284" s="2"/>
      <c r="F284" s="2"/>
      <c r="G284" s="2"/>
      <c r="H284" s="2"/>
      <c r="I284" s="2"/>
      <c r="J284" s="2"/>
      <c r="K284" s="2"/>
      <c r="L284" s="2"/>
      <c r="M284" s="2"/>
      <c r="N284" s="2"/>
      <c r="O284" s="2"/>
      <c r="P284" s="2"/>
      <c r="Q284" s="2"/>
      <c r="R284" s="2"/>
    </row>
    <row r="285" spans="1:18" x14ac:dyDescent="0.25">
      <c r="A285" s="2"/>
      <c r="B285" s="2"/>
      <c r="C285" s="2"/>
      <c r="D285" s="2"/>
      <c r="E285" s="2"/>
      <c r="F285" s="2"/>
      <c r="G285" s="2"/>
      <c r="H285" s="2"/>
      <c r="I285" s="2"/>
      <c r="J285" s="2"/>
      <c r="K285" s="2"/>
      <c r="L285" s="2"/>
      <c r="M285" s="2"/>
      <c r="N285" s="2"/>
      <c r="O285" s="2"/>
      <c r="P285" s="2"/>
      <c r="Q285" s="2"/>
      <c r="R285" s="2"/>
    </row>
    <row r="286" spans="1:18" x14ac:dyDescent="0.25">
      <c r="A286" s="2"/>
      <c r="B286" s="2"/>
      <c r="C286" s="2"/>
      <c r="D286" s="2"/>
      <c r="E286" s="2"/>
      <c r="F286" s="2"/>
      <c r="G286" s="2"/>
      <c r="H286" s="2"/>
      <c r="I286" s="2"/>
      <c r="J286" s="2"/>
      <c r="K286" s="2"/>
      <c r="L286" s="2"/>
      <c r="M286" s="2"/>
      <c r="N286" s="2"/>
      <c r="O286" s="2"/>
      <c r="P286" s="2"/>
      <c r="Q286" s="2"/>
      <c r="R286" s="2"/>
    </row>
    <row r="287" spans="1:18" x14ac:dyDescent="0.25">
      <c r="A287" s="2"/>
      <c r="B287" s="2"/>
      <c r="C287" s="2"/>
      <c r="D287" s="2"/>
      <c r="E287" s="2"/>
      <c r="F287" s="2"/>
      <c r="G287" s="2"/>
      <c r="H287" s="2"/>
      <c r="I287" s="2"/>
      <c r="J287" s="2"/>
      <c r="K287" s="2"/>
      <c r="L287" s="2"/>
      <c r="M287" s="2"/>
      <c r="N287" s="2"/>
      <c r="O287" s="2"/>
      <c r="P287" s="2"/>
      <c r="Q287" s="2"/>
      <c r="R287" s="2"/>
    </row>
    <row r="288" spans="1:18" x14ac:dyDescent="0.25">
      <c r="A288" s="2"/>
      <c r="B288" s="2"/>
      <c r="C288" s="2"/>
      <c r="D288" s="2"/>
      <c r="E288" s="2"/>
      <c r="F288" s="2"/>
      <c r="G288" s="2"/>
      <c r="H288" s="2"/>
      <c r="I288" s="2"/>
      <c r="J288" s="2"/>
      <c r="K288" s="2"/>
      <c r="L288" s="2"/>
      <c r="M288" s="2"/>
      <c r="N288" s="2"/>
      <c r="O288" s="2"/>
      <c r="P288" s="2"/>
      <c r="Q288" s="2"/>
      <c r="R288" s="2"/>
    </row>
    <row r="289" spans="1:18" x14ac:dyDescent="0.25">
      <c r="A289" s="2"/>
      <c r="B289" s="2"/>
      <c r="C289" s="2"/>
      <c r="D289" s="2"/>
      <c r="E289" s="2"/>
      <c r="F289" s="2"/>
      <c r="G289" s="2"/>
      <c r="H289" s="2"/>
      <c r="I289" s="2"/>
      <c r="J289" s="2"/>
      <c r="K289" s="2"/>
      <c r="L289" s="2"/>
      <c r="M289" s="2"/>
      <c r="N289" s="2"/>
      <c r="O289" s="2"/>
      <c r="P289" s="2"/>
      <c r="Q289" s="2"/>
      <c r="R289" s="2"/>
    </row>
    <row r="290" spans="1:18" x14ac:dyDescent="0.25">
      <c r="A290" s="2"/>
      <c r="B290" s="2"/>
      <c r="C290" s="2"/>
      <c r="D290" s="2"/>
      <c r="E290" s="2"/>
      <c r="F290" s="2"/>
      <c r="G290" s="2"/>
      <c r="H290" s="2"/>
      <c r="I290" s="2"/>
      <c r="J290" s="2"/>
      <c r="K290" s="2"/>
      <c r="L290" s="2"/>
      <c r="M290" s="2"/>
      <c r="N290" s="2"/>
      <c r="O290" s="2"/>
      <c r="P290" s="2"/>
      <c r="Q290" s="2"/>
      <c r="R290" s="2"/>
    </row>
    <row r="291" spans="1:18" x14ac:dyDescent="0.25">
      <c r="A291" s="2"/>
      <c r="B291" s="2"/>
      <c r="C291" s="2"/>
      <c r="D291" s="2"/>
      <c r="E291" s="2"/>
      <c r="F291" s="2"/>
      <c r="G291" s="2"/>
      <c r="H291" s="2"/>
      <c r="I291" s="2"/>
      <c r="J291" s="2"/>
      <c r="K291" s="2"/>
      <c r="L291" s="2"/>
      <c r="M291" s="2"/>
      <c r="N291" s="2"/>
      <c r="O291" s="2"/>
      <c r="P291" s="2"/>
      <c r="Q291" s="2"/>
      <c r="R291" s="2"/>
    </row>
    <row r="292" spans="1:18" x14ac:dyDescent="0.25">
      <c r="A292" s="2"/>
      <c r="B292" s="2"/>
      <c r="C292" s="2"/>
      <c r="D292" s="2"/>
      <c r="E292" s="2"/>
      <c r="F292" s="2"/>
      <c r="G292" s="2"/>
      <c r="H292" s="2"/>
      <c r="I292" s="2"/>
      <c r="J292" s="2"/>
      <c r="K292" s="2"/>
      <c r="L292" s="2"/>
      <c r="M292" s="2"/>
      <c r="N292" s="2"/>
      <c r="O292" s="2"/>
      <c r="P292" s="2"/>
      <c r="Q292" s="2"/>
      <c r="R292" s="2"/>
    </row>
    <row r="293" spans="1:18" x14ac:dyDescent="0.25">
      <c r="A293" s="2"/>
      <c r="B293" s="2"/>
      <c r="C293" s="2"/>
      <c r="D293" s="2"/>
      <c r="E293" s="2"/>
      <c r="F293" s="2"/>
      <c r="G293" s="2"/>
      <c r="H293" s="2"/>
      <c r="I293" s="2"/>
      <c r="J293" s="2"/>
      <c r="K293" s="2"/>
      <c r="L293" s="2"/>
      <c r="M293" s="2"/>
      <c r="N293" s="2"/>
      <c r="O293" s="2"/>
      <c r="P293" s="2"/>
      <c r="Q293" s="2"/>
      <c r="R293" s="2"/>
    </row>
    <row r="294" spans="1:18" x14ac:dyDescent="0.25">
      <c r="A294" s="2"/>
      <c r="B294" s="2"/>
      <c r="C294" s="2"/>
      <c r="D294" s="2"/>
      <c r="E294" s="2"/>
      <c r="F294" s="2"/>
      <c r="G294" s="2"/>
      <c r="H294" s="2"/>
      <c r="I294" s="2"/>
      <c r="J294" s="2"/>
      <c r="K294" s="2"/>
      <c r="L294" s="2"/>
      <c r="M294" s="2"/>
      <c r="N294" s="2"/>
      <c r="O294" s="2"/>
      <c r="P294" s="2"/>
      <c r="Q294" s="2"/>
      <c r="R294" s="2"/>
    </row>
    <row r="295" spans="1:18" x14ac:dyDescent="0.25">
      <c r="A295" s="2"/>
      <c r="B295" s="2"/>
      <c r="C295" s="2"/>
      <c r="D295" s="2"/>
      <c r="E295" s="2"/>
      <c r="F295" s="2"/>
      <c r="G295" s="2"/>
      <c r="H295" s="2"/>
      <c r="I295" s="2"/>
      <c r="J295" s="2"/>
      <c r="K295" s="2"/>
      <c r="L295" s="2"/>
      <c r="M295" s="2"/>
      <c r="N295" s="2"/>
      <c r="O295" s="2"/>
      <c r="P295" s="2"/>
      <c r="Q295" s="2"/>
      <c r="R295" s="2"/>
    </row>
    <row r="296" spans="1:18" x14ac:dyDescent="0.25">
      <c r="A296" s="2"/>
      <c r="B296" s="2"/>
      <c r="C296" s="2"/>
      <c r="D296" s="2"/>
      <c r="E296" s="2"/>
      <c r="F296" s="2"/>
      <c r="G296" s="2"/>
      <c r="H296" s="2"/>
      <c r="I296" s="2"/>
      <c r="J296" s="2"/>
      <c r="K296" s="2"/>
      <c r="L296" s="2"/>
      <c r="M296" s="2"/>
      <c r="N296" s="2"/>
      <c r="O296" s="2"/>
      <c r="P296" s="2"/>
      <c r="Q296" s="2"/>
      <c r="R296" s="2"/>
    </row>
    <row r="297" spans="1:18" x14ac:dyDescent="0.25">
      <c r="A297" s="2"/>
      <c r="B297" s="2"/>
      <c r="C297" s="2"/>
      <c r="D297" s="2"/>
      <c r="E297" s="2"/>
      <c r="F297" s="2"/>
      <c r="G297" s="2"/>
      <c r="H297" s="2"/>
      <c r="I297" s="2"/>
      <c r="J297" s="2"/>
      <c r="K297" s="2"/>
      <c r="L297" s="2"/>
      <c r="M297" s="2"/>
      <c r="N297" s="2"/>
      <c r="O297" s="2"/>
      <c r="P297" s="2"/>
      <c r="Q297" s="2"/>
      <c r="R297" s="2"/>
    </row>
    <row r="298" spans="1:18" x14ac:dyDescent="0.25">
      <c r="A298" s="2"/>
      <c r="B298" s="2"/>
      <c r="C298" s="2"/>
      <c r="D298" s="2"/>
      <c r="E298" s="2"/>
      <c r="F298" s="2"/>
      <c r="G298" s="2"/>
      <c r="H298" s="2"/>
      <c r="I298" s="2"/>
      <c r="J298" s="2"/>
      <c r="K298" s="2"/>
      <c r="L298" s="2"/>
      <c r="M298" s="2"/>
      <c r="N298" s="2"/>
      <c r="O298" s="2"/>
      <c r="P298" s="2"/>
      <c r="Q298" s="2"/>
      <c r="R298" s="2"/>
    </row>
    <row r="299" spans="1:18" x14ac:dyDescent="0.25">
      <c r="A299" s="2"/>
      <c r="B299" s="2"/>
      <c r="C299" s="2"/>
      <c r="D299" s="2"/>
      <c r="E299" s="2"/>
      <c r="F299" s="2"/>
      <c r="G299" s="2"/>
      <c r="H299" s="2"/>
      <c r="I299" s="2"/>
      <c r="J299" s="2"/>
      <c r="K299" s="2"/>
      <c r="L299" s="2"/>
      <c r="M299" s="2"/>
      <c r="N299" s="2"/>
      <c r="O299" s="2"/>
      <c r="P299" s="2"/>
      <c r="Q299" s="2"/>
      <c r="R299" s="2"/>
    </row>
    <row r="300" spans="1:18" x14ac:dyDescent="0.25">
      <c r="A300" s="2"/>
      <c r="B300" s="2"/>
      <c r="C300" s="2"/>
      <c r="D300" s="2"/>
      <c r="E300" s="2"/>
      <c r="F300" s="2"/>
      <c r="G300" s="2"/>
      <c r="H300" s="2"/>
      <c r="I300" s="2"/>
      <c r="J300" s="2"/>
      <c r="K300" s="2"/>
      <c r="L300" s="2"/>
      <c r="M300" s="2"/>
      <c r="N300" s="2"/>
      <c r="O300" s="2"/>
      <c r="P300" s="2"/>
      <c r="Q300" s="2"/>
      <c r="R300" s="2"/>
    </row>
    <row r="301" spans="1:18" x14ac:dyDescent="0.25">
      <c r="A301" s="2"/>
      <c r="B301" s="2"/>
      <c r="C301" s="2"/>
      <c r="D301" s="2"/>
      <c r="E301" s="2"/>
      <c r="F301" s="2"/>
      <c r="G301" s="2"/>
      <c r="H301" s="2"/>
      <c r="I301" s="2"/>
      <c r="J301" s="2"/>
      <c r="K301" s="2"/>
      <c r="L301" s="2"/>
      <c r="M301" s="2"/>
      <c r="N301" s="2"/>
      <c r="O301" s="2"/>
      <c r="P301" s="2"/>
      <c r="Q301" s="2"/>
      <c r="R301" s="2"/>
    </row>
    <row r="302" spans="1:18" x14ac:dyDescent="0.25">
      <c r="A302" s="2"/>
      <c r="B302" s="2"/>
      <c r="C302" s="2"/>
      <c r="D302" s="2"/>
      <c r="E302" s="2"/>
      <c r="F302" s="2"/>
      <c r="G302" s="2"/>
      <c r="H302" s="2"/>
      <c r="I302" s="2"/>
      <c r="J302" s="2"/>
      <c r="K302" s="2"/>
      <c r="L302" s="2"/>
      <c r="M302" s="2"/>
      <c r="N302" s="2"/>
      <c r="O302" s="2"/>
      <c r="P302" s="2"/>
      <c r="Q302" s="2"/>
      <c r="R302" s="2"/>
    </row>
    <row r="303" spans="1:18" x14ac:dyDescent="0.25">
      <c r="A303" s="2"/>
      <c r="B303" s="2"/>
      <c r="C303" s="2"/>
      <c r="D303" s="2"/>
      <c r="E303" s="2"/>
      <c r="F303" s="2"/>
      <c r="G303" s="2"/>
      <c r="H303" s="2"/>
      <c r="I303" s="2"/>
      <c r="J303" s="2"/>
      <c r="K303" s="2"/>
      <c r="L303" s="2"/>
      <c r="M303" s="2"/>
      <c r="N303" s="2"/>
      <c r="O303" s="2"/>
      <c r="P303" s="2"/>
      <c r="Q303" s="2"/>
      <c r="R303" s="2"/>
    </row>
    <row r="304" spans="1:18" x14ac:dyDescent="0.25">
      <c r="A304" s="2"/>
      <c r="B304" s="2"/>
      <c r="C304" s="2"/>
      <c r="D304" s="2"/>
      <c r="E304" s="2"/>
      <c r="F304" s="2"/>
      <c r="G304" s="2"/>
      <c r="H304" s="2"/>
      <c r="I304" s="2"/>
      <c r="J304" s="2"/>
      <c r="K304" s="2"/>
      <c r="L304" s="2"/>
      <c r="M304" s="2"/>
      <c r="N304" s="2"/>
      <c r="O304" s="2"/>
      <c r="P304" s="2"/>
      <c r="Q304" s="2"/>
      <c r="R304" s="2"/>
    </row>
    <row r="305" spans="1:18" x14ac:dyDescent="0.25">
      <c r="A305" s="2"/>
      <c r="B305" s="2"/>
      <c r="C305" s="2"/>
      <c r="D305" s="2"/>
      <c r="E305" s="2"/>
      <c r="F305" s="2"/>
      <c r="G305" s="2"/>
      <c r="H305" s="2"/>
      <c r="I305" s="2"/>
      <c r="J305" s="2"/>
      <c r="K305" s="2"/>
      <c r="L305" s="2"/>
      <c r="M305" s="2"/>
      <c r="N305" s="2"/>
      <c r="O305" s="2"/>
      <c r="P305" s="2"/>
      <c r="Q305" s="2"/>
      <c r="R305" s="2"/>
    </row>
    <row r="306" spans="1:18" x14ac:dyDescent="0.25">
      <c r="A306" s="2"/>
      <c r="B306" s="2"/>
      <c r="C306" s="2"/>
      <c r="D306" s="2"/>
      <c r="E306" s="2"/>
      <c r="F306" s="2"/>
      <c r="G306" s="2"/>
      <c r="H306" s="2"/>
      <c r="I306" s="2"/>
      <c r="J306" s="2"/>
      <c r="K306" s="2"/>
      <c r="L306" s="2"/>
      <c r="M306" s="2"/>
      <c r="N306" s="2"/>
      <c r="O306" s="2"/>
      <c r="P306" s="2"/>
      <c r="Q306" s="2"/>
      <c r="R306" s="2"/>
    </row>
    <row r="307" spans="1:18" x14ac:dyDescent="0.25">
      <c r="A307" s="2"/>
      <c r="B307" s="2"/>
      <c r="C307" s="2"/>
      <c r="D307" s="2"/>
      <c r="E307" s="2"/>
      <c r="F307" s="2"/>
      <c r="G307" s="2"/>
      <c r="H307" s="2"/>
      <c r="I307" s="2"/>
      <c r="J307" s="2"/>
      <c r="K307" s="2"/>
      <c r="L307" s="2"/>
      <c r="M307" s="2"/>
      <c r="N307" s="2"/>
      <c r="O307" s="2"/>
      <c r="P307" s="2"/>
      <c r="Q307" s="2"/>
      <c r="R307" s="2"/>
    </row>
    <row r="308" spans="1:18" x14ac:dyDescent="0.25">
      <c r="A308" s="2"/>
      <c r="B308" s="2"/>
      <c r="C308" s="2"/>
      <c r="D308" s="2"/>
      <c r="E308" s="2"/>
      <c r="F308" s="2"/>
      <c r="G308" s="2"/>
      <c r="H308" s="2"/>
      <c r="I308" s="2"/>
      <c r="J308" s="2"/>
      <c r="K308" s="2"/>
      <c r="L308" s="2"/>
      <c r="M308" s="2"/>
      <c r="N308" s="2"/>
      <c r="O308" s="2"/>
      <c r="P308" s="2"/>
      <c r="Q308" s="2"/>
      <c r="R308" s="2"/>
    </row>
    <row r="309" spans="1:18" x14ac:dyDescent="0.25">
      <c r="A309" s="2"/>
      <c r="B309" s="2"/>
      <c r="C309" s="2"/>
      <c r="D309" s="2"/>
      <c r="E309" s="2"/>
      <c r="F309" s="2"/>
      <c r="G309" s="2"/>
      <c r="H309" s="2"/>
      <c r="I309" s="2"/>
      <c r="J309" s="2"/>
      <c r="K309" s="2"/>
      <c r="L309" s="2"/>
      <c r="M309" s="2"/>
      <c r="N309" s="2"/>
      <c r="O309" s="2"/>
      <c r="P309" s="2"/>
      <c r="Q309" s="2"/>
      <c r="R309" s="2"/>
    </row>
    <row r="310" spans="1:18" x14ac:dyDescent="0.25">
      <c r="A310" s="2"/>
      <c r="B310" s="2"/>
      <c r="C310" s="2"/>
      <c r="D310" s="2"/>
      <c r="E310" s="2"/>
      <c r="F310" s="2"/>
      <c r="G310" s="2"/>
      <c r="H310" s="2"/>
      <c r="I310" s="2"/>
      <c r="J310" s="2"/>
      <c r="K310" s="2"/>
      <c r="L310" s="2"/>
      <c r="M310" s="2"/>
      <c r="N310" s="2"/>
      <c r="O310" s="2"/>
      <c r="P310" s="2"/>
      <c r="Q310" s="2"/>
      <c r="R310" s="2"/>
    </row>
    <row r="311" spans="1:18" x14ac:dyDescent="0.25">
      <c r="A311" s="2"/>
      <c r="B311" s="2"/>
      <c r="C311" s="2"/>
      <c r="D311" s="2"/>
      <c r="E311" s="2"/>
      <c r="F311" s="2"/>
      <c r="G311" s="2"/>
      <c r="H311" s="2"/>
      <c r="I311" s="2"/>
      <c r="J311" s="2"/>
      <c r="K311" s="2"/>
      <c r="L311" s="2"/>
      <c r="M311" s="2"/>
      <c r="N311" s="2"/>
      <c r="O311" s="2"/>
      <c r="P311" s="2"/>
      <c r="Q311" s="2"/>
      <c r="R311" s="2"/>
    </row>
    <row r="312" spans="1:18" x14ac:dyDescent="0.25">
      <c r="A312" s="2"/>
      <c r="B312" s="2"/>
      <c r="C312" s="2"/>
      <c r="D312" s="2"/>
      <c r="E312" s="2"/>
      <c r="F312" s="2"/>
      <c r="G312" s="2"/>
      <c r="H312" s="2"/>
      <c r="I312" s="2"/>
      <c r="J312" s="2"/>
      <c r="K312" s="2"/>
      <c r="L312" s="2"/>
      <c r="M312" s="2"/>
      <c r="N312" s="2"/>
      <c r="O312" s="2"/>
      <c r="P312" s="2"/>
      <c r="Q312" s="2"/>
      <c r="R312" s="2"/>
    </row>
    <row r="313" spans="1:18" x14ac:dyDescent="0.25">
      <c r="A313" s="2"/>
      <c r="B313" s="2"/>
      <c r="C313" s="2"/>
      <c r="D313" s="2"/>
      <c r="E313" s="2"/>
      <c r="F313" s="2"/>
      <c r="G313" s="2"/>
      <c r="H313" s="2"/>
      <c r="I313" s="2"/>
      <c r="J313" s="2"/>
      <c r="K313" s="2"/>
      <c r="L313" s="2"/>
      <c r="M313" s="2"/>
      <c r="N313" s="2"/>
      <c r="O313" s="2"/>
      <c r="P313" s="2"/>
      <c r="Q313" s="2"/>
      <c r="R313" s="2"/>
    </row>
    <row r="314" spans="1:18" x14ac:dyDescent="0.25">
      <c r="A314" s="2"/>
      <c r="B314" s="2"/>
      <c r="C314" s="2"/>
      <c r="D314" s="2"/>
      <c r="E314" s="2"/>
      <c r="F314" s="2"/>
      <c r="G314" s="2"/>
      <c r="H314" s="2"/>
      <c r="I314" s="2"/>
      <c r="J314" s="2"/>
      <c r="K314" s="2"/>
      <c r="L314" s="2"/>
      <c r="M314" s="2"/>
      <c r="N314" s="2"/>
      <c r="O314" s="2"/>
      <c r="P314" s="2"/>
      <c r="Q314" s="2"/>
      <c r="R314" s="2"/>
    </row>
    <row r="315" spans="1:18" x14ac:dyDescent="0.25">
      <c r="A315" s="2"/>
      <c r="B315" s="2"/>
      <c r="C315" s="2"/>
      <c r="D315" s="2"/>
      <c r="E315" s="2"/>
      <c r="F315" s="2"/>
      <c r="G315" s="2"/>
      <c r="H315" s="2"/>
      <c r="I315" s="2"/>
      <c r="J315" s="2"/>
      <c r="K315" s="2"/>
      <c r="L315" s="2"/>
      <c r="M315" s="2"/>
      <c r="N315" s="2"/>
      <c r="O315" s="2"/>
      <c r="P315" s="2"/>
      <c r="Q315" s="2"/>
      <c r="R315" s="2"/>
    </row>
    <row r="316" spans="1:18" x14ac:dyDescent="0.25">
      <c r="A316" s="2"/>
      <c r="B316" s="2"/>
      <c r="C316" s="2"/>
      <c r="D316" s="2"/>
      <c r="E316" s="2"/>
      <c r="F316" s="2"/>
      <c r="G316" s="2"/>
      <c r="H316" s="2"/>
      <c r="I316" s="2"/>
      <c r="J316" s="2"/>
      <c r="K316" s="2"/>
      <c r="L316" s="2"/>
      <c r="M316" s="2"/>
      <c r="N316" s="2"/>
      <c r="O316" s="2"/>
      <c r="P316" s="2"/>
      <c r="Q316" s="2"/>
      <c r="R316" s="2"/>
    </row>
    <row r="317" spans="1:18" x14ac:dyDescent="0.25">
      <c r="A317" s="2"/>
      <c r="B317" s="2"/>
      <c r="C317" s="2"/>
      <c r="D317" s="2"/>
      <c r="E317" s="2"/>
      <c r="F317" s="2"/>
      <c r="G317" s="2"/>
      <c r="H317" s="2"/>
      <c r="I317" s="2"/>
      <c r="J317" s="2"/>
      <c r="K317" s="2"/>
      <c r="L317" s="2"/>
      <c r="M317" s="2"/>
      <c r="N317" s="2"/>
      <c r="O317" s="2"/>
      <c r="P317" s="2"/>
      <c r="Q317" s="2"/>
      <c r="R317" s="2"/>
    </row>
    <row r="318" spans="1:18" x14ac:dyDescent="0.25">
      <c r="A318" s="2"/>
      <c r="B318" s="2"/>
      <c r="C318" s="2"/>
      <c r="D318" s="2"/>
      <c r="E318" s="2"/>
      <c r="F318" s="2"/>
      <c r="G318" s="2"/>
      <c r="H318" s="2"/>
      <c r="I318" s="2"/>
      <c r="J318" s="2"/>
      <c r="K318" s="2"/>
      <c r="L318" s="2"/>
      <c r="M318" s="2"/>
      <c r="N318" s="2"/>
      <c r="O318" s="2"/>
      <c r="P318" s="2"/>
      <c r="Q318" s="2"/>
      <c r="R318" s="2"/>
    </row>
    <row r="319" spans="1:18" x14ac:dyDescent="0.25">
      <c r="A319" s="2"/>
      <c r="B319" s="2"/>
      <c r="C319" s="2"/>
      <c r="D319" s="2"/>
      <c r="E319" s="2"/>
      <c r="F319" s="2"/>
      <c r="G319" s="2"/>
      <c r="H319" s="2"/>
      <c r="I319" s="2"/>
      <c r="J319" s="2"/>
      <c r="K319" s="2"/>
      <c r="L319" s="2"/>
      <c r="M319" s="2"/>
      <c r="N319" s="2"/>
      <c r="O319" s="2"/>
      <c r="P319" s="2"/>
      <c r="Q319" s="2"/>
      <c r="R319" s="2"/>
    </row>
    <row r="320" spans="1:18" x14ac:dyDescent="0.25">
      <c r="A320" s="2"/>
      <c r="B320" s="2"/>
      <c r="C320" s="2"/>
      <c r="D320" s="2"/>
      <c r="E320" s="2"/>
      <c r="F320" s="2"/>
      <c r="G320" s="2"/>
      <c r="H320" s="2"/>
      <c r="I320" s="2"/>
      <c r="J320" s="2"/>
      <c r="K320" s="2"/>
      <c r="L320" s="2"/>
      <c r="M320" s="2"/>
      <c r="N320" s="2"/>
      <c r="O320" s="2"/>
      <c r="P320" s="2"/>
      <c r="Q320" s="2"/>
      <c r="R320" s="2"/>
    </row>
    <row r="321" spans="1:18" x14ac:dyDescent="0.25">
      <c r="A321" s="2"/>
      <c r="B321" s="2"/>
      <c r="C321" s="2"/>
      <c r="D321" s="2"/>
      <c r="E321" s="2"/>
      <c r="F321" s="2"/>
      <c r="G321" s="2"/>
      <c r="H321" s="2"/>
      <c r="I321" s="2"/>
      <c r="J321" s="2"/>
      <c r="K321" s="2"/>
      <c r="L321" s="2"/>
      <c r="M321" s="2"/>
      <c r="N321" s="2"/>
      <c r="O321" s="2"/>
      <c r="P321" s="2"/>
      <c r="Q321" s="2"/>
      <c r="R321" s="2"/>
    </row>
    <row r="322" spans="1:18" x14ac:dyDescent="0.25">
      <c r="A322" s="2"/>
      <c r="B322" s="2"/>
      <c r="C322" s="2"/>
      <c r="D322" s="2"/>
      <c r="E322" s="2"/>
      <c r="F322" s="2"/>
      <c r="G322" s="2"/>
      <c r="H322" s="2"/>
      <c r="I322" s="2"/>
      <c r="J322" s="2"/>
      <c r="K322" s="2"/>
      <c r="L322" s="2"/>
      <c r="M322" s="2"/>
      <c r="N322" s="2"/>
      <c r="O322" s="2"/>
      <c r="P322" s="2"/>
      <c r="Q322" s="2"/>
      <c r="R322" s="2"/>
    </row>
    <row r="323" spans="1:18" x14ac:dyDescent="0.25">
      <c r="A323" s="2"/>
      <c r="B323" s="2"/>
      <c r="C323" s="2"/>
      <c r="D323" s="2"/>
      <c r="E323" s="2"/>
      <c r="F323" s="2"/>
      <c r="G323" s="2"/>
      <c r="H323" s="2"/>
      <c r="I323" s="2"/>
      <c r="J323" s="2"/>
      <c r="K323" s="2"/>
      <c r="L323" s="2"/>
      <c r="M323" s="2"/>
      <c r="N323" s="2"/>
      <c r="O323" s="2"/>
      <c r="P323" s="2"/>
      <c r="Q323" s="2"/>
      <c r="R323" s="2"/>
    </row>
    <row r="324" spans="1:18" x14ac:dyDescent="0.25">
      <c r="A324" s="2"/>
      <c r="B324" s="2"/>
      <c r="C324" s="2"/>
      <c r="D324" s="2"/>
      <c r="E324" s="2"/>
      <c r="F324" s="2"/>
      <c r="G324" s="2"/>
      <c r="H324" s="2"/>
      <c r="I324" s="2"/>
      <c r="J324" s="2"/>
      <c r="K324" s="2"/>
      <c r="L324" s="2"/>
      <c r="M324" s="2"/>
      <c r="N324" s="2"/>
      <c r="O324" s="2"/>
      <c r="P324" s="2"/>
      <c r="Q324" s="2"/>
      <c r="R324" s="2"/>
    </row>
    <row r="325" spans="1:18" x14ac:dyDescent="0.25">
      <c r="A325" s="2"/>
      <c r="B325" s="2"/>
      <c r="C325" s="2"/>
      <c r="D325" s="2"/>
      <c r="E325" s="2"/>
      <c r="F325" s="2"/>
      <c r="G325" s="2"/>
      <c r="H325" s="2"/>
      <c r="I325" s="2"/>
      <c r="J325" s="2"/>
      <c r="K325" s="2"/>
      <c r="L325" s="2"/>
      <c r="M325" s="2"/>
      <c r="N325" s="2"/>
      <c r="O325" s="2"/>
      <c r="P325" s="2"/>
      <c r="Q325" s="2"/>
      <c r="R325" s="2"/>
    </row>
    <row r="326" spans="1:18" x14ac:dyDescent="0.25">
      <c r="A326" s="2"/>
      <c r="B326" s="2"/>
      <c r="C326" s="2"/>
      <c r="D326" s="2"/>
      <c r="E326" s="2"/>
      <c r="F326" s="2"/>
      <c r="G326" s="2"/>
      <c r="H326" s="2"/>
      <c r="I326" s="2"/>
      <c r="J326" s="2"/>
      <c r="K326" s="2"/>
      <c r="L326" s="2"/>
      <c r="M326" s="2"/>
      <c r="N326" s="2"/>
      <c r="O326" s="2"/>
      <c r="P326" s="2"/>
      <c r="Q326" s="2"/>
      <c r="R326" s="2"/>
    </row>
    <row r="327" spans="1:18" x14ac:dyDescent="0.25">
      <c r="A327" s="2"/>
      <c r="B327" s="2"/>
      <c r="C327" s="2"/>
      <c r="D327" s="2"/>
      <c r="E327" s="2"/>
      <c r="F327" s="2"/>
      <c r="G327" s="2"/>
      <c r="H327" s="2"/>
      <c r="I327" s="2"/>
      <c r="J327" s="2"/>
      <c r="K327" s="2"/>
      <c r="L327" s="2"/>
      <c r="M327" s="2"/>
      <c r="N327" s="2"/>
      <c r="O327" s="2"/>
      <c r="P327" s="2"/>
      <c r="Q327" s="2"/>
      <c r="R327" s="2"/>
    </row>
    <row r="328" spans="1:18" x14ac:dyDescent="0.25">
      <c r="A328" s="2"/>
      <c r="B328" s="2"/>
      <c r="C328" s="2"/>
      <c r="D328" s="2"/>
      <c r="E328" s="2"/>
      <c r="F328" s="2"/>
      <c r="G328" s="2"/>
      <c r="H328" s="2"/>
      <c r="I328" s="2"/>
      <c r="J328" s="2"/>
      <c r="K328" s="2"/>
      <c r="L328" s="2"/>
      <c r="M328" s="2"/>
      <c r="N328" s="2"/>
      <c r="O328" s="2"/>
      <c r="P328" s="2"/>
      <c r="Q328" s="2"/>
      <c r="R328" s="2"/>
    </row>
    <row r="329" spans="1:18" x14ac:dyDescent="0.25">
      <c r="A329" s="2"/>
      <c r="B329" s="2"/>
      <c r="C329" s="2"/>
      <c r="D329" s="2"/>
      <c r="E329" s="2"/>
      <c r="F329" s="2"/>
      <c r="G329" s="2"/>
      <c r="H329" s="2"/>
      <c r="I329" s="2"/>
      <c r="J329" s="2"/>
      <c r="K329" s="2"/>
      <c r="L329" s="2"/>
      <c r="M329" s="2"/>
      <c r="N329" s="2"/>
      <c r="O329" s="2"/>
      <c r="P329" s="2"/>
      <c r="Q329" s="2"/>
      <c r="R329" s="2"/>
    </row>
    <row r="330" spans="1:18" x14ac:dyDescent="0.25">
      <c r="A330" s="2"/>
      <c r="B330" s="2"/>
      <c r="C330" s="2"/>
      <c r="D330" s="2"/>
      <c r="E330" s="2"/>
      <c r="F330" s="2"/>
      <c r="G330" s="2"/>
      <c r="H330" s="2"/>
      <c r="I330" s="2"/>
      <c r="J330" s="2"/>
      <c r="K330" s="2"/>
      <c r="L330" s="2"/>
      <c r="M330" s="2"/>
      <c r="N330" s="2"/>
      <c r="O330" s="2"/>
      <c r="P330" s="2"/>
      <c r="Q330" s="2"/>
      <c r="R330" s="2"/>
    </row>
    <row r="331" spans="1:18" x14ac:dyDescent="0.25">
      <c r="A331" s="2"/>
      <c r="B331" s="2"/>
      <c r="C331" s="2"/>
      <c r="D331" s="2"/>
      <c r="E331" s="2"/>
      <c r="F331" s="2"/>
      <c r="G331" s="2"/>
      <c r="H331" s="2"/>
      <c r="I331" s="2"/>
      <c r="J331" s="2"/>
      <c r="K331" s="2"/>
      <c r="L331" s="2"/>
      <c r="M331" s="2"/>
      <c r="N331" s="2"/>
      <c r="O331" s="2"/>
      <c r="P331" s="2"/>
      <c r="Q331" s="2"/>
      <c r="R331" s="2"/>
    </row>
    <row r="332" spans="1:18" x14ac:dyDescent="0.25">
      <c r="A332" s="2"/>
      <c r="B332" s="2"/>
      <c r="C332" s="2"/>
      <c r="D332" s="2"/>
      <c r="E332" s="2"/>
      <c r="F332" s="2"/>
      <c r="G332" s="2"/>
      <c r="H332" s="2"/>
      <c r="I332" s="2"/>
      <c r="J332" s="2"/>
      <c r="K332" s="2"/>
      <c r="L332" s="2"/>
      <c r="M332" s="2"/>
      <c r="N332" s="2"/>
      <c r="O332" s="2"/>
      <c r="P332" s="2"/>
      <c r="Q332" s="2"/>
      <c r="R332" s="2"/>
    </row>
    <row r="333" spans="1:18" x14ac:dyDescent="0.25">
      <c r="A333" s="2"/>
      <c r="B333" s="2"/>
      <c r="C333" s="2"/>
      <c r="D333" s="2"/>
      <c r="E333" s="2"/>
      <c r="F333" s="2"/>
      <c r="G333" s="2"/>
      <c r="H333" s="2"/>
      <c r="I333" s="2"/>
      <c r="J333" s="2"/>
      <c r="K333" s="2"/>
      <c r="L333" s="2"/>
      <c r="M333" s="2"/>
      <c r="N333" s="2"/>
      <c r="O333" s="2"/>
      <c r="P333" s="2"/>
      <c r="Q333" s="2"/>
      <c r="R333" s="2"/>
    </row>
    <row r="334" spans="1:18" x14ac:dyDescent="0.25">
      <c r="A334" s="2"/>
      <c r="B334" s="2"/>
      <c r="C334" s="2"/>
      <c r="D334" s="2"/>
      <c r="E334" s="2"/>
      <c r="F334" s="2"/>
      <c r="G334" s="2"/>
      <c r="H334" s="2"/>
      <c r="I334" s="2"/>
      <c r="J334" s="2"/>
      <c r="K334" s="2"/>
      <c r="L334" s="2"/>
      <c r="M334" s="2"/>
      <c r="N334" s="2"/>
      <c r="O334" s="2"/>
      <c r="P334" s="2"/>
      <c r="Q334" s="2"/>
      <c r="R334" s="2"/>
    </row>
    <row r="335" spans="1:18" x14ac:dyDescent="0.25">
      <c r="A335" s="2"/>
      <c r="B335" s="2"/>
      <c r="C335" s="2"/>
      <c r="D335" s="2"/>
      <c r="E335" s="2"/>
      <c r="F335" s="2"/>
      <c r="G335" s="2"/>
      <c r="H335" s="2"/>
      <c r="I335" s="2"/>
      <c r="J335" s="2"/>
      <c r="K335" s="2"/>
      <c r="L335" s="2"/>
      <c r="M335" s="2"/>
      <c r="N335" s="2"/>
      <c r="O335" s="2"/>
      <c r="P335" s="2"/>
      <c r="Q335" s="2"/>
      <c r="R335" s="2"/>
    </row>
    <row r="336" spans="1:18" x14ac:dyDescent="0.25">
      <c r="A336" s="2"/>
      <c r="B336" s="2"/>
      <c r="C336" s="2"/>
      <c r="D336" s="2"/>
      <c r="E336" s="2"/>
      <c r="F336" s="2"/>
      <c r="G336" s="2"/>
      <c r="H336" s="2"/>
      <c r="I336" s="2"/>
      <c r="J336" s="2"/>
      <c r="K336" s="2"/>
      <c r="L336" s="2"/>
      <c r="M336" s="2"/>
      <c r="N336" s="2"/>
      <c r="O336" s="2"/>
      <c r="P336" s="2"/>
      <c r="Q336" s="2"/>
      <c r="R336" s="2"/>
    </row>
    <row r="337" spans="1:18" x14ac:dyDescent="0.25">
      <c r="A337" s="2"/>
      <c r="B337" s="2"/>
      <c r="C337" s="2"/>
      <c r="D337" s="2"/>
      <c r="E337" s="2"/>
      <c r="F337" s="2"/>
      <c r="G337" s="2"/>
      <c r="H337" s="2"/>
      <c r="I337" s="2"/>
      <c r="J337" s="2"/>
      <c r="K337" s="2"/>
      <c r="L337" s="2"/>
      <c r="M337" s="2"/>
      <c r="N337" s="2"/>
      <c r="O337" s="2"/>
      <c r="P337" s="2"/>
      <c r="Q337" s="2"/>
      <c r="R337" s="2"/>
    </row>
    <row r="338" spans="1:18" x14ac:dyDescent="0.25">
      <c r="A338" s="2"/>
      <c r="B338" s="2"/>
      <c r="C338" s="2"/>
      <c r="D338" s="2"/>
      <c r="E338" s="2"/>
      <c r="F338" s="2"/>
      <c r="G338" s="2"/>
      <c r="H338" s="2"/>
      <c r="I338" s="2"/>
      <c r="J338" s="2"/>
      <c r="K338" s="2"/>
      <c r="L338" s="2"/>
      <c r="M338" s="2"/>
      <c r="N338" s="2"/>
      <c r="O338" s="2"/>
      <c r="P338" s="2"/>
      <c r="Q338" s="2"/>
      <c r="R338" s="2"/>
    </row>
    <row r="339" spans="1:18" x14ac:dyDescent="0.25">
      <c r="A339" s="2"/>
      <c r="B339" s="2"/>
      <c r="C339" s="2"/>
      <c r="D339" s="2"/>
      <c r="E339" s="2"/>
      <c r="F339" s="2"/>
      <c r="G339" s="2"/>
      <c r="H339" s="2"/>
      <c r="I339" s="2"/>
      <c r="J339" s="2"/>
      <c r="K339" s="2"/>
      <c r="L339" s="2"/>
      <c r="M339" s="2"/>
      <c r="N339" s="2"/>
      <c r="O339" s="2"/>
      <c r="P339" s="2"/>
      <c r="Q339" s="2"/>
      <c r="R339" s="2"/>
    </row>
    <row r="340" spans="1:18" x14ac:dyDescent="0.25">
      <c r="A340" s="2"/>
      <c r="B340" s="2"/>
      <c r="C340" s="2"/>
      <c r="D340" s="2"/>
      <c r="E340" s="2"/>
      <c r="F340" s="2"/>
      <c r="G340" s="2"/>
      <c r="H340" s="2"/>
      <c r="I340" s="2"/>
      <c r="J340" s="2"/>
      <c r="K340" s="2"/>
      <c r="L340" s="2"/>
      <c r="M340" s="2"/>
      <c r="N340" s="2"/>
      <c r="O340" s="2"/>
      <c r="P340" s="2"/>
      <c r="Q340" s="2"/>
      <c r="R340" s="2"/>
    </row>
    <row r="341" spans="1:18" x14ac:dyDescent="0.25">
      <c r="A341" s="2"/>
      <c r="B341" s="2"/>
      <c r="C341" s="2"/>
      <c r="D341" s="2"/>
      <c r="E341" s="2"/>
      <c r="F341" s="2"/>
      <c r="G341" s="2"/>
      <c r="H341" s="2"/>
      <c r="I341" s="2"/>
      <c r="J341" s="2"/>
      <c r="K341" s="2"/>
      <c r="L341" s="2"/>
      <c r="M341" s="2"/>
      <c r="N341" s="2"/>
      <c r="O341" s="2"/>
      <c r="P341" s="2"/>
      <c r="Q341" s="2"/>
      <c r="R341" s="2"/>
    </row>
    <row r="342" spans="1:18" x14ac:dyDescent="0.25">
      <c r="A342" s="2"/>
      <c r="B342" s="2"/>
      <c r="C342" s="2"/>
      <c r="D342" s="2"/>
      <c r="E342" s="2"/>
      <c r="F342" s="2"/>
      <c r="G342" s="2"/>
      <c r="H342" s="2"/>
      <c r="I342" s="2"/>
      <c r="J342" s="2"/>
      <c r="K342" s="2"/>
      <c r="L342" s="2"/>
      <c r="M342" s="2"/>
      <c r="N342" s="2"/>
      <c r="O342" s="2"/>
      <c r="P342" s="2"/>
      <c r="Q342" s="2"/>
      <c r="R342" s="2"/>
    </row>
    <row r="343" spans="1:18" x14ac:dyDescent="0.25">
      <c r="A343" s="2"/>
      <c r="B343" s="2"/>
      <c r="C343" s="2"/>
      <c r="D343" s="2"/>
      <c r="E343" s="2"/>
      <c r="F343" s="2"/>
      <c r="G343" s="2"/>
      <c r="H343" s="2"/>
      <c r="I343" s="2"/>
      <c r="J343" s="2"/>
      <c r="K343" s="2"/>
      <c r="L343" s="2"/>
      <c r="M343" s="2"/>
      <c r="N343" s="2"/>
      <c r="O343" s="2"/>
      <c r="P343" s="2"/>
      <c r="Q343" s="2"/>
      <c r="R343" s="2"/>
    </row>
    <row r="344" spans="1:18" x14ac:dyDescent="0.25">
      <c r="A344" s="2"/>
      <c r="B344" s="2"/>
      <c r="C344" s="2"/>
      <c r="D344" s="2"/>
      <c r="E344" s="2"/>
      <c r="F344" s="2"/>
      <c r="G344" s="2"/>
      <c r="H344" s="2"/>
      <c r="I344" s="2"/>
      <c r="J344" s="2"/>
      <c r="K344" s="2"/>
      <c r="L344" s="2"/>
      <c r="M344" s="2"/>
      <c r="N344" s="2"/>
      <c r="O344" s="2"/>
      <c r="P344" s="2"/>
      <c r="Q344" s="2"/>
      <c r="R344" s="2"/>
    </row>
    <row r="345" spans="1:18" x14ac:dyDescent="0.25">
      <c r="A345" s="2"/>
      <c r="B345" s="2"/>
      <c r="C345" s="2"/>
      <c r="D345" s="2"/>
      <c r="E345" s="2"/>
      <c r="F345" s="2"/>
      <c r="G345" s="2"/>
      <c r="H345" s="2"/>
      <c r="I345" s="2"/>
      <c r="J345" s="2"/>
      <c r="K345" s="2"/>
      <c r="L345" s="2"/>
      <c r="M345" s="2"/>
      <c r="N345" s="2"/>
      <c r="O345" s="2"/>
      <c r="P345" s="2"/>
      <c r="Q345" s="2"/>
      <c r="R345" s="2"/>
    </row>
    <row r="346" spans="1:18" x14ac:dyDescent="0.25">
      <c r="A346" s="2"/>
      <c r="B346" s="2"/>
      <c r="C346" s="2"/>
      <c r="D346" s="2"/>
      <c r="E346" s="2"/>
      <c r="F346" s="2"/>
      <c r="G346" s="2"/>
      <c r="H346" s="2"/>
      <c r="I346" s="2"/>
      <c r="J346" s="2"/>
      <c r="K346" s="2"/>
      <c r="L346" s="2"/>
      <c r="M346" s="2"/>
      <c r="N346" s="2"/>
      <c r="O346" s="2"/>
      <c r="P346" s="2"/>
      <c r="Q346" s="2"/>
      <c r="R346" s="2"/>
    </row>
    <row r="347" spans="1:18" x14ac:dyDescent="0.25">
      <c r="A347" s="2"/>
      <c r="B347" s="2"/>
      <c r="C347" s="2"/>
      <c r="D347" s="2"/>
      <c r="E347" s="2"/>
      <c r="F347" s="2"/>
      <c r="G347" s="2"/>
      <c r="H347" s="2"/>
      <c r="I347" s="2"/>
      <c r="J347" s="2"/>
      <c r="K347" s="2"/>
      <c r="L347" s="2"/>
      <c r="M347" s="2"/>
      <c r="N347" s="2"/>
      <c r="O347" s="2"/>
      <c r="P347" s="2"/>
      <c r="Q347" s="2"/>
      <c r="R347" s="2"/>
    </row>
    <row r="348" spans="1:18" x14ac:dyDescent="0.25">
      <c r="A348" s="2"/>
      <c r="B348" s="2"/>
      <c r="C348" s="2"/>
      <c r="D348" s="2"/>
      <c r="E348" s="2"/>
      <c r="F348" s="2"/>
      <c r="G348" s="2"/>
      <c r="H348" s="2"/>
      <c r="I348" s="2"/>
      <c r="J348" s="2"/>
      <c r="K348" s="2"/>
      <c r="L348" s="2"/>
      <c r="M348" s="2"/>
      <c r="N348" s="2"/>
      <c r="O348" s="2"/>
      <c r="P348" s="2"/>
      <c r="Q348" s="2"/>
      <c r="R348" s="2"/>
    </row>
    <row r="349" spans="1:18" x14ac:dyDescent="0.25">
      <c r="A349" s="2"/>
      <c r="B349" s="2"/>
      <c r="C349" s="2"/>
      <c r="D349" s="2"/>
      <c r="E349" s="2"/>
      <c r="F349" s="2"/>
      <c r="G349" s="2"/>
      <c r="H349" s="2"/>
      <c r="I349" s="2"/>
      <c r="J349" s="2"/>
      <c r="K349" s="2"/>
      <c r="L349" s="2"/>
      <c r="M349" s="2"/>
      <c r="N349" s="2"/>
      <c r="O349" s="2"/>
      <c r="P349" s="2"/>
      <c r="Q349" s="2"/>
      <c r="R349" s="2"/>
    </row>
    <row r="350" spans="1:18" x14ac:dyDescent="0.25">
      <c r="A350" s="2"/>
      <c r="B350" s="2"/>
      <c r="C350" s="2"/>
      <c r="D350" s="2"/>
      <c r="E350" s="2"/>
      <c r="F350" s="2"/>
      <c r="G350" s="2"/>
      <c r="H350" s="2"/>
      <c r="I350" s="2"/>
      <c r="J350" s="2"/>
      <c r="K350" s="2"/>
      <c r="L350" s="2"/>
      <c r="M350" s="2"/>
      <c r="N350" s="2"/>
      <c r="O350" s="2"/>
      <c r="P350" s="2"/>
      <c r="Q350" s="2"/>
      <c r="R350" s="2"/>
    </row>
    <row r="351" spans="1:18" x14ac:dyDescent="0.25">
      <c r="A351" s="2"/>
      <c r="B351" s="2"/>
      <c r="C351" s="2"/>
      <c r="D351" s="2"/>
      <c r="E351" s="2"/>
      <c r="F351" s="2"/>
      <c r="G351" s="2"/>
      <c r="H351" s="2"/>
      <c r="I351" s="2"/>
      <c r="J351" s="2"/>
      <c r="K351" s="2"/>
      <c r="L351" s="2"/>
      <c r="M351" s="2"/>
      <c r="N351" s="2"/>
      <c r="O351" s="2"/>
      <c r="P351" s="2"/>
      <c r="Q351" s="2"/>
      <c r="R351" s="2"/>
    </row>
    <row r="352" spans="1:18" x14ac:dyDescent="0.25">
      <c r="A352" s="2"/>
      <c r="B352" s="2"/>
      <c r="C352" s="2"/>
      <c r="D352" s="2"/>
      <c r="E352" s="2"/>
      <c r="F352" s="2"/>
      <c r="G352" s="2"/>
      <c r="H352" s="2"/>
      <c r="I352" s="2"/>
      <c r="J352" s="2"/>
      <c r="K352" s="2"/>
      <c r="L352" s="2"/>
      <c r="M352" s="2"/>
      <c r="N352" s="2"/>
      <c r="O352" s="2"/>
      <c r="P352" s="2"/>
      <c r="Q352" s="2"/>
      <c r="R352" s="2"/>
    </row>
    <row r="353" spans="1:18" x14ac:dyDescent="0.25">
      <c r="A353" s="2"/>
      <c r="B353" s="2"/>
      <c r="C353" s="2"/>
      <c r="D353" s="2"/>
      <c r="E353" s="2"/>
      <c r="F353" s="2"/>
      <c r="G353" s="2"/>
      <c r="H353" s="2"/>
      <c r="I353" s="2"/>
      <c r="J353" s="2"/>
      <c r="K353" s="2"/>
      <c r="L353" s="2"/>
      <c r="M353" s="2"/>
      <c r="N353" s="2"/>
      <c r="O353" s="2"/>
      <c r="P353" s="2"/>
      <c r="Q353" s="2"/>
      <c r="R353" s="2"/>
    </row>
    <row r="354" spans="1:18" x14ac:dyDescent="0.25">
      <c r="A354" s="2"/>
      <c r="B354" s="2"/>
      <c r="C354" s="2"/>
      <c r="D354" s="2"/>
      <c r="E354" s="2"/>
      <c r="F354" s="2"/>
      <c r="G354" s="2"/>
      <c r="H354" s="2"/>
      <c r="I354" s="2"/>
      <c r="J354" s="2"/>
      <c r="K354" s="2"/>
      <c r="L354" s="2"/>
      <c r="M354" s="2"/>
      <c r="N354" s="2"/>
      <c r="O354" s="2"/>
      <c r="P354" s="2"/>
      <c r="Q354" s="2"/>
      <c r="R354" s="2"/>
    </row>
    <row r="355" spans="1:18" x14ac:dyDescent="0.25">
      <c r="A355" s="2"/>
      <c r="B355" s="2"/>
      <c r="C355" s="2"/>
      <c r="D355" s="2"/>
      <c r="E355" s="2"/>
      <c r="F355" s="2"/>
      <c r="G355" s="2"/>
      <c r="H355" s="2"/>
      <c r="I355" s="2"/>
      <c r="J355" s="2"/>
      <c r="K355" s="2"/>
      <c r="L355" s="2"/>
      <c r="M355" s="2"/>
      <c r="N355" s="2"/>
      <c r="O355" s="2"/>
      <c r="P355" s="2"/>
      <c r="Q355" s="2"/>
      <c r="R355" s="2"/>
    </row>
    <row r="356" spans="1:18" x14ac:dyDescent="0.25">
      <c r="A356" s="2"/>
      <c r="B356" s="2"/>
      <c r="C356" s="2"/>
      <c r="D356" s="2"/>
      <c r="E356" s="2"/>
      <c r="F356" s="2"/>
      <c r="G356" s="2"/>
      <c r="H356" s="2"/>
      <c r="I356" s="2"/>
      <c r="J356" s="2"/>
      <c r="K356" s="2"/>
      <c r="L356" s="2"/>
      <c r="M356" s="2"/>
      <c r="N356" s="2"/>
      <c r="O356" s="2"/>
      <c r="P356" s="2"/>
      <c r="Q356" s="2"/>
      <c r="R356" s="2"/>
    </row>
    <row r="357" spans="1:18" x14ac:dyDescent="0.25">
      <c r="A357" s="2"/>
      <c r="B357" s="2"/>
      <c r="C357" s="2"/>
      <c r="D357" s="2"/>
      <c r="E357" s="2"/>
      <c r="F357" s="2"/>
      <c r="G357" s="2"/>
      <c r="H357" s="2"/>
      <c r="I357" s="2"/>
      <c r="J357" s="2"/>
      <c r="K357" s="2"/>
      <c r="L357" s="2"/>
      <c r="M357" s="2"/>
      <c r="N357" s="2"/>
      <c r="O357" s="2"/>
      <c r="P357" s="2"/>
      <c r="Q357" s="2"/>
      <c r="R357" s="2"/>
    </row>
    <row r="358" spans="1:18" x14ac:dyDescent="0.25">
      <c r="A358" s="2"/>
      <c r="B358" s="2"/>
      <c r="C358" s="2"/>
      <c r="D358" s="2"/>
      <c r="E358" s="2"/>
      <c r="F358" s="2"/>
      <c r="G358" s="2"/>
      <c r="H358" s="2"/>
      <c r="I358" s="2"/>
      <c r="J358" s="2"/>
      <c r="K358" s="2"/>
      <c r="L358" s="2"/>
      <c r="M358" s="2"/>
      <c r="N358" s="2"/>
      <c r="O358" s="2"/>
      <c r="P358" s="2"/>
      <c r="Q358" s="2"/>
      <c r="R358" s="2"/>
    </row>
    <row r="359" spans="1:18" x14ac:dyDescent="0.25">
      <c r="A359" s="2"/>
      <c r="B359" s="2"/>
      <c r="C359" s="2"/>
      <c r="D359" s="2"/>
      <c r="E359" s="2"/>
      <c r="F359" s="2"/>
      <c r="G359" s="2"/>
      <c r="H359" s="2"/>
      <c r="I359" s="2"/>
      <c r="J359" s="2"/>
      <c r="K359" s="2"/>
      <c r="L359" s="2"/>
      <c r="M359" s="2"/>
      <c r="N359" s="2"/>
      <c r="O359" s="2"/>
      <c r="P359" s="2"/>
      <c r="Q359" s="2"/>
      <c r="R359" s="2"/>
    </row>
    <row r="360" spans="1:18" x14ac:dyDescent="0.25">
      <c r="A360" s="2"/>
      <c r="B360" s="2"/>
      <c r="C360" s="2"/>
      <c r="D360" s="2"/>
      <c r="E360" s="2"/>
      <c r="F360" s="2"/>
      <c r="G360" s="2"/>
      <c r="H360" s="2"/>
      <c r="I360" s="2"/>
      <c r="J360" s="2"/>
      <c r="K360" s="2"/>
      <c r="L360" s="2"/>
      <c r="M360" s="2"/>
      <c r="N360" s="2"/>
      <c r="O360" s="2"/>
      <c r="P360" s="2"/>
      <c r="Q360" s="2"/>
      <c r="R360" s="2"/>
    </row>
    <row r="361" spans="1:18" x14ac:dyDescent="0.25">
      <c r="A361" s="2"/>
      <c r="B361" s="2"/>
      <c r="C361" s="2"/>
      <c r="D361" s="2"/>
      <c r="E361" s="2"/>
      <c r="F361" s="2"/>
      <c r="G361" s="2"/>
      <c r="H361" s="2"/>
      <c r="I361" s="2"/>
      <c r="J361" s="2"/>
      <c r="K361" s="2"/>
      <c r="L361" s="2"/>
      <c r="M361" s="2"/>
      <c r="N361" s="2"/>
      <c r="O361" s="2"/>
      <c r="P361" s="2"/>
      <c r="Q361" s="2"/>
      <c r="R361" s="2"/>
    </row>
    <row r="362" spans="1:18" x14ac:dyDescent="0.25">
      <c r="A362" s="2"/>
      <c r="B362" s="2"/>
      <c r="C362" s="2"/>
      <c r="D362" s="2"/>
      <c r="E362" s="2"/>
      <c r="F362" s="2"/>
      <c r="G362" s="2"/>
      <c r="H362" s="2"/>
      <c r="I362" s="2"/>
      <c r="J362" s="2"/>
      <c r="K362" s="2"/>
      <c r="L362" s="2"/>
      <c r="M362" s="2"/>
      <c r="N362" s="2"/>
      <c r="O362" s="2"/>
      <c r="P362" s="2"/>
      <c r="Q362" s="2"/>
      <c r="R362" s="2"/>
    </row>
    <row r="363" spans="1:18" x14ac:dyDescent="0.25">
      <c r="A363" s="2"/>
      <c r="B363" s="2"/>
      <c r="C363" s="2"/>
      <c r="D363" s="2"/>
      <c r="E363" s="2"/>
      <c r="F363" s="2"/>
      <c r="G363" s="2"/>
      <c r="H363" s="2"/>
      <c r="I363" s="2"/>
      <c r="J363" s="2"/>
      <c r="K363" s="2"/>
      <c r="L363" s="2"/>
      <c r="M363" s="2"/>
      <c r="N363" s="2"/>
      <c r="O363" s="2"/>
      <c r="P363" s="2"/>
      <c r="Q363" s="2"/>
      <c r="R363" s="2"/>
    </row>
    <row r="364" spans="1:18" x14ac:dyDescent="0.25">
      <c r="A364" s="2"/>
      <c r="B364" s="2"/>
      <c r="C364" s="2"/>
      <c r="D364" s="2"/>
      <c r="E364" s="2"/>
      <c r="F364" s="2"/>
      <c r="G364" s="2"/>
      <c r="H364" s="2"/>
      <c r="I364" s="2"/>
      <c r="J364" s="2"/>
      <c r="K364" s="2"/>
      <c r="L364" s="2"/>
      <c r="M364" s="2"/>
      <c r="N364" s="2"/>
      <c r="O364" s="2"/>
      <c r="P364" s="2"/>
      <c r="Q364" s="2"/>
      <c r="R364" s="2"/>
    </row>
    <row r="365" spans="1:18" x14ac:dyDescent="0.25">
      <c r="A365" s="2"/>
      <c r="B365" s="2"/>
      <c r="C365" s="2"/>
      <c r="D365" s="2"/>
      <c r="E365" s="2"/>
      <c r="F365" s="2"/>
      <c r="G365" s="2"/>
      <c r="H365" s="2"/>
      <c r="I365" s="2"/>
      <c r="J365" s="2"/>
      <c r="K365" s="2"/>
      <c r="L365" s="2"/>
      <c r="M365" s="2"/>
      <c r="N365" s="2"/>
      <c r="O365" s="2"/>
      <c r="P365" s="2"/>
      <c r="Q365" s="2"/>
      <c r="R365" s="2"/>
    </row>
    <row r="366" spans="1:18" x14ac:dyDescent="0.25">
      <c r="A366" s="2"/>
      <c r="B366" s="2"/>
      <c r="C366" s="2"/>
      <c r="D366" s="2"/>
      <c r="E366" s="2"/>
      <c r="F366" s="2"/>
      <c r="G366" s="2"/>
      <c r="H366" s="2"/>
      <c r="I366" s="2"/>
      <c r="J366" s="2"/>
      <c r="K366" s="2"/>
      <c r="L366" s="2"/>
      <c r="M366" s="2"/>
      <c r="N366" s="2"/>
      <c r="O366" s="2"/>
      <c r="P366" s="2"/>
      <c r="Q366" s="2"/>
      <c r="R366" s="2"/>
    </row>
    <row r="367" spans="1:18" x14ac:dyDescent="0.25">
      <c r="A367" s="2"/>
      <c r="B367" s="2"/>
      <c r="C367" s="2"/>
      <c r="D367" s="2"/>
      <c r="E367" s="2"/>
      <c r="F367" s="2"/>
      <c r="G367" s="2"/>
      <c r="H367" s="2"/>
      <c r="I367" s="2"/>
      <c r="J367" s="2"/>
      <c r="K367" s="2"/>
      <c r="L367" s="2"/>
      <c r="M367" s="2"/>
      <c r="N367" s="2"/>
      <c r="O367" s="2"/>
      <c r="P367" s="2"/>
      <c r="Q367" s="2"/>
      <c r="R367" s="2"/>
    </row>
    <row r="368" spans="1:18" x14ac:dyDescent="0.25">
      <c r="A368" s="2"/>
      <c r="B368" s="2"/>
      <c r="C368" s="2"/>
      <c r="D368" s="2"/>
      <c r="E368" s="2"/>
      <c r="F368" s="2"/>
      <c r="G368" s="2"/>
      <c r="H368" s="2"/>
      <c r="I368" s="2"/>
      <c r="J368" s="2"/>
      <c r="K368" s="2"/>
      <c r="L368" s="2"/>
      <c r="M368" s="2"/>
      <c r="N368" s="2"/>
      <c r="O368" s="2"/>
      <c r="P368" s="2"/>
      <c r="Q368" s="2"/>
      <c r="R368" s="2"/>
    </row>
    <row r="369" spans="1:18" x14ac:dyDescent="0.25">
      <c r="A369" s="2"/>
      <c r="B369" s="2"/>
      <c r="C369" s="2"/>
      <c r="D369" s="2"/>
      <c r="E369" s="2"/>
      <c r="F369" s="2"/>
      <c r="G369" s="2"/>
      <c r="H369" s="2"/>
      <c r="I369" s="2"/>
      <c r="J369" s="2"/>
      <c r="K369" s="2"/>
      <c r="L369" s="2"/>
      <c r="M369" s="2"/>
      <c r="N369" s="2"/>
      <c r="O369" s="2"/>
      <c r="P369" s="2"/>
      <c r="Q369" s="2"/>
      <c r="R369" s="2"/>
    </row>
    <row r="370" spans="1:18" x14ac:dyDescent="0.25">
      <c r="A370" s="2"/>
      <c r="B370" s="2"/>
      <c r="C370" s="2"/>
      <c r="D370" s="2"/>
      <c r="E370" s="2"/>
      <c r="F370" s="2"/>
      <c r="G370" s="2"/>
      <c r="H370" s="2"/>
      <c r="I370" s="2"/>
      <c r="J370" s="2"/>
      <c r="K370" s="2"/>
      <c r="L370" s="2"/>
      <c r="M370" s="2"/>
      <c r="N370" s="2"/>
      <c r="O370" s="2"/>
      <c r="P370" s="2"/>
      <c r="Q370" s="2"/>
      <c r="R370" s="2"/>
    </row>
    <row r="371" spans="1:18" x14ac:dyDescent="0.25">
      <c r="A371" s="2"/>
      <c r="B371" s="2"/>
      <c r="C371" s="2"/>
      <c r="D371" s="2"/>
      <c r="E371" s="2"/>
      <c r="F371" s="2"/>
      <c r="G371" s="2"/>
      <c r="H371" s="2"/>
      <c r="I371" s="2"/>
      <c r="J371" s="2"/>
      <c r="K371" s="2"/>
      <c r="L371" s="2"/>
      <c r="M371" s="2"/>
      <c r="N371" s="2"/>
      <c r="O371" s="2"/>
      <c r="P371" s="2"/>
      <c r="Q371" s="2"/>
      <c r="R371" s="2"/>
    </row>
    <row r="372" spans="1:18" x14ac:dyDescent="0.25">
      <c r="A372" s="2"/>
      <c r="B372" s="2"/>
      <c r="C372" s="2"/>
      <c r="D372" s="2"/>
      <c r="E372" s="2"/>
      <c r="F372" s="2"/>
      <c r="G372" s="2"/>
      <c r="H372" s="2"/>
      <c r="I372" s="2"/>
      <c r="J372" s="2"/>
      <c r="K372" s="2"/>
      <c r="L372" s="2"/>
      <c r="M372" s="2"/>
      <c r="N372" s="2"/>
      <c r="O372" s="2"/>
      <c r="P372" s="2"/>
      <c r="Q372" s="2"/>
      <c r="R372" s="2"/>
    </row>
    <row r="373" spans="1:18" x14ac:dyDescent="0.25">
      <c r="A373" s="2"/>
      <c r="B373" s="2"/>
      <c r="C373" s="2"/>
      <c r="D373" s="2"/>
      <c r="E373" s="2"/>
      <c r="F373" s="2"/>
      <c r="G373" s="2"/>
      <c r="H373" s="2"/>
      <c r="I373" s="2"/>
      <c r="J373" s="2"/>
      <c r="K373" s="2"/>
      <c r="L373" s="2"/>
      <c r="M373" s="2"/>
      <c r="N373" s="2"/>
      <c r="O373" s="2"/>
      <c r="P373" s="2"/>
      <c r="Q373" s="2"/>
      <c r="R373" s="2"/>
    </row>
    <row r="374" spans="1:18" x14ac:dyDescent="0.25">
      <c r="A374" s="2"/>
      <c r="B374" s="2"/>
      <c r="C374" s="2"/>
      <c r="D374" s="2"/>
      <c r="E374" s="2"/>
      <c r="F374" s="2"/>
      <c r="G374" s="2"/>
      <c r="H374" s="2"/>
      <c r="I374" s="2"/>
      <c r="J374" s="2"/>
      <c r="K374" s="2"/>
      <c r="L374" s="2"/>
      <c r="M374" s="2"/>
      <c r="N374" s="2"/>
      <c r="O374" s="2"/>
      <c r="P374" s="2"/>
      <c r="Q374" s="2"/>
      <c r="R374" s="2"/>
    </row>
    <row r="375" spans="1:18" x14ac:dyDescent="0.25">
      <c r="A375" s="2"/>
      <c r="B375" s="2"/>
      <c r="C375" s="2"/>
      <c r="D375" s="2"/>
      <c r="E375" s="2"/>
      <c r="F375" s="2"/>
      <c r="G375" s="2"/>
      <c r="H375" s="2"/>
      <c r="I375" s="2"/>
      <c r="J375" s="2"/>
      <c r="K375" s="2"/>
      <c r="L375" s="2"/>
      <c r="M375" s="2"/>
      <c r="N375" s="2"/>
      <c r="O375" s="2"/>
      <c r="P375" s="2"/>
      <c r="Q375" s="2"/>
      <c r="R375" s="2"/>
    </row>
    <row r="376" spans="1:18" x14ac:dyDescent="0.25">
      <c r="A376" s="2"/>
      <c r="B376" s="2"/>
      <c r="C376" s="2"/>
      <c r="D376" s="2"/>
      <c r="E376" s="2"/>
      <c r="F376" s="2"/>
      <c r="G376" s="2"/>
      <c r="H376" s="2"/>
      <c r="I376" s="2"/>
      <c r="J376" s="2"/>
      <c r="K376" s="2"/>
      <c r="L376" s="2"/>
      <c r="M376" s="2"/>
      <c r="N376" s="2"/>
      <c r="O376" s="2"/>
      <c r="P376" s="2"/>
      <c r="Q376" s="2"/>
      <c r="R376" s="2"/>
    </row>
    <row r="377" spans="1:18" x14ac:dyDescent="0.25">
      <c r="A377" s="2"/>
      <c r="B377" s="2"/>
      <c r="C377" s="2"/>
      <c r="D377" s="2"/>
      <c r="E377" s="2"/>
      <c r="F377" s="2"/>
      <c r="G377" s="2"/>
      <c r="H377" s="2"/>
      <c r="I377" s="2"/>
      <c r="J377" s="2"/>
      <c r="K377" s="2"/>
      <c r="L377" s="2"/>
      <c r="M377" s="2"/>
      <c r="N377" s="2"/>
      <c r="O377" s="2"/>
      <c r="P377" s="2"/>
      <c r="Q377" s="2"/>
      <c r="R377" s="2"/>
    </row>
    <row r="378" spans="1:18" x14ac:dyDescent="0.25">
      <c r="A378" s="2"/>
      <c r="B378" s="2"/>
      <c r="C378" s="2"/>
      <c r="D378" s="2"/>
      <c r="E378" s="2"/>
      <c r="F378" s="2"/>
      <c r="G378" s="2"/>
      <c r="H378" s="2"/>
      <c r="I378" s="2"/>
      <c r="J378" s="2"/>
      <c r="K378" s="2"/>
      <c r="L378" s="2"/>
      <c r="M378" s="2"/>
      <c r="N378" s="2"/>
      <c r="O378" s="2"/>
      <c r="P378" s="2"/>
      <c r="Q378" s="2"/>
      <c r="R378" s="2"/>
    </row>
    <row r="379" spans="1:18" x14ac:dyDescent="0.25">
      <c r="A379" s="2"/>
      <c r="B379" s="2"/>
      <c r="C379" s="2"/>
      <c r="D379" s="2"/>
      <c r="E379" s="2"/>
      <c r="F379" s="2"/>
      <c r="G379" s="2"/>
      <c r="H379" s="2"/>
      <c r="I379" s="2"/>
      <c r="J379" s="2"/>
      <c r="K379" s="2"/>
      <c r="L379" s="2"/>
      <c r="M379" s="2"/>
      <c r="N379" s="2"/>
      <c r="O379" s="2"/>
      <c r="P379" s="2"/>
      <c r="Q379" s="2"/>
      <c r="R379" s="2"/>
    </row>
    <row r="380" spans="1:18" x14ac:dyDescent="0.25">
      <c r="A380" s="2"/>
      <c r="B380" s="2"/>
      <c r="C380" s="2"/>
      <c r="D380" s="2"/>
      <c r="E380" s="2"/>
      <c r="F380" s="2"/>
      <c r="G380" s="2"/>
      <c r="H380" s="2"/>
      <c r="I380" s="2"/>
      <c r="J380" s="2"/>
      <c r="K380" s="2"/>
      <c r="L380" s="2"/>
      <c r="M380" s="2"/>
      <c r="N380" s="2"/>
      <c r="O380" s="2"/>
      <c r="P380" s="2"/>
      <c r="Q380" s="2"/>
      <c r="R380" s="2"/>
    </row>
    <row r="381" spans="1:18" x14ac:dyDescent="0.25">
      <c r="A381" s="2"/>
      <c r="B381" s="2"/>
      <c r="C381" s="2"/>
      <c r="D381" s="2"/>
      <c r="E381" s="2"/>
      <c r="F381" s="2"/>
      <c r="G381" s="2"/>
      <c r="H381" s="2"/>
      <c r="I381" s="2"/>
      <c r="J381" s="2"/>
      <c r="K381" s="2"/>
      <c r="L381" s="2"/>
      <c r="M381" s="2"/>
      <c r="N381" s="2"/>
      <c r="O381" s="2"/>
      <c r="P381" s="2"/>
      <c r="Q381" s="2"/>
      <c r="R381" s="2"/>
    </row>
    <row r="382" spans="1:18" x14ac:dyDescent="0.25">
      <c r="A382" s="2"/>
      <c r="B382" s="2"/>
      <c r="C382" s="2"/>
      <c r="D382" s="2"/>
      <c r="E382" s="2"/>
      <c r="F382" s="2"/>
      <c r="G382" s="2"/>
      <c r="H382" s="2"/>
      <c r="I382" s="2"/>
      <c r="J382" s="2"/>
      <c r="K382" s="2"/>
      <c r="L382" s="2"/>
      <c r="M382" s="2"/>
      <c r="N382" s="2"/>
      <c r="O382" s="2"/>
      <c r="P382" s="2"/>
      <c r="Q382" s="2"/>
      <c r="R382" s="2"/>
    </row>
  </sheetData>
  <autoFilter ref="A2:R203"/>
  <pageMargins left="0.70866141732283472" right="0.70866141732283472" top="0.74803149606299213" bottom="0.74803149606299213" header="0.31496062992125984" footer="0.31496062992125984"/>
  <pageSetup paperSize="9" orientation="landscape"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opLeftCell="A3" workbookViewId="0">
      <selection activeCell="C7" sqref="C7"/>
    </sheetView>
  </sheetViews>
  <sheetFormatPr baseColWidth="10"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M40"/>
  <sheetViews>
    <sheetView topLeftCell="A4" workbookViewId="0">
      <selection activeCell="C31" sqref="C31"/>
    </sheetView>
  </sheetViews>
  <sheetFormatPr baseColWidth="10" defaultRowHeight="15" x14ac:dyDescent="0.25"/>
  <cols>
    <col min="2" max="2" width="18.85546875" customWidth="1"/>
    <col min="5" max="5" width="16.28515625" customWidth="1"/>
  </cols>
  <sheetData>
    <row r="3" spans="2:8" ht="18.75" x14ac:dyDescent="0.3">
      <c r="B3" s="5" t="s">
        <v>18</v>
      </c>
      <c r="C3" s="1"/>
      <c r="D3" s="1"/>
      <c r="E3" s="6"/>
      <c r="F3" s="1"/>
      <c r="G3" s="1"/>
      <c r="H3" s="1"/>
    </row>
    <row r="4" spans="2:8" x14ac:dyDescent="0.25">
      <c r="B4" s="1"/>
      <c r="C4" s="1"/>
      <c r="D4" s="1"/>
      <c r="E4" s="6"/>
      <c r="F4" s="1"/>
      <c r="G4" s="1"/>
      <c r="H4" s="1"/>
    </row>
    <row r="5" spans="2:8" ht="45" x14ac:dyDescent="0.25">
      <c r="B5" s="7" t="s">
        <v>19</v>
      </c>
      <c r="C5" s="8" t="s">
        <v>20</v>
      </c>
      <c r="D5" s="7" t="s">
        <v>21</v>
      </c>
      <c r="E5" s="18" t="s">
        <v>22</v>
      </c>
      <c r="F5" s="19" t="s">
        <v>67</v>
      </c>
      <c r="G5" s="1"/>
      <c r="H5" s="1"/>
    </row>
    <row r="6" spans="2:8" x14ac:dyDescent="0.25">
      <c r="B6" s="2" t="s">
        <v>23</v>
      </c>
      <c r="C6" s="2">
        <v>0</v>
      </c>
      <c r="D6" s="2">
        <v>234</v>
      </c>
      <c r="E6" s="9">
        <f t="shared" ref="E6:E40" si="0">+D6-C6</f>
        <v>234</v>
      </c>
      <c r="F6" s="20"/>
      <c r="G6" s="1"/>
      <c r="H6" s="1"/>
    </row>
    <row r="7" spans="2:8" x14ac:dyDescent="0.25">
      <c r="B7" s="2" t="s">
        <v>24</v>
      </c>
      <c r="C7" s="2">
        <v>51760</v>
      </c>
      <c r="D7" s="2">
        <v>52283</v>
      </c>
      <c r="E7" s="9">
        <f t="shared" si="0"/>
        <v>523</v>
      </c>
      <c r="F7" s="20"/>
      <c r="G7" s="1"/>
      <c r="H7" s="1"/>
    </row>
    <row r="8" spans="2:8" x14ac:dyDescent="0.25">
      <c r="B8" s="2" t="s">
        <v>74</v>
      </c>
      <c r="C8" s="2">
        <v>4410</v>
      </c>
      <c r="D8" s="2">
        <v>4916</v>
      </c>
      <c r="E8" s="9">
        <f t="shared" si="0"/>
        <v>506</v>
      </c>
      <c r="F8" s="20"/>
      <c r="G8" s="1"/>
      <c r="H8" s="1"/>
    </row>
    <row r="9" spans="2:8" x14ac:dyDescent="0.25">
      <c r="B9" s="2" t="s">
        <v>139</v>
      </c>
      <c r="C9" s="2">
        <v>9418</v>
      </c>
      <c r="D9" s="2">
        <v>11461</v>
      </c>
      <c r="E9" s="9">
        <f t="shared" si="0"/>
        <v>2043</v>
      </c>
      <c r="F9" s="20"/>
      <c r="G9" s="1"/>
      <c r="H9" s="1"/>
    </row>
    <row r="10" spans="2:8" x14ac:dyDescent="0.25">
      <c r="B10" s="2" t="s">
        <v>25</v>
      </c>
      <c r="C10" s="2">
        <v>11720</v>
      </c>
      <c r="D10" s="2">
        <v>12473</v>
      </c>
      <c r="E10" s="9">
        <f t="shared" si="0"/>
        <v>753</v>
      </c>
      <c r="F10" s="20"/>
      <c r="G10" s="1"/>
      <c r="H10" s="1"/>
    </row>
    <row r="11" spans="2:8" x14ac:dyDescent="0.25">
      <c r="B11" s="2" t="s">
        <v>26</v>
      </c>
      <c r="C11" s="2">
        <v>20836</v>
      </c>
      <c r="D11" s="2">
        <v>20836</v>
      </c>
      <c r="E11" s="9">
        <f t="shared" si="0"/>
        <v>0</v>
      </c>
      <c r="F11" s="20"/>
      <c r="G11" s="1"/>
      <c r="H11" s="1"/>
    </row>
    <row r="12" spans="2:8" x14ac:dyDescent="0.25">
      <c r="B12" s="2" t="s">
        <v>27</v>
      </c>
      <c r="C12" s="2"/>
      <c r="D12" s="2"/>
      <c r="E12" s="9">
        <f t="shared" si="0"/>
        <v>0</v>
      </c>
      <c r="F12" s="20"/>
      <c r="G12" s="1"/>
      <c r="H12" s="1"/>
    </row>
    <row r="13" spans="2:8" x14ac:dyDescent="0.25">
      <c r="B13" s="2" t="s">
        <v>28</v>
      </c>
      <c r="C13" s="2"/>
      <c r="D13" s="2"/>
      <c r="E13" s="9">
        <f t="shared" si="0"/>
        <v>0</v>
      </c>
      <c r="F13" s="20"/>
      <c r="G13" s="1"/>
      <c r="H13" s="1"/>
    </row>
    <row r="14" spans="2:8" x14ac:dyDescent="0.25">
      <c r="B14" s="2" t="s">
        <v>29</v>
      </c>
      <c r="C14" s="2">
        <v>10948</v>
      </c>
      <c r="D14" s="2">
        <v>14082</v>
      </c>
      <c r="E14" s="9">
        <f t="shared" si="0"/>
        <v>3134</v>
      </c>
      <c r="F14" s="20"/>
      <c r="G14" s="1"/>
      <c r="H14" s="1"/>
    </row>
    <row r="15" spans="2:8" x14ac:dyDescent="0.25">
      <c r="B15" s="2" t="s">
        <v>30</v>
      </c>
      <c r="C15" s="10">
        <v>35710</v>
      </c>
      <c r="D15" s="2">
        <v>40715</v>
      </c>
      <c r="E15" s="9">
        <f t="shared" si="0"/>
        <v>5005</v>
      </c>
      <c r="F15" s="20">
        <v>55000</v>
      </c>
      <c r="G15" s="1"/>
      <c r="H15" s="1"/>
    </row>
    <row r="16" spans="2:8" x14ac:dyDescent="0.25">
      <c r="B16" s="2" t="s">
        <v>31</v>
      </c>
      <c r="C16" s="2"/>
      <c r="D16" s="2"/>
      <c r="E16" s="9">
        <f t="shared" si="0"/>
        <v>0</v>
      </c>
      <c r="F16" s="20"/>
      <c r="G16" s="6"/>
      <c r="H16" s="1"/>
    </row>
    <row r="17" spans="2:13" x14ac:dyDescent="0.25">
      <c r="B17" s="2" t="s">
        <v>32</v>
      </c>
      <c r="C17" s="2"/>
      <c r="D17" s="2"/>
      <c r="E17" s="9">
        <f t="shared" si="0"/>
        <v>0</v>
      </c>
      <c r="F17" s="20"/>
      <c r="G17" s="6"/>
      <c r="H17" s="1"/>
    </row>
    <row r="18" spans="2:13" x14ac:dyDescent="0.25">
      <c r="B18" s="2" t="s">
        <v>33</v>
      </c>
      <c r="C18" s="10">
        <v>43249</v>
      </c>
      <c r="D18" s="2">
        <v>47334</v>
      </c>
      <c r="E18" s="9">
        <f t="shared" si="0"/>
        <v>4085</v>
      </c>
      <c r="F18" s="20">
        <v>66303</v>
      </c>
      <c r="G18" s="1"/>
      <c r="H18" s="1"/>
      <c r="L18" t="s">
        <v>634</v>
      </c>
      <c r="M18">
        <f>16*1.3</f>
        <v>20.8</v>
      </c>
    </row>
    <row r="19" spans="2:13" x14ac:dyDescent="0.25">
      <c r="B19" s="2" t="s">
        <v>34</v>
      </c>
      <c r="C19" s="10">
        <v>99224</v>
      </c>
      <c r="D19" s="2">
        <v>102528</v>
      </c>
      <c r="E19" s="9">
        <f t="shared" si="0"/>
        <v>3304</v>
      </c>
      <c r="F19" s="20">
        <v>122939</v>
      </c>
      <c r="G19" s="1"/>
      <c r="H19" s="1"/>
      <c r="L19" t="s">
        <v>635</v>
      </c>
    </row>
    <row r="20" spans="2:13" x14ac:dyDescent="0.25">
      <c r="B20" s="2" t="s">
        <v>35</v>
      </c>
      <c r="C20" s="10">
        <v>17312</v>
      </c>
      <c r="D20" s="2">
        <v>19764</v>
      </c>
      <c r="E20" s="9">
        <f t="shared" si="0"/>
        <v>2452</v>
      </c>
      <c r="F20" s="20">
        <v>60811</v>
      </c>
      <c r="G20" s="1"/>
      <c r="H20" s="1"/>
      <c r="L20" t="s">
        <v>636</v>
      </c>
      <c r="M20">
        <v>25</v>
      </c>
    </row>
    <row r="21" spans="2:13" x14ac:dyDescent="0.25">
      <c r="B21" s="2" t="s">
        <v>36</v>
      </c>
      <c r="C21" s="2">
        <v>36577</v>
      </c>
      <c r="D21" s="2">
        <v>40587</v>
      </c>
      <c r="E21" s="9">
        <f t="shared" si="0"/>
        <v>4010</v>
      </c>
      <c r="F21" s="20">
        <v>60386</v>
      </c>
      <c r="G21" s="1"/>
      <c r="H21" s="1"/>
    </row>
    <row r="22" spans="2:13" x14ac:dyDescent="0.25">
      <c r="B22" s="2" t="s">
        <v>37</v>
      </c>
      <c r="C22" s="10">
        <v>71674</v>
      </c>
      <c r="D22" s="2">
        <v>72566</v>
      </c>
      <c r="E22" s="9">
        <f t="shared" si="0"/>
        <v>892</v>
      </c>
      <c r="F22" s="20">
        <v>67762</v>
      </c>
      <c r="G22" s="1"/>
      <c r="H22" s="1"/>
    </row>
    <row r="23" spans="2:13" x14ac:dyDescent="0.25">
      <c r="B23" s="2" t="s">
        <v>38</v>
      </c>
      <c r="C23" s="2">
        <v>81431</v>
      </c>
      <c r="D23" s="2">
        <v>84929</v>
      </c>
      <c r="E23" s="9">
        <f t="shared" si="0"/>
        <v>3498</v>
      </c>
      <c r="F23" s="20">
        <v>131000</v>
      </c>
      <c r="G23" s="1"/>
      <c r="H23" s="1"/>
      <c r="L23">
        <f>75*1.4</f>
        <v>105</v>
      </c>
    </row>
    <row r="24" spans="2:13" x14ac:dyDescent="0.25">
      <c r="B24" s="2" t="s">
        <v>39</v>
      </c>
      <c r="C24" s="2">
        <v>68899</v>
      </c>
      <c r="D24" s="2">
        <v>72540</v>
      </c>
      <c r="E24" s="9">
        <f t="shared" si="0"/>
        <v>3641</v>
      </c>
      <c r="F24" s="20">
        <v>97161</v>
      </c>
      <c r="G24" s="1"/>
      <c r="H24" s="1"/>
    </row>
    <row r="25" spans="2:13" x14ac:dyDescent="0.25">
      <c r="B25" s="2" t="s">
        <v>40</v>
      </c>
      <c r="C25" s="10">
        <v>84938</v>
      </c>
      <c r="D25" s="2">
        <v>86428</v>
      </c>
      <c r="E25" s="9">
        <f t="shared" si="0"/>
        <v>1490</v>
      </c>
      <c r="F25" s="20">
        <v>122093</v>
      </c>
      <c r="G25" s="1"/>
      <c r="H25" s="1"/>
    </row>
    <row r="26" spans="2:13" x14ac:dyDescent="0.25">
      <c r="B26" s="2" t="s">
        <v>41</v>
      </c>
      <c r="C26" s="2" t="s">
        <v>68</v>
      </c>
      <c r="D26" s="2"/>
      <c r="E26" s="9" t="e">
        <f t="shared" si="0"/>
        <v>#VALUE!</v>
      </c>
      <c r="F26" s="20"/>
      <c r="G26" s="1"/>
      <c r="H26" s="1"/>
    </row>
    <row r="27" spans="2:13" x14ac:dyDescent="0.25">
      <c r="B27" s="2" t="s">
        <v>42</v>
      </c>
      <c r="C27" s="2">
        <v>183175</v>
      </c>
      <c r="D27" s="2">
        <v>186223</v>
      </c>
      <c r="E27" s="9">
        <f t="shared" si="0"/>
        <v>3048</v>
      </c>
      <c r="F27" s="20">
        <v>190983</v>
      </c>
      <c r="G27" s="1"/>
      <c r="H27" s="1"/>
    </row>
    <row r="28" spans="2:13" x14ac:dyDescent="0.25">
      <c r="B28" s="2" t="s">
        <v>43</v>
      </c>
      <c r="C28" s="2">
        <v>233539</v>
      </c>
      <c r="D28" s="2"/>
      <c r="E28" s="9">
        <f t="shared" si="0"/>
        <v>-233539</v>
      </c>
      <c r="F28" s="20"/>
      <c r="G28" s="1"/>
      <c r="H28" s="1"/>
    </row>
    <row r="29" spans="2:13" x14ac:dyDescent="0.25">
      <c r="B29" s="2" t="s">
        <v>44</v>
      </c>
      <c r="C29" s="2"/>
      <c r="D29" s="2"/>
      <c r="E29" s="9">
        <f t="shared" si="0"/>
        <v>0</v>
      </c>
      <c r="F29" s="20"/>
      <c r="G29" s="1"/>
      <c r="H29" s="1"/>
    </row>
    <row r="30" spans="2:13" x14ac:dyDescent="0.25">
      <c r="B30" s="2" t="s">
        <v>45</v>
      </c>
      <c r="C30" s="2">
        <v>331655</v>
      </c>
      <c r="D30" s="2">
        <v>332671</v>
      </c>
      <c r="E30" s="9">
        <f t="shared" si="0"/>
        <v>1016</v>
      </c>
      <c r="F30" s="20"/>
      <c r="G30" s="1"/>
      <c r="H30" s="1"/>
    </row>
    <row r="31" spans="2:13" x14ac:dyDescent="0.25">
      <c r="B31" s="2" t="s">
        <v>46</v>
      </c>
      <c r="C31" s="2">
        <v>7934</v>
      </c>
      <c r="D31" s="2"/>
      <c r="E31" s="9">
        <f t="shared" si="0"/>
        <v>-7934</v>
      </c>
      <c r="F31" s="20"/>
      <c r="G31" s="1"/>
      <c r="H31" s="1"/>
    </row>
    <row r="32" spans="2:13" x14ac:dyDescent="0.25">
      <c r="B32" s="2" t="s">
        <v>47</v>
      </c>
      <c r="C32" s="2">
        <v>127588</v>
      </c>
      <c r="D32" s="2">
        <v>127588</v>
      </c>
      <c r="E32" s="9">
        <f t="shared" si="0"/>
        <v>0</v>
      </c>
      <c r="F32" s="20">
        <v>182588</v>
      </c>
      <c r="G32" s="1"/>
      <c r="H32" s="1"/>
    </row>
    <row r="33" spans="2:10" x14ac:dyDescent="0.25">
      <c r="B33" s="2" t="s">
        <v>48</v>
      </c>
      <c r="C33" s="2">
        <v>4672</v>
      </c>
      <c r="D33" s="2">
        <v>4870</v>
      </c>
      <c r="E33" s="9">
        <f t="shared" si="0"/>
        <v>198</v>
      </c>
      <c r="F33" s="20">
        <v>6000</v>
      </c>
      <c r="G33" s="1"/>
      <c r="H33" s="1"/>
    </row>
    <row r="34" spans="2:10" x14ac:dyDescent="0.25">
      <c r="B34" s="2" t="s">
        <v>50</v>
      </c>
      <c r="C34" s="2">
        <v>18037</v>
      </c>
      <c r="D34" s="2">
        <v>18248</v>
      </c>
      <c r="E34" s="9">
        <f t="shared" si="0"/>
        <v>211</v>
      </c>
      <c r="F34" s="20" t="s">
        <v>49</v>
      </c>
      <c r="G34" s="1"/>
      <c r="H34" s="1"/>
    </row>
    <row r="35" spans="2:10" x14ac:dyDescent="0.25">
      <c r="B35" s="2" t="s">
        <v>51</v>
      </c>
      <c r="C35" s="2">
        <v>88853</v>
      </c>
      <c r="D35" s="2">
        <v>88978</v>
      </c>
      <c r="E35" s="9">
        <f t="shared" si="0"/>
        <v>125</v>
      </c>
      <c r="F35" s="20" t="s">
        <v>49</v>
      </c>
      <c r="G35" s="1">
        <v>13912</v>
      </c>
      <c r="H35" s="24">
        <v>44123</v>
      </c>
      <c r="I35" t="s">
        <v>77</v>
      </c>
      <c r="J35" t="s">
        <v>78</v>
      </c>
    </row>
    <row r="36" spans="2:10" x14ac:dyDescent="0.25">
      <c r="B36" s="2" t="s">
        <v>52</v>
      </c>
      <c r="C36" s="2">
        <v>7657</v>
      </c>
      <c r="D36" s="2">
        <v>7657</v>
      </c>
      <c r="E36" s="9">
        <f t="shared" si="0"/>
        <v>0</v>
      </c>
      <c r="F36" s="20" t="s">
        <v>49</v>
      </c>
      <c r="G36" s="1"/>
      <c r="H36" s="1"/>
    </row>
    <row r="37" spans="2:10" x14ac:dyDescent="0.25">
      <c r="B37" s="2" t="s">
        <v>53</v>
      </c>
      <c r="C37" s="2">
        <v>7008</v>
      </c>
      <c r="D37" s="2">
        <v>7008</v>
      </c>
      <c r="E37" s="9">
        <f t="shared" si="0"/>
        <v>0</v>
      </c>
      <c r="F37" s="20" t="s">
        <v>49</v>
      </c>
      <c r="G37" s="1"/>
      <c r="H37" s="1"/>
    </row>
    <row r="38" spans="2:10" x14ac:dyDescent="0.25">
      <c r="B38" s="2" t="s">
        <v>54</v>
      </c>
      <c r="C38" s="2">
        <v>5260.4</v>
      </c>
      <c r="D38" s="2"/>
      <c r="E38" s="9">
        <f t="shared" si="0"/>
        <v>-5260.4</v>
      </c>
      <c r="F38" s="20" t="s">
        <v>49</v>
      </c>
      <c r="G38" s="1"/>
      <c r="H38" s="1"/>
    </row>
    <row r="39" spans="2:10" x14ac:dyDescent="0.25">
      <c r="B39" s="2" t="s">
        <v>438</v>
      </c>
      <c r="C39" s="2">
        <v>9688</v>
      </c>
      <c r="D39" s="2"/>
      <c r="E39" s="9">
        <f t="shared" si="0"/>
        <v>-9688</v>
      </c>
      <c r="F39" s="20" t="s">
        <v>49</v>
      </c>
      <c r="G39" s="1"/>
      <c r="H39" s="1"/>
    </row>
    <row r="40" spans="2:10" x14ac:dyDescent="0.25">
      <c r="B40" s="2"/>
      <c r="C40" s="2"/>
      <c r="D40" s="2"/>
      <c r="E40" s="9">
        <f t="shared" si="0"/>
        <v>0</v>
      </c>
      <c r="F40" s="20" t="s">
        <v>49</v>
      </c>
      <c r="G40" s="1"/>
      <c r="H40" s="1"/>
    </row>
  </sheetData>
  <conditionalFormatting sqref="E5">
    <cfRule type="colorScale" priority="13">
      <colorScale>
        <cfvo type="num" val="&quot;&gt;4000&quot;"/>
        <cfvo type="num" val="&quot;&lt;3999&quot;"/>
        <color rgb="FFF8696B"/>
        <color rgb="FF63BE7B"/>
      </colorScale>
    </cfRule>
    <cfRule type="colorScale" priority="14">
      <colorScale>
        <cfvo type="min"/>
        <cfvo type="percentile" val="50"/>
        <cfvo type="max"/>
        <color rgb="FFF8696B"/>
        <color rgb="FFFFEB84"/>
        <color rgb="FF63BE7B"/>
      </colorScale>
    </cfRule>
  </conditionalFormatting>
  <conditionalFormatting sqref="E3:E5">
    <cfRule type="colorScale" priority="12">
      <colorScale>
        <cfvo type="formula" val="($D$5-$C$5)&gt;3999"/>
        <cfvo type="formula" val="3998"/>
        <cfvo type="formula" val="2499"/>
        <color rgb="FF00B050"/>
        <color rgb="FFFFEB84"/>
        <color rgb="FFC00000"/>
      </colorScale>
    </cfRule>
  </conditionalFormatting>
  <conditionalFormatting sqref="E6:E40">
    <cfRule type="cellIs" dxfId="8" priority="9" operator="greaterThan">
      <formula>4200</formula>
    </cfRule>
    <cfRule type="colorScale" priority="10">
      <colorScale>
        <cfvo type="formula" val="($D$5-$C$5)&gt;4200"/>
        <cfvo type="percentile" val="50"/>
        <cfvo type="formula" val="($D$5-$C$5)&gt;2500"/>
        <color rgb="FFF8696B"/>
        <color rgb="FFFFEB84"/>
        <color rgb="FF63BE7B"/>
      </colorScale>
    </cfRule>
    <cfRule type="colorScale" priority="11">
      <colorScale>
        <cfvo type="num" val="&quot;0&lt;3000&quot;"/>
        <cfvo type="num" val="&quot;3500&gt;&quot;"/>
        <color rgb="FF00B050"/>
        <color rgb="FFFFEF9C"/>
      </colorScale>
    </cfRule>
  </conditionalFormatting>
  <conditionalFormatting sqref="E3:E40">
    <cfRule type="cellIs" dxfId="7" priority="7" operator="between">
      <formula>3000</formula>
      <formula>4450</formula>
    </cfRule>
    <cfRule type="cellIs" dxfId="6" priority="8" operator="between">
      <formula>3200</formula>
      <formula>4450</formula>
    </cfRule>
  </conditionalFormatting>
  <conditionalFormatting sqref="E32:E39">
    <cfRule type="cellIs" dxfId="5" priority="6" operator="greaterThan">
      <formula>230</formula>
    </cfRule>
  </conditionalFormatting>
  <conditionalFormatting sqref="E32:E40">
    <cfRule type="cellIs" dxfId="4" priority="4" operator="between">
      <formula>-80284</formula>
      <formula>-26673</formula>
    </cfRule>
    <cfRule type="cellIs" dxfId="3" priority="5" operator="between">
      <formula>0</formula>
      <formula>218</formula>
    </cfRule>
  </conditionalFormatting>
  <conditionalFormatting sqref="E32">
    <cfRule type="cellIs" dxfId="2" priority="1" operator="between">
      <formula>0</formula>
      <formula>2499</formula>
    </cfRule>
    <cfRule type="cellIs" dxfId="1" priority="2" operator="between">
      <formula>2500</formula>
      <formula>4150</formula>
    </cfRule>
    <cfRule type="cellIs" dxfId="0" priority="3" operator="greaterThan">
      <formula>4200</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3:J26"/>
  <sheetViews>
    <sheetView topLeftCell="A12" workbookViewId="0">
      <selection activeCell="F17" sqref="F17"/>
    </sheetView>
  </sheetViews>
  <sheetFormatPr baseColWidth="10" defaultRowHeight="15" x14ac:dyDescent="0.25"/>
  <cols>
    <col min="3" max="3" width="23.42578125" customWidth="1"/>
    <col min="4" max="4" width="17.28515625" customWidth="1"/>
    <col min="5" max="5" width="19.5703125" customWidth="1"/>
    <col min="6" max="6" width="45.28515625" customWidth="1"/>
    <col min="8" max="8" width="17.85546875" customWidth="1"/>
    <col min="10" max="10" width="33" customWidth="1"/>
  </cols>
  <sheetData>
    <row r="3" spans="2:10" x14ac:dyDescent="0.25">
      <c r="B3" s="11" t="s">
        <v>55</v>
      </c>
      <c r="C3" s="11" t="s">
        <v>56</v>
      </c>
      <c r="D3" s="11" t="s">
        <v>57</v>
      </c>
      <c r="E3" s="11" t="s">
        <v>58</v>
      </c>
      <c r="F3" s="11" t="s">
        <v>59</v>
      </c>
      <c r="G3" s="11" t="s">
        <v>60</v>
      </c>
      <c r="H3" s="11" t="s">
        <v>61</v>
      </c>
      <c r="I3" s="11" t="s">
        <v>62</v>
      </c>
      <c r="J3" s="12" t="s">
        <v>14</v>
      </c>
    </row>
    <row r="4" spans="2:10" x14ac:dyDescent="0.25">
      <c r="B4" s="2"/>
      <c r="C4" s="21">
        <v>8027</v>
      </c>
      <c r="D4" s="22">
        <v>44011</v>
      </c>
      <c r="E4" s="21" t="s">
        <v>66</v>
      </c>
      <c r="F4" s="21" t="s">
        <v>69</v>
      </c>
      <c r="G4" s="21">
        <v>183</v>
      </c>
      <c r="H4" s="11"/>
      <c r="I4" s="23">
        <v>63</v>
      </c>
      <c r="J4" s="2"/>
    </row>
    <row r="5" spans="2:10" x14ac:dyDescent="0.25">
      <c r="B5" s="2"/>
      <c r="C5" s="11">
        <v>8268</v>
      </c>
      <c r="D5" s="13">
        <v>44048</v>
      </c>
      <c r="E5" s="11" t="s">
        <v>70</v>
      </c>
      <c r="F5" s="11" t="s">
        <v>71</v>
      </c>
      <c r="G5" s="11">
        <v>9</v>
      </c>
      <c r="H5" s="11"/>
      <c r="I5" s="23">
        <v>26</v>
      </c>
      <c r="J5" s="2"/>
    </row>
    <row r="6" spans="2:10" s="1" customFormat="1" x14ac:dyDescent="0.25">
      <c r="B6" s="2"/>
      <c r="C6" s="11"/>
      <c r="D6" s="13">
        <v>44048</v>
      </c>
      <c r="E6" s="11" t="s">
        <v>72</v>
      </c>
      <c r="F6" s="11" t="s">
        <v>73</v>
      </c>
      <c r="G6" s="11">
        <v>18</v>
      </c>
      <c r="H6" s="11"/>
      <c r="I6" s="23">
        <v>26</v>
      </c>
      <c r="J6" s="2"/>
    </row>
    <row r="7" spans="2:10" x14ac:dyDescent="0.25">
      <c r="B7" s="2"/>
      <c r="C7" s="11">
        <v>8377</v>
      </c>
      <c r="D7" s="13">
        <v>44090</v>
      </c>
      <c r="E7" s="11" t="s">
        <v>66</v>
      </c>
      <c r="F7" s="11" t="s">
        <v>75</v>
      </c>
      <c r="G7" s="11">
        <v>99</v>
      </c>
      <c r="H7" s="11"/>
      <c r="I7" s="2"/>
      <c r="J7" s="2"/>
    </row>
    <row r="8" spans="2:10" x14ac:dyDescent="0.25">
      <c r="B8" s="2"/>
      <c r="C8" s="11">
        <v>8508</v>
      </c>
      <c r="D8" s="13">
        <v>44105</v>
      </c>
      <c r="E8" s="11" t="s">
        <v>64</v>
      </c>
      <c r="F8" s="11" t="s">
        <v>76</v>
      </c>
      <c r="G8" s="11">
        <v>1</v>
      </c>
      <c r="H8" s="11"/>
      <c r="I8" s="11"/>
      <c r="J8" s="2"/>
    </row>
    <row r="9" spans="2:10" x14ac:dyDescent="0.25">
      <c r="B9" s="2"/>
      <c r="C9" s="11">
        <v>8647</v>
      </c>
      <c r="D9" s="13">
        <v>44162</v>
      </c>
      <c r="E9" s="11" t="s">
        <v>30</v>
      </c>
      <c r="F9" s="11" t="s">
        <v>79</v>
      </c>
      <c r="G9" s="11">
        <v>170</v>
      </c>
      <c r="H9" s="11"/>
      <c r="I9" s="11"/>
      <c r="J9" s="2"/>
    </row>
    <row r="10" spans="2:10" x14ac:dyDescent="0.25">
      <c r="B10" s="2"/>
      <c r="C10" s="11">
        <v>8753</v>
      </c>
      <c r="D10" s="13">
        <v>44172</v>
      </c>
      <c r="E10" s="11" t="s">
        <v>37</v>
      </c>
      <c r="F10" s="11" t="s">
        <v>80</v>
      </c>
      <c r="G10" s="11">
        <v>35</v>
      </c>
      <c r="H10" s="13"/>
      <c r="I10" s="23">
        <v>55</v>
      </c>
      <c r="J10" s="2"/>
    </row>
    <row r="11" spans="2:10" x14ac:dyDescent="0.25">
      <c r="B11" s="2"/>
      <c r="C11" s="11">
        <v>8777</v>
      </c>
      <c r="D11" s="13">
        <v>44200</v>
      </c>
      <c r="E11" s="11" t="s">
        <v>63</v>
      </c>
      <c r="F11" s="11" t="s">
        <v>81</v>
      </c>
      <c r="G11" s="11">
        <v>16</v>
      </c>
      <c r="H11" s="11"/>
      <c r="I11" s="23">
        <v>27</v>
      </c>
      <c r="J11" s="2"/>
    </row>
    <row r="12" spans="2:10" x14ac:dyDescent="0.25">
      <c r="B12" s="11"/>
      <c r="C12" s="11">
        <v>9534</v>
      </c>
      <c r="D12" s="13">
        <v>44266</v>
      </c>
      <c r="E12" s="11" t="s">
        <v>25</v>
      </c>
      <c r="F12" s="11" t="s">
        <v>473</v>
      </c>
      <c r="G12" s="11">
        <v>96</v>
      </c>
      <c r="H12" s="11"/>
      <c r="I12" s="11">
        <v>20</v>
      </c>
      <c r="J12" s="2"/>
    </row>
    <row r="13" spans="2:10" x14ac:dyDescent="0.25">
      <c r="B13" s="11"/>
      <c r="C13" s="11">
        <v>9537</v>
      </c>
      <c r="D13" s="13">
        <v>44266</v>
      </c>
      <c r="E13" s="11" t="s">
        <v>474</v>
      </c>
      <c r="F13" s="11" t="s">
        <v>475</v>
      </c>
      <c r="G13" s="11">
        <v>107</v>
      </c>
      <c r="H13" s="11"/>
      <c r="I13" s="11">
        <v>20</v>
      </c>
      <c r="J13" s="2"/>
    </row>
    <row r="14" spans="2:10" x14ac:dyDescent="0.25">
      <c r="B14" s="11"/>
      <c r="C14" s="11">
        <v>9538</v>
      </c>
      <c r="D14" s="13">
        <v>44266</v>
      </c>
      <c r="E14" s="11" t="s">
        <v>148</v>
      </c>
      <c r="F14" s="11" t="s">
        <v>476</v>
      </c>
      <c r="G14" s="11">
        <v>108</v>
      </c>
      <c r="H14" s="11"/>
      <c r="I14" s="11">
        <v>20</v>
      </c>
      <c r="J14" s="2"/>
    </row>
    <row r="15" spans="2:10" x14ac:dyDescent="0.25">
      <c r="B15" s="2"/>
      <c r="C15" s="11"/>
      <c r="D15" s="13">
        <v>44271</v>
      </c>
      <c r="E15" s="11" t="s">
        <v>352</v>
      </c>
      <c r="F15" s="11" t="s">
        <v>527</v>
      </c>
      <c r="G15" s="11">
        <v>155</v>
      </c>
      <c r="H15" s="2"/>
      <c r="I15" s="11">
        <v>15</v>
      </c>
      <c r="J15" s="2"/>
    </row>
    <row r="16" spans="2:10" x14ac:dyDescent="0.25">
      <c r="B16" s="2"/>
      <c r="C16" s="11">
        <v>9201</v>
      </c>
      <c r="D16" s="13">
        <v>44273</v>
      </c>
      <c r="E16" s="11" t="s">
        <v>30</v>
      </c>
      <c r="F16" s="11" t="s">
        <v>526</v>
      </c>
      <c r="G16" s="11">
        <v>178</v>
      </c>
      <c r="H16" s="2"/>
      <c r="I16" s="11">
        <v>12</v>
      </c>
      <c r="J16" s="2"/>
    </row>
    <row r="17" spans="2:10" ht="45" x14ac:dyDescent="0.25">
      <c r="B17" s="2"/>
      <c r="C17" s="11">
        <v>9202</v>
      </c>
      <c r="D17" s="13">
        <v>44273</v>
      </c>
      <c r="E17" s="11" t="s">
        <v>31</v>
      </c>
      <c r="F17" s="25" t="s">
        <v>528</v>
      </c>
      <c r="G17" s="11">
        <v>179</v>
      </c>
      <c r="H17" s="11"/>
      <c r="I17" s="11">
        <v>12</v>
      </c>
      <c r="J17" s="2"/>
    </row>
    <row r="18" spans="2:10" x14ac:dyDescent="0.25">
      <c r="B18" s="2"/>
      <c r="C18" s="11"/>
      <c r="D18" s="13">
        <v>44284</v>
      </c>
      <c r="E18" s="11" t="s">
        <v>53</v>
      </c>
      <c r="F18" s="11" t="s">
        <v>616</v>
      </c>
      <c r="G18" s="11">
        <v>284</v>
      </c>
      <c r="H18" s="11"/>
      <c r="I18" s="11">
        <v>2</v>
      </c>
      <c r="J18" s="2" t="s">
        <v>617</v>
      </c>
    </row>
    <row r="19" spans="2:10" x14ac:dyDescent="0.25">
      <c r="B19" s="2"/>
      <c r="C19" s="11">
        <v>9225</v>
      </c>
      <c r="D19" s="13">
        <v>44291</v>
      </c>
      <c r="E19" s="11" t="s">
        <v>43</v>
      </c>
      <c r="F19" s="11" t="s">
        <v>656</v>
      </c>
      <c r="G19" s="11">
        <v>8</v>
      </c>
      <c r="H19" s="11" t="s">
        <v>659</v>
      </c>
      <c r="I19" s="11"/>
      <c r="J19" s="2"/>
    </row>
    <row r="20" spans="2:10" x14ac:dyDescent="0.25">
      <c r="B20" s="2"/>
      <c r="C20" s="11">
        <v>9226</v>
      </c>
      <c r="D20" s="13">
        <v>44291</v>
      </c>
      <c r="E20" s="11" t="s">
        <v>37</v>
      </c>
      <c r="F20" s="11" t="s">
        <v>657</v>
      </c>
      <c r="G20" s="11">
        <v>16</v>
      </c>
      <c r="H20" s="11"/>
      <c r="I20" s="11"/>
      <c r="J20" s="2"/>
    </row>
    <row r="21" spans="2:10" x14ac:dyDescent="0.25">
      <c r="B21" s="2"/>
      <c r="C21" s="11">
        <v>9227</v>
      </c>
      <c r="D21" s="13">
        <v>44291</v>
      </c>
      <c r="E21" s="11" t="s">
        <v>33</v>
      </c>
      <c r="F21" s="11" t="s">
        <v>658</v>
      </c>
      <c r="G21" s="11">
        <v>18</v>
      </c>
      <c r="H21" s="11"/>
      <c r="I21" s="11"/>
      <c r="J21" s="2"/>
    </row>
    <row r="22" spans="2:10" s="1" customFormat="1" x14ac:dyDescent="0.25">
      <c r="B22" s="2"/>
      <c r="C22" s="11">
        <v>9237</v>
      </c>
      <c r="D22" s="13">
        <v>44211</v>
      </c>
      <c r="E22" s="11" t="s">
        <v>582</v>
      </c>
      <c r="F22" s="11" t="s">
        <v>718</v>
      </c>
      <c r="G22" s="11">
        <v>132</v>
      </c>
      <c r="H22" s="11"/>
      <c r="I22" s="11"/>
      <c r="J22" s="2"/>
    </row>
    <row r="23" spans="2:10" x14ac:dyDescent="0.25">
      <c r="B23" s="2"/>
      <c r="C23" s="11">
        <v>9239</v>
      </c>
      <c r="D23" s="13">
        <v>44305</v>
      </c>
      <c r="E23" s="11" t="s">
        <v>148</v>
      </c>
      <c r="F23" s="11" t="s">
        <v>717</v>
      </c>
      <c r="G23" s="11">
        <v>160</v>
      </c>
      <c r="H23" s="11"/>
      <c r="I23" s="11"/>
      <c r="J23" s="2"/>
    </row>
    <row r="24" spans="2:10" x14ac:dyDescent="0.25">
      <c r="B24" s="2"/>
      <c r="C24" s="11"/>
      <c r="D24" s="11"/>
      <c r="E24" s="11"/>
      <c r="F24" s="11"/>
      <c r="G24" s="11"/>
      <c r="H24" s="11"/>
      <c r="I24" s="11"/>
      <c r="J24" s="2"/>
    </row>
    <row r="25" spans="2:10" x14ac:dyDescent="0.25">
      <c r="B25" s="2"/>
      <c r="C25" s="11"/>
      <c r="D25" s="11"/>
      <c r="E25" s="11"/>
      <c r="F25" s="11"/>
      <c r="G25" s="11"/>
      <c r="H25" s="11"/>
      <c r="I25" s="11"/>
      <c r="J25" s="2"/>
    </row>
    <row r="26" spans="2:10" x14ac:dyDescent="0.25">
      <c r="B26" s="2"/>
      <c r="C26" s="2"/>
      <c r="D26" s="2"/>
      <c r="E26" s="2"/>
      <c r="F26" s="2"/>
      <c r="G26" s="2"/>
      <c r="H26" s="2"/>
      <c r="I26" s="2"/>
      <c r="J26" s="2"/>
    </row>
  </sheetData>
  <autoFilter ref="B3:J3"/>
  <pageMargins left="0.70866141732283472" right="0.70866141732283472" top="0.74803149606299213" bottom="0.74803149606299213" header="0.31496062992125984" footer="0.31496062992125984"/>
  <pageSetup paperSize="9" scale="69" orientation="landscape"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E13" sqref="E13"/>
    </sheetView>
  </sheetViews>
  <sheetFormatPr baseColWidth="10"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1</vt:i4>
      </vt:variant>
    </vt:vector>
  </HeadingPairs>
  <TitlesOfParts>
    <vt:vector size="6" baseType="lpstr">
      <vt:lpstr>ORDETRAB</vt:lpstr>
      <vt:lpstr>Hoja1</vt:lpstr>
      <vt:lpstr>CAMACEITE</vt:lpstr>
      <vt:lpstr>REQUI</vt:lpstr>
      <vt:lpstr>ALINEACION</vt:lpstr>
      <vt:lpstr>REQUI!Área_de_impresión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David Criollo</cp:lastModifiedBy>
  <cp:lastPrinted>2021-03-24T19:16:23Z</cp:lastPrinted>
  <dcterms:created xsi:type="dcterms:W3CDTF">2019-12-04T15:06:16Z</dcterms:created>
  <dcterms:modified xsi:type="dcterms:W3CDTF">2021-04-20T21:20:07Z</dcterms:modified>
</cp:coreProperties>
</file>