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os\Reportes\2021\Choferes\"/>
    </mc:Choice>
  </mc:AlternateContent>
  <bookViews>
    <workbookView xWindow="570" yWindow="360" windowWidth="15585" windowHeight="4785" activeTab="4"/>
  </bookViews>
  <sheets>
    <sheet name="Viajes y Cargas" sheetId="2" r:id="rId1"/>
    <sheet name="BITACORA" sheetId="3" r:id="rId2"/>
    <sheet name="Camiones" sheetId="6" r:id="rId3"/>
    <sheet name="Cargas por remolque" sheetId="5" r:id="rId4"/>
    <sheet name="Rendimiento Choferes" sheetId="7" r:id="rId5"/>
    <sheet name="Hoja1" sheetId="8" r:id="rId6"/>
  </sheets>
  <definedNames>
    <definedName name="_xlnm._FilterDatabase" localSheetId="1" hidden="1">BITACORA!$A$3:$I$921</definedName>
    <definedName name="_xlnm.Print_Area" localSheetId="4">'Rendimiento Choferes'!$A$2:$I$101</definedName>
    <definedName name="_xlnm.Print_Area" localSheetId="0">'Viajes y Cargas'!#REF!</definedName>
  </definedNames>
  <calcPr calcId="152511"/>
</workbook>
</file>

<file path=xl/calcChain.xml><?xml version="1.0" encoding="utf-8"?>
<calcChain xmlns="http://schemas.openxmlformats.org/spreadsheetml/2006/main">
  <c r="E41" i="7" l="1"/>
  <c r="E40" i="7"/>
  <c r="E92" i="7" l="1"/>
  <c r="G92" i="7"/>
  <c r="H92" i="7" s="1"/>
  <c r="I92" i="7" s="1"/>
  <c r="E88" i="7"/>
  <c r="E87" i="7"/>
  <c r="E83" i="7" l="1"/>
  <c r="E82" i="7"/>
  <c r="E81" i="7"/>
  <c r="G81" i="7"/>
  <c r="H81" i="7" s="1"/>
  <c r="I81" i="7" s="1"/>
  <c r="E80" i="7"/>
  <c r="G80" i="7"/>
  <c r="E79" i="7"/>
  <c r="G79" i="7"/>
  <c r="H79" i="7" s="1"/>
  <c r="I79" i="7" s="1"/>
  <c r="E78" i="7"/>
  <c r="E70" i="7"/>
  <c r="E69" i="7"/>
  <c r="E71" i="7"/>
  <c r="E64" i="7"/>
  <c r="E63" i="7"/>
  <c r="G63" i="7"/>
  <c r="E62" i="7"/>
  <c r="E65" i="7"/>
  <c r="E57" i="7"/>
  <c r="E56" i="7"/>
  <c r="G56" i="7"/>
  <c r="H56" i="7" s="1"/>
  <c r="I56" i="7" s="1"/>
  <c r="E55" i="7"/>
  <c r="E58" i="7"/>
  <c r="H63" i="7" l="1"/>
  <c r="I63" i="7" s="1"/>
  <c r="H80" i="7"/>
  <c r="I80" i="7" s="1"/>
  <c r="E48" i="7"/>
  <c r="G48" i="7"/>
  <c r="E49" i="7"/>
  <c r="E51" i="7"/>
  <c r="G50" i="7"/>
  <c r="E50" i="7"/>
  <c r="E47" i="7"/>
  <c r="G47" i="7"/>
  <c r="E46" i="7"/>
  <c r="E42" i="7"/>
  <c r="E36" i="7"/>
  <c r="G36" i="7"/>
  <c r="E35" i="7"/>
  <c r="G35" i="7"/>
  <c r="E34" i="7"/>
  <c r="E30" i="7"/>
  <c r="E28" i="7"/>
  <c r="G28" i="7"/>
  <c r="G27" i="7"/>
  <c r="E27" i="7"/>
  <c r="E29" i="7"/>
  <c r="E26" i="7"/>
  <c r="E25" i="7"/>
  <c r="E21" i="7"/>
  <c r="E15" i="7"/>
  <c r="E16" i="7"/>
  <c r="E17" i="7"/>
  <c r="E11" i="7"/>
  <c r="H36" i="7" l="1"/>
  <c r="I36" i="7" s="1"/>
  <c r="H48" i="7"/>
  <c r="I48" i="7" s="1"/>
  <c r="H28" i="7"/>
  <c r="I28" i="7" s="1"/>
  <c r="H50" i="7"/>
  <c r="I50" i="7" s="1"/>
  <c r="H35" i="7"/>
  <c r="I35" i="7" s="1"/>
  <c r="H47" i="7"/>
  <c r="I47" i="7" s="1"/>
  <c r="H27" i="7"/>
  <c r="I27" i="7" s="1"/>
  <c r="E9" i="7"/>
  <c r="E10" i="7"/>
  <c r="E8" i="7"/>
  <c r="E7" i="7"/>
  <c r="E6" i="7"/>
  <c r="B30" i="6"/>
  <c r="B16" i="6"/>
  <c r="B9" i="6"/>
  <c r="B3" i="6"/>
  <c r="D183" i="5"/>
  <c r="D182" i="5"/>
  <c r="D181" i="5"/>
  <c r="D163" i="5"/>
  <c r="D162" i="5"/>
  <c r="D161" i="5"/>
  <c r="D160" i="5"/>
  <c r="D159" i="5"/>
  <c r="D158" i="5"/>
  <c r="D92" i="5" l="1"/>
  <c r="D91" i="5"/>
  <c r="D90" i="5"/>
  <c r="D89" i="5"/>
  <c r="D50" i="5"/>
  <c r="D49" i="5"/>
  <c r="D48" i="5"/>
  <c r="D27" i="5"/>
  <c r="D26" i="5"/>
  <c r="D25" i="5"/>
  <c r="D24" i="5"/>
  <c r="D23" i="5"/>
  <c r="D6" i="5"/>
  <c r="D5" i="5"/>
  <c r="D4" i="5"/>
  <c r="D3" i="5"/>
  <c r="C1028" i="3"/>
  <c r="C1027" i="3"/>
  <c r="C1026" i="3"/>
  <c r="C1025" i="3"/>
  <c r="C1024" i="3"/>
  <c r="C1023" i="3"/>
  <c r="C30" i="6" s="1"/>
  <c r="C1022" i="3"/>
  <c r="C1021" i="3"/>
  <c r="C1020" i="3"/>
  <c r="C16" i="6" s="1"/>
  <c r="C17" i="6" s="1"/>
  <c r="C1019" i="3"/>
  <c r="C9" i="6" s="1"/>
  <c r="C10" i="6" s="1"/>
  <c r="D9" i="6" s="1"/>
  <c r="C1018" i="3"/>
  <c r="C3" i="6" s="1"/>
  <c r="C1017" i="3"/>
  <c r="C1012" i="3"/>
  <c r="C1011" i="3"/>
  <c r="C1005" i="3"/>
  <c r="C1008" i="3"/>
  <c r="C1009" i="3"/>
  <c r="C1010" i="3"/>
  <c r="C1007" i="3"/>
  <c r="C1006" i="3"/>
  <c r="C1004" i="3"/>
  <c r="C1002" i="3"/>
  <c r="E182" i="5" s="1"/>
  <c r="H182" i="5" s="1"/>
  <c r="C1001" i="3"/>
  <c r="E181" i="5" s="1"/>
  <c r="H181" i="5" s="1"/>
  <c r="C1003" i="3"/>
  <c r="E183" i="5" s="1"/>
  <c r="H183" i="5" s="1"/>
  <c r="C997" i="3"/>
  <c r="E160" i="5" s="1"/>
  <c r="C998" i="3"/>
  <c r="E161" i="5" s="1"/>
  <c r="C999" i="3"/>
  <c r="E162" i="5" s="1"/>
  <c r="C994" i="3"/>
  <c r="C996" i="3"/>
  <c r="E159" i="5" s="1"/>
  <c r="C995" i="3"/>
  <c r="E158" i="5" s="1"/>
  <c r="H158" i="5" s="1"/>
  <c r="C1000" i="3"/>
  <c r="E163" i="5" s="1"/>
  <c r="H163" i="5" s="1"/>
  <c r="C990" i="3"/>
  <c r="C992" i="3"/>
  <c r="C991" i="3"/>
  <c r="C989" i="3"/>
  <c r="C988" i="3"/>
  <c r="C993" i="3"/>
  <c r="C986" i="3"/>
  <c r="C985" i="3"/>
  <c r="C984" i="3"/>
  <c r="C987" i="3"/>
  <c r="C983" i="3"/>
  <c r="C981" i="3"/>
  <c r="E91" i="5" s="1"/>
  <c r="C980" i="3"/>
  <c r="E90" i="5" s="1"/>
  <c r="C979" i="3"/>
  <c r="E89" i="5" s="1"/>
  <c r="H89" i="5" s="1"/>
  <c r="C978" i="3"/>
  <c r="C982" i="3"/>
  <c r="E92" i="5" s="1"/>
  <c r="H92" i="5" s="1"/>
  <c r="C975" i="3"/>
  <c r="C976" i="3"/>
  <c r="C977" i="3"/>
  <c r="C974" i="3"/>
  <c r="C971" i="3"/>
  <c r="E48" i="5" s="1"/>
  <c r="C972" i="3"/>
  <c r="E49" i="5" s="1"/>
  <c r="H49" i="5" s="1"/>
  <c r="C970" i="3"/>
  <c r="C973" i="3"/>
  <c r="E50" i="5" s="1"/>
  <c r="C968" i="3"/>
  <c r="E26" i="5" s="1"/>
  <c r="C965" i="3"/>
  <c r="E23" i="5" s="1"/>
  <c r="C967" i="3"/>
  <c r="E25" i="5" s="1"/>
  <c r="C966" i="3"/>
  <c r="E24" i="5" s="1"/>
  <c r="C964" i="3"/>
  <c r="C969" i="3"/>
  <c r="E27" i="5" s="1"/>
  <c r="C962" i="3"/>
  <c r="E5" i="5" s="1"/>
  <c r="C961" i="3"/>
  <c r="E4" i="5" s="1"/>
  <c r="C959" i="3"/>
  <c r="C960" i="3"/>
  <c r="E3" i="5" s="1"/>
  <c r="C963" i="3"/>
  <c r="E6" i="5" s="1"/>
  <c r="G41" i="2"/>
  <c r="G39" i="2"/>
  <c r="G37" i="2"/>
  <c r="G29" i="2"/>
  <c r="G27" i="2"/>
  <c r="G25" i="2"/>
  <c r="G23" i="2"/>
  <c r="G21" i="2"/>
  <c r="G17" i="2"/>
  <c r="G15" i="2"/>
  <c r="F11" i="2"/>
  <c r="G11" i="2"/>
  <c r="G9" i="2"/>
  <c r="G7" i="2"/>
  <c r="F7" i="2"/>
  <c r="H159" i="5" l="1"/>
  <c r="E184" i="5"/>
  <c r="F182" i="5" s="1"/>
  <c r="G182" i="5" s="1"/>
  <c r="D16" i="6"/>
  <c r="D17" i="6" s="1"/>
  <c r="D10" i="6"/>
  <c r="H90" i="5"/>
  <c r="H50" i="5"/>
  <c r="H3" i="5"/>
  <c r="H25" i="5"/>
  <c r="C7" i="2"/>
  <c r="D7" i="2"/>
  <c r="E7" i="2"/>
  <c r="AA1058" i="3"/>
  <c r="AA1057" i="3"/>
  <c r="AA1051" i="3"/>
  <c r="AA1050" i="3"/>
  <c r="AA1049" i="3"/>
  <c r="AA1048" i="3"/>
  <c r="AA1047" i="3"/>
  <c r="AA1046" i="3"/>
  <c r="F181" i="5" l="1"/>
  <c r="G181" i="5" s="1"/>
  <c r="F183" i="5"/>
  <c r="G183" i="5" s="1"/>
  <c r="AA1059" i="3"/>
  <c r="E939" i="3"/>
  <c r="E924" i="3"/>
  <c r="E938" i="3"/>
  <c r="E929" i="3"/>
  <c r="E931" i="3"/>
  <c r="E930" i="3"/>
  <c r="E934" i="3"/>
  <c r="E925" i="3"/>
  <c r="E926" i="3"/>
  <c r="E927" i="3"/>
  <c r="E928" i="3"/>
  <c r="E933" i="3"/>
  <c r="E932" i="3"/>
  <c r="E935" i="3"/>
  <c r="E936" i="3"/>
  <c r="E937" i="3"/>
  <c r="G920" i="3"/>
  <c r="F184" i="5" l="1"/>
  <c r="G184" i="5"/>
  <c r="F43" i="2"/>
  <c r="E43" i="2"/>
  <c r="D43" i="2"/>
  <c r="C43" i="2"/>
  <c r="F41" i="2"/>
  <c r="E41" i="2"/>
  <c r="D41" i="2"/>
  <c r="C41" i="2"/>
  <c r="F39" i="2"/>
  <c r="E39" i="2"/>
  <c r="D39" i="2"/>
  <c r="C39" i="2"/>
  <c r="F37" i="2"/>
  <c r="E37" i="2"/>
  <c r="D37" i="2"/>
  <c r="C37" i="2"/>
  <c r="F35" i="2"/>
  <c r="E35" i="2"/>
  <c r="D35" i="2"/>
  <c r="C35" i="2"/>
  <c r="F33" i="2"/>
  <c r="D33" i="2"/>
  <c r="E33" i="2"/>
  <c r="C33" i="2"/>
  <c r="H33" i="2" s="1"/>
  <c r="H32" i="2"/>
  <c r="D31" i="2"/>
  <c r="F29" i="2"/>
  <c r="E29" i="2"/>
  <c r="C29" i="2"/>
  <c r="H28" i="2"/>
  <c r="C27" i="2"/>
  <c r="F27" i="2"/>
  <c r="E27" i="2"/>
  <c r="D27" i="2"/>
  <c r="F25" i="2"/>
  <c r="E25" i="2"/>
  <c r="D25" i="2"/>
  <c r="C25" i="2"/>
  <c r="F23" i="2"/>
  <c r="E23" i="2"/>
  <c r="D23" i="2"/>
  <c r="C23" i="2"/>
  <c r="H22" i="2"/>
  <c r="F21" i="2"/>
  <c r="E21" i="2"/>
  <c r="D21" i="2"/>
  <c r="C21" i="2"/>
  <c r="F19" i="2"/>
  <c r="E19" i="2"/>
  <c r="D19" i="2"/>
  <c r="C19" i="2"/>
  <c r="F17" i="2"/>
  <c r="E17" i="2"/>
  <c r="D17" i="2"/>
  <c r="C17" i="2"/>
  <c r="C15" i="2"/>
  <c r="F15" i="2"/>
  <c r="E15" i="2"/>
  <c r="D15" i="2"/>
  <c r="H23" i="2" l="1"/>
  <c r="H29" i="2"/>
  <c r="F13" i="2" l="1"/>
  <c r="E13" i="2"/>
  <c r="D13" i="2"/>
  <c r="C13" i="2"/>
  <c r="E11" i="2"/>
  <c r="D11" i="2"/>
  <c r="C11" i="2"/>
  <c r="F9" i="2"/>
  <c r="E9" i="2"/>
  <c r="D9" i="2"/>
  <c r="C9" i="2"/>
  <c r="D59" i="7" l="1"/>
  <c r="J15" i="8" s="1"/>
  <c r="G58" i="7"/>
  <c r="G57" i="7"/>
  <c r="G55" i="7"/>
  <c r="G59" i="7" l="1"/>
  <c r="H57" i="7"/>
  <c r="I57" i="7" s="1"/>
  <c r="H55" i="7"/>
  <c r="I55" i="7" s="1"/>
  <c r="H58" i="7"/>
  <c r="I58" i="7" s="1"/>
  <c r="E59" i="7"/>
  <c r="D37" i="7"/>
  <c r="J12" i="8" s="1"/>
  <c r="G34" i="7"/>
  <c r="G41" i="7"/>
  <c r="G29" i="7"/>
  <c r="G26" i="7"/>
  <c r="G9" i="7"/>
  <c r="G8" i="7"/>
  <c r="G7" i="7"/>
  <c r="D226" i="5"/>
  <c r="D206" i="5"/>
  <c r="D205" i="5"/>
  <c r="D204" i="5"/>
  <c r="D203" i="5"/>
  <c r="D202" i="5"/>
  <c r="D201" i="5"/>
  <c r="D137" i="5"/>
  <c r="D136" i="5"/>
  <c r="D135" i="5"/>
  <c r="D134" i="5"/>
  <c r="D133" i="5"/>
  <c r="D114" i="5"/>
  <c r="D113" i="5"/>
  <c r="D112" i="5"/>
  <c r="D111" i="5"/>
  <c r="G60" i="7" l="1"/>
  <c r="M15" i="8" s="1"/>
  <c r="K15" i="8"/>
  <c r="H9" i="7"/>
  <c r="I9" i="7" s="1"/>
  <c r="H34" i="7"/>
  <c r="I34" i="7" s="1"/>
  <c r="H41" i="7"/>
  <c r="I41" i="7" s="1"/>
  <c r="E37" i="7"/>
  <c r="G37" i="7"/>
  <c r="H26" i="7"/>
  <c r="I26" i="7" s="1"/>
  <c r="H29" i="7"/>
  <c r="I29" i="7" s="1"/>
  <c r="H8" i="7"/>
  <c r="I8" i="7" s="1"/>
  <c r="H7" i="7"/>
  <c r="I7" i="7" s="1"/>
  <c r="D71" i="5"/>
  <c r="D70" i="5"/>
  <c r="D68" i="5"/>
  <c r="D22" i="5"/>
  <c r="B36" i="6"/>
  <c r="B2" i="6"/>
  <c r="G38" i="7" l="1"/>
  <c r="K12" i="8"/>
  <c r="H37" i="7"/>
  <c r="I37" i="7" s="1"/>
  <c r="F31" i="2"/>
  <c r="E31" i="2"/>
  <c r="C31" i="2"/>
  <c r="C36" i="6"/>
  <c r="C2" i="6"/>
  <c r="E226" i="5"/>
  <c r="H226" i="5" s="1"/>
  <c r="E205" i="5"/>
  <c r="E204" i="5"/>
  <c r="E203" i="5"/>
  <c r="E202" i="5"/>
  <c r="H202" i="5" s="1"/>
  <c r="E206" i="5"/>
  <c r="E201" i="5"/>
  <c r="H203" i="5" l="1"/>
  <c r="E134" i="5"/>
  <c r="E136" i="5" l="1"/>
  <c r="E135" i="5"/>
  <c r="E133" i="5"/>
  <c r="H133" i="5" s="1"/>
  <c r="E137" i="5"/>
  <c r="E112" i="5"/>
  <c r="E113" i="5"/>
  <c r="E111" i="5"/>
  <c r="H111" i="5" s="1"/>
  <c r="E114" i="5"/>
  <c r="H114" i="5" s="1"/>
  <c r="E70" i="5"/>
  <c r="E71" i="5"/>
  <c r="E68" i="5"/>
  <c r="H68" i="5" s="1"/>
  <c r="E22" i="5"/>
  <c r="H134" i="5" l="1"/>
  <c r="H112" i="5"/>
  <c r="B924" i="3"/>
  <c r="B931" i="3" l="1"/>
  <c r="B927" i="3"/>
  <c r="B939" i="3"/>
  <c r="B925" i="3" l="1"/>
  <c r="B926" i="3"/>
  <c r="B928" i="3"/>
  <c r="B929" i="3"/>
  <c r="B930" i="3"/>
  <c r="B932" i="3"/>
  <c r="B933" i="3"/>
  <c r="B934" i="3"/>
  <c r="B935" i="3"/>
  <c r="B936" i="3"/>
  <c r="B937" i="3"/>
  <c r="B938" i="3"/>
  <c r="Q1052" i="3"/>
  <c r="R1052" i="3"/>
  <c r="B923" i="3" l="1"/>
  <c r="S1052" i="3"/>
  <c r="C939" i="3" l="1"/>
  <c r="C931" i="3"/>
  <c r="C937" i="3"/>
  <c r="C927" i="3"/>
  <c r="C925" i="3"/>
  <c r="C926" i="3"/>
  <c r="C930" i="3"/>
  <c r="C932" i="3"/>
  <c r="C928" i="3"/>
  <c r="C936" i="3"/>
  <c r="C934" i="3"/>
  <c r="C938" i="3"/>
  <c r="C935" i="3"/>
  <c r="C924" i="3"/>
  <c r="C933" i="3"/>
  <c r="C929" i="3"/>
  <c r="D225" i="5"/>
  <c r="C923" i="3" l="1"/>
  <c r="D200" i="5"/>
  <c r="D157" i="5"/>
  <c r="D132" i="5" l="1"/>
  <c r="D110" i="5" l="1"/>
  <c r="D88" i="5"/>
  <c r="D69" i="5"/>
  <c r="D47" i="5"/>
  <c r="D2" i="5" l="1"/>
  <c r="B48" i="6"/>
  <c r="C48" i="6"/>
  <c r="B43" i="6"/>
  <c r="B42" i="6"/>
  <c r="B35" i="6"/>
  <c r="B29" i="6"/>
  <c r="C29" i="6"/>
  <c r="B23" i="6"/>
  <c r="C23" i="6"/>
  <c r="E225" i="5"/>
  <c r="H225" i="5" s="1"/>
  <c r="E132" i="5"/>
  <c r="E110" i="5"/>
  <c r="E88" i="5"/>
  <c r="H88" i="5" s="1"/>
  <c r="E115" i="5" l="1"/>
  <c r="H110" i="5"/>
  <c r="E138" i="5"/>
  <c r="H132" i="5"/>
  <c r="E93" i="5"/>
  <c r="F89" i="5" s="1"/>
  <c r="G89" i="5" s="1"/>
  <c r="H24" i="5"/>
  <c r="H6" i="5"/>
  <c r="F92" i="5" l="1"/>
  <c r="G92" i="5" s="1"/>
  <c r="F134" i="5"/>
  <c r="F136" i="5"/>
  <c r="F135" i="5"/>
  <c r="F137" i="5"/>
  <c r="G137" i="5" s="1"/>
  <c r="F91" i="5"/>
  <c r="F90" i="5"/>
  <c r="E28" i="5"/>
  <c r="H22" i="5"/>
  <c r="C43" i="6"/>
  <c r="C42" i="6"/>
  <c r="C35" i="6"/>
  <c r="C37" i="6" s="1"/>
  <c r="C31" i="6"/>
  <c r="D30" i="6" s="1"/>
  <c r="E200" i="5"/>
  <c r="H200" i="5" s="1"/>
  <c r="E157" i="5"/>
  <c r="H157" i="5" s="1"/>
  <c r="H137" i="5"/>
  <c r="E69" i="5"/>
  <c r="H69" i="5" s="1"/>
  <c r="E47" i="5"/>
  <c r="H47" i="5" s="1"/>
  <c r="H27" i="5"/>
  <c r="E2" i="5"/>
  <c r="G134" i="5" l="1"/>
  <c r="G90" i="5"/>
  <c r="F22" i="5"/>
  <c r="F26" i="5"/>
  <c r="E72" i="5"/>
  <c r="D36" i="6"/>
  <c r="E207" i="5"/>
  <c r="F200" i="5" l="1"/>
  <c r="F204" i="5"/>
  <c r="F203" i="5"/>
  <c r="F201" i="5"/>
  <c r="F202" i="5"/>
  <c r="G202" i="5" s="1"/>
  <c r="F206" i="5"/>
  <c r="F205" i="5"/>
  <c r="F113" i="5"/>
  <c r="F114" i="5"/>
  <c r="G114" i="5" s="1"/>
  <c r="F71" i="5"/>
  <c r="F70" i="5"/>
  <c r="G203" i="5" l="1"/>
  <c r="F207" i="5"/>
  <c r="G200" i="5"/>
  <c r="G207" i="5" l="1"/>
  <c r="D93" i="7"/>
  <c r="F20" i="8" s="1"/>
  <c r="G88" i="7"/>
  <c r="G87" i="7"/>
  <c r="D89" i="7"/>
  <c r="F19" i="8" s="1"/>
  <c r="G82" i="7"/>
  <c r="G83" i="7"/>
  <c r="G78" i="7"/>
  <c r="D84" i="7"/>
  <c r="F18" i="8" s="1"/>
  <c r="D72" i="7"/>
  <c r="J17" i="8" s="1"/>
  <c r="D66" i="7"/>
  <c r="J16" i="8" s="1"/>
  <c r="D52" i="7"/>
  <c r="J14" i="8" s="1"/>
  <c r="D43" i="7"/>
  <c r="J13" i="8" s="1"/>
  <c r="D31" i="7"/>
  <c r="J11" i="8" s="1"/>
  <c r="D22" i="7"/>
  <c r="J10" i="8" s="1"/>
  <c r="G89" i="7" l="1"/>
  <c r="G84" i="7"/>
  <c r="D96" i="7"/>
  <c r="G93" i="7"/>
  <c r="D18" i="7"/>
  <c r="J9" i="8" s="1"/>
  <c r="G15" i="7"/>
  <c r="G16" i="7"/>
  <c r="G17" i="7"/>
  <c r="G21" i="7"/>
  <c r="G25" i="7"/>
  <c r="G30" i="7"/>
  <c r="G40" i="7"/>
  <c r="G42" i="7"/>
  <c r="G46" i="7"/>
  <c r="G49" i="7"/>
  <c r="G51" i="7"/>
  <c r="G62" i="7"/>
  <c r="G64" i="7"/>
  <c r="G65" i="7"/>
  <c r="G69" i="7"/>
  <c r="G70" i="7"/>
  <c r="G71" i="7"/>
  <c r="D12" i="7"/>
  <c r="J8" i="8" s="1"/>
  <c r="G11" i="7"/>
  <c r="G6" i="7"/>
  <c r="G10" i="7"/>
  <c r="G52" i="7" l="1"/>
  <c r="G66" i="7"/>
  <c r="D75" i="7"/>
  <c r="D98" i="7" s="1"/>
  <c r="G31" i="7"/>
  <c r="G43" i="7"/>
  <c r="G18" i="7"/>
  <c r="G72" i="7"/>
  <c r="G22" i="7"/>
  <c r="H6" i="7"/>
  <c r="I6" i="7" s="1"/>
  <c r="G12" i="7"/>
  <c r="S12" i="7" l="1"/>
  <c r="H70" i="7" l="1"/>
  <c r="I70" i="7" s="1"/>
  <c r="H71" i="7"/>
  <c r="I71" i="7" s="1"/>
  <c r="H65" i="7"/>
  <c r="I65" i="7" s="1"/>
  <c r="H64" i="7"/>
  <c r="I64" i="7" s="1"/>
  <c r="H51" i="7"/>
  <c r="I51" i="7" s="1"/>
  <c r="H49" i="7"/>
  <c r="I49" i="7" s="1"/>
  <c r="H46" i="7"/>
  <c r="I46" i="7" s="1"/>
  <c r="H42" i="7"/>
  <c r="I42" i="7" s="1"/>
  <c r="H30" i="7"/>
  <c r="I30" i="7" s="1"/>
  <c r="H25" i="7" l="1"/>
  <c r="I25" i="7" s="1"/>
  <c r="E31" i="7"/>
  <c r="G32" i="7" s="1"/>
  <c r="M12" i="8" s="1"/>
  <c r="H21" i="7"/>
  <c r="I21" i="7" s="1"/>
  <c r="E22" i="7"/>
  <c r="K10" i="8" s="1"/>
  <c r="H69" i="7"/>
  <c r="I69" i="7" s="1"/>
  <c r="E72" i="7"/>
  <c r="K17" i="8" s="1"/>
  <c r="E52" i="7"/>
  <c r="H62" i="7"/>
  <c r="I62" i="7" s="1"/>
  <c r="E66" i="7"/>
  <c r="H40" i="7"/>
  <c r="I40" i="7" s="1"/>
  <c r="E43" i="7"/>
  <c r="K13" i="8" s="1"/>
  <c r="H17" i="7"/>
  <c r="I17" i="7" s="1"/>
  <c r="H16" i="7"/>
  <c r="I16" i="7" s="1"/>
  <c r="G67" i="7" l="1"/>
  <c r="M16" i="8" s="1"/>
  <c r="K16" i="8"/>
  <c r="G53" i="7"/>
  <c r="M14" i="8" s="1"/>
  <c r="K14" i="8"/>
  <c r="G44" i="7"/>
  <c r="H43" i="7"/>
  <c r="I43" i="7" s="1"/>
  <c r="L13" i="8" s="1"/>
  <c r="G73" i="7"/>
  <c r="M17" i="8" s="1"/>
  <c r="H72" i="7"/>
  <c r="I72" i="7" s="1"/>
  <c r="L17" i="8" s="1"/>
  <c r="G23" i="7"/>
  <c r="M10" i="8" s="1"/>
  <c r="H22" i="7"/>
  <c r="I22" i="7" s="1"/>
  <c r="L10" i="8" s="1"/>
  <c r="H15" i="7"/>
  <c r="I15" i="7" s="1"/>
  <c r="E18" i="7"/>
  <c r="K9" i="8" s="1"/>
  <c r="H88" i="7"/>
  <c r="I88" i="7" s="1"/>
  <c r="H87" i="7"/>
  <c r="I87" i="7" s="1"/>
  <c r="H11" i="7"/>
  <c r="I11" i="7" s="1"/>
  <c r="H83" i="7"/>
  <c r="I83" i="7" s="1"/>
  <c r="H82" i="7"/>
  <c r="I82" i="7" s="1"/>
  <c r="H52" i="7" l="1"/>
  <c r="I52" i="7" s="1"/>
  <c r="L14" i="8" s="1"/>
  <c r="M13" i="8"/>
  <c r="H31" i="7"/>
  <c r="I31" i="7" s="1"/>
  <c r="L12" i="8" s="1"/>
  <c r="E93" i="7"/>
  <c r="G20" i="8" s="1"/>
  <c r="E89" i="7"/>
  <c r="G19" i="8" s="1"/>
  <c r="E84" i="7"/>
  <c r="G18" i="8" s="1"/>
  <c r="H78" i="7"/>
  <c r="I78" i="7" s="1"/>
  <c r="H10" i="7"/>
  <c r="I10" i="7" s="1"/>
  <c r="E12" i="7"/>
  <c r="K8" i="8" s="1"/>
  <c r="G19" i="7"/>
  <c r="M9" i="8" s="1"/>
  <c r="H18" i="7"/>
  <c r="I18" i="7" s="1"/>
  <c r="L9" i="8" s="1"/>
  <c r="C49" i="6"/>
  <c r="C44" i="6"/>
  <c r="D42" i="6" s="1"/>
  <c r="G13" i="7" l="1"/>
  <c r="M8" i="8" s="1"/>
  <c r="E75" i="7"/>
  <c r="G76" i="7" s="1"/>
  <c r="H59" i="7"/>
  <c r="I59" i="7" s="1"/>
  <c r="L15" i="8" s="1"/>
  <c r="D43" i="6"/>
  <c r="D44" i="6" s="1"/>
  <c r="E96" i="7"/>
  <c r="G94" i="7"/>
  <c r="I20" i="8" s="1"/>
  <c r="H93" i="7"/>
  <c r="I93" i="7" s="1"/>
  <c r="H20" i="8" s="1"/>
  <c r="G85" i="7"/>
  <c r="I18" i="8" s="1"/>
  <c r="H84" i="7"/>
  <c r="I84" i="7" s="1"/>
  <c r="H18" i="8" s="1"/>
  <c r="G90" i="7"/>
  <c r="I19" i="8" s="1"/>
  <c r="H12" i="7"/>
  <c r="I12" i="7" s="1"/>
  <c r="L8" i="8" s="1"/>
  <c r="H66" i="7" l="1"/>
  <c r="I66" i="7" s="1"/>
  <c r="L16" i="8" s="1"/>
  <c r="G75" i="7"/>
  <c r="G99" i="7"/>
  <c r="E98" i="7"/>
  <c r="F100" i="7" s="1"/>
  <c r="H89" i="7"/>
  <c r="I89" i="7" s="1"/>
  <c r="H19" i="8" s="1"/>
  <c r="G96" i="7"/>
  <c r="H75" i="7" l="1"/>
  <c r="I75" i="7" s="1"/>
  <c r="G98" i="7"/>
  <c r="H98" i="7" s="1"/>
  <c r="I98" i="7" s="1"/>
  <c r="H96" i="7"/>
  <c r="I96" i="7" s="1"/>
  <c r="E227" i="5" l="1"/>
  <c r="F226" i="5" l="1"/>
  <c r="G226" i="5" s="1"/>
  <c r="F225" i="5"/>
  <c r="G225" i="5" s="1"/>
  <c r="F227" i="5" l="1"/>
  <c r="E7" i="5"/>
  <c r="F5" i="5" l="1"/>
  <c r="F4" i="5"/>
  <c r="F3" i="5"/>
  <c r="F6" i="5"/>
  <c r="G6" i="5" s="1"/>
  <c r="C4" i="6"/>
  <c r="D3" i="6" s="1"/>
  <c r="G3" i="5" l="1"/>
  <c r="D2" i="6"/>
  <c r="D4" i="6" l="1"/>
  <c r="H2" i="5" l="1"/>
  <c r="C24" i="6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4" i="2"/>
  <c r="H25" i="2"/>
  <c r="H26" i="2"/>
  <c r="H27" i="2"/>
  <c r="H30" i="2"/>
  <c r="H31" i="2"/>
  <c r="H34" i="2"/>
  <c r="H35" i="2"/>
  <c r="H36" i="2"/>
  <c r="H37" i="2"/>
  <c r="I37" i="2"/>
  <c r="H38" i="2"/>
  <c r="H39" i="2"/>
  <c r="J39" i="2"/>
  <c r="H40" i="2"/>
  <c r="H41" i="2"/>
  <c r="J41" i="2"/>
  <c r="H42" i="2"/>
  <c r="H43" i="2"/>
  <c r="F25" i="5" l="1"/>
  <c r="G25" i="5" s="1"/>
  <c r="F27" i="5"/>
  <c r="G27" i="5" s="1"/>
  <c r="D23" i="6"/>
  <c r="D24" i="6" s="1"/>
  <c r="F24" i="5"/>
  <c r="G24" i="5" s="1"/>
  <c r="F23" i="5"/>
  <c r="G22" i="5" s="1"/>
  <c r="G28" i="5" l="1"/>
  <c r="F28" i="5"/>
  <c r="D35" i="6" l="1"/>
  <c r="D29" i="6"/>
  <c r="D31" i="6" s="1"/>
  <c r="D48" i="6"/>
  <c r="D49" i="6" s="1"/>
  <c r="D37" i="6" l="1"/>
  <c r="E51" i="5"/>
  <c r="F48" i="5" l="1"/>
  <c r="F50" i="5"/>
  <c r="G50" i="5" s="1"/>
  <c r="F49" i="5"/>
  <c r="G49" i="5" s="1"/>
  <c r="F47" i="5"/>
  <c r="F2" i="5"/>
  <c r="G2" i="5" s="1"/>
  <c r="G47" i="5" l="1"/>
  <c r="F51" i="5"/>
  <c r="F7" i="5"/>
  <c r="G7" i="5" l="1"/>
  <c r="G227" i="5" l="1"/>
  <c r="E164" i="5"/>
  <c r="F68" i="5"/>
  <c r="F162" i="5" l="1"/>
  <c r="F158" i="5"/>
  <c r="G158" i="5" s="1"/>
  <c r="F160" i="5"/>
  <c r="F159" i="5"/>
  <c r="F163" i="5"/>
  <c r="G163" i="5" s="1"/>
  <c r="F161" i="5"/>
  <c r="G68" i="5"/>
  <c r="F112" i="5"/>
  <c r="G112" i="5" s="1"/>
  <c r="F133" i="5"/>
  <c r="G133" i="5" s="1"/>
  <c r="F132" i="5"/>
  <c r="G132" i="5" s="1"/>
  <c r="F69" i="5"/>
  <c r="G69" i="5" s="1"/>
  <c r="F111" i="5"/>
  <c r="G111" i="5" s="1"/>
  <c r="F110" i="5"/>
  <c r="G110" i="5" s="1"/>
  <c r="F157" i="5"/>
  <c r="G157" i="5" s="1"/>
  <c r="F88" i="5"/>
  <c r="G88" i="5" s="1"/>
  <c r="G159" i="5" l="1"/>
  <c r="F115" i="5"/>
  <c r="F93" i="5"/>
  <c r="G93" i="5"/>
  <c r="G72" i="5"/>
  <c r="F72" i="5"/>
  <c r="F164" i="5"/>
  <c r="F138" i="5"/>
  <c r="G51" i="5"/>
  <c r="G115" i="5" l="1"/>
  <c r="G164" i="5"/>
  <c r="G138" i="5"/>
</calcChain>
</file>

<file path=xl/sharedStrings.xml><?xml version="1.0" encoding="utf-8"?>
<sst xmlns="http://schemas.openxmlformats.org/spreadsheetml/2006/main" count="4176" uniqueCount="825">
  <si>
    <t>FECHA</t>
  </si>
  <si>
    <t>CHOFER</t>
  </si>
  <si>
    <t>PESO</t>
  </si>
  <si>
    <t xml:space="preserve">CAMION </t>
  </si>
  <si>
    <t>VUELTAS</t>
  </si>
  <si>
    <t>CARGA</t>
  </si>
  <si>
    <t>MES</t>
  </si>
  <si>
    <t>TOTAL</t>
  </si>
  <si>
    <t>REPORTE DE VIAJES Y CARGA SEMANA - MES</t>
  </si>
  <si>
    <t xml:space="preserve">RUTA </t>
  </si>
  <si>
    <t>NOVEDADES</t>
  </si>
  <si>
    <t xml:space="preserve">BITACORA DE VIAJES Y USO DE CAMIONES </t>
  </si>
  <si>
    <t xml:space="preserve">HORA DE SALIDA </t>
  </si>
  <si>
    <t>HORA DE LLEGADA</t>
  </si>
  <si>
    <t>CAB-7</t>
  </si>
  <si>
    <t>CAB-9</t>
  </si>
  <si>
    <t>BODEGA JAMBELI</t>
  </si>
  <si>
    <t>CAB-1</t>
  </si>
  <si>
    <t>CAB-01</t>
  </si>
  <si>
    <t>CAB-02</t>
  </si>
  <si>
    <t>CAB-03</t>
  </si>
  <si>
    <t>CAB-05</t>
  </si>
  <si>
    <t>CAB-06</t>
  </si>
  <si>
    <t>CAB-07</t>
  </si>
  <si>
    <t>CAB-08</t>
  </si>
  <si>
    <t>CAB-09</t>
  </si>
  <si>
    <t>CAM-07</t>
  </si>
  <si>
    <t>CAM-08</t>
  </si>
  <si>
    <t>CAM-09</t>
  </si>
  <si>
    <t>VOL-02</t>
  </si>
  <si>
    <t>VOL-04</t>
  </si>
  <si>
    <t>PARTICULAR</t>
  </si>
  <si>
    <t>Total de Carga</t>
  </si>
  <si>
    <t>Transporte  Particular Venta Local</t>
  </si>
  <si>
    <t>Agua de Coccion</t>
  </si>
  <si>
    <t>viajes de vehiculos por carga transportada</t>
  </si>
  <si>
    <t>Cab-01</t>
  </si>
  <si>
    <t>Cab-02</t>
  </si>
  <si>
    <t>Cab-06</t>
  </si>
  <si>
    <t>Cab-07</t>
  </si>
  <si>
    <t>Cab-08</t>
  </si>
  <si>
    <t>Cab-09</t>
  </si>
  <si>
    <t>Sub-Prod. Pelagicos</t>
  </si>
  <si>
    <t>Cam-08</t>
  </si>
  <si>
    <t>Cam-09</t>
  </si>
  <si>
    <t>Vol-04</t>
  </si>
  <si>
    <t>Total de carga</t>
  </si>
  <si>
    <t>PABLO VILLON</t>
  </si>
  <si>
    <t>Cab-03</t>
  </si>
  <si>
    <t>Vol-02</t>
  </si>
  <si>
    <t>Cab-05</t>
  </si>
  <si>
    <t>HUGO IÑIGA</t>
  </si>
  <si>
    <t>BUNKER</t>
  </si>
  <si>
    <t>CAB-5</t>
  </si>
  <si>
    <t>EDGAR CASTRO</t>
  </si>
  <si>
    <t>JAVIER ICAZA</t>
  </si>
  <si>
    <t>PLATAFORMA</t>
  </si>
  <si>
    <t>TANQUERO</t>
  </si>
  <si>
    <t>CAB-12</t>
  </si>
  <si>
    <t>Total de Materia Prima (Pelagico)</t>
  </si>
  <si>
    <t>Traslado harina Pescado Jambeli</t>
  </si>
  <si>
    <t>A./Cocción Salica</t>
  </si>
  <si>
    <t>Scrap  Atun Manta</t>
  </si>
  <si>
    <t>Cab-12</t>
  </si>
  <si>
    <t>Scrap  Atun Salica</t>
  </si>
  <si>
    <t>BAÑERA</t>
  </si>
  <si>
    <t>DISCO</t>
  </si>
  <si>
    <t>REMOLQUE</t>
  </si>
  <si>
    <t>TIPOS DE CARGA</t>
  </si>
  <si>
    <t>PORCENTAJE</t>
  </si>
  <si>
    <t>TON./CARGA</t>
  </si>
  <si>
    <t>TOTAL/TON.  REMOLQUE</t>
  </si>
  <si>
    <t xml:space="preserve">PARTICULAR   </t>
  </si>
  <si>
    <t>Compra de Bunker</t>
  </si>
  <si>
    <t>Traslado de Harina Jambeli</t>
  </si>
  <si>
    <t>SUBPRODUCTO DE DORADO</t>
  </si>
  <si>
    <t>PORCENTAJE POR CARGA</t>
  </si>
  <si>
    <t>PORCENTAJE POR REMOLQUE</t>
  </si>
  <si>
    <t>CAB-2</t>
  </si>
  <si>
    <t>Materiales de Co nstrucción</t>
  </si>
  <si>
    <t>Venta Aceite Tq./Particular</t>
  </si>
  <si>
    <t>Venta de Hidrolizado</t>
  </si>
  <si>
    <t xml:space="preserve">Traslado harina Camaron Taura </t>
  </si>
  <si>
    <t xml:space="preserve">PARTICULAR </t>
  </si>
  <si>
    <t>CAM-7</t>
  </si>
  <si>
    <t>Despacho Harina venta</t>
  </si>
  <si>
    <t>Mat./Contruccion</t>
  </si>
  <si>
    <t>Cam-07</t>
  </si>
  <si>
    <t>SUB PRODUCTO DE DORADO</t>
  </si>
  <si>
    <t>TAURA FORTIDEX</t>
  </si>
  <si>
    <t xml:space="preserve">PARTICULAR  </t>
  </si>
  <si>
    <t>JAVIER REALPE</t>
  </si>
  <si>
    <t>JULIO QUINDE</t>
  </si>
  <si>
    <t>VICTOR FLORES</t>
  </si>
  <si>
    <t>Cam-05</t>
  </si>
  <si>
    <t>CONTENEDOR</t>
  </si>
  <si>
    <t>JUAN DELGADO</t>
  </si>
  <si>
    <t>MONTACARGA</t>
  </si>
  <si>
    <t>CAM-05   Plataforma</t>
  </si>
  <si>
    <t>Sr. Alvan Garcia Jaime Enrique</t>
  </si>
  <si>
    <t>UNIDAD</t>
  </si>
  <si>
    <t>REND. / VIAJE</t>
  </si>
  <si>
    <t>NOMINA</t>
  </si>
  <si>
    <t>Sr. Castro Choez Edgar David</t>
  </si>
  <si>
    <t>REPORTE DE VIAJES Y CARGA POR RENDIMIENTO</t>
  </si>
  <si>
    <t>Sr. Crespin Figueroa Fidel Edberto</t>
  </si>
  <si>
    <t>CAM-05</t>
  </si>
  <si>
    <t>Sr. Intriago Pincay Cesar Emiliano</t>
  </si>
  <si>
    <t>Sr. Iñiga Bohorquez Hugo Roberto</t>
  </si>
  <si>
    <t>Sr. Maldonado Reyes Santiago Rafael</t>
  </si>
  <si>
    <t>Sr. Marquez Arias Rene Alejandrino</t>
  </si>
  <si>
    <t>Sr. Quinde Flores Victor Eloy</t>
  </si>
  <si>
    <t>Sr. Tuaza Vargas Victor Galo</t>
  </si>
  <si>
    <t>Sr. Villacreses De La A Carlos Alberto</t>
  </si>
  <si>
    <t>Sr. Villon de Los Angeles Pablo Inocente</t>
  </si>
  <si>
    <t>CAPACIDAD CAMION TM</t>
  </si>
  <si>
    <t>CARGA TRANSPORTADA</t>
  </si>
  <si>
    <t>% USO CAMION TM</t>
  </si>
  <si>
    <t xml:space="preserve"> </t>
  </si>
  <si>
    <t>CAPACIDAD NOMINAL DISPONIBLE</t>
  </si>
  <si>
    <t>Valor total Flota Vehicular Data</t>
  </si>
  <si>
    <t>Valor total Terceros</t>
  </si>
  <si>
    <t>Nombre</t>
  </si>
  <si>
    <t>Camiones</t>
  </si>
  <si>
    <t>Arrastres</t>
  </si>
  <si>
    <t>Vuetas</t>
  </si>
  <si>
    <t>Carga</t>
  </si>
  <si>
    <t>Vueltas</t>
  </si>
  <si>
    <t>Cargas</t>
  </si>
  <si>
    <t>%</t>
  </si>
  <si>
    <t>Media</t>
  </si>
  <si>
    <t xml:space="preserve">% </t>
  </si>
  <si>
    <t>Carga Promedio del Conductor  =======================================&gt;</t>
  </si>
  <si>
    <t>Ordenes de Trabajo</t>
  </si>
  <si>
    <t>Abiertas</t>
  </si>
  <si>
    <t>Cerradas</t>
  </si>
  <si>
    <t>En Proceso</t>
  </si>
  <si>
    <t>Promedio de dias</t>
  </si>
  <si>
    <t>Promedio Dias Compras</t>
  </si>
  <si>
    <t>Dispnibilidad Promedio de equipos</t>
  </si>
  <si>
    <t>Flota Vehicular Data</t>
  </si>
  <si>
    <t>BIOMAR</t>
  </si>
  <si>
    <t>REYSAC</t>
  </si>
  <si>
    <t xml:space="preserve">MANUEL BARRE </t>
  </si>
  <si>
    <t>SALICA</t>
  </si>
  <si>
    <t xml:space="preserve">CAM-9    </t>
  </si>
  <si>
    <t xml:space="preserve">SUBPRODUCTO DE ATUN COCIDO </t>
  </si>
  <si>
    <t xml:space="preserve">CARLOS VILLACRESES </t>
  </si>
  <si>
    <t>CARLOS ALARCON</t>
  </si>
  <si>
    <t xml:space="preserve">SEAFMAN    </t>
  </si>
  <si>
    <t>CAB-11</t>
  </si>
  <si>
    <t xml:space="preserve">PATRICIA MAURAD </t>
  </si>
  <si>
    <t xml:space="preserve">Transporte  Venta Local </t>
  </si>
  <si>
    <t>Export. Harina de Camaron</t>
  </si>
  <si>
    <t>Ingreso Varios</t>
  </si>
  <si>
    <t>Despacho Hidrolizado Venta</t>
  </si>
  <si>
    <t xml:space="preserve">SUB PRODUCTO DE ATUN COCIDO </t>
  </si>
  <si>
    <t>CAB-6</t>
  </si>
  <si>
    <t>Traslado Har./Pescado Jambeli</t>
  </si>
  <si>
    <t>pardela</t>
  </si>
  <si>
    <t>guillermina</t>
  </si>
  <si>
    <t>maria jose</t>
  </si>
  <si>
    <t>valentina</t>
  </si>
  <si>
    <t>IÑIGA</t>
  </si>
  <si>
    <t>ANDERSON</t>
  </si>
  <si>
    <t>TORBY</t>
  </si>
  <si>
    <t>VILLON</t>
  </si>
  <si>
    <t>GALO</t>
  </si>
  <si>
    <t>FIDEL</t>
  </si>
  <si>
    <t>CASTRO</t>
  </si>
  <si>
    <t>dañado</t>
  </si>
  <si>
    <t>cab-11</t>
  </si>
  <si>
    <t>Pionce</t>
  </si>
  <si>
    <t>DESPACHO DE HARINA DE PESCADO</t>
  </si>
  <si>
    <t>RENE MARQUEZ</t>
  </si>
  <si>
    <t xml:space="preserve">VOL-2 </t>
  </si>
  <si>
    <t xml:space="preserve">EDGAR CASTRO </t>
  </si>
  <si>
    <t>INGRESO DE HARINA DE CAMARON</t>
  </si>
  <si>
    <t xml:space="preserve">ANDERSON VALENCIA </t>
  </si>
  <si>
    <t>VICTOR MENDEZ</t>
  </si>
  <si>
    <t>NELSON CARRANZA</t>
  </si>
  <si>
    <t>CAM-9</t>
  </si>
  <si>
    <t xml:space="preserve">FIDEL CRESPIN </t>
  </si>
  <si>
    <t xml:space="preserve">SALICA </t>
  </si>
  <si>
    <t>JULIO LAVANDA</t>
  </si>
  <si>
    <t xml:space="preserve">B/P VIRGEN DE FATIMA </t>
  </si>
  <si>
    <t xml:space="preserve">CORBATA </t>
  </si>
  <si>
    <t>VOL-4</t>
  </si>
  <si>
    <t>CHUHUECO</t>
  </si>
  <si>
    <t>POLLA BAGRE</t>
  </si>
  <si>
    <t>CEPROMAR</t>
  </si>
  <si>
    <t>B/P REGALITO DE DIOS I</t>
  </si>
  <si>
    <t xml:space="preserve">B/P GUILLERMINA </t>
  </si>
  <si>
    <t>PICUDILLO</t>
  </si>
  <si>
    <t xml:space="preserve">B/P VALENTINA </t>
  </si>
  <si>
    <t xml:space="preserve">B/P DOÑA BERTHA </t>
  </si>
  <si>
    <t xml:space="preserve">B/P PARDELA </t>
  </si>
  <si>
    <t>MORENILLO GALLINA</t>
  </si>
  <si>
    <t>MILTON VELEZ</t>
  </si>
  <si>
    <t>HOJA</t>
  </si>
  <si>
    <t>CARLOS CRESPIN</t>
  </si>
  <si>
    <t>FAUSTO GUTIERREZ</t>
  </si>
  <si>
    <t xml:space="preserve">CEPROMAR - CEPROFISH </t>
  </si>
  <si>
    <t>B/P SAN JORGE</t>
  </si>
  <si>
    <t>MORENILLO</t>
  </si>
  <si>
    <t>B/P PARDELA</t>
  </si>
  <si>
    <t>EFRAIN SANTANA</t>
  </si>
  <si>
    <t>B/P VALENTINA</t>
  </si>
  <si>
    <t>B/P GUILLERMINA</t>
  </si>
  <si>
    <t>B/P DOÑA PATTY</t>
  </si>
  <si>
    <t>B/P DON FAUSTO</t>
  </si>
  <si>
    <t xml:space="preserve">ALFREDO CEDEÑO       </t>
  </si>
  <si>
    <t>B/P MARIA JOSE</t>
  </si>
  <si>
    <t xml:space="preserve">JAVIER ICAZA </t>
  </si>
  <si>
    <t>LODO</t>
  </si>
  <si>
    <t>B/P DIJAYMAR III</t>
  </si>
  <si>
    <t xml:space="preserve">B/P SAN JORGE </t>
  </si>
  <si>
    <t>SUBPRODUCTO DE ATUN COCIDO - VISCERAS AGALLAS</t>
  </si>
  <si>
    <t>TRASLADO DE HARINA DE CAMARON</t>
  </si>
  <si>
    <t>INGRESO DE HARINA DE PESCADO</t>
  </si>
  <si>
    <t>B/P PALBERT</t>
  </si>
  <si>
    <t xml:space="preserve">TANQUERO  </t>
  </si>
  <si>
    <t>JUAN ARDILA</t>
  </si>
  <si>
    <t>B/P VB III</t>
  </si>
  <si>
    <t xml:space="preserve">POLLA BAGRE </t>
  </si>
  <si>
    <t>TRASLADO DE HARINA DE PESCADO</t>
  </si>
  <si>
    <t>OTTO INTRIAGO</t>
  </si>
  <si>
    <t>NOVA INTEGRAL</t>
  </si>
  <si>
    <t>DESPACHO DE HARINA DE CAMARON</t>
  </si>
  <si>
    <t>CAB-3</t>
  </si>
  <si>
    <t>JOSE CHAVEZ</t>
  </si>
  <si>
    <t>SUBPRODUCTO DE MERLUZA</t>
  </si>
  <si>
    <t>FEDERICO PIONCE</t>
  </si>
  <si>
    <t xml:space="preserve">MORENILLO </t>
  </si>
  <si>
    <t xml:space="preserve">B/P MATIA </t>
  </si>
  <si>
    <t>B/P ANGEL</t>
  </si>
  <si>
    <t xml:space="preserve">SUBPRODUCTO DE CABALLA </t>
  </si>
  <si>
    <t xml:space="preserve">MORENILLO BOTELLA </t>
  </si>
  <si>
    <t xml:space="preserve">TAURA FORTIDEX </t>
  </si>
  <si>
    <t xml:space="preserve">GISIS S.A. </t>
  </si>
  <si>
    <t>FRIGOLANDIA -CEPROFISH</t>
  </si>
  <si>
    <t>BOTELLA</t>
  </si>
  <si>
    <t xml:space="preserve">SUBPRODUCTO DE ATUN COCIDO  </t>
  </si>
  <si>
    <t xml:space="preserve">B/P MARIA JOSE </t>
  </si>
  <si>
    <t>WISTONG SALAZAR</t>
  </si>
  <si>
    <t>B/P ISABELLA</t>
  </si>
  <si>
    <t xml:space="preserve">SUBPRODUCTO DE DORADO   </t>
  </si>
  <si>
    <t xml:space="preserve">MORENILLO GALLINA </t>
  </si>
  <si>
    <t>SARDINA</t>
  </si>
  <si>
    <t xml:space="preserve">GALLINA </t>
  </si>
  <si>
    <t>SUBPRODUCTO DE MORENILLO</t>
  </si>
  <si>
    <t>SUBPRODUCTO DE ALBACORA</t>
  </si>
  <si>
    <t>GALLINA</t>
  </si>
  <si>
    <t xml:space="preserve">COMBUSPETROL </t>
  </si>
  <si>
    <t xml:space="preserve">BOTELLA </t>
  </si>
  <si>
    <t xml:space="preserve">MUELLE FORTIDEX </t>
  </si>
  <si>
    <t>B/P ALZOMAR</t>
  </si>
  <si>
    <t>POLLA</t>
  </si>
  <si>
    <t>B/P DOÑA BERTHA</t>
  </si>
  <si>
    <t>COMBUSPETROL</t>
  </si>
  <si>
    <t xml:space="preserve">CARLOS COBEÑA </t>
  </si>
  <si>
    <t xml:space="preserve">INGRESO DE HARINA DE PESCADO </t>
  </si>
  <si>
    <t xml:space="preserve">JUAN DELGADO </t>
  </si>
  <si>
    <t xml:space="preserve">PRODUCCION SEAFMAN      </t>
  </si>
  <si>
    <t>Traslado harina Camaron Taura Part.</t>
  </si>
  <si>
    <t>Materia Prima</t>
  </si>
  <si>
    <t>Despacho harina Venta</t>
  </si>
  <si>
    <t>Cab-11</t>
  </si>
  <si>
    <t>Sub-Prod. Pelagicos Seafman</t>
  </si>
  <si>
    <t>SEMANA 01 al 07</t>
  </si>
  <si>
    <t>SEMANA 06 08  al 14</t>
  </si>
  <si>
    <t>SEMANA 15 al 21</t>
  </si>
  <si>
    <t>SEMANA 22 al 28</t>
  </si>
  <si>
    <t>Iñiga Bohorquez Hugo</t>
  </si>
  <si>
    <t>Valencia Yagual Anderson</t>
  </si>
  <si>
    <t>Castro Choez Edgar</t>
  </si>
  <si>
    <t>Quinde Flores Victor</t>
  </si>
  <si>
    <t>Villon De Los Angeles Pablo</t>
  </si>
  <si>
    <t>Marquez Arias Rene</t>
  </si>
  <si>
    <t>Villacreses De La A Carlos</t>
  </si>
  <si>
    <t>Tuaza Vargas Galo</t>
  </si>
  <si>
    <t>Pionce Pachay Federico</t>
  </si>
  <si>
    <t>Maldonado Reyes Santiago</t>
  </si>
  <si>
    <t>Sr. Pionce Pachay Federico Demecio</t>
  </si>
  <si>
    <t xml:space="preserve">Sr. Valencia Yagual Anderson </t>
  </si>
  <si>
    <t>Sr. Crespin Figueroa Fidel</t>
  </si>
  <si>
    <t>Sr. Castro Choez Edgar</t>
  </si>
  <si>
    <t>Sr. Iñiga Bohorquez Hugo</t>
  </si>
  <si>
    <t>Sr. Maldonado Reyes Santiago</t>
  </si>
  <si>
    <t>Sr. Marquez Arias Rene</t>
  </si>
  <si>
    <t>Sr. Valencia Yagual Anderson</t>
  </si>
  <si>
    <t xml:space="preserve">Sr. Villacreses De La A Carlos </t>
  </si>
  <si>
    <t>Sr. Villon De Los Angeles Pablo</t>
  </si>
  <si>
    <t>HIGHNESS ENTERPRISE CO.,.LTD</t>
  </si>
  <si>
    <t>JOSE APO</t>
  </si>
  <si>
    <t>EDUARDO DUARTE</t>
  </si>
  <si>
    <t>ANTONIO MALAVE PEREZ</t>
  </si>
  <si>
    <t xml:space="preserve">PAÑOS USADOS </t>
  </si>
  <si>
    <t>JOSE LEON</t>
  </si>
  <si>
    <t>CESAR INTRIAGO</t>
  </si>
  <si>
    <t>CAM-8</t>
  </si>
  <si>
    <t xml:space="preserve">SUBPRODUCTO DE DORADO </t>
  </si>
  <si>
    <t xml:space="preserve">DAVID GONZALEZ </t>
  </si>
  <si>
    <t xml:space="preserve">PLATAFORMA </t>
  </si>
  <si>
    <t xml:space="preserve">INGRESO DE MALLAS USADAS </t>
  </si>
  <si>
    <t>GISIS S.A.</t>
  </si>
  <si>
    <t xml:space="preserve">CARLOS VILLAACRESES </t>
  </si>
  <si>
    <t>CAB-8</t>
  </si>
  <si>
    <t xml:space="preserve">DESPACHO DE HIDROLIZADO DE PESCADO </t>
  </si>
  <si>
    <t xml:space="preserve">GALO TUAZA </t>
  </si>
  <si>
    <t xml:space="preserve">DOCAPES </t>
  </si>
  <si>
    <t xml:space="preserve">JAIME ALBAN </t>
  </si>
  <si>
    <t xml:space="preserve">PROMOPESCA </t>
  </si>
  <si>
    <t xml:space="preserve">SANTIAGO MALDONADO </t>
  </si>
  <si>
    <t xml:space="preserve">SEAFMAN </t>
  </si>
  <si>
    <t xml:space="preserve">ALFREDO CEDEÑO </t>
  </si>
  <si>
    <t xml:space="preserve">SUBPRODUCTO DE BUCHE </t>
  </si>
  <si>
    <t>AGUA DE COCCION</t>
  </si>
  <si>
    <t>CEPROFISH - MOLPO</t>
  </si>
  <si>
    <t>PRODUCCION #58</t>
  </si>
  <si>
    <t>DESPACHO ACEITE DE PESCADO</t>
  </si>
  <si>
    <t xml:space="preserve">JAIVER ICAZA </t>
  </si>
  <si>
    <t xml:space="preserve">INGRESO DE MALLAS USADAS CADENA CABOS </t>
  </si>
  <si>
    <t>B/P DIEGO ARMANDO</t>
  </si>
  <si>
    <t>FIDEL CRESPIN</t>
  </si>
  <si>
    <t>CORBATA BOTELLA</t>
  </si>
  <si>
    <t xml:space="preserve">CARGIL PROTEISENC </t>
  </si>
  <si>
    <t xml:space="preserve">OSWALDO VELEZ </t>
  </si>
  <si>
    <t xml:space="preserve">VICTOR QUINDE </t>
  </si>
  <si>
    <t>HERNAN MAZZINI</t>
  </si>
  <si>
    <t xml:space="preserve">FAUSTO GARCIA </t>
  </si>
  <si>
    <t xml:space="preserve">CHUHUECO </t>
  </si>
  <si>
    <t>WILSON YAGUAL</t>
  </si>
  <si>
    <t>ROSENDO LINDAO</t>
  </si>
  <si>
    <t xml:space="preserve">CARLOS CRESPIN </t>
  </si>
  <si>
    <t xml:space="preserve">POLLA </t>
  </si>
  <si>
    <t xml:space="preserve">JUAN ARDILA </t>
  </si>
  <si>
    <t>B/P VALENTINA-B/P RUBEN ANDRES-PALBERT</t>
  </si>
  <si>
    <t xml:space="preserve">CHUHUECO-GALLINA-SARDINA-HOJA   </t>
  </si>
  <si>
    <t>MARCOS QUITIO</t>
  </si>
  <si>
    <t xml:space="preserve">B/P JOSSELYN- B/P NIÑA AMYLU   </t>
  </si>
  <si>
    <t xml:space="preserve">FRIGOLANDIA-CEPROMAR      </t>
  </si>
  <si>
    <t xml:space="preserve">LADY SOLIS       </t>
  </si>
  <si>
    <t xml:space="preserve">JUAN MATEO    </t>
  </si>
  <si>
    <t xml:space="preserve">SUBPRODUCTO DE MERLUZA  </t>
  </si>
  <si>
    <t>ENRIQUE CAHLEN</t>
  </si>
  <si>
    <t>VICTOR SILVA</t>
  </si>
  <si>
    <t>GALLINA-POLLA BAGRE</t>
  </si>
  <si>
    <t xml:space="preserve">CAM-7     </t>
  </si>
  <si>
    <t>BINES VACIOS VIEJOS</t>
  </si>
  <si>
    <t xml:space="preserve">SUBPRODUCTO DE VISCERAS 11 TINAS-SUBPRODUCTO DE ATUN COCIDO 3 TINAS            </t>
  </si>
  <si>
    <t xml:space="preserve">SUBPRODUCTO DE ATUN COCIDO      </t>
  </si>
  <si>
    <t xml:space="preserve">ADILISA </t>
  </si>
  <si>
    <t>JOFFRE NARANJO</t>
  </si>
  <si>
    <t>ADIMOLD 70</t>
  </si>
  <si>
    <t xml:space="preserve">B/P VB III </t>
  </si>
  <si>
    <t xml:space="preserve">GALLINA BOTELLA CORBATA </t>
  </si>
  <si>
    <t>B/P MANTARO</t>
  </si>
  <si>
    <t xml:space="preserve">GALLINA MORENILLO CORBATA </t>
  </si>
  <si>
    <t>MARSIPESCA S.A.</t>
  </si>
  <si>
    <t>LUIS PADILLA</t>
  </si>
  <si>
    <t xml:space="preserve">B/P ISABELLA - B/P SAN JORGE </t>
  </si>
  <si>
    <t xml:space="preserve">RENE MARQUEZ </t>
  </si>
  <si>
    <t xml:space="preserve">GALLINA BOTELLA </t>
  </si>
  <si>
    <t xml:space="preserve">BIOMAR </t>
  </si>
  <si>
    <t>INGRESO DE 16 IBC</t>
  </si>
  <si>
    <t>MORENILLO-POLLA-GALLINAZA-SARDINA</t>
  </si>
  <si>
    <t xml:space="preserve">DEVOLUCION DE 5 BINES VACIOS IBC  </t>
  </si>
  <si>
    <t>HENRIQUE CHALEN</t>
  </si>
  <si>
    <t>POLLA-BAGRE-GALLINA</t>
  </si>
  <si>
    <t>POLLA-BAGRE</t>
  </si>
  <si>
    <t xml:space="preserve">CEPROFISH  </t>
  </si>
  <si>
    <t>CRISTHIAN CRESPIN</t>
  </si>
  <si>
    <t>PRODUCCION #59</t>
  </si>
  <si>
    <t xml:space="preserve">RENATO AYALA </t>
  </si>
  <si>
    <t xml:space="preserve">RETIRO DE SACOS VACIOS </t>
  </si>
  <si>
    <t>INGRESO DE SACOS VACIOS NUEVOS</t>
  </si>
  <si>
    <t>MORENILLO 94% BARRIGA JUMA 6%</t>
  </si>
  <si>
    <t>B/P DON FAUSTO - B/P DIEGO ARMANDO</t>
  </si>
  <si>
    <t xml:space="preserve">B/P DOÑA PATTY </t>
  </si>
  <si>
    <t>B/P DOÑA PATTY - B/P MARIA VIOLETA</t>
  </si>
  <si>
    <t xml:space="preserve">B/P RUBEN ANDRES </t>
  </si>
  <si>
    <t xml:space="preserve">ESCAMAS SOLIDO </t>
  </si>
  <si>
    <t xml:space="preserve">SUBPRODUCTO DE VISCERAS-SUBP ATUN COCIDO  </t>
  </si>
  <si>
    <t>PABLO CARRERA</t>
  </si>
  <si>
    <t>SOLORCAMP</t>
  </si>
  <si>
    <t>CRISTHIAN MAGALLANES</t>
  </si>
  <si>
    <t xml:space="preserve">B/P MARIA VIOLETA </t>
  </si>
  <si>
    <t>PRODUCCION #60</t>
  </si>
  <si>
    <t xml:space="preserve">BOTELLA CORBATA - RONCADOR </t>
  </si>
  <si>
    <t>MORENILLO 85% BOTELLA 10% GALLINAZA 5%</t>
  </si>
  <si>
    <t>PRODUCCION PROMOPESCA</t>
  </si>
  <si>
    <t>PRODUCCION #61</t>
  </si>
  <si>
    <t xml:space="preserve">BARRIGA JUMA </t>
  </si>
  <si>
    <t xml:space="preserve">B/P HARRY </t>
  </si>
  <si>
    <t xml:space="preserve">SUBPRODUCTO DE ALBACORA - VISCERAS </t>
  </si>
  <si>
    <t xml:space="preserve">SUBPRODUCTO DE ATUN-SUBPRODUCTO DE CABALLA </t>
  </si>
  <si>
    <t xml:space="preserve">CEPROMAR-CEPROFISH     </t>
  </si>
  <si>
    <t xml:space="preserve">B/P REGALITO DIOS I-B/P VB III       </t>
  </si>
  <si>
    <t xml:space="preserve">JAIME ALBAN  </t>
  </si>
  <si>
    <t xml:space="preserve">VOL-4       </t>
  </si>
  <si>
    <t xml:space="preserve">SARDINA-CHULLO--BOTELLA     </t>
  </si>
  <si>
    <t xml:space="preserve">B/P VB III-B/P MARIA VIOLETA-B/P DON FAUSTO                                                         </t>
  </si>
  <si>
    <t>BOTELLA-CHUHUECO</t>
  </si>
  <si>
    <t xml:space="preserve">B/P DION FAUSTO-B/P MARIA JOSE     </t>
  </si>
  <si>
    <t xml:space="preserve">CHUHUECO-MORENILLO     </t>
  </si>
  <si>
    <t>MORENILLO-GALLINA</t>
  </si>
  <si>
    <t>B/P DIJAYMAR IV</t>
  </si>
  <si>
    <t>SARDINA-PICUDILLO</t>
  </si>
  <si>
    <t xml:space="preserve">FAUSTO GUTIERREZ </t>
  </si>
  <si>
    <t xml:space="preserve">HERNAN MAZZINI </t>
  </si>
  <si>
    <t>MARCO QUITIO</t>
  </si>
  <si>
    <t>VOL-2</t>
  </si>
  <si>
    <t>POLLA_BAGRE</t>
  </si>
  <si>
    <t>CEPROMAR/MOLPRO</t>
  </si>
  <si>
    <t>RONNY JORDAN</t>
  </si>
  <si>
    <t>BAGRE</t>
  </si>
  <si>
    <t>ASEQUIM</t>
  </si>
  <si>
    <t>PRODUCTOS QUIMICOS</t>
  </si>
  <si>
    <t xml:space="preserve">B/P VALENTINA-B/P PALBERT     </t>
  </si>
  <si>
    <t xml:space="preserve">MORENILLO-SARDINA    </t>
  </si>
  <si>
    <t xml:space="preserve">B/P REGALITO DE DIOS II-B/P PARDELA    </t>
  </si>
  <si>
    <t xml:space="preserve">BOTELLA-POLL BAGRE-MORENILLO    </t>
  </si>
  <si>
    <t xml:space="preserve">RICHARD QUIMI       </t>
  </si>
  <si>
    <t xml:space="preserve">MARIO AVILA  </t>
  </si>
  <si>
    <t xml:space="preserve">PARTICULAR     </t>
  </si>
  <si>
    <t xml:space="preserve">RESIDUOS DE LIMPIEZAS DE EQUIPOS     </t>
  </si>
  <si>
    <t xml:space="preserve">B/P PARDELA-B/P GUILLERMINA      </t>
  </si>
  <si>
    <t xml:space="preserve">B/P DON FAUSTO        </t>
  </si>
  <si>
    <t xml:space="preserve">FAUSTO GARCIA     </t>
  </si>
  <si>
    <t xml:space="preserve">B/P REGALITO DE DIOS II   </t>
  </si>
  <si>
    <t xml:space="preserve">RONCADOR - BOTELLA </t>
  </si>
  <si>
    <t>SUBPRODUCTO DE ALBACORA - SUB MERLUZA - VISCERAS</t>
  </si>
  <si>
    <t xml:space="preserve">CEPROFISH - FRIGOLANDIA </t>
  </si>
  <si>
    <t>OSCAR PALADINES</t>
  </si>
  <si>
    <t>ALFONSO FRANCO</t>
  </si>
  <si>
    <t xml:space="preserve">SUBPRODUCTO DE BOTELLA </t>
  </si>
  <si>
    <t xml:space="preserve">SUBPRODUCTO DE ATUN COCIDO - SUB PINCHAGUA </t>
  </si>
  <si>
    <t>SUBPRODUCTO DE DORADO-ESCOLAR</t>
  </si>
  <si>
    <t>SACOS NUEVOS</t>
  </si>
  <si>
    <t>PRODUCCION #62</t>
  </si>
  <si>
    <t xml:space="preserve">B/P PALBERT-B/P DIEGO ARMANDO-B/P DOÑA BERTHA                                     </t>
  </si>
  <si>
    <t xml:space="preserve">SARDINA-HOJA-MORENILLO-PICUDILLO-CARA    </t>
  </si>
  <si>
    <t>MORENILLO-PICUDILLO</t>
  </si>
  <si>
    <t>MORENILLO-PICUDILLO-CARA</t>
  </si>
  <si>
    <t xml:space="preserve">BODEGA JAMBELI           </t>
  </si>
  <si>
    <t xml:space="preserve">GALO TUAZA    </t>
  </si>
  <si>
    <t xml:space="preserve">CAB-1     </t>
  </si>
  <si>
    <t xml:space="preserve">TRASLADO DE HARINA DE PESCADO   </t>
  </si>
  <si>
    <t xml:space="preserve">B/P MARIA JOSE-B/P VALENTINA     </t>
  </si>
  <si>
    <t xml:space="preserve">CARLOS CRESPIN     </t>
  </si>
  <si>
    <t xml:space="preserve">MUELLE FORTIDEX     </t>
  </si>
  <si>
    <t xml:space="preserve">JAVIER ICAZA  </t>
  </si>
  <si>
    <t xml:space="preserve">LODO </t>
  </si>
  <si>
    <t xml:space="preserve">EDUARDO TOMALA   </t>
  </si>
  <si>
    <t xml:space="preserve">B/P CAMPITO </t>
  </si>
  <si>
    <t>GALO TUAZA</t>
  </si>
  <si>
    <t>CAM-5</t>
  </si>
  <si>
    <t xml:space="preserve">B/P DON FAUSTO </t>
  </si>
  <si>
    <t>RONCADOR - CHUHUECO</t>
  </si>
  <si>
    <t>ENRIQUE CHALEN</t>
  </si>
  <si>
    <t xml:space="preserve">MARCELO VERA YEPEZ    </t>
  </si>
  <si>
    <t>SUBPRODUCTO DE TROMPETA</t>
  </si>
  <si>
    <t xml:space="preserve">CARLOS CHICHANDE </t>
  </si>
  <si>
    <t xml:space="preserve">RUDYGER GONZALEZ    </t>
  </si>
  <si>
    <t>B/P SHIRLEY</t>
  </si>
  <si>
    <t xml:space="preserve">VICTOR MANCILLA  </t>
  </si>
  <si>
    <t>B/P MARIANITA</t>
  </si>
  <si>
    <t>B/P CAMPITO-B/P DIJAYMAR III</t>
  </si>
  <si>
    <t>MORENILLO-HOJA-SARDINA</t>
  </si>
  <si>
    <t>B/P DALMACIA</t>
  </si>
  <si>
    <t xml:space="preserve">SUBPRODUCTO DE TROMPETA  </t>
  </si>
  <si>
    <t xml:space="preserve">DESPACHO DE HIDROLIZADO DE PESCADO   </t>
  </si>
  <si>
    <t xml:space="preserve">ROSENDO LINDAO          </t>
  </si>
  <si>
    <t>CARA-SARDINA-RNCADOR</t>
  </si>
  <si>
    <t>SARDINA-RONCADOR-CARA</t>
  </si>
  <si>
    <t>JHON AVILA</t>
  </si>
  <si>
    <t>JAUN  MATEO</t>
  </si>
  <si>
    <t xml:space="preserve">SUBPRODUCTO DE ALBCORA-MERLUSA-VISCERAS     </t>
  </si>
  <si>
    <t xml:space="preserve">GALLINA-TROMPETA-MORENILLO </t>
  </si>
  <si>
    <t>AGRIPAC</t>
  </si>
  <si>
    <t>JONATHAN CARRASCO</t>
  </si>
  <si>
    <t xml:space="preserve">SERVIRESIDUOS-MUELLE FORTIDEX  </t>
  </si>
  <si>
    <t xml:space="preserve">EDISON CHIPRE  </t>
  </si>
  <si>
    <t>VENTA DE ACEITE FUERA DE USO MUELLE</t>
  </si>
  <si>
    <t xml:space="preserve">JAVIER FRANCO        </t>
  </si>
  <si>
    <t xml:space="preserve">DESECHOS SOLIDO  </t>
  </si>
  <si>
    <t xml:space="preserve">SACOPLAST   </t>
  </si>
  <si>
    <t xml:space="preserve">RENATO AYALA    </t>
  </si>
  <si>
    <t xml:space="preserve">SACOS PLASTICOS      </t>
  </si>
  <si>
    <t xml:space="preserve">2 BINES DE CHATARRAS-1 BIN DE CABOS Y CABLES MALLAS USADAS                                                                                                                                                                                                </t>
  </si>
  <si>
    <t xml:space="preserve">SERVIRESIDUOS  </t>
  </si>
  <si>
    <t xml:space="preserve">VENTA DE ACEITE FUERA DE USO    </t>
  </si>
  <si>
    <t xml:space="preserve">B/P SAN JORGE-B/P MARIA JOSE   </t>
  </si>
  <si>
    <t xml:space="preserve">SARDINA-HOJA-B JUMA-MORENILLO </t>
  </si>
  <si>
    <t xml:space="preserve">B/P MARIA JOSE-B/P DIEGO ARMANDO </t>
  </si>
  <si>
    <t xml:space="preserve">B/P DIEGO ARMANDO </t>
  </si>
  <si>
    <t xml:space="preserve">REYSAC       </t>
  </si>
  <si>
    <t xml:space="preserve">ROOSVELT ALVARADO  </t>
  </si>
  <si>
    <t xml:space="preserve">SACOS NUEVOS </t>
  </si>
  <si>
    <t>B/P ANTONELLA</t>
  </si>
  <si>
    <t xml:space="preserve">B/P JOEL-B/P MARIANITA            </t>
  </si>
  <si>
    <t>PRODUCCION #63</t>
  </si>
  <si>
    <t xml:space="preserve">DESPACHO DE HARINA DE PESCADO </t>
  </si>
  <si>
    <t xml:space="preserve">B/P MARIANITA       </t>
  </si>
  <si>
    <t>ACIDNOVA</t>
  </si>
  <si>
    <t xml:space="preserve">RAFAEL HERRERA   </t>
  </si>
  <si>
    <t xml:space="preserve">B/P HARRY - B/P ALZOMAR </t>
  </si>
  <si>
    <t xml:space="preserve">INGRESO DE 34 IBC VACIOS </t>
  </si>
  <si>
    <t xml:space="preserve">SUBPRODUCTO DE ALBCORA-SUB.MERLUSA-VISCERAS </t>
  </si>
  <si>
    <t xml:space="preserve">SUB.PRODUCTO DE MERLUSA       </t>
  </si>
  <si>
    <t>XIAMEN SEASHINE CEREALS DEVELOPMENT CO., LTD</t>
  </si>
  <si>
    <t xml:space="preserve">WILSON SIMBA   </t>
  </si>
  <si>
    <t xml:space="preserve">JOSE APO   </t>
  </si>
  <si>
    <t xml:space="preserve">MIGUEL UNDA       </t>
  </si>
  <si>
    <t xml:space="preserve">CARLOS MUÑIZ   </t>
  </si>
  <si>
    <t>CHUHUECO-POLLA</t>
  </si>
  <si>
    <t xml:space="preserve">ANGEL MORA    </t>
  </si>
  <si>
    <t xml:space="preserve">ALFONSO MORA     </t>
  </si>
  <si>
    <t xml:space="preserve">B/P DIEGO ARMANDO-B/P RUBEN ANDRES                                                                  </t>
  </si>
  <si>
    <t xml:space="preserve">B/P RUBEN ANDRES                     </t>
  </si>
  <si>
    <t xml:space="preserve">B/P ISABELLA - B/P MARIANITA </t>
  </si>
  <si>
    <t xml:space="preserve">B/P ISABELLA </t>
  </si>
  <si>
    <t xml:space="preserve">JOSELYN BRAVO BRAVO </t>
  </si>
  <si>
    <t xml:space="preserve">FERNANDO ROJAS </t>
  </si>
  <si>
    <t xml:space="preserve">INGRESO DE 10 IBC VACIOS </t>
  </si>
  <si>
    <t xml:space="preserve">GALLINA  </t>
  </si>
  <si>
    <t xml:space="preserve">B/P ALZOMAR </t>
  </si>
  <si>
    <t xml:space="preserve">SUBPRODUCTO DE TILAPIA </t>
  </si>
  <si>
    <t xml:space="preserve"> 23:08</t>
  </si>
  <si>
    <t xml:space="preserve">SARDINA </t>
  </si>
  <si>
    <t>JUAN MATEO</t>
  </si>
  <si>
    <t xml:space="preserve">B/P ALZOMAR - B/P DIYAIMAR IV - B/P JOEL </t>
  </si>
  <si>
    <t>HOJA - CARA</t>
  </si>
  <si>
    <t>CEPROMAR - FRIGOLANDIA - CEPROFISH</t>
  </si>
  <si>
    <t>SUB PRODUCTO DE DORADO - VISCERAS</t>
  </si>
  <si>
    <t xml:space="preserve">EDUARDO DUARTE      </t>
  </si>
  <si>
    <t xml:space="preserve">ALEXIS BASANTE  </t>
  </si>
  <si>
    <t xml:space="preserve">JOSE APO     </t>
  </si>
  <si>
    <t xml:space="preserve">B/P MARIANITA-B/P PALBERT       </t>
  </si>
  <si>
    <t>BOTELLA-MORENILLO</t>
  </si>
  <si>
    <t xml:space="preserve">B/P PALBERT-B/P GUILLERMINA    </t>
  </si>
  <si>
    <t>PRODUCCION #64</t>
  </si>
  <si>
    <t xml:space="preserve">B/P GUILLERMINA-B/P ALBERTO 2      </t>
  </si>
  <si>
    <t>SARDINA-HOJA</t>
  </si>
  <si>
    <t xml:space="preserve">B/P ALBERTO 2-B/P ANTONELLA-B/P VALENTINA                                             </t>
  </si>
  <si>
    <t xml:space="preserve">BOTELLLA-CHULLO-HOJA-MORENILLO    </t>
  </si>
  <si>
    <t>MORENILLO-ÑATA</t>
  </si>
  <si>
    <t xml:space="preserve">B/P VALENTINA-B/P MARIA VIOLETA     </t>
  </si>
  <si>
    <t>MORENILLO-HOJA-CARA</t>
  </si>
  <si>
    <t xml:space="preserve">TANQUERO      </t>
  </si>
  <si>
    <t>PALLET VACIOS</t>
  </si>
  <si>
    <t>B/P MARIA BELEN</t>
  </si>
  <si>
    <t>CHUHUECO - CARA</t>
  </si>
  <si>
    <t>B/P JOSELYN</t>
  </si>
  <si>
    <t>SUB PRODUCTO DE ALBACORA - SUB PRODUCTO DE ATUN - VISCERAS</t>
  </si>
  <si>
    <t xml:space="preserve">SUBP DE ALBACORA- SUBP DE ATUN - SUBP DE DORADO - VISCERAS </t>
  </si>
  <si>
    <t xml:space="preserve">LADY SOLIS </t>
  </si>
  <si>
    <t xml:space="preserve">B/P GUILLERMINA - B/P MARIA JOSE </t>
  </si>
  <si>
    <t xml:space="preserve">GALLINA - BOTELLA </t>
  </si>
  <si>
    <t>B/P VALENTINA - B/P DON FAUSTO III</t>
  </si>
  <si>
    <t xml:space="preserve">BOTELLA GALLINA </t>
  </si>
  <si>
    <t>B/P DON FAUSTO III</t>
  </si>
  <si>
    <t>CAM-4</t>
  </si>
  <si>
    <t xml:space="preserve">INGRESO PALLET VACIOS </t>
  </si>
  <si>
    <t>B/P CAMPITO 1</t>
  </si>
  <si>
    <t xml:space="preserve">B/P CAMPITO 1 - B/P DOÑA BERTHA </t>
  </si>
  <si>
    <t>GALLINA - MORENILLO</t>
  </si>
  <si>
    <t>SUBPRODUCTO DE ALBACORA - SUB ATUN COCIDO - VISCERAS</t>
  </si>
  <si>
    <t>B/P JOEL</t>
  </si>
  <si>
    <t>MIRELLA SORIANO PLUAS</t>
  </si>
  <si>
    <t>05;28</t>
  </si>
  <si>
    <t xml:space="preserve">SUBPRODUCTO DE CORTE DE BOTELLA </t>
  </si>
  <si>
    <t xml:space="preserve">B/P MARIANITA </t>
  </si>
  <si>
    <t>B/P REGALITO DE DIOS III</t>
  </si>
  <si>
    <t>GALLINA 93% BOTELLA 7%</t>
  </si>
  <si>
    <t>INGRESO DE CHATARRA - PALLET MALLAS USADAS</t>
  </si>
  <si>
    <t>GALLINA 86% BOTELLA 14%</t>
  </si>
  <si>
    <t>RICHARD QUIMI</t>
  </si>
  <si>
    <t>JOSE LASER</t>
  </si>
  <si>
    <t xml:space="preserve">HARINA MOJADA DE TECHO </t>
  </si>
  <si>
    <t>HUMBERTO CUERO</t>
  </si>
  <si>
    <t>FAUSTO GARCIA</t>
  </si>
  <si>
    <t xml:space="preserve">MORENILLO BOTELLA GALLINA </t>
  </si>
  <si>
    <t>HARINA LIMPIEZA DE TECHO , SECADOR ROTATUBO</t>
  </si>
  <si>
    <t xml:space="preserve">B/P PARDELA - B/P ISABELLA </t>
  </si>
  <si>
    <t>DESPACHO DE HIDROLIZADO DE PESCADO</t>
  </si>
  <si>
    <t>FERNANDO CASTRO</t>
  </si>
  <si>
    <t>GALLINA 80% BOTELLA 20%</t>
  </si>
  <si>
    <t xml:space="preserve">HERNAN MAZZINI      </t>
  </si>
  <si>
    <t xml:space="preserve">HERNAN YAGUAL   </t>
  </si>
  <si>
    <t xml:space="preserve">JUAN DELGADO         </t>
  </si>
  <si>
    <t xml:space="preserve">VICTOR SILVA </t>
  </si>
  <si>
    <t xml:space="preserve">HERNAN MAZZINI    </t>
  </si>
  <si>
    <t xml:space="preserve">ROSENDO LINDAO     </t>
  </si>
  <si>
    <t xml:space="preserve">PAULINA PALADINES      </t>
  </si>
  <si>
    <t>SUBPRODUCTO DE ATUN COCIDO -SUBP DE CABALLA</t>
  </si>
  <si>
    <t>PRODUCCION #65</t>
  </si>
  <si>
    <t xml:space="preserve">GERARDO GUEVARA </t>
  </si>
  <si>
    <t xml:space="preserve">B/P CAMILA B/P MARIANITA </t>
  </si>
  <si>
    <t>VENTA DE REDES USADAS</t>
  </si>
  <si>
    <t>FREDDY GARCIA</t>
  </si>
  <si>
    <t>GUATAQUIL - IPAC</t>
  </si>
  <si>
    <t xml:space="preserve">INGRESO DE MATERIAL PLAT LAM 2X 1/2 </t>
  </si>
  <si>
    <t>MORENILLO 95% GALLINA 5%</t>
  </si>
  <si>
    <t>INGRESO DE 4 BINES ACIDNOVA</t>
  </si>
  <si>
    <t xml:space="preserve">VICENTE REQUENA </t>
  </si>
  <si>
    <t>GISIS-SKRETTING</t>
  </si>
  <si>
    <t xml:space="preserve">MARIANA QUIJIJE - ALBERTO HIDALGO </t>
  </si>
  <si>
    <t>OSCAR HERNANDEZ</t>
  </si>
  <si>
    <t xml:space="preserve">ALIMENTSA S.A </t>
  </si>
  <si>
    <t xml:space="preserve">INGRESO 20 BINES VACIOS </t>
  </si>
  <si>
    <t>SUBPRODUCTO DE MERLUZA-MORENILLLO</t>
  </si>
  <si>
    <t>BAGRE-SARDINA</t>
  </si>
  <si>
    <t xml:space="preserve">DARWIN CAMACHO         </t>
  </si>
  <si>
    <t>JHON VERA</t>
  </si>
  <si>
    <t xml:space="preserve">VENTAS DE SACOS FUERA DE USO   </t>
  </si>
  <si>
    <t xml:space="preserve">GALLINA-MORENILLO   </t>
  </si>
  <si>
    <t xml:space="preserve">B/P DOÑA BERTHA-B/P SHIRLEY     </t>
  </si>
  <si>
    <t xml:space="preserve">B/P PALBERT-B/P REGALITO DE DIOS I   </t>
  </si>
  <si>
    <t xml:space="preserve">IMPROSA        </t>
  </si>
  <si>
    <t xml:space="preserve">KLEVER PITA    </t>
  </si>
  <si>
    <t xml:space="preserve">B/P CAMPITO II     </t>
  </si>
  <si>
    <t xml:space="preserve">GEOVANNY VERA     </t>
  </si>
  <si>
    <t>VAMATLAB</t>
  </si>
  <si>
    <t>EDGARDO MORA</t>
  </si>
  <si>
    <t>DESTILADOR DE KENDALK</t>
  </si>
  <si>
    <t xml:space="preserve">TAURA FORTIDEX          </t>
  </si>
  <si>
    <t xml:space="preserve">LUIS MENDIETA      </t>
  </si>
  <si>
    <t xml:space="preserve">INGRESO DE HARINA DE CAMARON  </t>
  </si>
  <si>
    <t xml:space="preserve">TAURA FORTIDEX      </t>
  </si>
  <si>
    <t xml:space="preserve">ALBERTO SUAREZ     </t>
  </si>
  <si>
    <t xml:space="preserve">VICENTE REQUENA    </t>
  </si>
  <si>
    <t>LADY SOLIS</t>
  </si>
  <si>
    <t>MORENILLO - GALLINA</t>
  </si>
  <si>
    <t>SUB PRODUCTO DE ATUN COCIDO  - VISCERAS AGALLAS</t>
  </si>
  <si>
    <t>CEPROFISH - CEPROMAR - MOLPRO</t>
  </si>
  <si>
    <t>SOLORCAMP - MANTARO</t>
  </si>
  <si>
    <t>GINO ZAMBRANO</t>
  </si>
  <si>
    <t xml:space="preserve">HOJA SARDINA CARA </t>
  </si>
  <si>
    <t>ELOY AVEIGA</t>
  </si>
  <si>
    <t>CARLOS QUILLUPANQUI</t>
  </si>
  <si>
    <t xml:space="preserve">DESALOJO DE CHATARRA </t>
  </si>
  <si>
    <t>B/P MARIA JOSE - B/P PALBERT</t>
  </si>
  <si>
    <t>FABIAN OLAYA</t>
  </si>
  <si>
    <t>PRODUCCION #66</t>
  </si>
  <si>
    <t xml:space="preserve">B/P VALENTINA    </t>
  </si>
  <si>
    <t>JUNIOR LINDAO</t>
  </si>
  <si>
    <t xml:space="preserve">GEOVANNY VERA        </t>
  </si>
  <si>
    <t xml:space="preserve">HERNAN MAZZINI     </t>
  </si>
  <si>
    <t xml:space="preserve">FAUSTO GARCIA  </t>
  </si>
  <si>
    <t xml:space="preserve">KEVIN GARCIA     </t>
  </si>
  <si>
    <t xml:space="preserve">HILARIO TOMALA </t>
  </si>
  <si>
    <t>B/P.AMYLU</t>
  </si>
  <si>
    <t>CHINA NATIONAL TOWNSHIP ENTERPRISES CO.,. LTD - JAMBELI</t>
  </si>
  <si>
    <t>HERNAN TOVAR</t>
  </si>
  <si>
    <t>JULIO AYALA</t>
  </si>
  <si>
    <t>ARTURO URBANO</t>
  </si>
  <si>
    <t>INGRESO DE SACOS VACIOS NUEVOS 6000 ENTREGADOS - 1972 SACOS NUEVOS POR FACTURAR</t>
  </si>
  <si>
    <t xml:space="preserve">B/P REGALITO DE DIOS III - B/P RUBEN ANDRES </t>
  </si>
  <si>
    <t>FRANKLIN PONTES</t>
  </si>
  <si>
    <t>LEONARDO LOZANO</t>
  </si>
  <si>
    <t xml:space="preserve">ANGEL MORA     </t>
  </si>
  <si>
    <t xml:space="preserve">JUAN ARREAGA      </t>
  </si>
  <si>
    <t xml:space="preserve">NEY PINARGOTE     </t>
  </si>
  <si>
    <t xml:space="preserve">LUIS MENDIETA  </t>
  </si>
  <si>
    <t xml:space="preserve">SUB PRODUCTO DE ALBACORA  </t>
  </si>
  <si>
    <t>SUB PRODUCTO DE ATUN COCIDO - VISCERAS AGALLAS</t>
  </si>
  <si>
    <t>FRIGOLANDIA - MOLPRO- CEPROMAR</t>
  </si>
  <si>
    <t>SUBP DE DORADO - SUBP DE MERLUZA - SUBP DE SELEMBA -SUBP DE ESCOLAR - VISCERAS</t>
  </si>
  <si>
    <t>SUB PRODUCTO DE ATUN COCIDO</t>
  </si>
  <si>
    <t xml:space="preserve">XIAMEN XIANGYU AGRICULTURAL PRODUCTS CO.,.LTD                                                       </t>
  </si>
  <si>
    <t>MEDARDO SAA</t>
  </si>
  <si>
    <t>ALEXIS BASANTES</t>
  </si>
  <si>
    <t xml:space="preserve">NESTOR VACA </t>
  </si>
  <si>
    <t xml:space="preserve">WALTER GUEVARA </t>
  </si>
  <si>
    <t>SHYE YIH FEEDING CO.,.LTD</t>
  </si>
  <si>
    <t>MORENILLO 70% GALLINA 25% GALLINAZA 5%</t>
  </si>
  <si>
    <t>B/P RUBEN ANDRES - B/P PALBERT</t>
  </si>
  <si>
    <t>MORENILLO 96% GALLINA 4%</t>
  </si>
  <si>
    <t>PRODUCCION #67</t>
  </si>
  <si>
    <t>SUBPRODUCTO DE ALBACORA-ATUN</t>
  </si>
  <si>
    <t xml:space="preserve">B/P DANIELA ALEJANDRA-B/P PARDELA     </t>
  </si>
  <si>
    <t xml:space="preserve">ALBERTO HIDALGO           </t>
  </si>
  <si>
    <t xml:space="preserve">JOSE HERRERA      </t>
  </si>
  <si>
    <t xml:space="preserve">PARTICULAR    </t>
  </si>
  <si>
    <t>GALLINA-MORENILLO-PICUDILLO</t>
  </si>
  <si>
    <t xml:space="preserve">B/P MARIA JOSE-B/P VALENTINA    </t>
  </si>
  <si>
    <t>MORENILLO-PICUDILLO-GALLINA</t>
  </si>
  <si>
    <t>GALLINA-MORENILLO</t>
  </si>
  <si>
    <t>CEPROFISH - MOLPRO- CEPROMAR</t>
  </si>
  <si>
    <t>MUELLE FORTIDEX</t>
  </si>
  <si>
    <t xml:space="preserve">FERNANDO CASTRO </t>
  </si>
  <si>
    <t>POLLA - HOJA</t>
  </si>
  <si>
    <t xml:space="preserve">SUB PRODUCTO DE ALBACORA </t>
  </si>
  <si>
    <t>B/P GEPSA</t>
  </si>
  <si>
    <t>GALLINA-LISA</t>
  </si>
  <si>
    <t xml:space="preserve">PLATAFORMA  </t>
  </si>
  <si>
    <t>MALLAS USADA</t>
  </si>
  <si>
    <t xml:space="preserve">JOSE LEON       </t>
  </si>
  <si>
    <t xml:space="preserve">B/P REGALITO DE DIOS I   </t>
  </si>
  <si>
    <t xml:space="preserve">GONZAPESCA  </t>
  </si>
  <si>
    <t xml:space="preserve">B/P GEPSA-B/P CAMPITO      </t>
  </si>
  <si>
    <t xml:space="preserve">GALLINA-MORENILLO  </t>
  </si>
  <si>
    <t>INBALNOR</t>
  </si>
  <si>
    <t xml:space="preserve">SUBPODUCTO DE ATUN COCIDO-CRUDO  </t>
  </si>
  <si>
    <t>MANUEL YAGUAL</t>
  </si>
  <si>
    <t>ALEJANDRO BAZAN</t>
  </si>
  <si>
    <t>CARLOS YAGUAL</t>
  </si>
  <si>
    <t>SUBPRODUCTO DE ALBACORA SUB MERLUZA - SUB DORADO VISCERAS</t>
  </si>
  <si>
    <t>SUBPRODUCTO DE ATUN CODIDO - VISCERAS</t>
  </si>
  <si>
    <t>CEPROMAR - FRIGOLANDIA</t>
  </si>
  <si>
    <t xml:space="preserve">PLAYAS </t>
  </si>
  <si>
    <t>HUMBERTO MATAMOROS</t>
  </si>
  <si>
    <t xml:space="preserve">ARENA </t>
  </si>
  <si>
    <t>XIAMEN SEASHINE CEREALS DEVELOPMENT CO., LTD - JAMBELI</t>
  </si>
  <si>
    <t xml:space="preserve">ERICK ONOFRE      </t>
  </si>
  <si>
    <t xml:space="preserve">MEDARDO SAA    </t>
  </si>
  <si>
    <t xml:space="preserve">ALEXIS BASANTE        </t>
  </si>
  <si>
    <t xml:space="preserve">NESTOR VACA      </t>
  </si>
  <si>
    <t>VOLADORA-GALLINA</t>
  </si>
  <si>
    <t xml:space="preserve">CARLOS MUÑIZ     </t>
  </si>
  <si>
    <t xml:space="preserve">B/P PALBERT-B/P RUBEN ANDRES </t>
  </si>
  <si>
    <t xml:space="preserve">JOSELYN BRAVO BRAVO     </t>
  </si>
  <si>
    <t xml:space="preserve">ROSENDO FLORES        </t>
  </si>
  <si>
    <t>BINES VACIOS IBC</t>
  </si>
  <si>
    <t xml:space="preserve">NEY PINARGOTE  </t>
  </si>
  <si>
    <t xml:space="preserve">JUAN ARREAGA   </t>
  </si>
  <si>
    <t xml:space="preserve">ANGEL MORA                                                  </t>
  </si>
  <si>
    <t xml:space="preserve">VICTOR MANCILLA    </t>
  </si>
  <si>
    <t xml:space="preserve">JAIME VERA </t>
  </si>
  <si>
    <t xml:space="preserve">DESPACHO DE HIDROLIZADO DE PESCADO       </t>
  </si>
  <si>
    <t>B/P DOÑA LETTY</t>
  </si>
  <si>
    <t>GALLINA-PICUDILLO</t>
  </si>
  <si>
    <t xml:space="preserve">FERNANDO CASTRO   </t>
  </si>
  <si>
    <t xml:space="preserve">CAB-10  </t>
  </si>
  <si>
    <t xml:space="preserve">SUB DE DORADO -SUB DE MERLUZA -SUB DE ALBACORA- VISCERAS </t>
  </si>
  <si>
    <t>MARZO</t>
  </si>
  <si>
    <t>SEMANA 29 al 31</t>
  </si>
  <si>
    <t>LUIS CHELE</t>
  </si>
  <si>
    <t>FUZHOU MING CAI TRADE CO., LTD.</t>
  </si>
  <si>
    <t xml:space="preserve">JORGE LANDIVAR         </t>
  </si>
  <si>
    <t>SUBPRODUCTO DE ATUN COCIDO</t>
  </si>
  <si>
    <t xml:space="preserve">SERGIO PINOS  </t>
  </si>
  <si>
    <t xml:space="preserve">ANGEL ARREAGA     </t>
  </si>
  <si>
    <t xml:space="preserve">B/P PARDELA-B/P MARIA JOSE   </t>
  </si>
  <si>
    <t xml:space="preserve">MORENILLO-B JUMA-GALLINA   </t>
  </si>
  <si>
    <t xml:space="preserve">HERNAN MAZZINI          </t>
  </si>
  <si>
    <t xml:space="preserve">FAUSTO GARCIA    </t>
  </si>
  <si>
    <t xml:space="preserve">REYSAC     </t>
  </si>
  <si>
    <t xml:space="preserve">MANUEL BARRE   </t>
  </si>
  <si>
    <t xml:space="preserve">HERNAN MAZZINI  </t>
  </si>
  <si>
    <t xml:space="preserve">HERNAN YAGUAL </t>
  </si>
  <si>
    <t xml:space="preserve">CEPROFISH       </t>
  </si>
  <si>
    <t xml:space="preserve">JAVIER REALPE                                               </t>
  </si>
  <si>
    <t xml:space="preserve">B/P VIRGEN DE FATIMA-B/P CAMPITO       </t>
  </si>
  <si>
    <t>B/P RUBEN ANDRES</t>
  </si>
  <si>
    <t xml:space="preserve">WILSON YAGUAL </t>
  </si>
  <si>
    <t>CALOS CRESPIN</t>
  </si>
  <si>
    <t>MORENILLO PEQUEÑO</t>
  </si>
  <si>
    <t>HERNAN YAGUAL</t>
  </si>
  <si>
    <t>B/P REGALITO DE DIOS II</t>
  </si>
  <si>
    <t>SUBP DE ALBACORA - SUBP DORADO - VICERAS</t>
  </si>
  <si>
    <t>VISCERAS AGALLAS</t>
  </si>
  <si>
    <t xml:space="preserve">CEPROFISH - CEPROMAR   </t>
  </si>
  <si>
    <t>CAM-2</t>
  </si>
  <si>
    <t>70 CANECAS DES K 100</t>
  </si>
  <si>
    <t>SUBPRODUCTO DE ATUN COCIDO - CRUDO</t>
  </si>
  <si>
    <t>PRODUCCION #68</t>
  </si>
  <si>
    <t xml:space="preserve">INGRESO DE PALLET VACIOS </t>
  </si>
  <si>
    <t>JEISON BAILON</t>
  </si>
  <si>
    <t>SUBPRODUCTO DE CABALLA</t>
  </si>
  <si>
    <t xml:space="preserve">ROSENDO LINDAO </t>
  </si>
  <si>
    <t xml:space="preserve">PATRICIO VERA </t>
  </si>
  <si>
    <t>SUBPRODUCTO DE ALBACORA-SUB.MERLUZA-VICERAS</t>
  </si>
  <si>
    <t xml:space="preserve">PALLET DE MALLAS 1-1 BIN  DE CHATARRA                                                                                                                                                                                                                     </t>
  </si>
  <si>
    <t>ANDERSON VALENCIA</t>
  </si>
  <si>
    <t xml:space="preserve">GEOVANNY VERA </t>
  </si>
  <si>
    <t>SUBPRODUCTO DE ALBACORA SUB.MERLUZA SUB TROMPETA VICERAS</t>
  </si>
  <si>
    <t xml:space="preserve">SOLORCAMP </t>
  </si>
  <si>
    <t>JOSE LUIS MACIAS</t>
  </si>
  <si>
    <t>SUB PODUCTO DE ATUN COCIDO</t>
  </si>
  <si>
    <t>PRODUCCION #69</t>
  </si>
  <si>
    <t>CAB-10</t>
  </si>
  <si>
    <t>CAM-02   Plataforma</t>
  </si>
  <si>
    <t>CAM-04   Plataforma</t>
  </si>
  <si>
    <t>INBALNOR - JAMBELI</t>
  </si>
  <si>
    <t xml:space="preserve">HERNAN MAZZINI   </t>
  </si>
  <si>
    <t xml:space="preserve">SUBPRODUCTO DE MERLUZA     </t>
  </si>
  <si>
    <t xml:space="preserve">VICTOR SILVA   </t>
  </si>
  <si>
    <t xml:space="preserve">RAMON BECERRA   </t>
  </si>
  <si>
    <t xml:space="preserve">CEPROMAR-CEPROFISH-FRIGOLANDIA-MOLPRO                                                               </t>
  </si>
  <si>
    <t xml:space="preserve">SUBPRODUCTO DE ATUN COCIDO   </t>
  </si>
  <si>
    <t xml:space="preserve">XIAMEN SEASHINE CEREALS DEVELOPMENT CO., LTD - JAMBELI </t>
  </si>
  <si>
    <t>AL FRENTE DE LA PLANTA</t>
  </si>
  <si>
    <t>MATERIAL RELLENO</t>
  </si>
  <si>
    <t>ANGEL MORA</t>
  </si>
  <si>
    <t>ALEXANDER PANCHANA LIBERTAD</t>
  </si>
  <si>
    <t xml:space="preserve">OSWALDO VERA </t>
  </si>
  <si>
    <t>GESTION EXTERNO</t>
  </si>
  <si>
    <t xml:space="preserve">INGRESO DE IBC VACIOS </t>
  </si>
  <si>
    <t xml:space="preserve">SUBPRODUCTO DE MERLUZA </t>
  </si>
  <si>
    <t>SUB PRODUCTO DE ALBACORA - SUBPRODUCTO DE MERLUZA - VISCERAS</t>
  </si>
  <si>
    <t>SUB PODUCTO DE ATUN CRUDO Y COCIDO</t>
  </si>
  <si>
    <t>GISIS</t>
  </si>
  <si>
    <t xml:space="preserve">PABLO VILLON   </t>
  </si>
  <si>
    <t>SUB PRODUCTO DE ATUN COCIDO - CRUDO</t>
  </si>
  <si>
    <t>CEPROFISH - FRIGOLANDIA - MOLPRO - CEPROMAR</t>
  </si>
  <si>
    <t>Ingresos Varios (Pallets, Bines etc.)</t>
  </si>
  <si>
    <t xml:space="preserve">Venta Aceite </t>
  </si>
  <si>
    <t xml:space="preserve">Export. Harina de Pescado </t>
  </si>
  <si>
    <t>Ventas varios (Sacos, Redes Chatarra etc.)</t>
  </si>
  <si>
    <t>Arias</t>
  </si>
  <si>
    <t>Alcivar</t>
  </si>
  <si>
    <t>Rodriguez</t>
  </si>
  <si>
    <t>William</t>
  </si>
  <si>
    <t>Tuaza</t>
  </si>
  <si>
    <t>Tomala</t>
  </si>
  <si>
    <t>Traslado Har./Camaron Taura</t>
  </si>
  <si>
    <t>Despacho de Aceite</t>
  </si>
  <si>
    <t>Cab-10</t>
  </si>
  <si>
    <t>Cam-04</t>
  </si>
  <si>
    <t>Cam-02</t>
  </si>
  <si>
    <t>CAM-02</t>
  </si>
  <si>
    <t>CAM-04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</si>
</sst>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0070C0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3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Fill="1" applyBorder="1"/>
    <xf numFmtId="10" fontId="9" fillId="0" borderId="0" xfId="0" applyNumberFormat="1" applyFont="1" applyFill="1" applyBorder="1"/>
    <xf numFmtId="2" fontId="9" fillId="0" borderId="0" xfId="0" applyNumberFormat="1" applyFont="1" applyFill="1" applyBorder="1"/>
    <xf numFmtId="2" fontId="8" fillId="0" borderId="0" xfId="0" applyNumberFormat="1" applyFont="1"/>
    <xf numFmtId="0" fontId="12" fillId="3" borderId="2" xfId="0" applyFont="1" applyFill="1" applyBorder="1" applyAlignment="1">
      <alignment vertical="center"/>
    </xf>
    <xf numFmtId="10" fontId="0" fillId="0" borderId="0" xfId="1" applyNumberFormat="1" applyFont="1"/>
    <xf numFmtId="0" fontId="17" fillId="3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17" fillId="3" borderId="4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6" fontId="4" fillId="0" borderId="2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1" fontId="1" fillId="0" borderId="0" xfId="0" applyNumberFormat="1" applyFont="1" applyFill="1" applyAlignment="1">
      <alignment wrapText="1"/>
    </xf>
    <xf numFmtId="1" fontId="13" fillId="0" borderId="0" xfId="0" applyNumberFormat="1" applyFont="1" applyFill="1" applyAlignment="1">
      <alignment vertical="center"/>
    </xf>
    <xf numFmtId="1" fontId="0" fillId="0" borderId="0" xfId="0" applyNumberFormat="1" applyFill="1" applyAlignment="1">
      <alignment vertical="center"/>
    </xf>
    <xf numFmtId="0" fontId="0" fillId="0" borderId="0" xfId="0" applyFill="1" applyAlignment="1">
      <alignment horizontal="left"/>
    </xf>
    <xf numFmtId="0" fontId="0" fillId="0" borderId="0" xfId="0" applyFill="1" applyAlignment="1"/>
    <xf numFmtId="0" fontId="0" fillId="0" borderId="7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6" fillId="0" borderId="0" xfId="0" applyFont="1" applyFill="1"/>
    <xf numFmtId="10" fontId="12" fillId="3" borderId="2" xfId="1" applyNumberFormat="1" applyFont="1" applyFill="1" applyBorder="1" applyAlignment="1">
      <alignment horizontal="center" vertical="center"/>
    </xf>
    <xf numFmtId="10" fontId="12" fillId="4" borderId="2" xfId="1" applyNumberFormat="1" applyFont="1" applyFill="1" applyBorder="1" applyAlignment="1">
      <alignment horizontal="center" vertical="center"/>
    </xf>
    <xf numFmtId="10" fontId="0" fillId="0" borderId="2" xfId="1" applyNumberFormat="1" applyFont="1" applyBorder="1"/>
    <xf numFmtId="0" fontId="1" fillId="0" borderId="2" xfId="0" applyFont="1" applyBorder="1"/>
    <xf numFmtId="0" fontId="17" fillId="0" borderId="2" xfId="0" applyFont="1" applyBorder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9" fontId="0" fillId="0" borderId="0" xfId="1" applyFont="1" applyFill="1"/>
    <xf numFmtId="10" fontId="0" fillId="0" borderId="0" xfId="1" applyNumberFormat="1" applyFont="1" applyFill="1"/>
    <xf numFmtId="0" fontId="1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wrapText="1"/>
    </xf>
    <xf numFmtId="0" fontId="0" fillId="0" borderId="4" xfId="0" applyBorder="1"/>
    <xf numFmtId="2" fontId="0" fillId="0" borderId="8" xfId="0" applyNumberFormat="1" applyFill="1" applyBorder="1" applyAlignment="1">
      <alignment vertical="center"/>
    </xf>
    <xf numFmtId="2" fontId="0" fillId="0" borderId="10" xfId="0" applyNumberFormat="1" applyFill="1" applyBorder="1" applyAlignment="1">
      <alignment vertical="center"/>
    </xf>
    <xf numFmtId="2" fontId="0" fillId="0" borderId="14" xfId="0" applyNumberFormat="1" applyFill="1" applyBorder="1" applyAlignment="1">
      <alignment vertical="center"/>
    </xf>
    <xf numFmtId="2" fontId="0" fillId="0" borderId="2" xfId="0" applyNumberFormat="1" applyBorder="1"/>
    <xf numFmtId="2" fontId="0" fillId="0" borderId="13" xfId="0" applyNumberFormat="1" applyFill="1" applyBorder="1" applyAlignment="1">
      <alignment vertical="center"/>
    </xf>
    <xf numFmtId="2" fontId="0" fillId="0" borderId="15" xfId="0" applyNumberFormat="1" applyFill="1" applyBorder="1" applyAlignment="1">
      <alignment vertical="center"/>
    </xf>
    <xf numFmtId="10" fontId="1" fillId="0" borderId="2" xfId="1" applyNumberFormat="1" applyFont="1" applyBorder="1"/>
    <xf numFmtId="2" fontId="12" fillId="3" borderId="2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2" fontId="0" fillId="0" borderId="0" xfId="0" applyNumberFormat="1" applyFill="1" applyBorder="1" applyAlignment="1">
      <alignment vertical="center"/>
    </xf>
    <xf numFmtId="0" fontId="0" fillId="0" borderId="2" xfId="0" applyFill="1" applyBorder="1"/>
    <xf numFmtId="0" fontId="2" fillId="0" borderId="6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 vertical="center"/>
    </xf>
    <xf numFmtId="16" fontId="0" fillId="0" borderId="0" xfId="0" applyNumberFormat="1" applyFill="1" applyAlignment="1">
      <alignment horizontal="left" vertical="center"/>
    </xf>
    <xf numFmtId="16" fontId="0" fillId="0" borderId="0" xfId="0" applyNumberFormat="1" applyFill="1" applyAlignment="1">
      <alignment vertical="center"/>
    </xf>
    <xf numFmtId="2" fontId="1" fillId="0" borderId="2" xfId="0" applyNumberFormat="1" applyFont="1" applyBorder="1"/>
    <xf numFmtId="2" fontId="0" fillId="0" borderId="4" xfId="0" applyNumberFormat="1" applyBorder="1"/>
    <xf numFmtId="2" fontId="12" fillId="3" borderId="4" xfId="0" applyNumberFormat="1" applyFont="1" applyFill="1" applyBorder="1" applyAlignment="1">
      <alignment vertical="center"/>
    </xf>
    <xf numFmtId="0" fontId="26" fillId="0" borderId="0" xfId="0" applyFont="1" applyAlignment="1">
      <alignment vertical="center" wrapText="1"/>
    </xf>
    <xf numFmtId="0" fontId="2" fillId="0" borderId="11" xfId="0" applyFont="1" applyFill="1" applyBorder="1" applyAlignment="1">
      <alignment horizontal="center" vertical="center"/>
    </xf>
    <xf numFmtId="20" fontId="0" fillId="0" borderId="2" xfId="0" applyNumberFormat="1" applyFill="1" applyBorder="1"/>
    <xf numFmtId="2" fontId="12" fillId="0" borderId="0" xfId="0" applyNumberFormat="1" applyFont="1" applyFill="1" applyAlignment="1">
      <alignment horizontal="center"/>
    </xf>
    <xf numFmtId="0" fontId="0" fillId="0" borderId="0" xfId="0" applyFont="1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2" fontId="0" fillId="0" borderId="35" xfId="0" applyNumberFormat="1" applyFill="1" applyBorder="1" applyAlignment="1">
      <alignment vertical="center"/>
    </xf>
    <xf numFmtId="2" fontId="11" fillId="0" borderId="0" xfId="0" applyNumberFormat="1" applyFont="1" applyFill="1" applyAlignment="1">
      <alignment horizontal="left" vertical="center"/>
    </xf>
    <xf numFmtId="2" fontId="0" fillId="0" borderId="0" xfId="0" applyNumberFormat="1" applyFill="1"/>
    <xf numFmtId="0" fontId="1" fillId="0" borderId="27" xfId="0" applyFont="1" applyFill="1" applyBorder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0" fillId="0" borderId="0" xfId="0" applyNumberFormat="1" applyFill="1" applyBorder="1" applyAlignment="1">
      <alignment horizontal="left" vertical="center"/>
    </xf>
    <xf numFmtId="0" fontId="18" fillId="5" borderId="2" xfId="0" applyFont="1" applyFill="1" applyBorder="1" applyAlignment="1">
      <alignment horizontal="center" vertical="center"/>
    </xf>
    <xf numFmtId="10" fontId="18" fillId="5" borderId="2" xfId="1" applyNumberFormat="1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0" fillId="5" borderId="0" xfId="0" applyFill="1"/>
    <xf numFmtId="0" fontId="1" fillId="5" borderId="4" xfId="0" applyFont="1" applyFill="1" applyBorder="1" applyAlignment="1">
      <alignment horizontal="center" vertical="center"/>
    </xf>
    <xf numFmtId="0" fontId="0" fillId="5" borderId="2" xfId="0" applyFill="1" applyBorder="1"/>
    <xf numFmtId="2" fontId="0" fillId="5" borderId="2" xfId="0" applyNumberFormat="1" applyFill="1" applyBorder="1"/>
    <xf numFmtId="10" fontId="0" fillId="5" borderId="4" xfId="1" applyNumberFormat="1" applyFont="1" applyFill="1" applyBorder="1"/>
    <xf numFmtId="10" fontId="0" fillId="5" borderId="3" xfId="1" applyNumberFormat="1" applyFon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center" vertical="center"/>
    </xf>
    <xf numFmtId="2" fontId="21" fillId="5" borderId="2" xfId="0" applyNumberFormat="1" applyFont="1" applyFill="1" applyBorder="1" applyAlignment="1">
      <alignment vertical="center"/>
    </xf>
    <xf numFmtId="9" fontId="21" fillId="5" borderId="2" xfId="1" applyNumberFormat="1" applyFont="1" applyFill="1" applyBorder="1" applyAlignment="1">
      <alignment horizontal="center" vertical="center"/>
    </xf>
    <xf numFmtId="10" fontId="0" fillId="5" borderId="2" xfId="1" applyNumberFormat="1" applyFont="1" applyFill="1" applyBorder="1"/>
    <xf numFmtId="0" fontId="1" fillId="5" borderId="3" xfId="0" applyFont="1" applyFill="1" applyBorder="1" applyAlignment="1">
      <alignment vertical="center"/>
    </xf>
    <xf numFmtId="10" fontId="0" fillId="5" borderId="2" xfId="1" applyNumberFormat="1" applyFont="1" applyFill="1" applyBorder="1" applyAlignment="1">
      <alignment vertical="center"/>
    </xf>
    <xf numFmtId="2" fontId="0" fillId="5" borderId="2" xfId="0" applyNumberForma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10" fontId="21" fillId="5" borderId="2" xfId="0" applyNumberFormat="1" applyFont="1" applyFill="1" applyBorder="1" applyAlignment="1">
      <alignment vertical="center"/>
    </xf>
    <xf numFmtId="10" fontId="21" fillId="5" borderId="2" xfId="1" applyNumberFormat="1" applyFont="1" applyFill="1" applyBorder="1" applyAlignment="1">
      <alignment horizontal="center" vertical="center"/>
    </xf>
    <xf numFmtId="10" fontId="0" fillId="5" borderId="0" xfId="0" applyNumberFormat="1" applyFill="1"/>
    <xf numFmtId="10" fontId="0" fillId="5" borderId="2" xfId="1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2" fontId="0" fillId="5" borderId="2" xfId="0" applyNumberFormat="1" applyFill="1" applyBorder="1" applyAlignment="1">
      <alignment vertical="center"/>
    </xf>
    <xf numFmtId="10" fontId="21" fillId="5" borderId="4" xfId="1" applyNumberFormat="1" applyFont="1" applyFill="1" applyBorder="1" applyAlignment="1">
      <alignment horizontal="center" vertical="center"/>
    </xf>
    <xf numFmtId="10" fontId="0" fillId="5" borderId="0" xfId="1" applyNumberFormat="1" applyFont="1" applyFill="1"/>
    <xf numFmtId="0" fontId="20" fillId="5" borderId="0" xfId="0" applyFont="1" applyFill="1"/>
    <xf numFmtId="10" fontId="20" fillId="5" borderId="0" xfId="1" applyNumberFormat="1" applyFont="1" applyFill="1"/>
    <xf numFmtId="10" fontId="18" fillId="5" borderId="2" xfId="1" applyNumberFormat="1" applyFont="1" applyFill="1" applyBorder="1" applyAlignment="1">
      <alignment horizontal="center" vertical="center"/>
    </xf>
    <xf numFmtId="9" fontId="21" fillId="5" borderId="2" xfId="1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7" fillId="5" borderId="2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2" fontId="12" fillId="5" borderId="2" xfId="0" applyNumberFormat="1" applyFont="1" applyFill="1" applyBorder="1" applyAlignment="1">
      <alignment vertical="center"/>
    </xf>
    <xf numFmtId="10" fontId="12" fillId="5" borderId="2" xfId="0" applyNumberFormat="1" applyFont="1" applyFill="1" applyBorder="1" applyAlignment="1">
      <alignment vertical="center"/>
    </xf>
    <xf numFmtId="10" fontId="12" fillId="5" borderId="2" xfId="1" applyNumberFormat="1" applyFont="1" applyFill="1" applyBorder="1" applyAlignment="1">
      <alignment horizontal="center" vertical="center"/>
    </xf>
    <xf numFmtId="0" fontId="2" fillId="5" borderId="0" xfId="0" applyFont="1" applyFill="1" applyAlignment="1"/>
    <xf numFmtId="0" fontId="1" fillId="5" borderId="0" xfId="0" applyFont="1" applyFill="1"/>
    <xf numFmtId="0" fontId="0" fillId="5" borderId="1" xfId="0" applyFill="1" applyBorder="1"/>
    <xf numFmtId="0" fontId="1" fillId="5" borderId="6" xfId="0" applyFont="1" applyFill="1" applyBorder="1" applyAlignment="1">
      <alignment horizontal="center" vertical="center"/>
    </xf>
    <xf numFmtId="0" fontId="1" fillId="5" borderId="33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wrapText="1"/>
    </xf>
    <xf numFmtId="0" fontId="18" fillId="5" borderId="34" xfId="0" applyFont="1" applyFill="1" applyBorder="1" applyAlignment="1">
      <alignment horizontal="center" wrapText="1"/>
    </xf>
    <xf numFmtId="0" fontId="18" fillId="5" borderId="35" xfId="0" applyFont="1" applyFill="1" applyBorder="1" applyAlignment="1">
      <alignment horizontal="center" vertical="center" wrapText="1"/>
    </xf>
    <xf numFmtId="0" fontId="18" fillId="5" borderId="0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7" xfId="0" applyFill="1" applyBorder="1" applyAlignment="1">
      <alignment horizontal="center" vertical="center"/>
    </xf>
    <xf numFmtId="0" fontId="0" fillId="5" borderId="7" xfId="0" applyFill="1" applyBorder="1"/>
    <xf numFmtId="2" fontId="0" fillId="5" borderId="7" xfId="0" applyNumberFormat="1" applyFill="1" applyBorder="1"/>
    <xf numFmtId="9" fontId="0" fillId="5" borderId="8" xfId="1" applyFont="1" applyFill="1" applyBorder="1" applyAlignment="1">
      <alignment horizontal="center" vertical="center"/>
    </xf>
    <xf numFmtId="9" fontId="0" fillId="5" borderId="0" xfId="1" applyFont="1" applyFill="1" applyBorder="1" applyAlignment="1">
      <alignment horizontal="center" vertical="center"/>
    </xf>
    <xf numFmtId="9" fontId="0" fillId="5" borderId="10" xfId="1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/>
    <xf numFmtId="2" fontId="0" fillId="5" borderId="12" xfId="0" applyNumberFormat="1" applyFill="1" applyBorder="1"/>
    <xf numFmtId="9" fontId="0" fillId="5" borderId="13" xfId="1" applyFont="1" applyFill="1" applyBorder="1" applyAlignment="1">
      <alignment horizontal="center" vertical="center"/>
    </xf>
    <xf numFmtId="0" fontId="22" fillId="5" borderId="29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0" fontId="12" fillId="5" borderId="4" xfId="0" applyFont="1" applyFill="1" applyBorder="1"/>
    <xf numFmtId="2" fontId="12" fillId="5" borderId="4" xfId="0" applyNumberFormat="1" applyFont="1" applyFill="1" applyBorder="1"/>
    <xf numFmtId="0" fontId="12" fillId="5" borderId="36" xfId="0" applyFont="1" applyFill="1" applyBorder="1" applyAlignment="1">
      <alignment horizontal="center" vertical="center"/>
    </xf>
    <xf numFmtId="9" fontId="12" fillId="5" borderId="26" xfId="1" applyFont="1" applyFill="1" applyBorder="1" applyAlignment="1">
      <alignment horizontal="center" vertical="center"/>
    </xf>
    <xf numFmtId="9" fontId="12" fillId="5" borderId="0" xfId="1" applyFont="1" applyFill="1" applyBorder="1" applyAlignment="1">
      <alignment horizontal="center" vertical="center"/>
    </xf>
    <xf numFmtId="0" fontId="8" fillId="5" borderId="0" xfId="0" applyFont="1" applyFill="1"/>
    <xf numFmtId="2" fontId="12" fillId="5" borderId="12" xfId="0" applyNumberFormat="1" applyFont="1" applyFill="1" applyBorder="1" applyAlignment="1">
      <alignment horizontal="center" vertical="center"/>
    </xf>
    <xf numFmtId="0" fontId="0" fillId="5" borderId="32" xfId="0" applyFill="1" applyBorder="1"/>
    <xf numFmtId="0" fontId="7" fillId="5" borderId="0" xfId="0" applyFont="1" applyFill="1" applyBorder="1" applyAlignment="1">
      <alignment horizontal="center"/>
    </xf>
    <xf numFmtId="0" fontId="23" fillId="5" borderId="40" xfId="0" applyFont="1" applyFill="1" applyBorder="1" applyAlignment="1">
      <alignment horizontal="left" vertical="center" wrapText="1"/>
    </xf>
    <xf numFmtId="2" fontId="12" fillId="5" borderId="40" xfId="0" applyNumberFormat="1" applyFont="1" applyFill="1" applyBorder="1" applyAlignment="1">
      <alignment horizontal="center" vertical="center"/>
    </xf>
    <xf numFmtId="0" fontId="0" fillId="5" borderId="40" xfId="0" applyFill="1" applyBorder="1"/>
    <xf numFmtId="2" fontId="0" fillId="5" borderId="7" xfId="0" applyNumberFormat="1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9" fillId="5" borderId="0" xfId="0" applyFont="1" applyFill="1" applyBorder="1"/>
    <xf numFmtId="2" fontId="0" fillId="5" borderId="12" xfId="0" applyNumberFormat="1" applyFill="1" applyBorder="1" applyAlignment="1">
      <alignment horizontal="center"/>
    </xf>
    <xf numFmtId="0" fontId="24" fillId="5" borderId="29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vertical="center"/>
    </xf>
    <xf numFmtId="0" fontId="12" fillId="5" borderId="4" xfId="0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9" fontId="12" fillId="5" borderId="15" xfId="1" applyFont="1" applyFill="1" applyBorder="1" applyAlignment="1">
      <alignment horizontal="center" vertical="center"/>
    </xf>
    <xf numFmtId="2" fontId="8" fillId="5" borderId="0" xfId="0" applyNumberFormat="1" applyFont="1" applyFill="1"/>
    <xf numFmtId="2" fontId="12" fillId="5" borderId="2" xfId="0" applyNumberFormat="1" applyFont="1" applyFill="1" applyBorder="1" applyAlignment="1">
      <alignment horizontal="center" vertical="center"/>
    </xf>
    <xf numFmtId="9" fontId="12" fillId="5" borderId="13" xfId="1" applyFont="1" applyFill="1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2" fontId="12" fillId="5" borderId="36" xfId="0" applyNumberFormat="1" applyFont="1" applyFill="1" applyBorder="1" applyAlignment="1">
      <alignment horizontal="center" vertical="center"/>
    </xf>
    <xf numFmtId="0" fontId="12" fillId="5" borderId="38" xfId="0" applyFont="1" applyFill="1" applyBorder="1"/>
    <xf numFmtId="2" fontId="12" fillId="5" borderId="4" xfId="0" applyNumberFormat="1" applyFont="1" applyFill="1" applyBorder="1" applyAlignment="1">
      <alignment horizontal="center"/>
    </xf>
    <xf numFmtId="0" fontId="24" fillId="5" borderId="18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2" xfId="0" applyFont="1" applyFill="1" applyBorder="1"/>
    <xf numFmtId="2" fontId="12" fillId="5" borderId="12" xfId="0" applyNumberFormat="1" applyFont="1" applyFill="1" applyBorder="1" applyAlignment="1">
      <alignment horizontal="center"/>
    </xf>
    <xf numFmtId="9" fontId="12" fillId="5" borderId="41" xfId="1" applyFont="1" applyFill="1" applyBorder="1" applyAlignment="1">
      <alignment horizontal="center" vertical="center"/>
    </xf>
    <xf numFmtId="9" fontId="12" fillId="5" borderId="14" xfId="1" applyFont="1" applyFill="1" applyBorder="1" applyAlignment="1">
      <alignment horizontal="center" vertical="center"/>
    </xf>
    <xf numFmtId="2" fontId="12" fillId="5" borderId="0" xfId="0" applyNumberFormat="1" applyFont="1" applyFill="1" applyBorder="1" applyAlignment="1">
      <alignment horizontal="center" vertical="center"/>
    </xf>
    <xf numFmtId="0" fontId="12" fillId="5" borderId="29" xfId="0" applyFont="1" applyFill="1" applyBorder="1"/>
    <xf numFmtId="0" fontId="12" fillId="5" borderId="0" xfId="0" applyFont="1" applyFill="1" applyBorder="1"/>
    <xf numFmtId="2" fontId="12" fillId="5" borderId="3" xfId="0" applyNumberFormat="1" applyFont="1" applyFill="1" applyBorder="1"/>
    <xf numFmtId="0" fontId="12" fillId="5" borderId="28" xfId="0" applyFont="1" applyFill="1" applyBorder="1"/>
    <xf numFmtId="0" fontId="12" fillId="5" borderId="0" xfId="0" applyFont="1" applyFill="1"/>
    <xf numFmtId="0" fontId="23" fillId="5" borderId="0" xfId="0" applyFont="1" applyFill="1" applyBorder="1" applyAlignment="1">
      <alignment horizontal="left" vertical="center" wrapText="1"/>
    </xf>
    <xf numFmtId="2" fontId="12" fillId="5" borderId="0" xfId="0" applyNumberFormat="1" applyFont="1" applyFill="1" applyBorder="1"/>
    <xf numFmtId="0" fontId="23" fillId="5" borderId="22" xfId="0" applyFont="1" applyFill="1" applyBorder="1" applyAlignment="1">
      <alignment horizontal="left" vertical="center" wrapText="1"/>
    </xf>
    <xf numFmtId="2" fontId="23" fillId="5" borderId="22" xfId="0" applyNumberFormat="1" applyFont="1" applyFill="1" applyBorder="1" applyAlignment="1">
      <alignment horizontal="left" vertical="center" wrapText="1"/>
    </xf>
    <xf numFmtId="2" fontId="12" fillId="5" borderId="22" xfId="0" applyNumberFormat="1" applyFont="1" applyFill="1" applyBorder="1" applyAlignment="1">
      <alignment horizontal="center" vertical="center"/>
    </xf>
    <xf numFmtId="9" fontId="12" fillId="5" borderId="22" xfId="1" applyFont="1" applyFill="1" applyBorder="1" applyAlignment="1">
      <alignment horizontal="center" vertical="center"/>
    </xf>
    <xf numFmtId="9" fontId="12" fillId="5" borderId="23" xfId="1" applyFont="1" applyFill="1" applyBorder="1" applyAlignment="1">
      <alignment horizontal="center" vertical="center"/>
    </xf>
    <xf numFmtId="0" fontId="0" fillId="5" borderId="0" xfId="0" applyFill="1" applyBorder="1"/>
    <xf numFmtId="2" fontId="12" fillId="5" borderId="42" xfId="0" applyNumberFormat="1" applyFont="1" applyFill="1" applyBorder="1"/>
    <xf numFmtId="0" fontId="22" fillId="5" borderId="43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12" fillId="5" borderId="4" xfId="0" applyFont="1" applyFill="1" applyBorder="1" applyAlignment="1">
      <alignment vertical="center"/>
    </xf>
    <xf numFmtId="2" fontId="0" fillId="5" borderId="10" xfId="0" applyNumberFormat="1" applyFill="1" applyBorder="1" applyAlignment="1">
      <alignment horizontal="center" vertical="center"/>
    </xf>
    <xf numFmtId="2" fontId="0" fillId="5" borderId="0" xfId="0" applyNumberFormat="1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2" fontId="12" fillId="5" borderId="19" xfId="0" applyNumberFormat="1" applyFont="1" applyFill="1" applyBorder="1" applyAlignment="1">
      <alignment horizontal="center" vertical="center"/>
    </xf>
    <xf numFmtId="10" fontId="12" fillId="5" borderId="15" xfId="1" applyNumberFormat="1" applyFont="1" applyFill="1" applyBorder="1" applyAlignment="1">
      <alignment horizontal="center" vertical="center"/>
    </xf>
    <xf numFmtId="2" fontId="23" fillId="5" borderId="0" xfId="0" applyNumberFormat="1" applyFont="1" applyFill="1" applyBorder="1" applyAlignment="1">
      <alignment horizontal="left" vertical="center" wrapText="1"/>
    </xf>
    <xf numFmtId="9" fontId="12" fillId="5" borderId="0" xfId="1" applyFont="1" applyFill="1" applyBorder="1"/>
    <xf numFmtId="0" fontId="18" fillId="5" borderId="2" xfId="0" applyFont="1" applyFill="1" applyBorder="1" applyAlignment="1">
      <alignment horizontal="center" wrapText="1"/>
    </xf>
    <xf numFmtId="0" fontId="23" fillId="5" borderId="2" xfId="0" applyFont="1" applyFill="1" applyBorder="1" applyAlignment="1">
      <alignment horizontal="left" vertical="center" wrapText="1"/>
    </xf>
    <xf numFmtId="2" fontId="23" fillId="5" borderId="2" xfId="0" applyNumberFormat="1" applyFont="1" applyFill="1" applyBorder="1" applyAlignment="1">
      <alignment horizontal="left" vertical="center" wrapText="1"/>
    </xf>
    <xf numFmtId="0" fontId="12" fillId="5" borderId="2" xfId="0" applyFont="1" applyFill="1" applyBorder="1"/>
    <xf numFmtId="2" fontId="28" fillId="5" borderId="2" xfId="0" applyNumberFormat="1" applyFont="1" applyFill="1" applyBorder="1" applyAlignment="1">
      <alignment horizontal="center" vertical="center" wrapText="1"/>
    </xf>
    <xf numFmtId="9" fontId="12" fillId="5" borderId="2" xfId="1" applyFont="1" applyFill="1" applyBorder="1"/>
    <xf numFmtId="2" fontId="0" fillId="5" borderId="0" xfId="0" applyNumberFormat="1" applyFill="1"/>
    <xf numFmtId="9" fontId="0" fillId="5" borderId="2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2" xfId="0" applyFont="1" applyFill="1" applyBorder="1" applyAlignment="1">
      <alignment wrapText="1"/>
    </xf>
    <xf numFmtId="0" fontId="0" fillId="0" borderId="2" xfId="0" quotePrefix="1" applyBorder="1"/>
    <xf numFmtId="20" fontId="0" fillId="0" borderId="2" xfId="0" applyNumberFormat="1" applyFont="1" applyFill="1" applyBorder="1" applyAlignment="1">
      <alignment wrapText="1"/>
    </xf>
    <xf numFmtId="0" fontId="5" fillId="0" borderId="2" xfId="0" applyFont="1" applyFill="1" applyBorder="1" applyAlignment="1">
      <alignment horizontal="left" indent="2"/>
    </xf>
    <xf numFmtId="20" fontId="5" fillId="0" borderId="2" xfId="0" applyNumberFormat="1" applyFont="1" applyFill="1" applyBorder="1" applyAlignment="1">
      <alignment horizontal="center"/>
    </xf>
    <xf numFmtId="164" fontId="0" fillId="0" borderId="2" xfId="0" applyNumberFormat="1" applyBorder="1"/>
    <xf numFmtId="0" fontId="6" fillId="0" borderId="0" xfId="0" applyFont="1"/>
    <xf numFmtId="0" fontId="13" fillId="0" borderId="2" xfId="0" applyFont="1" applyBorder="1"/>
    <xf numFmtId="0" fontId="1" fillId="0" borderId="3" xfId="0" applyFont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10" fontId="0" fillId="5" borderId="3" xfId="1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10" fontId="0" fillId="5" borderId="2" xfId="1" applyNumberFormat="1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4" fillId="6" borderId="2" xfId="0" applyFont="1" applyFill="1" applyBorder="1" applyAlignment="1"/>
    <xf numFmtId="0" fontId="0" fillId="7" borderId="2" xfId="0" applyFill="1" applyBorder="1"/>
    <xf numFmtId="0" fontId="0" fillId="6" borderId="2" xfId="0" applyFill="1" applyBorder="1"/>
    <xf numFmtId="0" fontId="4" fillId="8" borderId="2" xfId="0" applyFont="1" applyFill="1" applyBorder="1" applyAlignment="1"/>
    <xf numFmtId="0" fontId="0" fillId="8" borderId="2" xfId="0" applyFill="1" applyBorder="1"/>
    <xf numFmtId="0" fontId="0" fillId="9" borderId="2" xfId="0" applyFill="1" applyBorder="1"/>
    <xf numFmtId="0" fontId="0" fillId="3" borderId="2" xfId="0" applyFill="1" applyBorder="1"/>
    <xf numFmtId="0" fontId="4" fillId="3" borderId="2" xfId="0" applyFont="1" applyFill="1" applyBorder="1" applyAlignment="1"/>
    <xf numFmtId="0" fontId="0" fillId="10" borderId="2" xfId="0" applyFill="1" applyBorder="1"/>
    <xf numFmtId="0" fontId="0" fillId="11" borderId="2" xfId="0" applyFill="1" applyBorder="1"/>
    <xf numFmtId="0" fontId="0" fillId="9" borderId="2" xfId="0" applyFont="1" applyFill="1" applyBorder="1" applyAlignment="1">
      <alignment wrapText="1"/>
    </xf>
    <xf numFmtId="0" fontId="0" fillId="12" borderId="2" xfId="0" applyFill="1" applyBorder="1"/>
    <xf numFmtId="0" fontId="0" fillId="13" borderId="2" xfId="0" applyFill="1" applyBorder="1"/>
    <xf numFmtId="0" fontId="4" fillId="13" borderId="2" xfId="0" applyFont="1" applyFill="1" applyBorder="1" applyAlignment="1"/>
    <xf numFmtId="0" fontId="0" fillId="14" borderId="2" xfId="0" applyFill="1" applyBorder="1"/>
    <xf numFmtId="0" fontId="4" fillId="14" borderId="2" xfId="0" applyFont="1" applyFill="1" applyBorder="1" applyAlignment="1"/>
    <xf numFmtId="0" fontId="0" fillId="15" borderId="2" xfId="0" applyFill="1" applyBorder="1"/>
    <xf numFmtId="0" fontId="0" fillId="16" borderId="2" xfId="0" applyFill="1" applyBorder="1"/>
    <xf numFmtId="0" fontId="4" fillId="16" borderId="2" xfId="0" applyFont="1" applyFill="1" applyBorder="1" applyAlignment="1"/>
    <xf numFmtId="1" fontId="0" fillId="0" borderId="0" xfId="0" applyNumberFormat="1" applyFill="1"/>
    <xf numFmtId="10" fontId="0" fillId="0" borderId="0" xfId="0" applyNumberFormat="1" applyFill="1"/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4" xfId="0" applyFill="1" applyBorder="1"/>
    <xf numFmtId="0" fontId="2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 textRotation="45"/>
    </xf>
    <xf numFmtId="0" fontId="16" fillId="0" borderId="17" xfId="0" applyFont="1" applyFill="1" applyBorder="1" applyAlignment="1">
      <alignment horizontal="center" vertical="center" textRotation="45"/>
    </xf>
    <xf numFmtId="0" fontId="16" fillId="0" borderId="24" xfId="0" applyFont="1" applyFill="1" applyBorder="1" applyAlignment="1">
      <alignment horizontal="center" vertical="center" textRotation="45"/>
    </xf>
    <xf numFmtId="0" fontId="16" fillId="0" borderId="39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1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39" xfId="0" applyFont="1" applyFill="1" applyBorder="1" applyAlignment="1">
      <alignment horizontal="center" vertical="center" textRotation="45"/>
    </xf>
    <xf numFmtId="0" fontId="16" fillId="0" borderId="18" xfId="0" applyFont="1" applyFill="1" applyBorder="1" applyAlignment="1">
      <alignment horizontal="center" vertical="center" textRotation="45"/>
    </xf>
    <xf numFmtId="0" fontId="16" fillId="0" borderId="6" xfId="0" applyFont="1" applyFill="1" applyBorder="1" applyAlignment="1">
      <alignment horizontal="center" vertical="center" textRotation="45"/>
    </xf>
    <xf numFmtId="0" fontId="16" fillId="0" borderId="9" xfId="0" applyFont="1" applyFill="1" applyBorder="1" applyAlignment="1">
      <alignment horizontal="center" vertical="center" textRotation="45"/>
    </xf>
    <xf numFmtId="0" fontId="16" fillId="0" borderId="16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0" fillId="5" borderId="2" xfId="1" applyNumberFormat="1" applyFon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0" fontId="0" fillId="5" borderId="3" xfId="1" applyNumberFormat="1" applyFont="1" applyFill="1" applyBorder="1" applyAlignment="1">
      <alignment horizontal="center" vertical="center"/>
    </xf>
    <xf numFmtId="10" fontId="0" fillId="5" borderId="5" xfId="1" applyNumberFormat="1" applyFont="1" applyFill="1" applyBorder="1" applyAlignment="1">
      <alignment horizontal="center" vertical="center"/>
    </xf>
    <xf numFmtId="10" fontId="0" fillId="5" borderId="4" xfId="1" applyNumberFormat="1" applyFont="1" applyFill="1" applyBorder="1" applyAlignment="1">
      <alignment horizontal="center" vertical="center"/>
    </xf>
    <xf numFmtId="0" fontId="17" fillId="5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0" fillId="5" borderId="3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3" fillId="5" borderId="30" xfId="0" applyFont="1" applyFill="1" applyBorder="1" applyAlignment="1">
      <alignment horizontal="left" vertical="center" wrapText="1"/>
    </xf>
    <xf numFmtId="0" fontId="23" fillId="5" borderId="31" xfId="0" applyFont="1" applyFill="1" applyBorder="1" applyAlignment="1">
      <alignment horizontal="left" vertical="center" wrapText="1"/>
    </xf>
    <xf numFmtId="0" fontId="23" fillId="5" borderId="37" xfId="0" applyFont="1" applyFill="1" applyBorder="1" applyAlignment="1">
      <alignment horizontal="left" vertical="center" wrapText="1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25" fillId="5" borderId="16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25" fillId="5" borderId="39" xfId="0" applyFont="1" applyFill="1" applyBorder="1" applyAlignment="1">
      <alignment horizontal="center" vertical="center" wrapText="1"/>
    </xf>
    <xf numFmtId="0" fontId="25" fillId="5" borderId="18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0" fillId="5" borderId="12" xfId="0" applyFill="1" applyBorder="1" applyAlignment="1">
      <alignment horizontal="center" vertical="center"/>
    </xf>
    <xf numFmtId="2" fontId="23" fillId="5" borderId="0" xfId="0" applyNumberFormat="1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left" vertical="center" wrapText="1"/>
    </xf>
    <xf numFmtId="0" fontId="23" fillId="5" borderId="22" xfId="0" applyFont="1" applyFill="1" applyBorder="1" applyAlignment="1">
      <alignment horizontal="left" vertical="center" wrapText="1"/>
    </xf>
    <xf numFmtId="0" fontId="23" fillId="5" borderId="29" xfId="0" applyFont="1" applyFill="1" applyBorder="1" applyAlignment="1">
      <alignment horizontal="left" vertical="center" wrapText="1"/>
    </xf>
    <xf numFmtId="0" fontId="23" fillId="5" borderId="0" xfId="0" applyFont="1" applyFill="1" applyBorder="1" applyAlignment="1">
      <alignment horizontal="left" vertical="center" wrapText="1"/>
    </xf>
    <xf numFmtId="0" fontId="23" fillId="5" borderId="38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30" fillId="5" borderId="0" xfId="0" applyFont="1" applyFill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1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REPORTE GRAFICADO DE VIAJES Y CARGAS </a:t>
            </a:r>
            <a:endParaRPr lang="es-EC" sz="2000">
              <a:effectLst/>
            </a:endParaRPr>
          </a:p>
          <a:p>
            <a:pPr>
              <a:defRPr/>
            </a:pPr>
            <a:r>
              <a:rPr lang="es-EC" sz="1800" b="1" i="1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VEHICULOS DATA</a:t>
            </a:r>
            <a:endParaRPr lang="es-EC" sz="2000">
              <a:effectLst/>
            </a:endParaRPr>
          </a:p>
          <a:p>
            <a:pPr>
              <a:defRPr/>
            </a:pPr>
            <a:r>
              <a:rPr lang="es-EC" sz="1800" b="1" i="1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MES DE MARZO</a:t>
            </a:r>
            <a:endParaRPr lang="es-EC" sz="2000">
              <a:effectLst/>
            </a:endParaRPr>
          </a:p>
        </c:rich>
      </c:tx>
      <c:layout>
        <c:manualLayout>
          <c:xMode val="edge"/>
          <c:yMode val="edge"/>
          <c:x val="0.30977367445682708"/>
          <c:y val="4.4321329639889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2314137377009999E-2"/>
          <c:y val="0.2121054433413215"/>
          <c:w val="0.98515519568151144"/>
          <c:h val="0.63950319189640947"/>
        </c:manualLayout>
      </c:layout>
      <c:bar3DChart>
        <c:barDir val="col"/>
        <c:grouping val="standar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4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6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8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'Viajes y Cargas'!$A$6:$B$43</c:f>
              <c:multiLvlStrCache>
                <c:ptCount val="38"/>
                <c:lvl>
                  <c:pt idx="0">
                    <c:v>VUELTAS</c:v>
                  </c:pt>
                  <c:pt idx="1">
                    <c:v>CARGA</c:v>
                  </c:pt>
                  <c:pt idx="2">
                    <c:v>VUELTAS</c:v>
                  </c:pt>
                  <c:pt idx="3">
                    <c:v>CARGA</c:v>
                  </c:pt>
                  <c:pt idx="4">
                    <c:v>VUELTAS</c:v>
                  </c:pt>
                  <c:pt idx="5">
                    <c:v>CARGA</c:v>
                  </c:pt>
                  <c:pt idx="6">
                    <c:v>VUELTAS</c:v>
                  </c:pt>
                  <c:pt idx="7">
                    <c:v>CARGA</c:v>
                  </c:pt>
                  <c:pt idx="8">
                    <c:v>VUELTAS</c:v>
                  </c:pt>
                  <c:pt idx="9">
                    <c:v>CARGA</c:v>
                  </c:pt>
                  <c:pt idx="10">
                    <c:v>VUELTAS</c:v>
                  </c:pt>
                  <c:pt idx="11">
                    <c:v>CARGA</c:v>
                  </c:pt>
                  <c:pt idx="12">
                    <c:v>VUELTAS</c:v>
                  </c:pt>
                  <c:pt idx="13">
                    <c:v>CARGA</c:v>
                  </c:pt>
                  <c:pt idx="14">
                    <c:v>VUELTAS</c:v>
                  </c:pt>
                  <c:pt idx="15">
                    <c:v>CARGA</c:v>
                  </c:pt>
                  <c:pt idx="16">
                    <c:v>VUELTAS</c:v>
                  </c:pt>
                  <c:pt idx="17">
                    <c:v>CARGA</c:v>
                  </c:pt>
                  <c:pt idx="18">
                    <c:v>VUELTAS</c:v>
                  </c:pt>
                  <c:pt idx="19">
                    <c:v>CARGA</c:v>
                  </c:pt>
                  <c:pt idx="20">
                    <c:v>VUELTAS</c:v>
                  </c:pt>
                  <c:pt idx="21">
                    <c:v>CARGA</c:v>
                  </c:pt>
                  <c:pt idx="22">
                    <c:v>VUELTAS</c:v>
                  </c:pt>
                  <c:pt idx="23">
                    <c:v>CARGA</c:v>
                  </c:pt>
                  <c:pt idx="24">
                    <c:v>VUELTAS</c:v>
                  </c:pt>
                  <c:pt idx="25">
                    <c:v>CARGA</c:v>
                  </c:pt>
                  <c:pt idx="26">
                    <c:v>VUELTAS</c:v>
                  </c:pt>
                  <c:pt idx="27">
                    <c:v>CARGA</c:v>
                  </c:pt>
                  <c:pt idx="28">
                    <c:v>VUELTAS</c:v>
                  </c:pt>
                  <c:pt idx="29">
                    <c:v>CARGA</c:v>
                  </c:pt>
                  <c:pt idx="30">
                    <c:v>VUELTAS</c:v>
                  </c:pt>
                  <c:pt idx="31">
                    <c:v>CARGA</c:v>
                  </c:pt>
                  <c:pt idx="32">
                    <c:v>VUELTAS</c:v>
                  </c:pt>
                  <c:pt idx="33">
                    <c:v>CARGA</c:v>
                  </c:pt>
                  <c:pt idx="34">
                    <c:v>VUELTAS</c:v>
                  </c:pt>
                  <c:pt idx="35">
                    <c:v>CARGA</c:v>
                  </c:pt>
                  <c:pt idx="36">
                    <c:v>VUELTAS</c:v>
                  </c:pt>
                  <c:pt idx="37">
                    <c:v>CARGA</c:v>
                  </c:pt>
                </c:lvl>
                <c:lvl>
                  <c:pt idx="0">
                    <c:v>CAB-01</c:v>
                  </c:pt>
                  <c:pt idx="2">
                    <c:v>CAB-02</c:v>
                  </c:pt>
                  <c:pt idx="4">
                    <c:v>CAB-03</c:v>
                  </c:pt>
                  <c:pt idx="6">
                    <c:v>CAB-05</c:v>
                  </c:pt>
                  <c:pt idx="8">
                    <c:v>CAB-06</c:v>
                  </c:pt>
                  <c:pt idx="10">
                    <c:v>CAB-07</c:v>
                  </c:pt>
                  <c:pt idx="12">
                    <c:v>CAB-08</c:v>
                  </c:pt>
                  <c:pt idx="14">
                    <c:v>CAB-09</c:v>
                  </c:pt>
                  <c:pt idx="16">
                    <c:v>CAB-10</c:v>
                  </c:pt>
                  <c:pt idx="18">
                    <c:v>CAB-11</c:v>
                  </c:pt>
                  <c:pt idx="20">
                    <c:v>CAB-12</c:v>
                  </c:pt>
                  <c:pt idx="22">
                    <c:v>CAM-02   Plataforma</c:v>
                  </c:pt>
                  <c:pt idx="24">
                    <c:v>CAM-04   Plataforma</c:v>
                  </c:pt>
                  <c:pt idx="26">
                    <c:v>CAM-05   Plataforma</c:v>
                  </c:pt>
                  <c:pt idx="28">
                    <c:v>CAM-07</c:v>
                  </c:pt>
                  <c:pt idx="30">
                    <c:v>CAM-08</c:v>
                  </c:pt>
                  <c:pt idx="32">
                    <c:v>CAM-09</c:v>
                  </c:pt>
                  <c:pt idx="34">
                    <c:v>VOL-02</c:v>
                  </c:pt>
                  <c:pt idx="36">
                    <c:v>VOL-04</c:v>
                  </c:pt>
                </c:lvl>
              </c:multiLvlStrCache>
            </c:multiLvlStrRef>
          </c:cat>
          <c:val>
            <c:numRef>
              <c:f>'Viajes y Cargas'!$H$6:$H$43</c:f>
              <c:numCache>
                <c:formatCode>0.000</c:formatCode>
                <c:ptCount val="38"/>
                <c:pt idx="0" formatCode="General">
                  <c:v>26</c:v>
                </c:pt>
                <c:pt idx="1">
                  <c:v>560.52500000000009</c:v>
                </c:pt>
                <c:pt idx="2" formatCode="General">
                  <c:v>48</c:v>
                </c:pt>
                <c:pt idx="3">
                  <c:v>1079.8900000000001</c:v>
                </c:pt>
                <c:pt idx="4" formatCode="General">
                  <c:v>57</c:v>
                </c:pt>
                <c:pt idx="5" formatCode="General">
                  <c:v>1075.7139999999999</c:v>
                </c:pt>
                <c:pt idx="6" formatCode="General">
                  <c:v>35</c:v>
                </c:pt>
                <c:pt idx="7" formatCode="0.00">
                  <c:v>668.77</c:v>
                </c:pt>
                <c:pt idx="8" formatCode="General">
                  <c:v>38</c:v>
                </c:pt>
                <c:pt idx="9" formatCode="0.00">
                  <c:v>819.81000000000006</c:v>
                </c:pt>
                <c:pt idx="10" formatCode="General">
                  <c:v>32</c:v>
                </c:pt>
                <c:pt idx="11" formatCode="0.00">
                  <c:v>746.08999999999992</c:v>
                </c:pt>
                <c:pt idx="12" formatCode="General">
                  <c:v>37</c:v>
                </c:pt>
                <c:pt idx="13" formatCode="0.00">
                  <c:v>857.51</c:v>
                </c:pt>
                <c:pt idx="14" formatCode="General">
                  <c:v>30</c:v>
                </c:pt>
                <c:pt idx="15">
                  <c:v>637.72500000000002</c:v>
                </c:pt>
                <c:pt idx="16" formatCode="General">
                  <c:v>8</c:v>
                </c:pt>
                <c:pt idx="17">
                  <c:v>159.63</c:v>
                </c:pt>
                <c:pt idx="18" formatCode="General">
                  <c:v>43</c:v>
                </c:pt>
                <c:pt idx="19" formatCode="0.00">
                  <c:v>958.56000000000006</c:v>
                </c:pt>
                <c:pt idx="20" formatCode="General">
                  <c:v>24</c:v>
                </c:pt>
                <c:pt idx="21" formatCode="0.00">
                  <c:v>500.22</c:v>
                </c:pt>
                <c:pt idx="22" formatCode="General">
                  <c:v>5</c:v>
                </c:pt>
                <c:pt idx="23" formatCode="0.00">
                  <c:v>53.510000000000005</c:v>
                </c:pt>
                <c:pt idx="24" formatCode="General">
                  <c:v>1</c:v>
                </c:pt>
                <c:pt idx="25" formatCode="0.00">
                  <c:v>5.9</c:v>
                </c:pt>
                <c:pt idx="26" formatCode="General">
                  <c:v>2</c:v>
                </c:pt>
                <c:pt idx="27" formatCode="0.00">
                  <c:v>23.509999999999998</c:v>
                </c:pt>
                <c:pt idx="28" formatCode="General">
                  <c:v>4</c:v>
                </c:pt>
                <c:pt idx="29" formatCode="0.00">
                  <c:v>19.82</c:v>
                </c:pt>
                <c:pt idx="30" formatCode="General">
                  <c:v>25</c:v>
                </c:pt>
                <c:pt idx="31">
                  <c:v>183.21500000000003</c:v>
                </c:pt>
                <c:pt idx="32" formatCode="General">
                  <c:v>14</c:v>
                </c:pt>
                <c:pt idx="33" formatCode="0.00">
                  <c:v>158.63999999999999</c:v>
                </c:pt>
                <c:pt idx="34" formatCode="General">
                  <c:v>63</c:v>
                </c:pt>
                <c:pt idx="35">
                  <c:v>470.80500000000001</c:v>
                </c:pt>
                <c:pt idx="36" formatCode="General">
                  <c:v>68</c:v>
                </c:pt>
                <c:pt idx="37">
                  <c:v>386.69499999999999</c:v>
                </c:pt>
              </c:numCache>
            </c:numRef>
          </c:val>
          <c:shape val="cylinder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3"/>
        <c:gapDepth val="0"/>
        <c:shape val="box"/>
        <c:axId val="-1655026048"/>
        <c:axId val="-1655039648"/>
        <c:axId val="-1459830608"/>
      </c:bar3DChart>
      <c:catAx>
        <c:axId val="-165502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s-EC"/>
          </a:p>
        </c:txPr>
        <c:crossAx val="-1655039648"/>
        <c:crosses val="autoZero"/>
        <c:auto val="1"/>
        <c:lblAlgn val="ctr"/>
        <c:lblOffset val="100"/>
        <c:noMultiLvlLbl val="0"/>
      </c:catAx>
      <c:valAx>
        <c:axId val="-1655039648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-1655026048"/>
        <c:crosses val="autoZero"/>
        <c:crossBetween val="between"/>
      </c:valAx>
      <c:serAx>
        <c:axId val="-1459830608"/>
        <c:scaling>
          <c:orientation val="minMax"/>
        </c:scaling>
        <c:delete val="1"/>
        <c:axPos val="b"/>
        <c:majorTickMark val="none"/>
        <c:minorTickMark val="none"/>
        <c:tickLblPos val="nextTo"/>
        <c:crossAx val="-1655039648"/>
        <c:crosses val="autoZero"/>
      </c:serAx>
      <c:spPr>
        <a:solidFill>
          <a:schemeClr val="bg1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75000"/>
      </a:schemeClr>
    </a:soli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Mes de Marzo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6193387405324447E-2"/>
          <c:y val="8.3303050727761535E-2"/>
          <c:w val="0.92940868574968682"/>
          <c:h val="0.5485731334050824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0773474987713799E-3"/>
                  <c:y val="-1.05366874181332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386737493856709E-3"/>
                  <c:y val="-1.2644024901759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0773474987713799E-3"/>
                  <c:y val="-3.5824737221653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1.8966037352639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2.5288049803519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4.1546949975426834E-3"/>
                  <c:y val="-4.003941218890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-2.950272477077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3.1160212481570696E-3"/>
                  <c:y val="-3.58247372216530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1.0386737493856899E-3"/>
                  <c:y val="-2.73953872871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7.6168528382944334E-17"/>
                  <c:y val="-4.00394121889063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"/>
                  <c:y val="-3.3717399738026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1.5233705676588867E-16"/>
                  <c:y val="-4.003941218890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2.0773474987712277E-3"/>
                  <c:y val="-2.9502724770773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1.5233705676588867E-16"/>
                  <c:y val="-4.42540871561597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2.0773474987712277E-3"/>
                  <c:y val="-3.79320747052798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6.2320424963141392E-3"/>
                  <c:y val="-2.73953872871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1.0386737493856138E-3"/>
                  <c:y val="-3.82393104424981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-4.1546949975428361E-3"/>
                  <c:y val="-2.26839887585705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1.5233705676588867E-16"/>
                  <c:y val="-1.6435822212431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>
                <c:manualLayout>
                  <c:x val="-2.0773474987713799E-3"/>
                  <c:y val="-2.73930370207189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>
                <c:manualLayout>
                  <c:x val="0"/>
                  <c:y val="-1.82620246804793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6.2320424963141392E-3"/>
                  <c:y val="-2.14512254223657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-1.5233705676588867E-16"/>
                  <c:y val="-3.1351791001919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0"/>
                  <c:y val="-3.1351791001919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2.0773474987712277E-3"/>
                  <c:y val="-2.9701696738660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BITACORA!$A$923:$A$939</c:f>
              <c:strCache>
                <c:ptCount val="17"/>
                <c:pt idx="0">
                  <c:v>Total de Carga</c:v>
                </c:pt>
                <c:pt idx="1">
                  <c:v>Total de Materia Prima (Pelagico)</c:v>
                </c:pt>
                <c:pt idx="2">
                  <c:v>Transporte  Particular Venta Local</c:v>
                </c:pt>
                <c:pt idx="3">
                  <c:v>Transporte  Venta Local </c:v>
                </c:pt>
                <c:pt idx="4">
                  <c:v>Export. Harina de Pescado </c:v>
                </c:pt>
                <c:pt idx="5">
                  <c:v>Export. Harina de Camaron</c:v>
                </c:pt>
                <c:pt idx="6">
                  <c:v>Traslado harina Pescado Jambeli</c:v>
                </c:pt>
                <c:pt idx="7">
                  <c:v>Traslado harina Camaron Taura Part.</c:v>
                </c:pt>
                <c:pt idx="8">
                  <c:v>Traslado harina Camaron Taura </c:v>
                </c:pt>
                <c:pt idx="9">
                  <c:v>Venta Aceite </c:v>
                </c:pt>
                <c:pt idx="10">
                  <c:v>Venta Aceite Tq./Particular</c:v>
                </c:pt>
                <c:pt idx="11">
                  <c:v>Venta de Hidrolizado</c:v>
                </c:pt>
                <c:pt idx="12">
                  <c:v>Compra de Bunker</c:v>
                </c:pt>
                <c:pt idx="13">
                  <c:v>Materiales de Co nstrucción</c:v>
                </c:pt>
                <c:pt idx="14">
                  <c:v>Agua de Coccion</c:v>
                </c:pt>
                <c:pt idx="15">
                  <c:v>Ventas varios (Sacos, Redes Chatarra etc.)</c:v>
                </c:pt>
                <c:pt idx="16">
                  <c:v>Ingresos Varios (Pallets, Bines etc.)</c:v>
                </c:pt>
              </c:strCache>
            </c:strRef>
          </c:cat>
          <c:val>
            <c:numRef>
              <c:f>BITACORA!$B$923:$B$939</c:f>
              <c:numCache>
                <c:formatCode>0.000</c:formatCode>
                <c:ptCount val="17"/>
                <c:pt idx="0" formatCode="0.00">
                  <c:v>12684.959000000001</c:v>
                </c:pt>
                <c:pt idx="1">
                  <c:v>7118.5349999999999</c:v>
                </c:pt>
                <c:pt idx="2">
                  <c:v>132.69</c:v>
                </c:pt>
                <c:pt idx="3">
                  <c:v>930.42</c:v>
                </c:pt>
                <c:pt idx="4">
                  <c:v>1325</c:v>
                </c:pt>
                <c:pt idx="5">
                  <c:v>100</c:v>
                </c:pt>
                <c:pt idx="6">
                  <c:v>1301.76</c:v>
                </c:pt>
                <c:pt idx="7">
                  <c:v>194.46</c:v>
                </c:pt>
                <c:pt idx="8">
                  <c:v>84.44</c:v>
                </c:pt>
                <c:pt idx="9">
                  <c:v>141.93</c:v>
                </c:pt>
                <c:pt idx="10">
                  <c:v>0.4</c:v>
                </c:pt>
                <c:pt idx="11">
                  <c:v>258.68</c:v>
                </c:pt>
                <c:pt idx="12">
                  <c:v>388.56</c:v>
                </c:pt>
                <c:pt idx="13">
                  <c:v>36.630000000000003</c:v>
                </c:pt>
                <c:pt idx="14">
                  <c:v>525.07399999999996</c:v>
                </c:pt>
                <c:pt idx="15">
                  <c:v>11.6</c:v>
                </c:pt>
                <c:pt idx="16">
                  <c:v>134.78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0773474987713799E-3"/>
                  <c:y val="-2.7395387287146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1933687469284499E-3"/>
                  <c:y val="-2.5288049803519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0773474987713799E-3"/>
                  <c:y val="-1.47513623853866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9.3480637444712088E-3"/>
                  <c:y val="-1.199787436676008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9456787532578167E-2"/>
                      <c:h val="1.8126350446240058E-2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7.2707162456998294E-3"/>
                  <c:y val="-1.06160828321334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6.2320424963141392E-3"/>
                  <c:y val="-5.76532541288087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6.2320424963140629E-3"/>
                  <c:y val="-1.0536687418133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1.3502758742013969E-2"/>
                  <c:y val="-2.10733748362665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3.1160212481570696E-3"/>
                  <c:y val="-1.15218996186831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5.1933687469283736E-3"/>
                  <c:y val="-1.685869986901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6.2320424963141392E-3"/>
                  <c:y val="-1.05366874181333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5.1933687469284499E-3"/>
                  <c:y val="-2.52880498035198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6.2320424963141392E-3"/>
                  <c:y val="-1.2644024901759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9.3480637444712088E-3"/>
                  <c:y val="-1.26440249017599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4.1546949975427598E-3"/>
                  <c:y val="-1.685869986901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7.2707162456998294E-3"/>
                  <c:y val="-4.2885560116053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8.309389995085519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5.193368746928449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8.309389995085366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>
                <c:manualLayout>
                  <c:x val="4.1546949975426071E-3"/>
                  <c:y val="-1.826202468047994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>
                <c:manualLayout>
                  <c:x val="1.4541432491399506E-2"/>
                  <c:y val="-8.00919375354867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1.2464084992628278E-2"/>
                  <c:y val="-1.65009426325901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6.2320424963141392E-3"/>
                  <c:y val="-1.65009426325889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1.1425411243242589E-2"/>
                  <c:y val="-1.650094263258897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1.7657453739556576E-2"/>
                  <c:y val="-8.250471316294485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BITACORA!$A$923:$A$939</c:f>
              <c:strCache>
                <c:ptCount val="17"/>
                <c:pt idx="0">
                  <c:v>Total de Carga</c:v>
                </c:pt>
                <c:pt idx="1">
                  <c:v>Total de Materia Prima (Pelagico)</c:v>
                </c:pt>
                <c:pt idx="2">
                  <c:v>Transporte  Particular Venta Local</c:v>
                </c:pt>
                <c:pt idx="3">
                  <c:v>Transporte  Venta Local </c:v>
                </c:pt>
                <c:pt idx="4">
                  <c:v>Export. Harina de Pescado </c:v>
                </c:pt>
                <c:pt idx="5">
                  <c:v>Export. Harina de Camaron</c:v>
                </c:pt>
                <c:pt idx="6">
                  <c:v>Traslado harina Pescado Jambeli</c:v>
                </c:pt>
                <c:pt idx="7">
                  <c:v>Traslado harina Camaron Taura Part.</c:v>
                </c:pt>
                <c:pt idx="8">
                  <c:v>Traslado harina Camaron Taura </c:v>
                </c:pt>
                <c:pt idx="9">
                  <c:v>Venta Aceite </c:v>
                </c:pt>
                <c:pt idx="10">
                  <c:v>Venta Aceite Tq./Particular</c:v>
                </c:pt>
                <c:pt idx="11">
                  <c:v>Venta de Hidrolizado</c:v>
                </c:pt>
                <c:pt idx="12">
                  <c:v>Compra de Bunker</c:v>
                </c:pt>
                <c:pt idx="13">
                  <c:v>Materiales de Co nstrucción</c:v>
                </c:pt>
                <c:pt idx="14">
                  <c:v>Agua de Coccion</c:v>
                </c:pt>
                <c:pt idx="15">
                  <c:v>Ventas varios (Sacos, Redes Chatarra etc.)</c:v>
                </c:pt>
                <c:pt idx="16">
                  <c:v>Ingresos Varios (Pallets, Bines etc.)</c:v>
                </c:pt>
              </c:strCache>
            </c:strRef>
          </c:cat>
          <c:val>
            <c:numRef>
              <c:f>BITACORA!$C$923:$C$939</c:f>
              <c:numCache>
                <c:formatCode>0.00%</c:formatCode>
                <c:ptCount val="17"/>
                <c:pt idx="0" formatCode="0%">
                  <c:v>1</c:v>
                </c:pt>
                <c:pt idx="1">
                  <c:v>0.56117918867534378</c:v>
                </c:pt>
                <c:pt idx="2">
                  <c:v>1.0460420092804398E-2</c:v>
                </c:pt>
                <c:pt idx="3">
                  <c:v>7.3348285950313272E-2</c:v>
                </c:pt>
                <c:pt idx="4">
                  <c:v>0.10445441723540454</c:v>
                </c:pt>
                <c:pt idx="5">
                  <c:v>7.8833522441814751E-3</c:v>
                </c:pt>
                <c:pt idx="6">
                  <c:v>0.10262232617385676</c:v>
                </c:pt>
                <c:pt idx="7">
                  <c:v>1.5329966774035296E-2</c:v>
                </c:pt>
                <c:pt idx="8">
                  <c:v>6.656702634986837E-3</c:v>
                </c:pt>
                <c:pt idx="9">
                  <c:v>1.1188841840166767E-2</c:v>
                </c:pt>
                <c:pt idx="10">
                  <c:v>3.1533408976725903E-5</c:v>
                </c:pt>
                <c:pt idx="11">
                  <c:v>2.039265558524864E-2</c:v>
                </c:pt>
                <c:pt idx="12">
                  <c:v>3.0631553479991538E-2</c:v>
                </c:pt>
                <c:pt idx="13">
                  <c:v>2.8876719270436745E-3</c:v>
                </c:pt>
                <c:pt idx="14">
                  <c:v>4.1393432962613434E-2</c:v>
                </c:pt>
                <c:pt idx="15">
                  <c:v>9.1446886032505099E-4</c:v>
                </c:pt>
                <c:pt idx="16">
                  <c:v>1.0625182154707792E-2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655039104"/>
        <c:axId val="-1466450992"/>
        <c:axId val="0"/>
      </c:bar3DChart>
      <c:catAx>
        <c:axId val="-16550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0992"/>
        <c:crosses val="autoZero"/>
        <c:auto val="1"/>
        <c:lblAlgn val="ctr"/>
        <c:lblOffset val="100"/>
        <c:noMultiLvlLbl val="0"/>
      </c:catAx>
      <c:valAx>
        <c:axId val="-146645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65503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VIAJES</a:t>
            </a:r>
            <a:r>
              <a:rPr lang="es-EC" baseline="0"/>
              <a:t> DE VEHICULOS POR CARGA TRANSPORTADA</a:t>
            </a:r>
          </a:p>
          <a:p>
            <a:pPr>
              <a:defRPr/>
            </a:pPr>
            <a:r>
              <a:rPr lang="es-EC" baseline="0"/>
              <a:t>CABEZALES</a:t>
            </a:r>
          </a:p>
          <a:p>
            <a:pPr>
              <a:defRPr/>
            </a:pPr>
            <a:r>
              <a:rPr lang="es-EC" baseline="0"/>
              <a:t>MES DE MARZO</a:t>
            </a:r>
            <a:endParaRPr lang="es-EC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2.4387234936861169E-2"/>
          <c:y val="5.9505263664728941E-2"/>
          <c:w val="0.97172362370330601"/>
          <c:h val="0.808225879325664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-6.9060773480662981E-4"/>
                  <c:y val="-3.10232508293477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941349782043108E-3"/>
                  <c:y val="-4.87546328781974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1881838074398249E-3"/>
                  <c:y val="-7.3825395955606967E-3"/>
                </c:manualLayout>
              </c:layout>
              <c:tx>
                <c:rich>
                  <a:bodyPr/>
                  <a:lstStyle/>
                  <a:p>
                    <a:fld id="{8E4DF25E-DF46-47E5-A715-DE599EE72BDF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EC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>
                <c:manualLayout>
                  <c:x val="-2.0058119855086205E-17"/>
                  <c:y val="-5.842894087421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2.1881838074398249E-3"/>
                  <c:y val="-1.2001476119977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2.1881838074398249E-3"/>
                  <c:y val="-8.92218510369936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2.1881838074398448E-3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4.3074484358305513E-8"/>
                  <c:y val="-8.22122208574200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1.0940919037199124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2.1881838074398652E-3"/>
                  <c:y val="-7.77096669855874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5.4704595185995622E-3"/>
                  <c:y val="-1.50807671362546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2.1881838074398249E-3"/>
                  <c:y val="-1.17222789857058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3.2822757111597373E-3"/>
                  <c:y val="-7.38253959556069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2.1881838074398652E-3"/>
                  <c:y val="-2.27789946769484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1.0940919037199525E-3"/>
                  <c:y val="8.2946886351843534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1.0940919037199124E-3"/>
                  <c:y val="-1.22395756300555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-2.1881838074398249E-3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3.2822757111597373E-3"/>
                  <c:y val="-1.77403532116521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-2.1881838074398249E-3"/>
                  <c:y val="-7.75472161996904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1.0940919037199124E-3"/>
                  <c:y val="-1.5049610530302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-2.1881838074399051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2"/>
              <c:layout>
                <c:manualLayout>
                  <c:x val="1.0940919037198322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3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4"/>
              <c:layout>
                <c:manualLayout>
                  <c:x val="-1.0940919037199124E-3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7"/>
              <c:layout>
                <c:manualLayout>
                  <c:x val="-3.2822757111597373E-3"/>
                  <c:y val="-5.842894087421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8"/>
              <c:layout>
                <c:manualLayout>
                  <c:x val="0"/>
                  <c:y val="-2.4795566596820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9"/>
              <c:layout>
                <c:manualLayout>
                  <c:x val="-1.0940488292355943E-3"/>
                  <c:y val="-1.5699777369684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0"/>
              <c:layout>
                <c:manualLayout>
                  <c:x val="3.2822757111596571E-3"/>
                  <c:y val="-2.43186401850872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1"/>
              <c:layout>
                <c:manualLayout>
                  <c:x val="0"/>
                  <c:y val="-7.26603571104720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2"/>
              <c:layout>
                <c:manualLayout>
                  <c:x val="-1.0940919037199124E-3"/>
                  <c:y val="-8.92218510369948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3"/>
              <c:layout>
                <c:manualLayout>
                  <c:x val="5.4704595185995622E-3"/>
                  <c:y val="-5.84289408742191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layout>
                <c:manualLayout>
                  <c:x val="-2.1881838074398249E-3"/>
                  <c:y val="-7.915475158850311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5"/>
              <c:layout>
                <c:manualLayout>
                  <c:x val="-3.2822757111598978E-3"/>
                  <c:y val="-1.42556626222079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6"/>
              <c:layout>
                <c:manualLayout>
                  <c:x val="-4.3763676148796497E-3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7"/>
              <c:layout>
                <c:manualLayout>
                  <c:x val="-1.0940919037199124E-3"/>
                  <c:y val="-5.22958175469166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8"/>
              <c:layout>
                <c:manualLayout>
                  <c:x val="0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9"/>
              <c:layout>
                <c:manualLayout>
                  <c:x val="-1.2137270853453479E-3"/>
                  <c:y val="-1.09976366562387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0"/>
              <c:layout>
                <c:manualLayout>
                  <c:x val="-3.2822757111597373E-3"/>
                  <c:y val="-1.77345340790229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1"/>
              <c:layout>
                <c:manualLayout>
                  <c:x val="5.4704595185995622E-3"/>
                  <c:y val="-5.71463070572027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2"/>
              <c:layout>
                <c:manualLayout>
                  <c:x val="0"/>
                  <c:y val="-1.13763811070381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3"/>
              <c:layout>
                <c:manualLayout>
                  <c:x val="-1.6297166003523212E-16"/>
                  <c:y val="-5.19857825492494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4"/>
              <c:layout>
                <c:manualLayout>
                  <c:x val="5.555916228332583E-4"/>
                  <c:y val="-5.47045301618367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5"/>
              <c:layout>
                <c:manualLayout>
                  <c:x val="0"/>
                  <c:y val="-1.89612114894965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6"/>
              <c:layout>
                <c:manualLayout>
                  <c:x val="0"/>
                  <c:y val="-2.60420578153144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7"/>
              <c:layout>
                <c:manualLayout>
                  <c:x val="-1.6667748684997749E-3"/>
                  <c:y val="-4.13755350103049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8"/>
              <c:layout>
                <c:manualLayout>
                  <c:x val="-5.555916228332583E-4"/>
                  <c:y val="-4.7007313338823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9"/>
              <c:layout>
                <c:manualLayout>
                  <c:x val="0"/>
                  <c:y val="-2.1114786036995699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0"/>
              <c:layout>
                <c:manualLayout>
                  <c:x val="2.2223664913328701E-3"/>
                  <c:y val="-7.73485315803670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1"/>
              <c:layout>
                <c:manualLayout>
                  <c:x val="-1.6667748684997749E-3"/>
                  <c:y val="-2.1123468103606573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2"/>
              <c:layout>
                <c:manualLayout>
                  <c:x val="1.6667748684997749E-3"/>
                  <c:y val="-1.14034604112957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3"/>
              <c:layout>
                <c:manualLayout>
                  <c:x val="5.555916228332583E-4"/>
                  <c:y val="-1.000000434103331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4"/>
              <c:layout>
                <c:manualLayout>
                  <c:x val="0"/>
                  <c:y val="-1.6495926591390256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5"/>
              <c:layout>
                <c:manualLayout>
                  <c:x val="2.2223664913330332E-3"/>
                  <c:y val="1.08612653504364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6"/>
              <c:layout>
                <c:manualLayout>
                  <c:x val="-1.6667748684999378E-3"/>
                  <c:y val="2.3728088091720824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7"/>
              <c:layout>
                <c:manualLayout>
                  <c:x val="0"/>
                  <c:y val="-4.98428762992186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8"/>
              <c:layout>
                <c:manualLayout>
                  <c:x val="-1.6297166003523212E-16"/>
                  <c:y val="-1.0337910374158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layout>
                <c:manualLayout>
                  <c:x val="0"/>
                  <c:y val="-4.72712481642871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0"/>
              <c:layout>
                <c:manualLayout>
                  <c:x val="-1.1111832456665166E-3"/>
                  <c:y val="-2.22174084986145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1"/>
              <c:layout>
                <c:manualLayout>
                  <c:x val="-1.6297166003523212E-16"/>
                  <c:y val="2.60574865677576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3"/>
              <c:layout>
                <c:manualLayout>
                  <c:x val="-2.7779581141662915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4"/>
              <c:layout>
                <c:manualLayout>
                  <c:x val="0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5"/>
              <c:layout>
                <c:manualLayout>
                  <c:x val="-5.555916228332583E-4"/>
                  <c:y val="-2.79839517432547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layout>
                <c:manualLayout>
                  <c:x val="-5.555916228332583E-4"/>
                  <c:y val="-9.020985794291850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7"/>
              <c:layout>
                <c:manualLayout>
                  <c:x val="-1.6667748684997749E-3"/>
                  <c:y val="-1.329703103890963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8"/>
              <c:layout>
                <c:manualLayout>
                  <c:x val="-1.6297166003523212E-16"/>
                  <c:y val="-7.970520342219293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9"/>
              <c:layout>
                <c:manualLayout>
                  <c:x val="-2.2223664913330332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0"/>
              <c:layout>
                <c:manualLayout>
                  <c:x val="0"/>
                  <c:y val="-9.020985794291850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1"/>
              <c:layout>
                <c:manualLayout>
                  <c:x val="-1.6667748684999378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2"/>
              <c:layout>
                <c:manualLayout>
                  <c:x val="0"/>
                  <c:y val="-1.16251043467014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3"/>
              <c:layout>
                <c:manualLayout>
                  <c:x val="-1.6297166003523212E-16"/>
                  <c:y val="-6.104107074972300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4"/>
              <c:layout>
                <c:manualLayout>
                  <c:x val="-2.2223664913330332E-3"/>
                  <c:y val="-1.79090012781952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5"/>
              <c:layout>
                <c:manualLayout>
                  <c:x val="0"/>
                  <c:y val="-2.82407943954273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BITACORA!$A$959:$B$1012</c:f>
              <c:multiLvlStrCache>
                <c:ptCount val="54"/>
                <c:lvl>
                  <c:pt idx="0">
                    <c:v>Materia Prima</c:v>
                  </c:pt>
                  <c:pt idx="1">
                    <c:v>Despacho Hidrolizado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A./Cocción Salica</c:v>
                  </c:pt>
                  <c:pt idx="5">
                    <c:v>Materia Prima</c:v>
                  </c:pt>
                  <c:pt idx="6">
                    <c:v>Scrap  Atun Salica</c:v>
                  </c:pt>
                  <c:pt idx="7">
                    <c:v>Despacho Harina venta</c:v>
                  </c:pt>
                  <c:pt idx="8">
                    <c:v>Traslado Har./Pescado Jambeli</c:v>
                  </c:pt>
                  <c:pt idx="9">
                    <c:v>Traslado Har./Camaron Taura</c:v>
                  </c:pt>
                  <c:pt idx="10">
                    <c:v>A./Cocción Salica</c:v>
                  </c:pt>
                  <c:pt idx="11">
                    <c:v>Materia Prima</c:v>
                  </c:pt>
                  <c:pt idx="12">
                    <c:v>Scrap  Atun Salica</c:v>
                  </c:pt>
                  <c:pt idx="13">
                    <c:v>Traslado Har./Pescado Jambeli</c:v>
                  </c:pt>
                  <c:pt idx="14">
                    <c:v>A./Cocción Salica</c:v>
                  </c:pt>
                  <c:pt idx="15">
                    <c:v>Materia Prima</c:v>
                  </c:pt>
                  <c:pt idx="16">
                    <c:v>Traslado Har./Pescado Jambeli</c:v>
                  </c:pt>
                  <c:pt idx="17">
                    <c:v>Ingreso Varios</c:v>
                  </c:pt>
                  <c:pt idx="18">
                    <c:v>Despacho Hidrolizado Venta</c:v>
                  </c:pt>
                  <c:pt idx="19">
                    <c:v>Materia Prima</c:v>
                  </c:pt>
                  <c:pt idx="20">
                    <c:v>Despacho Harina venta</c:v>
                  </c:pt>
                  <c:pt idx="21">
                    <c:v>Despacho Hidrolizado Venta</c:v>
                  </c:pt>
                  <c:pt idx="22">
                    <c:v>Traslado Har./Pescado Jambeli</c:v>
                  </c:pt>
                  <c:pt idx="23">
                    <c:v>A./Cocción Salica</c:v>
                  </c:pt>
                  <c:pt idx="24">
                    <c:v>Materia Prima</c:v>
                  </c:pt>
                  <c:pt idx="25">
                    <c:v>Despacho Harina venta</c:v>
                  </c:pt>
                  <c:pt idx="26">
                    <c:v>Traslado Har./Pescado Jambeli</c:v>
                  </c:pt>
                  <c:pt idx="27">
                    <c:v>Ingreso Varios</c:v>
                  </c:pt>
                  <c:pt idx="28">
                    <c:v>Despacho de Aceite</c:v>
                  </c:pt>
                  <c:pt idx="29">
                    <c:v>Materia Prima</c:v>
                  </c:pt>
                  <c:pt idx="30">
                    <c:v>Despacho Harina venta</c:v>
                  </c:pt>
                  <c:pt idx="31">
                    <c:v>Traslado Har./Pescado Jambeli</c:v>
                  </c:pt>
                  <c:pt idx="32">
                    <c:v>Despacho Hidrolizado Venta</c:v>
                  </c:pt>
                  <c:pt idx="33">
                    <c:v>Ingreso Varios</c:v>
                  </c:pt>
                  <c:pt idx="34">
                    <c:v>A./Cocción Salica</c:v>
                  </c:pt>
                  <c:pt idx="35">
                    <c:v>Materia Prima</c:v>
                  </c:pt>
                  <c:pt idx="36">
                    <c:v>Despacho harina Venta</c:v>
                  </c:pt>
                  <c:pt idx="37">
                    <c:v>Despacho Hidrolizado Venta</c:v>
                  </c:pt>
                  <c:pt idx="38">
                    <c:v>Traslado Har./Camaron Taura</c:v>
                  </c:pt>
                  <c:pt idx="39">
                    <c:v>Traslado Har./Pescado Jambeli</c:v>
                  </c:pt>
                  <c:pt idx="40">
                    <c:v>Ingreso Varios</c:v>
                  </c:pt>
                  <c:pt idx="41">
                    <c:v>Despacho de Aceite</c:v>
                  </c:pt>
                  <c:pt idx="42">
                    <c:v>Materia Prima</c:v>
                  </c:pt>
                  <c:pt idx="43">
                    <c:v>Traslado Har./Pescado Jambeli</c:v>
                  </c:pt>
                  <c:pt idx="44">
                    <c:v>A./Cocción Salica</c:v>
                  </c:pt>
                  <c:pt idx="45">
                    <c:v>Materia Prima</c:v>
                  </c:pt>
                  <c:pt idx="46">
                    <c:v>Scrap  Atun Manta</c:v>
                  </c:pt>
                  <c:pt idx="47">
                    <c:v>Despacho harina Venta</c:v>
                  </c:pt>
                  <c:pt idx="48">
                    <c:v>Despacho Hidrolizado Venta</c:v>
                  </c:pt>
                  <c:pt idx="49">
                    <c:v>Traslado Har./Camaron Taura</c:v>
                  </c:pt>
                  <c:pt idx="50">
                    <c:v>Traslado Har./Pescado Jambeli</c:v>
                  </c:pt>
                  <c:pt idx="51">
                    <c:v>Ingreso Varios</c:v>
                  </c:pt>
                  <c:pt idx="52">
                    <c:v>Materia Prima</c:v>
                  </c:pt>
                  <c:pt idx="53">
                    <c:v>Scrap  Atun Manta</c:v>
                  </c:pt>
                </c:lvl>
                <c:lvl>
                  <c:pt idx="0">
                    <c:v>Cab-01</c:v>
                  </c:pt>
                  <c:pt idx="5">
                    <c:v>Cab-02</c:v>
                  </c:pt>
                  <c:pt idx="11">
                    <c:v>Cab-03</c:v>
                  </c:pt>
                  <c:pt idx="15">
                    <c:v>Cab-05</c:v>
                  </c:pt>
                  <c:pt idx="19">
                    <c:v>Cab-06</c:v>
                  </c:pt>
                  <c:pt idx="24">
                    <c:v>Cab-07</c:v>
                  </c:pt>
                  <c:pt idx="29">
                    <c:v>Cab-08</c:v>
                  </c:pt>
                  <c:pt idx="35">
                    <c:v>Cab-09</c:v>
                  </c:pt>
                  <c:pt idx="42">
                    <c:v>Cab-10</c:v>
                  </c:pt>
                  <c:pt idx="45">
                    <c:v>Cab-11</c:v>
                  </c:pt>
                  <c:pt idx="52">
                    <c:v>Cab-12</c:v>
                  </c:pt>
                </c:lvl>
              </c:multiLvlStrCache>
            </c:multiLvlStrRef>
          </c:cat>
          <c:val>
            <c:numRef>
              <c:f>BITACORA!$C$959:$C$1012</c:f>
              <c:numCache>
                <c:formatCode>0.00</c:formatCode>
                <c:ptCount val="54"/>
                <c:pt idx="0">
                  <c:v>98.135000000000005</c:v>
                </c:pt>
                <c:pt idx="1">
                  <c:v>23.35</c:v>
                </c:pt>
                <c:pt idx="2">
                  <c:v>387.26</c:v>
                </c:pt>
                <c:pt idx="3">
                  <c:v>10.72</c:v>
                </c:pt>
                <c:pt idx="4">
                  <c:v>41.06</c:v>
                </c:pt>
                <c:pt idx="5">
                  <c:v>409.27</c:v>
                </c:pt>
                <c:pt idx="6">
                  <c:v>342.67</c:v>
                </c:pt>
                <c:pt idx="7">
                  <c:v>70.28</c:v>
                </c:pt>
                <c:pt idx="8">
                  <c:v>175.42</c:v>
                </c:pt>
                <c:pt idx="9">
                  <c:v>21.09</c:v>
                </c:pt>
                <c:pt idx="10">
                  <c:v>61.16</c:v>
                </c:pt>
                <c:pt idx="11">
                  <c:v>649.87</c:v>
                </c:pt>
                <c:pt idx="12">
                  <c:v>179.19</c:v>
                </c:pt>
                <c:pt idx="13">
                  <c:v>105.26</c:v>
                </c:pt>
                <c:pt idx="14">
                  <c:v>141.39400000000001</c:v>
                </c:pt>
                <c:pt idx="15">
                  <c:v>518.26</c:v>
                </c:pt>
                <c:pt idx="16">
                  <c:v>127.23</c:v>
                </c:pt>
                <c:pt idx="17">
                  <c:v>0.31</c:v>
                </c:pt>
                <c:pt idx="18">
                  <c:v>22.97</c:v>
                </c:pt>
                <c:pt idx="19">
                  <c:v>609.17999999999995</c:v>
                </c:pt>
                <c:pt idx="20">
                  <c:v>25.36</c:v>
                </c:pt>
                <c:pt idx="21">
                  <c:v>23.33</c:v>
                </c:pt>
                <c:pt idx="22">
                  <c:v>137.51</c:v>
                </c:pt>
                <c:pt idx="23">
                  <c:v>24.43</c:v>
                </c:pt>
                <c:pt idx="24">
                  <c:v>372.75</c:v>
                </c:pt>
                <c:pt idx="25">
                  <c:v>300.91000000000003</c:v>
                </c:pt>
                <c:pt idx="26">
                  <c:v>50.9</c:v>
                </c:pt>
                <c:pt idx="27">
                  <c:v>1.45</c:v>
                </c:pt>
                <c:pt idx="28">
                  <c:v>20.079999999999998</c:v>
                </c:pt>
                <c:pt idx="29">
                  <c:v>424.62</c:v>
                </c:pt>
                <c:pt idx="30">
                  <c:v>175.64</c:v>
                </c:pt>
                <c:pt idx="31">
                  <c:v>25.37</c:v>
                </c:pt>
                <c:pt idx="32">
                  <c:v>23.47</c:v>
                </c:pt>
                <c:pt idx="33">
                  <c:v>7.63</c:v>
                </c:pt>
                <c:pt idx="34">
                  <c:v>200.78</c:v>
                </c:pt>
                <c:pt idx="35">
                  <c:v>300.27499999999998</c:v>
                </c:pt>
                <c:pt idx="36">
                  <c:v>70.2</c:v>
                </c:pt>
                <c:pt idx="37">
                  <c:v>46.5</c:v>
                </c:pt>
                <c:pt idx="38">
                  <c:v>21.07</c:v>
                </c:pt>
                <c:pt idx="39">
                  <c:v>75.77</c:v>
                </c:pt>
                <c:pt idx="40">
                  <c:v>2.06</c:v>
                </c:pt>
                <c:pt idx="41">
                  <c:v>121.85</c:v>
                </c:pt>
                <c:pt idx="42">
                  <c:v>61.65</c:v>
                </c:pt>
                <c:pt idx="43">
                  <c:v>41.73</c:v>
                </c:pt>
                <c:pt idx="44">
                  <c:v>56.25</c:v>
                </c:pt>
                <c:pt idx="45">
                  <c:v>424.98</c:v>
                </c:pt>
                <c:pt idx="46">
                  <c:v>19.11</c:v>
                </c:pt>
                <c:pt idx="47">
                  <c:v>288.02999999999997</c:v>
                </c:pt>
                <c:pt idx="48">
                  <c:v>46.4</c:v>
                </c:pt>
                <c:pt idx="49">
                  <c:v>42.28</c:v>
                </c:pt>
                <c:pt idx="50">
                  <c:v>101.99</c:v>
                </c:pt>
                <c:pt idx="51">
                  <c:v>35.770000000000003</c:v>
                </c:pt>
                <c:pt idx="52">
                  <c:v>17.190000000000001</c:v>
                </c:pt>
                <c:pt idx="53">
                  <c:v>483.03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-1466456976"/>
        <c:axId val="-1466452624"/>
      </c:barChart>
      <c:catAx>
        <c:axId val="-146645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2624"/>
        <c:crosses val="autoZero"/>
        <c:auto val="1"/>
        <c:lblAlgn val="ctr"/>
        <c:lblOffset val="100"/>
        <c:noMultiLvlLbl val="0"/>
      </c:catAx>
      <c:valAx>
        <c:axId val="-1466452624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VIAJES</a:t>
            </a:r>
            <a:r>
              <a:rPr lang="es-EC" baseline="0"/>
              <a:t> DE VEHICULOS POR CARGA TRANSPORTADA</a:t>
            </a:r>
          </a:p>
          <a:p>
            <a:pPr>
              <a:defRPr/>
            </a:pPr>
            <a:r>
              <a:rPr lang="es-EC" baseline="0"/>
              <a:t>CAMIONES Y VOLQUETAS</a:t>
            </a:r>
          </a:p>
          <a:p>
            <a:pPr>
              <a:defRPr/>
            </a:pPr>
            <a:r>
              <a:rPr lang="es-EC" baseline="0"/>
              <a:t>MES DE MARZO</a:t>
            </a:r>
            <a:endParaRPr lang="es-EC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2.4387234936861169E-2"/>
          <c:y val="5.9505263664728941E-2"/>
          <c:w val="0.97172362370330601"/>
          <c:h val="0.80822587932566414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dLbl>
              <c:idx val="0"/>
              <c:layout>
                <c:manualLayout>
                  <c:x val="-6.9060773480662981E-4"/>
                  <c:y val="-3.102325082934777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0941349782043108E-3"/>
                  <c:y val="-4.87546328781974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1881838074398249E-3"/>
                  <c:y val="-7.3825395955606967E-3"/>
                </c:manualLayout>
              </c:layout>
              <c:tx>
                <c:rich>
                  <a:bodyPr/>
                  <a:lstStyle/>
                  <a:p>
                    <a:fld id="{8E4DF25E-DF46-47E5-A715-DE599EE72BDF}" type="VALUE">
                      <a:rPr lang="en-US" baseline="0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EC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4"/>
              <c:layout>
                <c:manualLayout>
                  <c:x val="-2.0058119855086205E-17"/>
                  <c:y val="-5.842894087421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2.1881838074398249E-3"/>
                  <c:y val="-1.2001476119977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2.1881838074398249E-3"/>
                  <c:y val="-8.922185103699367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2.1881838074398448E-3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4.3074484358305513E-8"/>
                  <c:y val="-8.22122208574200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1.0940919037199124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2.1881838074398652E-3"/>
                  <c:y val="-7.770966698558746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5.4704595185995622E-3"/>
                  <c:y val="-1.50807671362546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2.1881838074398249E-3"/>
                  <c:y val="-1.172227898570589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3"/>
              <c:layout>
                <c:manualLayout>
                  <c:x val="-3.2822757111597373E-3"/>
                  <c:y val="-7.382539595560696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4"/>
              <c:layout>
                <c:manualLayout>
                  <c:x val="-2.1881838074398652E-3"/>
                  <c:y val="-2.277899467694848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5"/>
              <c:layout>
                <c:manualLayout>
                  <c:x val="1.0940919037199525E-3"/>
                  <c:y val="8.2946886351843534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6"/>
              <c:layout>
                <c:manualLayout>
                  <c:x val="1.0940919037199124E-3"/>
                  <c:y val="-1.22395756300555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7"/>
              <c:layout>
                <c:manualLayout>
                  <c:x val="-2.1881838074398249E-3"/>
                  <c:y val="-1.354112162811572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8"/>
              <c:layout>
                <c:manualLayout>
                  <c:x val="-3.2822757111597373E-3"/>
                  <c:y val="-1.77403532116521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9"/>
              <c:layout>
                <c:manualLayout>
                  <c:x val="-2.1881838074398249E-3"/>
                  <c:y val="-7.754721619969048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0"/>
              <c:layout>
                <c:manualLayout>
                  <c:x val="1.0940919037199124E-3"/>
                  <c:y val="-1.5049610530302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1"/>
              <c:layout>
                <c:manualLayout>
                  <c:x val="-2.1881838074399051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2"/>
              <c:layout>
                <c:manualLayout>
                  <c:x val="1.0940919037198322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3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4"/>
              <c:layout>
                <c:manualLayout>
                  <c:x val="-1.0940919037199124E-3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5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6"/>
              <c:layout>
                <c:manualLayout>
                  <c:x val="-2.1881838074398249E-3"/>
                  <c:y val="-2.763603071144230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7"/>
              <c:layout>
                <c:manualLayout>
                  <c:x val="-3.2822757111597373E-3"/>
                  <c:y val="-5.84289408742179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8"/>
              <c:layout>
                <c:manualLayout>
                  <c:x val="0"/>
                  <c:y val="-2.47955665968209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9"/>
              <c:layout>
                <c:manualLayout>
                  <c:x val="-1.0940488292355943E-3"/>
                  <c:y val="-1.5699777369684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0"/>
              <c:layout>
                <c:manualLayout>
                  <c:x val="3.2822757111596571E-3"/>
                  <c:y val="-2.43186401850872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1"/>
              <c:layout>
                <c:manualLayout>
                  <c:x val="0"/>
                  <c:y val="-7.26603571104720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2"/>
              <c:layout>
                <c:manualLayout>
                  <c:x val="-1.0940919037199124E-3"/>
                  <c:y val="-8.922185103699480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3"/>
              <c:layout>
                <c:manualLayout>
                  <c:x val="5.4704595185995622E-3"/>
                  <c:y val="-5.84289408742191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4"/>
              <c:layout>
                <c:manualLayout>
                  <c:x val="-2.1881838074398249E-3"/>
                  <c:y val="-7.915475158850311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5"/>
              <c:layout>
                <c:manualLayout>
                  <c:x val="-3.2822757111598978E-3"/>
                  <c:y val="-1.425566262220795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6"/>
              <c:layout>
                <c:manualLayout>
                  <c:x val="-4.3763676148796497E-3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7"/>
              <c:layout>
                <c:manualLayout>
                  <c:x val="-1.0940919037199124E-3"/>
                  <c:y val="-5.229581754691667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8"/>
              <c:layout>
                <c:manualLayout>
                  <c:x val="0"/>
                  <c:y val="-4.303248579283014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9"/>
              <c:layout>
                <c:manualLayout>
                  <c:x val="-1.2137270853453479E-3"/>
                  <c:y val="-1.09976366562387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0"/>
              <c:layout>
                <c:manualLayout>
                  <c:x val="-3.2822757111597373E-3"/>
                  <c:y val="-1.77345340790229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1"/>
              <c:layout>
                <c:manualLayout>
                  <c:x val="5.4704595185995622E-3"/>
                  <c:y val="-5.714630705720272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2"/>
              <c:layout>
                <c:manualLayout>
                  <c:x val="0"/>
                  <c:y val="-1.137638110703815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3"/>
              <c:layout>
                <c:manualLayout>
                  <c:x val="-1.6297166003523212E-16"/>
                  <c:y val="-5.198578254924947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4"/>
              <c:layout>
                <c:manualLayout>
                  <c:x val="5.555916228332583E-4"/>
                  <c:y val="-5.47045301618367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5"/>
              <c:layout>
                <c:manualLayout>
                  <c:x val="0"/>
                  <c:y val="-1.89612114894965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6"/>
              <c:layout>
                <c:manualLayout>
                  <c:x val="0"/>
                  <c:y val="-2.60420578153144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7"/>
              <c:layout>
                <c:manualLayout>
                  <c:x val="-1.6667748684997749E-3"/>
                  <c:y val="-4.13755350103049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8"/>
              <c:layout>
                <c:manualLayout>
                  <c:x val="-5.555916228332583E-4"/>
                  <c:y val="-4.700731333882329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9"/>
              <c:layout>
                <c:manualLayout>
                  <c:x val="0"/>
                  <c:y val="-2.1114786036995699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0"/>
              <c:layout>
                <c:manualLayout>
                  <c:x val="2.2223664913328701E-3"/>
                  <c:y val="-7.734853158036700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1"/>
              <c:layout>
                <c:manualLayout>
                  <c:x val="-1.6667748684997749E-3"/>
                  <c:y val="-2.1123468103606573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2"/>
              <c:layout>
                <c:manualLayout>
                  <c:x val="1.6667748684997749E-3"/>
                  <c:y val="-1.14034604112957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3"/>
              <c:layout>
                <c:manualLayout>
                  <c:x val="5.555916228332583E-4"/>
                  <c:y val="-1.0000004341033314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4"/>
              <c:layout>
                <c:manualLayout>
                  <c:x val="0"/>
                  <c:y val="-1.6495926591390256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5"/>
              <c:layout>
                <c:manualLayout>
                  <c:x val="2.2223664913330332E-3"/>
                  <c:y val="1.086126535043642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6"/>
              <c:layout>
                <c:manualLayout>
                  <c:x val="-1.6667748684999378E-3"/>
                  <c:y val="2.3728088091720824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7"/>
              <c:layout>
                <c:manualLayout>
                  <c:x val="0"/>
                  <c:y val="-4.98428762992186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8"/>
              <c:layout>
                <c:manualLayout>
                  <c:x val="-1.6297166003523212E-16"/>
                  <c:y val="-1.0337910374158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9"/>
              <c:layout>
                <c:manualLayout>
                  <c:x val="0"/>
                  <c:y val="-4.727124816428715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0"/>
              <c:layout>
                <c:manualLayout>
                  <c:x val="-1.1111832456665166E-3"/>
                  <c:y val="-2.221740849861455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1"/>
              <c:layout>
                <c:manualLayout>
                  <c:x val="-1.6297166003523212E-16"/>
                  <c:y val="2.60574865677576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3"/>
              <c:layout>
                <c:manualLayout>
                  <c:x val="-2.7779581141662915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4"/>
              <c:layout>
                <c:manualLayout>
                  <c:x val="0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5"/>
              <c:layout>
                <c:manualLayout>
                  <c:x val="-5.555916228332583E-4"/>
                  <c:y val="-2.798395174325476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6"/>
              <c:layout>
                <c:manualLayout>
                  <c:x val="-5.555916228332583E-4"/>
                  <c:y val="-9.020985794291850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7"/>
              <c:layout>
                <c:manualLayout>
                  <c:x val="-1.6667748684997749E-3"/>
                  <c:y val="-1.329703103890963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8"/>
              <c:layout>
                <c:manualLayout>
                  <c:x val="-1.6297166003523212E-16"/>
                  <c:y val="-7.9705203422192935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9"/>
              <c:layout>
                <c:manualLayout>
                  <c:x val="-2.2223664913330332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0"/>
              <c:layout>
                <c:manualLayout>
                  <c:x val="0"/>
                  <c:y val="-9.0209857942918502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1"/>
              <c:layout>
                <c:manualLayout>
                  <c:x val="-1.6667748684999378E-3"/>
                  <c:y val="-1.790900127819460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2"/>
              <c:layout>
                <c:manualLayout>
                  <c:x val="0"/>
                  <c:y val="-1.162510434670146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3"/>
              <c:layout>
                <c:manualLayout>
                  <c:x val="-1.6297166003523212E-16"/>
                  <c:y val="-6.104107074972300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4"/>
              <c:layout>
                <c:manualLayout>
                  <c:x val="-2.2223664913330332E-3"/>
                  <c:y val="-1.790900127819525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5"/>
              <c:layout>
                <c:manualLayout>
                  <c:x val="0"/>
                  <c:y val="-2.82407943954273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BITACORA!$A$1017:$B$1028</c:f>
              <c:multiLvlStrCache>
                <c:ptCount val="12"/>
                <c:lvl>
                  <c:pt idx="0">
                    <c:v>Traslado de Harina Jambeli</c:v>
                  </c:pt>
                  <c:pt idx="1">
                    <c:v>Ingreso Varios</c:v>
                  </c:pt>
                  <c:pt idx="2">
                    <c:v>Ingreso Varios</c:v>
                  </c:pt>
                  <c:pt idx="3">
                    <c:v>Traslado de Harina Jambeli</c:v>
                  </c:pt>
                  <c:pt idx="4">
                    <c:v>Sub-Prod. Pelagicos</c:v>
                  </c:pt>
                  <c:pt idx="5">
                    <c:v>Sub-Prod. Pelagicos</c:v>
                  </c:pt>
                  <c:pt idx="6">
                    <c:v>Ingreso Varios</c:v>
                  </c:pt>
                  <c:pt idx="7">
                    <c:v>Sub-Prod. Pelagicos Seafman</c:v>
                  </c:pt>
                  <c:pt idx="8">
                    <c:v>Ingreso Varios</c:v>
                  </c:pt>
                  <c:pt idx="9">
                    <c:v>Materia Prima</c:v>
                  </c:pt>
                  <c:pt idx="10">
                    <c:v>Mat./Contruccion</c:v>
                  </c:pt>
                  <c:pt idx="11">
                    <c:v>Materia Prima</c:v>
                  </c:pt>
                </c:lvl>
                <c:lvl>
                  <c:pt idx="0">
                    <c:v>Cam-02</c:v>
                  </c:pt>
                  <c:pt idx="2">
                    <c:v>Cam-04</c:v>
                  </c:pt>
                  <c:pt idx="3">
                    <c:v>Cam-05</c:v>
                  </c:pt>
                  <c:pt idx="4">
                    <c:v>Cam-07</c:v>
                  </c:pt>
                  <c:pt idx="5">
                    <c:v>Cam-08</c:v>
                  </c:pt>
                  <c:pt idx="7">
                    <c:v>Cam-09</c:v>
                  </c:pt>
                  <c:pt idx="9">
                    <c:v>Vol-02</c:v>
                  </c:pt>
                  <c:pt idx="11">
                    <c:v>Vol-04</c:v>
                  </c:pt>
                </c:lvl>
              </c:multiLvlStrCache>
            </c:multiLvlStrRef>
          </c:cat>
          <c:val>
            <c:numRef>
              <c:f>BITACORA!$C$1017:$C$1028</c:f>
              <c:numCache>
                <c:formatCode>0.00</c:formatCode>
                <c:ptCount val="12"/>
                <c:pt idx="0">
                  <c:v>49.81</c:v>
                </c:pt>
                <c:pt idx="1">
                  <c:v>3.7</c:v>
                </c:pt>
                <c:pt idx="2">
                  <c:v>5.9</c:v>
                </c:pt>
                <c:pt idx="3">
                  <c:v>23.51</c:v>
                </c:pt>
                <c:pt idx="4">
                  <c:v>19.82</c:v>
                </c:pt>
                <c:pt idx="5">
                  <c:v>178.51499999999999</c:v>
                </c:pt>
                <c:pt idx="6">
                  <c:v>4.7</c:v>
                </c:pt>
                <c:pt idx="7">
                  <c:v>158.38</c:v>
                </c:pt>
                <c:pt idx="8">
                  <c:v>0.26</c:v>
                </c:pt>
                <c:pt idx="9">
                  <c:v>440.30500000000001</c:v>
                </c:pt>
                <c:pt idx="10">
                  <c:v>30.5</c:v>
                </c:pt>
                <c:pt idx="11">
                  <c:v>386.69499999999999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-1466456432"/>
        <c:axId val="-1466454256"/>
      </c:barChart>
      <c:catAx>
        <c:axId val="-14664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4256"/>
        <c:crosses val="autoZero"/>
        <c:auto val="1"/>
        <c:lblAlgn val="ctr"/>
        <c:lblOffset val="100"/>
        <c:noMultiLvlLbl val="0"/>
      </c:catAx>
      <c:valAx>
        <c:axId val="-146645425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6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cAM-08</a:t>
            </a:r>
          </a:p>
        </c:rich>
      </c:tx>
      <c:layout>
        <c:manualLayout>
          <c:xMode val="edge"/>
          <c:yMode val="edge"/>
          <c:x val="1.2594154544241313E-2"/>
          <c:y val="4.258703511117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983050847457628"/>
          <c:y val="0.50287822512751945"/>
          <c:w val="0.78093835898389252"/>
          <c:h val="0.347766057544693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-0.48578111928505985"/>
                  <c:y val="-0.13997325805972366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Sub-prod. pelagicos</a:t>
                    </a:r>
                    <a:r>
                      <a:rPr lang="en-US" baseline="0"/>
                      <a:t>
</a:t>
                    </a:r>
                    <a:fld id="{48C9FECC-C191-45D3-A92E-7237A3837ADE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515385355943005"/>
                      <c:h val="0.52955281533204579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0.30740647298880414"/>
                  <c:y val="4.512850987966125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478580953915456"/>
                      <c:h val="0.59931560441737231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2623274161735701"/>
                  <c:y val="0.140833968334603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15384615384615385"/>
                  <c:y val="8.13008130081300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3806706114398418"/>
                  <c:y val="-6.50406504065040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Camiones!$B$29:$B$30</c:f>
              <c:strCache>
                <c:ptCount val="2"/>
                <c:pt idx="0">
                  <c:v>Sub-Prod. Pelagicos</c:v>
                </c:pt>
                <c:pt idx="1">
                  <c:v>Ingreso Varios</c:v>
                </c:pt>
              </c:strCache>
            </c:strRef>
          </c:cat>
          <c:val>
            <c:numRef>
              <c:f>Camiones!$C$29:$C$30</c:f>
              <c:numCache>
                <c:formatCode>0.00</c:formatCode>
                <c:ptCount val="2"/>
                <c:pt idx="0">
                  <c:v>178.51499999999999</c:v>
                </c:pt>
                <c:pt idx="1">
                  <c:v>4.7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Camiones!$B$29:$B$30</c:f>
              <c:strCache>
                <c:ptCount val="2"/>
                <c:pt idx="0">
                  <c:v>Sub-Prod. Pelagicos</c:v>
                </c:pt>
                <c:pt idx="1">
                  <c:v>Ingreso Varios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CAM-02</a:t>
            </a:r>
          </a:p>
        </c:rich>
      </c:tx>
      <c:layout>
        <c:manualLayout>
          <c:xMode val="edge"/>
          <c:yMode val="edge"/>
          <c:x val="0.64393516599898692"/>
          <c:y val="0.12107896127702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5194241070743351"/>
                  <c:y val="-9.12547164237731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52758975303528"/>
                      <c:h val="0.4625097202639760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1500990007827969"/>
                  <c:y val="-4.40009202806864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62783380147652"/>
                      <c:h val="0.35925180071488066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27095516569200778"/>
                  <c:y val="4.400438519290519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899C3E-0D49-4BB6-83DF-55E17C9C84BA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[NOMBRE DE CATEGORÍA]</a:t>
                    </a:fld>
                    <a:r>
                      <a:rPr lang="en-US"/>
                      <a:t>Pallets</a:t>
                    </a:r>
                    <a:r>
                      <a:rPr lang="en-US" baseline="0"/>
                      <a:t> Bines Vacios
</a:t>
                    </a:r>
                    <a:fld id="{6B452F3D-C524-41F9-8BD5-739F9EACD8C6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01754385964914"/>
                      <c:h val="0.35564344112906238"/>
                    </c:manualLayout>
                  </c15:layout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Camiones!$B$2:$B$3</c:f>
              <c:strCache>
                <c:ptCount val="2"/>
                <c:pt idx="0">
                  <c:v>Traslado de Harina Jambeli</c:v>
                </c:pt>
                <c:pt idx="1">
                  <c:v>Ingreso Varios</c:v>
                </c:pt>
              </c:strCache>
            </c:strRef>
          </c:cat>
          <c:val>
            <c:numRef>
              <c:f>Camiones!$C$2:$C$3</c:f>
              <c:numCache>
                <c:formatCode>0.00</c:formatCode>
                <c:ptCount val="2"/>
                <c:pt idx="0">
                  <c:v>49.81</c:v>
                </c:pt>
                <c:pt idx="1">
                  <c:v>3.7</c:v>
                </c:pt>
              </c:numCache>
            </c:numRef>
          </c:val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Camiones!$B$2:$B$3</c:f>
              <c:strCache>
                <c:ptCount val="2"/>
                <c:pt idx="0">
                  <c:v>Traslado de Harina Jambeli</c:v>
                </c:pt>
                <c:pt idx="1">
                  <c:v>Ingreso Varios</c:v>
                </c:pt>
              </c:strCache>
            </c:strRef>
          </c:cat>
          <c:val>
            <c:numRef>
              <c:f>Camiones!$D$2:$D$3</c:f>
              <c:numCache>
                <c:formatCode>0.00%</c:formatCode>
                <c:ptCount val="2"/>
                <c:pt idx="0">
                  <c:v>0.93085404597271537</c:v>
                </c:pt>
                <c:pt idx="1">
                  <c:v>6.9145954027284615E-2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CAM-09</a:t>
            </a:r>
          </a:p>
        </c:rich>
      </c:tx>
      <c:layout>
        <c:manualLayout>
          <c:xMode val="edge"/>
          <c:yMode val="edge"/>
          <c:x val="0.5410259083468224"/>
          <c:y val="8.14165620601772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4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32692558813283362"/>
                  <c:y val="-8.172771881775647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A4B6699-78F8-4942-95CD-883BBC057520}" type="CATEGORYNAME">
                      <a:rPr lang="en-US"/>
                      <a:pPr>
                        <a:defRPr/>
                      </a:pPr>
                      <a:t>[NOMBRE DE CATEGORÍA]</a:t>
                    </a:fld>
                    <a:r>
                      <a:rPr lang="en-US" baseline="0"/>
                      <a:t>
99,84%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755555555555553"/>
                      <c:h val="0.51801970405873177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-0.31129728695572201"/>
                  <c:y val="1.068279508539693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818F0F4-D40A-4B0A-A847-A781BDE3BBBB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[NOMBRE DE CATEGORÍA]</a:t>
                    </a:fld>
                    <a:r>
                      <a:rPr lang="en-US" baseline="0"/>
                      <a:t>
0,16%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1747698204391"/>
                      <c:h val="0.38275400357563999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2"/>
              <c:layout>
                <c:manualLayout>
                  <c:x val="-8.8888888888888892E-2"/>
                  <c:y val="3.74531835205992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0.22433895763029613"/>
                  <c:y val="-5.24344569288389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931233595800526"/>
                      <c:h val="0.2967418679406647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Camiones!$C$35:$C$36</c:f>
              <c:numCache>
                <c:formatCode>0.00</c:formatCode>
                <c:ptCount val="2"/>
                <c:pt idx="0">
                  <c:v>158.38</c:v>
                </c:pt>
                <c:pt idx="1">
                  <c:v>0.26</c:v>
                </c:pt>
              </c:numCache>
            </c:numRef>
          </c:val>
        </c:ser>
        <c:ser>
          <c:idx val="5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Camiones!$D$23:$D$23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1832358674463937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4424951267056529"/>
                  <c:y val="-3.5203508154324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2475633528265107"/>
                  <c:y val="-8.80087703858111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Camiones!$C$2:$C$3</c:f>
              <c:numCache>
                <c:formatCode>0.00</c:formatCode>
                <c:ptCount val="2"/>
                <c:pt idx="0">
                  <c:v>49.81</c:v>
                </c:pt>
                <c:pt idx="1">
                  <c:v>3.7</c:v>
                </c:pt>
              </c:numCache>
            </c:numRef>
          </c:val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Camiones!$D$2:$D$3</c:f>
              <c:numCache>
                <c:formatCode>0.00%</c:formatCode>
                <c:ptCount val="2"/>
                <c:pt idx="0">
                  <c:v>0.93085404597271537</c:v>
                </c:pt>
                <c:pt idx="1">
                  <c:v>6.9145954027284615E-2</c:v>
                </c:pt>
              </c:numCache>
            </c:numRef>
          </c:val>
        </c:ser>
        <c:ser>
          <c:idx val="0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6508407517309596"/>
                  <c:y val="1.1958140857483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4134535853641439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62991347149847"/>
                      <c:h val="0.47372222086215371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8.3086053412462904E-2"/>
                  <c:y val="-1.195814085748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Camiones!$B$35:$B$36</c:f>
              <c:strCache>
                <c:ptCount val="2"/>
                <c:pt idx="0">
                  <c:v>Sub-Prod. Pelagicos Seafman</c:v>
                </c:pt>
                <c:pt idx="1">
                  <c:v>Ingreso Varios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Vol-02</a:t>
            </a:r>
          </a:p>
        </c:rich>
      </c:tx>
      <c:layout>
        <c:manualLayout>
          <c:xMode val="edge"/>
          <c:yMode val="edge"/>
          <c:x val="0.64992326340886775"/>
          <c:y val="5.8817647794025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42740610009955654"/>
          <c:w val="0.74404761904761907"/>
          <c:h val="0.33518779980088698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13674059826491156"/>
                  <c:y val="-8.888888888888889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Mat./Contruccion </a:t>
                    </a:r>
                  </a:p>
                  <a:p>
                    <a:pPr>
                      <a:defRPr/>
                    </a:pPr>
                    <a:fld id="{48C9FECC-C191-45D3-A92E-7237A3837ADE}" type="PERCENTAGE">
                      <a:rPr lang="en-US" baseline="0"/>
                      <a:pPr>
                        <a:defRPr/>
                      </a:pPr>
                      <a:t>[PORCENTAJE]</a:t>
                    </a:fld>
                    <a:endParaRPr lang="es-EC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495882671154656"/>
                      <c:h val="0.50828946381702289"/>
                    </c:manualLayout>
                  </c15:layout>
                  <c15:dlblFieldTable/>
                  <c15:showDataLabelsRange val="0"/>
                </c:ext>
              </c:extLst>
            </c:dLbl>
            <c:dLbl>
              <c:idx val="1"/>
              <c:layout>
                <c:manualLayout>
                  <c:x val="-8.9007990236366435E-2"/>
                  <c:y val="-4.20747406574178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5818356674881289"/>
                      <c:h val="0.37362929633795777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12623274161735701"/>
                  <c:y val="0.1408339683346032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0.15384615384615385"/>
                  <c:y val="8.13008130081300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.13806706114398418"/>
                  <c:y val="-6.50406504065040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Camiones!$B$42:$B$43</c:f>
              <c:strCache>
                <c:ptCount val="2"/>
                <c:pt idx="0">
                  <c:v>Materia Prima</c:v>
                </c:pt>
                <c:pt idx="1">
                  <c:v>Mat./Contruccion</c:v>
                </c:pt>
              </c:strCache>
            </c:strRef>
          </c:cat>
          <c:val>
            <c:numRef>
              <c:f>Camiones!$C$42:$C$43</c:f>
              <c:numCache>
                <c:formatCode>0.00</c:formatCode>
                <c:ptCount val="2"/>
                <c:pt idx="0">
                  <c:v>440.30500000000001</c:v>
                </c:pt>
                <c:pt idx="1">
                  <c:v>30.5</c:v>
                </c:pt>
              </c:numCache>
            </c:numRef>
          </c:val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Camiones!$B$42:$B$43</c:f>
              <c:strCache>
                <c:ptCount val="2"/>
                <c:pt idx="0">
                  <c:v>Materia Prima</c:v>
                </c:pt>
                <c:pt idx="1">
                  <c:v>Mat./Contruccion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VOL-04</a:t>
            </a:r>
          </a:p>
        </c:rich>
      </c:tx>
      <c:layout>
        <c:manualLayout>
          <c:xMode val="edge"/>
          <c:yMode val="edge"/>
          <c:x val="0.70404066158396872"/>
          <c:y val="6.6652712714708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175911344415281"/>
          <c:y val="0.48901819475955338"/>
          <c:w val="0.78187859850851982"/>
          <c:h val="0.34433649183682546"/>
        </c:manualLayout>
      </c:layout>
      <c:pie3DChart>
        <c:varyColors val="1"/>
        <c:ser>
          <c:idx val="4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-0.28668870087194465"/>
                  <c:y val="-0.3728818007918500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39146048166575"/>
                      <c:h val="0.62193424974420575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6175944673582468"/>
                  <c:y val="-6.1404033356589919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7777777777777778"/>
                  <c:y val="-6.751054852320675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Camiones!$C$48:$C$48</c:f>
              <c:numCache>
                <c:formatCode>0.00</c:formatCode>
                <c:ptCount val="1"/>
                <c:pt idx="0">
                  <c:v>386.69499999999999</c:v>
                </c:pt>
              </c:numCache>
            </c:numRef>
          </c:val>
        </c:ser>
        <c:ser>
          <c:idx val="5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Camiones!$D$23:$D$23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18323586744639375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.14424951267056529"/>
                  <c:y val="-3.520350815432441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2475633528265107"/>
                  <c:y val="-8.80087703858111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Camiones!$C$2:$C$3</c:f>
              <c:numCache>
                <c:formatCode>0.00</c:formatCode>
                <c:ptCount val="2"/>
                <c:pt idx="0">
                  <c:v>49.81</c:v>
                </c:pt>
                <c:pt idx="1">
                  <c:v>3.7</c:v>
                </c:pt>
              </c:numCache>
            </c:numRef>
          </c:val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Camiones!$D$2:$D$3</c:f>
              <c:numCache>
                <c:formatCode>0.00%</c:formatCode>
                <c:ptCount val="2"/>
                <c:pt idx="0">
                  <c:v>0.93085404597271537</c:v>
                </c:pt>
                <c:pt idx="1">
                  <c:v>6.9145954027284615E-2</c:v>
                </c:pt>
              </c:numCache>
            </c:numRef>
          </c:val>
        </c:ser>
        <c:ser>
          <c:idx val="0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6508407517309596"/>
                  <c:y val="1.1958140857483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4134535853641439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62991347149847"/>
                      <c:h val="0.47372222086215371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8.3086053412462904E-2"/>
                  <c:y val="-1.195814085748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Camiones!$B$48:$B$48</c:f>
              <c:strCache>
                <c:ptCount val="1"/>
                <c:pt idx="0">
                  <c:v>Materia Prima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CAM-07</a:t>
            </a:r>
          </a:p>
        </c:rich>
      </c:tx>
      <c:layout>
        <c:manualLayout>
          <c:xMode val="edge"/>
          <c:yMode val="edge"/>
          <c:x val="3.5748031496062996E-2"/>
          <c:y val="9.4441726413303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31138655081907857"/>
                  <c:y val="-0.1334253129863191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12462666304643"/>
                      <c:h val="0.7084579471813811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0136452241715403"/>
                  <c:y val="-4.40043851929056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0.12475633528265107"/>
                  <c:y val="-8.8008770385811144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Camiones!$B$23</c:f>
              <c:strCache>
                <c:ptCount val="1"/>
                <c:pt idx="0">
                  <c:v>Sub-Prod. Pelagicos</c:v>
                </c:pt>
              </c:strCache>
            </c:strRef>
          </c:cat>
          <c:val>
            <c:numRef>
              <c:f>Camiones!$C$23</c:f>
              <c:numCache>
                <c:formatCode>0.00</c:formatCode>
                <c:ptCount val="1"/>
                <c:pt idx="0">
                  <c:v>19.82</c:v>
                </c:pt>
              </c:numCache>
            </c:numRef>
          </c:val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Camiones!$B$23</c:f>
              <c:strCache>
                <c:ptCount val="1"/>
                <c:pt idx="0">
                  <c:v>Sub-Prod. Pelagicos</c:v>
                </c:pt>
              </c:strCache>
            </c:strRef>
          </c:cat>
          <c:val>
            <c:numRef>
              <c:f>Camiones!$D$2:$D$3</c:f>
              <c:numCache>
                <c:formatCode>0.00%</c:formatCode>
                <c:ptCount val="2"/>
                <c:pt idx="0">
                  <c:v>0.93085404597271537</c:v>
                </c:pt>
                <c:pt idx="1">
                  <c:v>6.9145954027284615E-2</c:v>
                </c:pt>
              </c:numCache>
            </c:numRef>
          </c:val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6508407517309596"/>
                  <c:y val="1.1958140857483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0.24134535853641439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362991347149847"/>
                      <c:h val="0.47372222086215371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8.3086053412462904E-2"/>
                  <c:y val="-1.195814085748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Camiones!$B$23</c:f>
              <c:strCache>
                <c:ptCount val="1"/>
                <c:pt idx="0">
                  <c:v>Sub-Prod. Pelagicos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Camiones!$B$23</c:f>
              <c:strCache>
                <c:ptCount val="1"/>
                <c:pt idx="0">
                  <c:v>Sub-Prod. Pelagicos</c:v>
                </c:pt>
              </c:strCache>
            </c:strRef>
          </c:cat>
          <c:val>
            <c:numRef>
              <c:f>Camiones!#REF!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CAM-04</a:t>
            </a:r>
          </a:p>
        </c:rich>
      </c:tx>
      <c:layout>
        <c:manualLayout>
          <c:xMode val="edge"/>
          <c:yMode val="edge"/>
          <c:x val="0.64393516599898692"/>
          <c:y val="0.12107896127702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5194241070743351"/>
                  <c:y val="-9.12547164237731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752758975303528"/>
                      <c:h val="0.4625097202639760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1500990007827969"/>
                  <c:y val="-4.40009202806864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62783380147652"/>
                      <c:h val="0.35925180071488066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27095516569200778"/>
                  <c:y val="4.400438519290519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899C3E-0D49-4BB6-83DF-55E17C9C84BA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[NOMBRE DE CATEGORÍA]</a:t>
                    </a:fld>
                    <a:r>
                      <a:rPr lang="en-US"/>
                      <a:t>Pallets</a:t>
                    </a:r>
                    <a:r>
                      <a:rPr lang="en-US" baseline="0"/>
                      <a:t> Bines Vacios
</a:t>
                    </a:r>
                    <a:fld id="{6B452F3D-C524-41F9-8BD5-739F9EACD8C6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01754385964914"/>
                      <c:h val="0.35564344112906238"/>
                    </c:manualLayout>
                  </c15:layout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Camiones!$B$9:$B$9</c:f>
              <c:strCache>
                <c:ptCount val="1"/>
                <c:pt idx="0">
                  <c:v>Ingreso Varios</c:v>
                </c:pt>
              </c:strCache>
            </c:strRef>
          </c:cat>
          <c:val>
            <c:numRef>
              <c:f>Camiones!$C$9:$C$9</c:f>
              <c:numCache>
                <c:formatCode>0.00</c:formatCode>
                <c:ptCount val="1"/>
                <c:pt idx="0">
                  <c:v>5.9</c:v>
                </c:pt>
              </c:numCache>
            </c:numRef>
          </c:val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Camiones!$B$9:$B$9</c:f>
              <c:strCache>
                <c:ptCount val="1"/>
                <c:pt idx="0">
                  <c:v>Ingreso Varios</c:v>
                </c:pt>
              </c:strCache>
            </c:strRef>
          </c:cat>
          <c:val>
            <c:numRef>
              <c:f>Camiones!$D$9:$D$9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CAM-05</a:t>
            </a:r>
          </a:p>
        </c:rich>
      </c:tx>
      <c:layout>
        <c:manualLayout>
          <c:xMode val="edge"/>
          <c:yMode val="edge"/>
          <c:x val="4.4816446402349462E-2"/>
          <c:y val="8.52041075743052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2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layout>
                <c:manualLayout>
                  <c:x val="0.27824297293234823"/>
                  <c:y val="-7.06467188556341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770289176408016"/>
                      <c:h val="0.7428886725333744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11500990007827969"/>
                  <c:y val="-4.400092028068641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662783380147652"/>
                      <c:h val="0.35925180071488066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-0.27095516569200778"/>
                  <c:y val="4.4004385192905199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B899C3E-0D49-4BB6-83DF-55E17C9C84BA}" type="CATEGORYNAME">
                      <a:rPr lang="en-US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[NOMBRE DE CATEGORÍA]</a:t>
                    </a:fld>
                    <a:r>
                      <a:rPr lang="en-US"/>
                      <a:t>Pallets</a:t>
                    </a:r>
                    <a:r>
                      <a:rPr lang="en-US" baseline="0"/>
                      <a:t> Bines Vacios
</a:t>
                    </a:r>
                    <a:fld id="{6B452F3D-C524-41F9-8BD5-739F9EACD8C6}" type="PERCENTAGE">
                      <a:rPr lang="en-US" baseline="0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[PORCENTAJE]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701754385964914"/>
                      <c:h val="0.35564344112906238"/>
                    </c:manualLayout>
                  </c15:layout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Camiones!$B$16</c:f>
              <c:strCache>
                <c:ptCount val="1"/>
                <c:pt idx="0">
                  <c:v>Traslado de Harina Jambeli</c:v>
                </c:pt>
              </c:strCache>
            </c:strRef>
          </c:cat>
          <c:val>
            <c:numRef>
              <c:f>Camiones!$C$16</c:f>
              <c:numCache>
                <c:formatCode>0.00</c:formatCode>
                <c:ptCount val="1"/>
                <c:pt idx="0">
                  <c:v>23.51</c:v>
                </c:pt>
              </c:numCache>
            </c:numRef>
          </c:val>
        </c:ser>
        <c:ser>
          <c:idx val="3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Camiones!$B$16</c:f>
              <c:strCache>
                <c:ptCount val="1"/>
                <c:pt idx="0">
                  <c:v>Traslado de Harina Jambeli</c:v>
                </c:pt>
              </c:strCache>
            </c:strRef>
          </c:cat>
          <c:val>
            <c:numRef>
              <c:f>Camiones!$D$16</c:f>
              <c:numCache>
                <c:formatCode>0.00%</c:formatCode>
                <c:ptCount val="1"/>
                <c:pt idx="0">
                  <c:v>1</c:v>
                </c:pt>
              </c:numCache>
            </c:numRef>
          </c:val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CARGAS</a:t>
            </a:r>
            <a:r>
              <a:rPr lang="es-EC" baseline="0"/>
              <a:t> POR TIPOS DE REMOLQUE</a:t>
            </a:r>
            <a:endParaRPr lang="es-EC"/>
          </a:p>
        </c:rich>
      </c:tx>
      <c:layout>
        <c:manualLayout>
          <c:xMode val="edge"/>
          <c:yMode val="edge"/>
          <c:x val="0.24992933826092437"/>
          <c:y val="2.7720033770422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0694961123714997E-2"/>
          <c:y val="0.21915458698895826"/>
          <c:w val="0.91612003852719393"/>
          <c:h val="0.40202430457638111"/>
        </c:manualLayout>
      </c:layout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0108197462510377E-2"/>
                  <c:y val="-1.48033711053352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9709099029115861E-3"/>
                  <c:y val="-4.99536835341253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1117797627385717E-2"/>
                  <c:y val="-1.11456362555341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8.8575690337288834E-3"/>
                  <c:y val="-6.098407429492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5598947821381955E-3"/>
                  <c:y val="-7.76160945571822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7600677729781723E-2"/>
                  <c:y val="-3.88080472785911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4.9443751309090241E-3"/>
                  <c:y val="-3.880804727859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remolque'!$B$2:$D$6</c:f>
              <c:multiLvlStrCache>
                <c:ptCount val="5"/>
                <c:lvl>
                  <c:pt idx="0">
                    <c:v>Materia Prima</c:v>
                  </c:pt>
                  <c:pt idx="1">
                    <c:v>Despacho Hidrolizado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Cab-01</c:v>
                  </c:pt>
                </c:lvl>
              </c:multiLvlStrCache>
            </c:multiLvlStrRef>
          </c:cat>
          <c:val>
            <c:numRef>
              <c:f>'Cargas por remolque'!$E$2:$E$6</c:f>
              <c:numCache>
                <c:formatCode>0.00</c:formatCode>
                <c:ptCount val="5"/>
                <c:pt idx="0">
                  <c:v>98.135000000000005</c:v>
                </c:pt>
                <c:pt idx="1">
                  <c:v>23.35</c:v>
                </c:pt>
                <c:pt idx="2">
                  <c:v>387.26</c:v>
                </c:pt>
                <c:pt idx="3">
                  <c:v>10.72</c:v>
                </c:pt>
                <c:pt idx="4">
                  <c:v>41.06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2888174326468396E-3"/>
                  <c:y val="-5.82408822915693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7477721018073437E-2"/>
                  <c:y val="-5.17827692270083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1192585877047734E-2"/>
                  <c:y val="-4.3495570469564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6847692222640667E-3"/>
                  <c:y val="-4.43520540326756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1189170923644493E-2"/>
                  <c:y val="-3.3264040524506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2896643353267427E-2"/>
                  <c:y val="-3.88080472785910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2962500872727632E-2"/>
                  <c:y val="-5.54400675408445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remolque'!$B$2:$D$6</c:f>
              <c:multiLvlStrCache>
                <c:ptCount val="5"/>
                <c:lvl>
                  <c:pt idx="0">
                    <c:v>Materia Prima</c:v>
                  </c:pt>
                  <c:pt idx="1">
                    <c:v>Despacho Hidrolizado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Cab-01</c:v>
                  </c:pt>
                </c:lvl>
              </c:multiLvlStrCache>
            </c:multiLvlStrRef>
          </c:cat>
          <c:val>
            <c:numRef>
              <c:f>'Cargas por remolque'!$F$2:$F$6</c:f>
              <c:numCache>
                <c:formatCode>0.00%</c:formatCode>
                <c:ptCount val="5"/>
                <c:pt idx="0">
                  <c:v>0.1750769368003211</c:v>
                </c:pt>
                <c:pt idx="1">
                  <c:v>4.1657374782569909E-2</c:v>
                </c:pt>
                <c:pt idx="2">
                  <c:v>0.69088800677935847</c:v>
                </c:pt>
                <c:pt idx="3">
                  <c:v>1.9124927523304042E-2</c:v>
                </c:pt>
                <c:pt idx="4">
                  <c:v>7.3252754114446275E-2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0257792711549795E-2"/>
                  <c:y val="-0.177408216130702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9503159079365139E-2"/>
                  <c:y val="-0.166320202622533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2018431488480063E-2"/>
                  <c:y val="-0.171864209376617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1.4833125392727435E-2"/>
                  <c:y val="-0.1718642093766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1199853200074732E-2"/>
                  <c:y val="-0.18295222288478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3.3576200347637586E-2"/>
                  <c:y val="-0.17740821613070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4.6147501221818564E-2"/>
                  <c:y val="-0.177408216130702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remolque'!$B$2:$D$6</c:f>
              <c:multiLvlStrCache>
                <c:ptCount val="5"/>
                <c:lvl>
                  <c:pt idx="0">
                    <c:v>Materia Prima</c:v>
                  </c:pt>
                  <c:pt idx="1">
                    <c:v>Despacho Hidrolizado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Cab-01</c:v>
                  </c:pt>
                </c:lvl>
              </c:multiLvlStrCache>
            </c:multiLvlStrRef>
          </c:cat>
          <c:val>
            <c:numRef>
              <c:f>'Cargas por remolque'!$G$2:$G$6</c:f>
              <c:numCache>
                <c:formatCode>0.00%</c:formatCode>
                <c:ptCount val="5"/>
                <c:pt idx="0">
                  <c:v>0.1750769368003211</c:v>
                </c:pt>
                <c:pt idx="1">
                  <c:v>0.75167030908523247</c:v>
                </c:pt>
                <c:pt idx="4">
                  <c:v>7.3252754114446275E-2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466453712"/>
        <c:axId val="-1466450448"/>
        <c:axId val="0"/>
      </c:bar3DChart>
      <c:catAx>
        <c:axId val="-146645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0448"/>
        <c:crosses val="autoZero"/>
        <c:auto val="1"/>
        <c:lblAlgn val="ctr"/>
        <c:lblOffset val="100"/>
        <c:noMultiLvlLbl val="0"/>
      </c:catAx>
      <c:valAx>
        <c:axId val="-146645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5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2246935479218943"/>
          <c:y val="2.77776710837974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6.1002827376271706E-3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1134398001244867E-3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1706246439567896E-5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6334991708126038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181909953563497E-3"/>
                  <c:y val="-1.51309135138594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4.3898773638648032E-3"/>
                  <c:y val="-3.70370370370370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0652463382157125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remolque'!$B$22:$D$27</c:f>
              <c:multiLvlStrCache>
                <c:ptCount val="6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Despacho Harina venta</c:v>
                  </c:pt>
                  <c:pt idx="3">
                    <c:v>Traslado Har./Pescado Jambeli</c:v>
                  </c:pt>
                  <c:pt idx="4">
                    <c:v>Traslado Har./Camaron Taura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Cab-02</c:v>
                  </c:pt>
                </c:lvl>
              </c:multiLvlStrCache>
            </c:multiLvlStrRef>
          </c:cat>
          <c:val>
            <c:numRef>
              <c:f>'Cargas por remolque'!$E$22:$E$27</c:f>
              <c:numCache>
                <c:formatCode>0.00</c:formatCode>
                <c:ptCount val="6"/>
                <c:pt idx="0">
                  <c:v>409.27</c:v>
                </c:pt>
                <c:pt idx="1">
                  <c:v>342.67</c:v>
                </c:pt>
                <c:pt idx="2">
                  <c:v>70.28</c:v>
                </c:pt>
                <c:pt idx="3">
                  <c:v>175.42</c:v>
                </c:pt>
                <c:pt idx="4">
                  <c:v>21.09</c:v>
                </c:pt>
                <c:pt idx="5">
                  <c:v>61.16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6.4517301515738968E-3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1929745466237494E-2"/>
                  <c:y val="-2.31479658792650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719890539647914E-2"/>
                      <c:h val="7.4004811898512671E-2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1.7098322097221137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2.4322830292979467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851316662340285E-2"/>
                  <c:y val="-1.44536201267524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7689331122166942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2.1304926764314249E-2"/>
                  <c:y val="-1.85185185185185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2.4855747891699826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remolque'!$B$22:$D$27</c:f>
              <c:multiLvlStrCache>
                <c:ptCount val="6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Despacho Harina venta</c:v>
                  </c:pt>
                  <c:pt idx="3">
                    <c:v>Traslado Har./Pescado Jambeli</c:v>
                  </c:pt>
                  <c:pt idx="4">
                    <c:v>Traslado Har./Camaron Taura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Cab-02</c:v>
                  </c:pt>
                </c:lvl>
              </c:multiLvlStrCache>
            </c:multiLvlStrRef>
          </c:cat>
          <c:val>
            <c:numRef>
              <c:f>'Cargas por remolque'!$F$22:$F$27</c:f>
              <c:numCache>
                <c:formatCode>0.00%</c:formatCode>
                <c:ptCount val="6"/>
                <c:pt idx="0">
                  <c:v>0.37899230477178225</c:v>
                </c:pt>
                <c:pt idx="1">
                  <c:v>0.31731935660113531</c:v>
                </c:pt>
                <c:pt idx="2">
                  <c:v>6.5080702664160231E-2</c:v>
                </c:pt>
                <c:pt idx="3">
                  <c:v>0.16244247099241588</c:v>
                </c:pt>
                <c:pt idx="4">
                  <c:v>1.9529766920704884E-2</c:v>
                </c:pt>
                <c:pt idx="5">
                  <c:v>5.6635398049801361E-2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4.1354301866112893E-2"/>
                  <c:y val="-0.283423596440688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9800995024875621E-2"/>
                  <c:y val="-0.310185185185185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1.8560868972603391E-2"/>
                  <c:y val="-0.17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5.3262316910785623E-3"/>
                  <c:y val="-0.166666666666666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2.6533996683250415E-2"/>
                  <c:y val="-0.194444444444444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1.7754105636928539E-3"/>
                  <c:y val="-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remolque'!$B$22:$D$27</c:f>
              <c:multiLvlStrCache>
                <c:ptCount val="6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Despacho Harina venta</c:v>
                  </c:pt>
                  <c:pt idx="3">
                    <c:v>Traslado Har./Pescado Jambeli</c:v>
                  </c:pt>
                  <c:pt idx="4">
                    <c:v>Traslado Har./Camaron Taura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Cab-02</c:v>
                  </c:pt>
                </c:lvl>
              </c:multiLvlStrCache>
            </c:multiLvlStrRef>
          </c:cat>
          <c:val>
            <c:numRef>
              <c:f>'Cargas por remolque'!$G$22:$G$27</c:f>
              <c:numCache>
                <c:formatCode>0.00%</c:formatCode>
                <c:ptCount val="6"/>
                <c:pt idx="0">
                  <c:v>0.69631166137291756</c:v>
                </c:pt>
                <c:pt idx="2">
                  <c:v>6.5080702664160231E-2</c:v>
                </c:pt>
                <c:pt idx="3">
                  <c:v>0.18197223791312075</c:v>
                </c:pt>
                <c:pt idx="5">
                  <c:v>5.6635398049801361E-2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466465136"/>
        <c:axId val="-1478048176"/>
        <c:axId val="0"/>
      </c:bar3DChart>
      <c:catAx>
        <c:axId val="-146646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78048176"/>
        <c:crosses val="autoZero"/>
        <c:auto val="1"/>
        <c:lblAlgn val="ctr"/>
        <c:lblOffset val="100"/>
        <c:noMultiLvlLbl val="0"/>
      </c:catAx>
      <c:valAx>
        <c:axId val="-147804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6646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3.8240917782026769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0790312300828552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529636711281070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1075164389381044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remolque'!$B$47:$D$50</c:f>
              <c:multiLvlStrCache>
                <c:ptCount val="4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Traslado Har./Pescado Jambeli</c:v>
                  </c:pt>
                  <c:pt idx="3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PLATAFORMA</c:v>
                  </c:pt>
                  <c:pt idx="3">
                    <c:v>TANQUERO</c:v>
                  </c:pt>
                </c:lvl>
                <c:lvl>
                  <c:pt idx="0">
                    <c:v>Cab-03</c:v>
                  </c:pt>
                </c:lvl>
              </c:multiLvlStrCache>
            </c:multiLvlStrRef>
          </c:cat>
          <c:val>
            <c:numRef>
              <c:f>'Cargas por remolque'!$E$47:$E$50</c:f>
              <c:numCache>
                <c:formatCode>0.00</c:formatCode>
                <c:ptCount val="4"/>
                <c:pt idx="0">
                  <c:v>649.87</c:v>
                </c:pt>
                <c:pt idx="1">
                  <c:v>179.19</c:v>
                </c:pt>
                <c:pt idx="2">
                  <c:v>105.26</c:v>
                </c:pt>
                <c:pt idx="3">
                  <c:v>141.39400000000001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272151926282846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0987890376035599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7003216637721279E-2"/>
                  <c:y val="-5.0925925925926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326699834162504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9900497512437648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remolque'!$B$47:$D$50</c:f>
              <c:multiLvlStrCache>
                <c:ptCount val="4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Traslado Har./Pescado Jambeli</c:v>
                  </c:pt>
                  <c:pt idx="3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PLATAFORMA</c:v>
                  </c:pt>
                  <c:pt idx="3">
                    <c:v>TANQUERO</c:v>
                  </c:pt>
                </c:lvl>
                <c:lvl>
                  <c:pt idx="0">
                    <c:v>Cab-03</c:v>
                  </c:pt>
                </c:lvl>
              </c:multiLvlStrCache>
            </c:multiLvlStrRef>
          </c:cat>
          <c:val>
            <c:numRef>
              <c:f>'Cargas por remolque'!$F$47:$F$50</c:f>
              <c:numCache>
                <c:formatCode>0.00%</c:formatCode>
                <c:ptCount val="4"/>
                <c:pt idx="0">
                  <c:v>0.60412897852031311</c:v>
                </c:pt>
                <c:pt idx="1">
                  <c:v>0.16657773348678181</c:v>
                </c:pt>
                <c:pt idx="2">
                  <c:v>9.7851287609903762E-2</c:v>
                </c:pt>
                <c:pt idx="3">
                  <c:v>0.13144200038300144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4.6434494195688222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2968490878938641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3.3167495854063096E-2"/>
                  <c:y val="-0.212962962962962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9900497512437811E-2"/>
                  <c:y val="-0.2222222222222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8645660585959094E-2"/>
                  <c:y val="-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remolque'!$B$47:$D$50</c:f>
              <c:multiLvlStrCache>
                <c:ptCount val="4"/>
                <c:lvl>
                  <c:pt idx="0">
                    <c:v>Materia Prima</c:v>
                  </c:pt>
                  <c:pt idx="1">
                    <c:v>Scrap  Atun Salica</c:v>
                  </c:pt>
                  <c:pt idx="2">
                    <c:v>Traslado Har./Pescado Jambeli</c:v>
                  </c:pt>
                  <c:pt idx="3">
                    <c:v>A./Cocción Salica</c:v>
                  </c:pt>
                </c:lvl>
                <c:lvl>
                  <c:pt idx="0">
                    <c:v>BAÑERA</c:v>
                  </c:pt>
                  <c:pt idx="2">
                    <c:v>PLATAFORMA</c:v>
                  </c:pt>
                  <c:pt idx="3">
                    <c:v>TANQUERO</c:v>
                  </c:pt>
                </c:lvl>
                <c:lvl>
                  <c:pt idx="0">
                    <c:v>Cab-03</c:v>
                  </c:pt>
                </c:lvl>
              </c:multiLvlStrCache>
            </c:multiLvlStrRef>
          </c:cat>
          <c:val>
            <c:numRef>
              <c:f>'Cargas por remolque'!$G$47:$G$50</c:f>
              <c:numCache>
                <c:formatCode>0.00%</c:formatCode>
                <c:ptCount val="4"/>
                <c:pt idx="0">
                  <c:v>0.77070671200709495</c:v>
                </c:pt>
                <c:pt idx="2">
                  <c:v>9.7851287609903762E-2</c:v>
                </c:pt>
                <c:pt idx="3">
                  <c:v>0.13144200038300144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478047088"/>
        <c:axId val="-1478043280"/>
        <c:axId val="0"/>
      </c:bar3DChart>
      <c:catAx>
        <c:axId val="-147804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78043280"/>
        <c:crosses val="autoZero"/>
        <c:auto val="1"/>
        <c:lblAlgn val="ctr"/>
        <c:lblOffset val="100"/>
        <c:noMultiLvlLbl val="0"/>
      </c:catAx>
      <c:valAx>
        <c:axId val="-147804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47804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4555988025446757"/>
          <c:y val="2.54946792738773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7.1124805051542648E-3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6.9498269238084014E-3"/>
                  <c:y val="-2.3148148148148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729468599033746E-3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9.4993343223400712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0116322416219712E-2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1.4170528732404862E-16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remolque'!$B$68:$D$71</c:f>
              <c:multiLvlStrCache>
                <c:ptCount val="4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Ingreso Varios</c:v>
                  </c:pt>
                  <c:pt idx="3">
                    <c:v>Despacho Hidrolizado Venta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</c:lvl>
                <c:lvl>
                  <c:pt idx="0">
                    <c:v>Cab-05</c:v>
                  </c:pt>
                </c:lvl>
              </c:multiLvlStrCache>
            </c:multiLvlStrRef>
          </c:cat>
          <c:val>
            <c:numRef>
              <c:f>'Cargas por remolque'!$E$68:$E$71</c:f>
              <c:numCache>
                <c:formatCode>0.00</c:formatCode>
                <c:ptCount val="4"/>
                <c:pt idx="0">
                  <c:v>518.26</c:v>
                </c:pt>
                <c:pt idx="1">
                  <c:v>127.23</c:v>
                </c:pt>
                <c:pt idx="2">
                  <c:v>0.31</c:v>
                </c:pt>
                <c:pt idx="3">
                  <c:v>22.97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3818403134390809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8462779109133097E-2"/>
                  <c:y val="-6.01851851851852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7066149340028078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9778158165011842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0430217961885199E-2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5458937198067632E-2"/>
                  <c:y val="-1.8518518518518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remolque'!$B$68:$D$71</c:f>
              <c:multiLvlStrCache>
                <c:ptCount val="4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Ingreso Varios</c:v>
                  </c:pt>
                  <c:pt idx="3">
                    <c:v>Despacho Hidrolizado Venta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</c:lvl>
                <c:lvl>
                  <c:pt idx="0">
                    <c:v>Cab-05</c:v>
                  </c:pt>
                </c:lvl>
              </c:multiLvlStrCache>
            </c:multiLvlStrRef>
          </c:cat>
          <c:val>
            <c:numRef>
              <c:f>'Cargas por remolque'!$F$68:$F$71</c:f>
              <c:numCache>
                <c:formatCode>0.00%</c:formatCode>
                <c:ptCount val="4"/>
                <c:pt idx="0">
                  <c:v>0.77494504837238509</c:v>
                </c:pt>
                <c:pt idx="1">
                  <c:v>0.19024477772627363</c:v>
                </c:pt>
                <c:pt idx="2">
                  <c:v>4.6353753906425231E-4</c:v>
                </c:pt>
                <c:pt idx="3">
                  <c:v>3.4346636362277014E-2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8985507246376777E-2"/>
                  <c:y val="-0.17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922705314009662E-2"/>
                  <c:y val="-0.189814814814814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1256038647342997E-2"/>
                  <c:y val="-0.1990740740740741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8.8888888888888892E-2"/>
                  <c:y val="-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8309178743961352E-2"/>
                  <c:y val="-0.16203703703703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1.7391304347826087E-2"/>
                  <c:y val="-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6175710594315375E-2"/>
                  <c:y val="-0.152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remolque'!$B$68:$D$71</c:f>
              <c:multiLvlStrCache>
                <c:ptCount val="4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Ingreso Varios</c:v>
                  </c:pt>
                  <c:pt idx="3">
                    <c:v>Despacho Hidrolizado Venta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</c:lvl>
                <c:lvl>
                  <c:pt idx="0">
                    <c:v>Cab-05</c:v>
                  </c:pt>
                </c:lvl>
              </c:multiLvlStrCache>
            </c:multiLvlStrRef>
          </c:cat>
          <c:val>
            <c:numRef>
              <c:f>'Cargas por remolque'!$G$68:$G$71</c:f>
              <c:numCache>
                <c:formatCode>0.00%</c:formatCode>
                <c:ptCount val="4"/>
                <c:pt idx="0">
                  <c:v>0.77494504837238509</c:v>
                </c:pt>
                <c:pt idx="1">
                  <c:v>0.22505495162761491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32608"/>
        <c:axId val="-1369126624"/>
        <c:axId val="0"/>
      </c:bar3DChart>
      <c:catAx>
        <c:axId val="-136913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6624"/>
        <c:crosses val="autoZero"/>
        <c:auto val="1"/>
        <c:lblAlgn val="ctr"/>
        <c:lblOffset val="100"/>
        <c:noMultiLvlLbl val="0"/>
      </c:catAx>
      <c:valAx>
        <c:axId val="-13691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2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405768756829519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8324551536321118E-3"/>
                  <c:y val="-2.31481481481481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436863747153633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6.0150375939849628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2.92131904564561E-3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4703255376480231E-16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6.0150375939849628E-3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remolque'!$B$88:$D$92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Har./Pescado Jambeli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Cab-06</c:v>
                  </c:pt>
                </c:lvl>
              </c:multiLvlStrCache>
            </c:multiLvlStrRef>
          </c:cat>
          <c:val>
            <c:numRef>
              <c:f>'Cargas por remolque'!$E$88:$E$92</c:f>
              <c:numCache>
                <c:formatCode>0.00</c:formatCode>
                <c:ptCount val="5"/>
                <c:pt idx="0">
                  <c:v>609.17999999999995</c:v>
                </c:pt>
                <c:pt idx="1">
                  <c:v>25.36</c:v>
                </c:pt>
                <c:pt idx="2">
                  <c:v>23.33</c:v>
                </c:pt>
                <c:pt idx="3">
                  <c:v>137.51</c:v>
                </c:pt>
                <c:pt idx="4">
                  <c:v>24.43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2509680630019157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5296351114005485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7473921023030015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2.3488958617014905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1243439535550391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8.0200501253132831E-3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remolque'!$B$88:$D$92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Har./Pescado Jambeli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Cab-06</c:v>
                  </c:pt>
                </c:lvl>
              </c:multiLvlStrCache>
            </c:multiLvlStrRef>
          </c:cat>
          <c:val>
            <c:numRef>
              <c:f>'Cargas por remolque'!$F$88:$F$92</c:f>
              <c:numCache>
                <c:formatCode>0.00%</c:formatCode>
                <c:ptCount val="5"/>
                <c:pt idx="0">
                  <c:v>0.74307461484978221</c:v>
                </c:pt>
                <c:pt idx="1">
                  <c:v>3.0933996901721134E-2</c:v>
                </c:pt>
                <c:pt idx="2">
                  <c:v>2.8457813395786829E-2</c:v>
                </c:pt>
                <c:pt idx="3">
                  <c:v>0.16773398714336249</c:v>
                </c:pt>
                <c:pt idx="4">
                  <c:v>2.9799587709347288E-2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804511278195485E-2"/>
                  <c:y val="-0.185185185185185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824561403508765E-2"/>
                  <c:y val="-0.212962962962963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8045117161577189E-2"/>
                  <c:y val="-0.20370370370370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0025062656641603E-2"/>
                  <c:y val="-0.1435185185185185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5.8124158250267288E-2"/>
                  <c:y val="-0.1944444444444444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5.8145363408521306E-2"/>
                  <c:y val="-0.328703703703703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3126290395625403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remolque'!$B$88:$D$92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Har./Pescado Jambeli</c:v>
                  </c:pt>
                  <c:pt idx="4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Cab-06</c:v>
                  </c:pt>
                </c:lvl>
              </c:multiLvlStrCache>
            </c:multiLvlStrRef>
          </c:cat>
          <c:val>
            <c:numRef>
              <c:f>'Cargas por remolque'!$G$88:$G$92</c:f>
              <c:numCache>
                <c:formatCode>0.00%</c:formatCode>
                <c:ptCount val="5"/>
                <c:pt idx="0">
                  <c:v>0.74307461484978221</c:v>
                </c:pt>
                <c:pt idx="1">
                  <c:v>3.0933996901721134E-2</c:v>
                </c:pt>
                <c:pt idx="2">
                  <c:v>0.19619180053914931</c:v>
                </c:pt>
                <c:pt idx="4">
                  <c:v>2.9799587709347288E-2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24992"/>
        <c:axId val="-1369134240"/>
        <c:axId val="0"/>
      </c:bar3DChart>
      <c:catAx>
        <c:axId val="-1369124992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4240"/>
        <c:crosses val="autoZero"/>
        <c:auto val="1"/>
        <c:lblAlgn val="ctr"/>
        <c:lblOffset val="100"/>
        <c:noMultiLvlLbl val="0"/>
      </c:catAx>
      <c:valAx>
        <c:axId val="-136913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1.699872187997106E-17"/>
                  <c:y val="-1.3888888888888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9.5025534881852582E-3"/>
                  <c:y val="-1.85185185185184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7845761631612493E-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8544274455261937E-3"/>
                  <c:y val="-3.240740740740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2.777777777777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3.4542314335060447E-3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1.0362694300518135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remolque'!$B$110:$D$114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Cab-07</c:v>
                  </c:pt>
                </c:lvl>
              </c:multiLvlStrCache>
            </c:multiLvlStrRef>
          </c:cat>
          <c:val>
            <c:numRef>
              <c:f>'Cargas por remolque'!$E$110:$E$114</c:f>
              <c:numCache>
                <c:formatCode>0.00</c:formatCode>
                <c:ptCount val="5"/>
                <c:pt idx="0">
                  <c:v>372.75</c:v>
                </c:pt>
                <c:pt idx="1">
                  <c:v>300.91000000000003</c:v>
                </c:pt>
                <c:pt idx="2">
                  <c:v>50.9</c:v>
                </c:pt>
                <c:pt idx="3">
                  <c:v>1.45</c:v>
                </c:pt>
                <c:pt idx="4">
                  <c:v>20.079999999999998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9700134633429889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04982796839513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3869963145798485E-2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2.039873254185195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0036038241333697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554404145077720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8.6355785837651123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remolque'!$B$110:$D$114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Cab-07</c:v>
                  </c:pt>
                </c:lvl>
              </c:multiLvlStrCache>
            </c:multiLvlStrRef>
          </c:cat>
          <c:val>
            <c:numRef>
              <c:f>'Cargas por remolque'!$F$110:$F$114</c:f>
              <c:numCache>
                <c:formatCode>0.00%</c:formatCode>
                <c:ptCount val="5"/>
                <c:pt idx="0">
                  <c:v>0.49960460534251888</c:v>
                </c:pt>
                <c:pt idx="1">
                  <c:v>0.4033159538393491</c:v>
                </c:pt>
                <c:pt idx="2">
                  <c:v>6.8222332426382856E-2</c:v>
                </c:pt>
                <c:pt idx="3">
                  <c:v>1.9434652655845805E-3</c:v>
                </c:pt>
                <c:pt idx="4">
                  <c:v>2.6913643126164396E-2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4.4506258692628614E-2"/>
                  <c:y val="-0.1944444444444445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3898305084745763E-2"/>
                  <c:y val="-0.157407407407407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013908205841446"/>
                  <c:y val="-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5.5632823365785677E-2"/>
                  <c:y val="-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2452504317789293E-2"/>
                  <c:y val="-0.138888888888888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3.9723661485319514E-2"/>
                  <c:y val="-8.33333333333333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remolque'!$B$110:$D$114</c:f>
              <c:multiLvlStrCache>
                <c:ptCount val="5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Ingreso Varios</c:v>
                  </c:pt>
                  <c:pt idx="4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4">
                    <c:v>TANQUERO</c:v>
                  </c:pt>
                </c:lvl>
                <c:lvl>
                  <c:pt idx="0">
                    <c:v>Cab-07</c:v>
                  </c:pt>
                </c:lvl>
              </c:multiLvlStrCache>
            </c:multiLvlStrRef>
          </c:cat>
          <c:val>
            <c:numRef>
              <c:f>'Cargas por remolque'!$G$110:$G$114</c:f>
              <c:numCache>
                <c:formatCode>0.00%</c:formatCode>
                <c:ptCount val="5"/>
                <c:pt idx="0">
                  <c:v>0.49960460534251888</c:v>
                </c:pt>
                <c:pt idx="1">
                  <c:v>0.4033159538393491</c:v>
                </c:pt>
                <c:pt idx="2">
                  <c:v>7.016579769196743E-2</c:v>
                </c:pt>
                <c:pt idx="4">
                  <c:v>2.6913643126164396E-2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31520"/>
        <c:axId val="-1369124448"/>
        <c:axId val="0"/>
      </c:bar3DChart>
      <c:catAx>
        <c:axId val="-1369131520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4448"/>
        <c:crosses val="autoZero"/>
        <c:auto val="1"/>
        <c:lblAlgn val="ctr"/>
        <c:lblOffset val="100"/>
        <c:noMultiLvlLbl val="0"/>
      </c:catAx>
      <c:valAx>
        <c:axId val="-13691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4142369800674138"/>
          <c:y val="2.3147996071043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2.8875743765860115E-3"/>
                  <c:y val="-9.259259259259281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2.2111663902708678E-3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2.155104443720236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3476719171695548E-17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7.5896368809755367E-3"/>
                  <c:y val="-5.4554515145066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4.4223327805417356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7.9265792710489329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remolque'!$B$132:$D$137</c:f>
              <c:multiLvlStrCache>
                <c:ptCount val="6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Despacho Hidrolizado Venta</c:v>
                  </c:pt>
                  <c:pt idx="4">
                    <c:v>Ingreso Varios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Cab-08</c:v>
                  </c:pt>
                </c:lvl>
              </c:multiLvlStrCache>
            </c:multiLvlStrRef>
          </c:cat>
          <c:val>
            <c:numRef>
              <c:f>'Cargas por remolque'!$E$132:$E$137</c:f>
              <c:numCache>
                <c:formatCode>0.00</c:formatCode>
                <c:ptCount val="6"/>
                <c:pt idx="0">
                  <c:v>424.62</c:v>
                </c:pt>
                <c:pt idx="1">
                  <c:v>175.64</c:v>
                </c:pt>
                <c:pt idx="2">
                  <c:v>25.37</c:v>
                </c:pt>
                <c:pt idx="3">
                  <c:v>23.47</c:v>
                </c:pt>
                <c:pt idx="4">
                  <c:v>7.63</c:v>
                </c:pt>
                <c:pt idx="5">
                  <c:v>200.78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0874061303084779E-2"/>
                  <c:y val="-1.38888888888889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1587103013992376E-2"/>
                  <c:y val="-9.259259259259302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0395137175017303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9.4726476947390274E-3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3.074712507783374E-2"/>
                  <c:y val="-4.54203021919557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6733111063819726E-2"/>
                  <c:y val="-3.1906788678442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1.369805409837789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1.958166444147752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remolque'!$B$132:$D$137</c:f>
              <c:multiLvlStrCache>
                <c:ptCount val="6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Despacho Hidrolizado Venta</c:v>
                  </c:pt>
                  <c:pt idx="4">
                    <c:v>Ingreso Varios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Cab-08</c:v>
                  </c:pt>
                </c:lvl>
              </c:multiLvlStrCache>
            </c:multiLvlStrRef>
          </c:cat>
          <c:val>
            <c:numRef>
              <c:f>'Cargas por remolque'!$F$132:$F$137</c:f>
              <c:numCache>
                <c:formatCode>0.00%</c:formatCode>
                <c:ptCount val="6"/>
                <c:pt idx="0">
                  <c:v>0.495177898800014</c:v>
                </c:pt>
                <c:pt idx="1">
                  <c:v>0.20482559970146119</c:v>
                </c:pt>
                <c:pt idx="2">
                  <c:v>2.9585660808620309E-2</c:v>
                </c:pt>
                <c:pt idx="3">
                  <c:v>2.7369943207659383E-2</c:v>
                </c:pt>
                <c:pt idx="4">
                  <c:v>8.8978554185957012E-3</c:v>
                </c:pt>
                <c:pt idx="5">
                  <c:v>0.23414304206364941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2378778205549858E-2"/>
                  <c:y val="-0.146906087958517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9656019656019656E-2"/>
                  <c:y val="-9.3495934959349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7689331122166863E-2"/>
                  <c:y val="-0.217592592592592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6021361815754403E-2"/>
                  <c:y val="-0.148148148148148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140049140049139E-3"/>
                  <c:y val="-0.20731707317073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3.4398034398034398E-2"/>
                  <c:y val="-0.207317073170731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3.9800959459506811E-2"/>
                  <c:y val="-0.14351851851851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2.2932022932022931E-2"/>
                  <c:y val="-0.101626016260162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2.1294021294021293E-2"/>
                  <c:y val="-0.158536585365853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remolque'!$B$132:$D$137</c:f>
              <c:multiLvlStrCache>
                <c:ptCount val="6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Traslado Har./Pescado Jambeli</c:v>
                  </c:pt>
                  <c:pt idx="3">
                    <c:v>Despacho Hidrolizado Venta</c:v>
                  </c:pt>
                  <c:pt idx="4">
                    <c:v>Ingreso Varios</c:v>
                  </c:pt>
                  <c:pt idx="5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5">
                    <c:v>TANQUERO</c:v>
                  </c:pt>
                </c:lvl>
                <c:lvl>
                  <c:pt idx="0">
                    <c:v>Cab-08</c:v>
                  </c:pt>
                </c:lvl>
              </c:multiLvlStrCache>
            </c:multiLvlStrRef>
          </c:cat>
          <c:val>
            <c:numRef>
              <c:f>'Cargas por remolque'!$G$132:$G$137</c:f>
              <c:numCache>
                <c:formatCode>0.00%</c:formatCode>
                <c:ptCount val="6"/>
                <c:pt idx="0">
                  <c:v>0.495177898800014</c:v>
                </c:pt>
                <c:pt idx="1">
                  <c:v>0.20482559970146119</c:v>
                </c:pt>
                <c:pt idx="2">
                  <c:v>6.5853459434875389E-2</c:v>
                </c:pt>
                <c:pt idx="5">
                  <c:v>0.23414304206364941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29888"/>
        <c:axId val="-1369122272"/>
        <c:axId val="0"/>
      </c:bar3DChart>
      <c:catAx>
        <c:axId val="-1369129888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2272"/>
        <c:crosses val="autoZero"/>
        <c:auto val="1"/>
        <c:lblAlgn val="ctr"/>
        <c:lblOffset val="100"/>
        <c:noMultiLvlLbl val="0"/>
      </c:catAx>
      <c:valAx>
        <c:axId val="-136912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749134870537877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0197578075207138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6481835564052606E-3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3266998341625208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4223327805418171E-3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5.354753095286215E-3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1.070950619057243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7.139670793714953E-3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remolque'!$B$157:$D$163</c:f>
              <c:multiLvlStrCache>
                <c:ptCount val="7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Har./Camaron Taura</c:v>
                  </c:pt>
                  <c:pt idx="4">
                    <c:v>Traslado Har./Pescado Jambeli</c:v>
                  </c:pt>
                  <c:pt idx="5">
                    <c:v>Ingreso Varios</c:v>
                  </c:pt>
                  <c:pt idx="6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6">
                    <c:v>TANQUERO</c:v>
                  </c:pt>
                </c:lvl>
                <c:lvl>
                  <c:pt idx="0">
                    <c:v>Cab-09</c:v>
                  </c:pt>
                </c:lvl>
              </c:multiLvlStrCache>
            </c:multiLvlStrRef>
          </c:cat>
          <c:val>
            <c:numRef>
              <c:f>'Cargas por remolque'!$E$157:$E$163</c:f>
              <c:numCache>
                <c:formatCode>0.00</c:formatCode>
                <c:ptCount val="7"/>
                <c:pt idx="0">
                  <c:v>300.27499999999998</c:v>
                </c:pt>
                <c:pt idx="1">
                  <c:v>70.2</c:v>
                </c:pt>
                <c:pt idx="2">
                  <c:v>46.5</c:v>
                </c:pt>
                <c:pt idx="3">
                  <c:v>21.07</c:v>
                </c:pt>
                <c:pt idx="4">
                  <c:v>75.77</c:v>
                </c:pt>
                <c:pt idx="5">
                  <c:v>2.06</c:v>
                </c:pt>
                <c:pt idx="6">
                  <c:v>121.85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2944550669216062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7845761631612399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1087432478900254E-2"/>
                  <c:y val="-4.6296296296296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3.0956329463792152E-2"/>
                  <c:y val="-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990056743517446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6064259285858515E-2"/>
                  <c:y val="-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1.2494423889001169E-2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remolque'!$B$157:$D$163</c:f>
              <c:multiLvlStrCache>
                <c:ptCount val="7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Har./Camaron Taura</c:v>
                  </c:pt>
                  <c:pt idx="4">
                    <c:v>Traslado Har./Pescado Jambeli</c:v>
                  </c:pt>
                  <c:pt idx="5">
                    <c:v>Ingreso Varios</c:v>
                  </c:pt>
                  <c:pt idx="6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6">
                    <c:v>TANQUERO</c:v>
                  </c:pt>
                </c:lvl>
                <c:lvl>
                  <c:pt idx="0">
                    <c:v>Cab-09</c:v>
                  </c:pt>
                </c:lvl>
              </c:multiLvlStrCache>
            </c:multiLvlStrRef>
          </c:cat>
          <c:val>
            <c:numRef>
              <c:f>'Cargas por remolque'!$F$157:$F$163</c:f>
              <c:numCache>
                <c:formatCode>0.00%</c:formatCode>
                <c:ptCount val="7"/>
                <c:pt idx="0">
                  <c:v>0.47085342428162613</c:v>
                </c:pt>
                <c:pt idx="1">
                  <c:v>0.11007879571915796</c:v>
                </c:pt>
                <c:pt idx="2">
                  <c:v>7.2915441608843945E-2</c:v>
                </c:pt>
                <c:pt idx="3">
                  <c:v>3.3039319455878326E-2</c:v>
                </c:pt>
                <c:pt idx="4">
                  <c:v>0.11881296797208829</c:v>
                </c:pt>
                <c:pt idx="5">
                  <c:v>3.2302324669724416E-3</c:v>
                </c:pt>
                <c:pt idx="6">
                  <c:v>0.191069818495433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8318913915527575E-2"/>
                  <c:y val="-0.20370370370370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3.2821122856587906E-2"/>
                  <c:y val="-0.2037037037037037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8745185992640518E-2"/>
                  <c:y val="-0.1990740740740740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5.306799336650083E-2"/>
                  <c:y val="-0.1759259259259259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2016806722688975E-2"/>
                  <c:y val="-0.1481481481481481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6.1912658927584303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2.3087980701526064E-2"/>
                  <c:y val="-0.212962962962962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1.6806722689075734E-2"/>
                  <c:y val="-0.1111111111111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remolque'!$B$157:$D$163</c:f>
              <c:multiLvlStrCache>
                <c:ptCount val="7"/>
                <c:lvl>
                  <c:pt idx="0">
                    <c:v>Materia Prima</c:v>
                  </c:pt>
                  <c:pt idx="1">
                    <c:v>Despacho harina Venta</c:v>
                  </c:pt>
                  <c:pt idx="2">
                    <c:v>Despacho Hidrolizado Venta</c:v>
                  </c:pt>
                  <c:pt idx="3">
                    <c:v>Traslado Har./Camaron Taura</c:v>
                  </c:pt>
                  <c:pt idx="4">
                    <c:v>Traslado Har./Pescado Jambeli</c:v>
                  </c:pt>
                  <c:pt idx="5">
                    <c:v>Ingreso Varios</c:v>
                  </c:pt>
                  <c:pt idx="6">
                    <c:v>Despacho de Aceite</c:v>
                  </c:pt>
                </c:lvl>
                <c:lvl>
                  <c:pt idx="0">
                    <c:v>BAÑERA</c:v>
                  </c:pt>
                  <c:pt idx="1">
                    <c:v>CONTENEDOR</c:v>
                  </c:pt>
                  <c:pt idx="2">
                    <c:v>PLATAFORMA</c:v>
                  </c:pt>
                  <c:pt idx="6">
                    <c:v>TANQUERO</c:v>
                  </c:pt>
                </c:lvl>
                <c:lvl>
                  <c:pt idx="0">
                    <c:v>Cab-09</c:v>
                  </c:pt>
                </c:lvl>
              </c:multiLvlStrCache>
            </c:multiLvlStrRef>
          </c:cat>
          <c:val>
            <c:numRef>
              <c:f>'Cargas por remolque'!$G$157:$G$163</c:f>
              <c:numCache>
                <c:formatCode>0.00%</c:formatCode>
                <c:ptCount val="7"/>
                <c:pt idx="0">
                  <c:v>0.47085342428162613</c:v>
                </c:pt>
                <c:pt idx="1">
                  <c:v>0.11007879571915796</c:v>
                </c:pt>
                <c:pt idx="2">
                  <c:v>0.22799796150378299</c:v>
                </c:pt>
                <c:pt idx="6">
                  <c:v>0.191069818495433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32064"/>
        <c:axId val="-1369135328"/>
        <c:axId val="0"/>
      </c:bar3DChart>
      <c:catAx>
        <c:axId val="-1369132064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5328"/>
        <c:crosses val="autoZero"/>
        <c:auto val="1"/>
        <c:lblAlgn val="ctr"/>
        <c:lblOffset val="100"/>
        <c:noMultiLvlLbl val="0"/>
      </c:catAx>
      <c:valAx>
        <c:axId val="-136913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>
        <c:manualLayout>
          <c:xMode val="edge"/>
          <c:yMode val="edge"/>
          <c:x val="0.2580023836970750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3.0004789286171086E-3"/>
                  <c:y val="-5.78704690285395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7829696386506209E-2"/>
                      <c:h val="6.9374984952544752E-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2.1453273675778122E-3"/>
                  <c:y val="-5.11639891521592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9757217847761389E-4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6.976677543098676E-3"/>
                  <c:y val="-2.121889068003332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0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6.2500000000000767E-3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6.2499999999998468E-3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remolque'!$B$225:$D$226</c:f>
              <c:multiLvlStrCache>
                <c:ptCount val="2"/>
                <c:lvl>
                  <c:pt idx="0">
                    <c:v>Materia Prima</c:v>
                  </c:pt>
                  <c:pt idx="1">
                    <c:v>Scrap  Atun Manta</c:v>
                  </c:pt>
                </c:lvl>
                <c:lvl>
                  <c:pt idx="0">
                    <c:v>BAÑERA</c:v>
                  </c:pt>
                </c:lvl>
                <c:lvl>
                  <c:pt idx="0">
                    <c:v>Cab-12</c:v>
                  </c:pt>
                </c:lvl>
              </c:multiLvlStrCache>
            </c:multiLvlStrRef>
          </c:cat>
          <c:val>
            <c:numRef>
              <c:f>'Cargas por remolque'!$E$225:$E$226</c:f>
              <c:numCache>
                <c:formatCode>0.00</c:formatCode>
                <c:ptCount val="2"/>
                <c:pt idx="0">
                  <c:v>17.190000000000001</c:v>
                </c:pt>
                <c:pt idx="1">
                  <c:v>483.03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7822368978071289E-2"/>
                  <c:y val="-7.73015141202806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2.1428655165002516E-2"/>
                  <c:y val="-9.25396047875202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2.0136811023622046E-2"/>
                  <c:y val="-5.78703703703703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583333333333329E-2"/>
                      <c:h val="4.1597404491105279E-2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1.7061018737422089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2.1428571428571429E-2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6.2500000000000003E-3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1.8569000214923508E-2"/>
                  <c:y val="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remolque'!$B$225:$D$226</c:f>
              <c:multiLvlStrCache>
                <c:ptCount val="2"/>
                <c:lvl>
                  <c:pt idx="0">
                    <c:v>Materia Prima</c:v>
                  </c:pt>
                  <c:pt idx="1">
                    <c:v>Scrap  Atun Manta</c:v>
                  </c:pt>
                </c:lvl>
                <c:lvl>
                  <c:pt idx="0">
                    <c:v>BAÑERA</c:v>
                  </c:pt>
                </c:lvl>
                <c:lvl>
                  <c:pt idx="0">
                    <c:v>Cab-12</c:v>
                  </c:pt>
                </c:lvl>
              </c:multiLvlStrCache>
            </c:multiLvlStrRef>
          </c:cat>
          <c:val>
            <c:numRef>
              <c:f>'Cargas por remolque'!$F$225:$F$226</c:f>
              <c:numCache>
                <c:formatCode>0.00%</c:formatCode>
                <c:ptCount val="2"/>
                <c:pt idx="0">
                  <c:v>3.4364879453040668E-2</c:v>
                </c:pt>
                <c:pt idx="1">
                  <c:v>0.96563512054695932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6.0664830047608816E-2"/>
                  <c:y val="-0.144263998250218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9404466501240695E-2"/>
                  <c:y val="-0.1561904293392038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166666666666666E-2"/>
                  <c:y val="-0.277777777777777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6.6170388751033305E-3"/>
                  <c:y val="-0.129629629629629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6542597187758478E-3"/>
                  <c:y val="-0.138888888888888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4.3749999999999997E-2"/>
                  <c:y val="-0.162037037037037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3.7220843672456573E-2"/>
                  <c:y val="-0.1018518518518518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3002546517913548E-2"/>
                      <c:h val="7.4004811898512685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remolque'!$B$225:$D$226</c:f>
              <c:multiLvlStrCache>
                <c:ptCount val="2"/>
                <c:lvl>
                  <c:pt idx="0">
                    <c:v>Materia Prima</c:v>
                  </c:pt>
                  <c:pt idx="1">
                    <c:v>Scrap  Atun Manta</c:v>
                  </c:pt>
                </c:lvl>
                <c:lvl>
                  <c:pt idx="0">
                    <c:v>BAÑERA</c:v>
                  </c:pt>
                </c:lvl>
                <c:lvl>
                  <c:pt idx="0">
                    <c:v>Cab-12</c:v>
                  </c:pt>
                </c:lvl>
              </c:multiLvlStrCache>
            </c:multiLvlStrRef>
          </c:cat>
          <c:val>
            <c:numRef>
              <c:f>'Cargas por remolque'!$G$225:$G$226</c:f>
              <c:numCache>
                <c:formatCode>0.00%</c:formatCode>
                <c:ptCount val="2"/>
                <c:pt idx="0">
                  <c:v>3.4364879453040668E-2</c:v>
                </c:pt>
                <c:pt idx="1">
                  <c:v>0.96563512054695932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29344"/>
        <c:axId val="-1369128800"/>
        <c:axId val="0"/>
      </c:bar3DChart>
      <c:catAx>
        <c:axId val="-1369129344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8800"/>
        <c:crosses val="autoZero"/>
        <c:auto val="1"/>
        <c:lblAlgn val="ctr"/>
        <c:lblOffset val="100"/>
        <c:noMultiLvlLbl val="0"/>
      </c:catAx>
      <c:valAx>
        <c:axId val="-136912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0197578075207138E-2"/>
                  <c:y val="-4.16666666666666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6481835564052606E-3"/>
                  <c:y val="-4.16666666666667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3266998341625208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4.4223327805418171E-3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0270656329158986E-16"/>
                  <c:y val="-2.31481481481482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4.2016806722689074E-3"/>
                  <c:y val="-2.7777777777777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1.0270656329158986E-16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remolque'!$B$200:$D$206</c:f>
              <c:multiLvlStrCache>
                <c:ptCount val="7"/>
                <c:lvl>
                  <c:pt idx="0">
                    <c:v>Materia Prima</c:v>
                  </c:pt>
                  <c:pt idx="1">
                    <c:v>Scrap  Atun Manta</c:v>
                  </c:pt>
                  <c:pt idx="2">
                    <c:v>Despacho harina Venta</c:v>
                  </c:pt>
                  <c:pt idx="3">
                    <c:v>Despacho Hidrolizado Venta</c:v>
                  </c:pt>
                  <c:pt idx="4">
                    <c:v>Traslado Har./Camaron Taura</c:v>
                  </c:pt>
                  <c:pt idx="5">
                    <c:v>Traslado Har./Pescado Jambeli</c:v>
                  </c:pt>
                  <c:pt idx="6">
                    <c:v>Ingreso Varios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</c:lvl>
                <c:lvl>
                  <c:pt idx="0">
                    <c:v>Cab-11</c:v>
                  </c:pt>
                </c:lvl>
              </c:multiLvlStrCache>
            </c:multiLvlStrRef>
          </c:cat>
          <c:val>
            <c:numRef>
              <c:f>'Cargas por remolque'!$E$200:$E$206</c:f>
              <c:numCache>
                <c:formatCode>0.00</c:formatCode>
                <c:ptCount val="7"/>
                <c:pt idx="0">
                  <c:v>424.98</c:v>
                </c:pt>
                <c:pt idx="1">
                  <c:v>19.11</c:v>
                </c:pt>
                <c:pt idx="2">
                  <c:v>288.02999999999997</c:v>
                </c:pt>
                <c:pt idx="3">
                  <c:v>46.4</c:v>
                </c:pt>
                <c:pt idx="4">
                  <c:v>42.28</c:v>
                </c:pt>
                <c:pt idx="5">
                  <c:v>101.99</c:v>
                </c:pt>
                <c:pt idx="6">
                  <c:v>35.770000000000003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6.1378724718233746E-3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7845761631612399E-2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0430224390965213E-2"/>
                  <c:y val="-6.0480631410435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4211304572843204E-3"/>
                  <c:y val="-2.63986150667337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1.8436878488780315E-2"/>
                  <c:y val="-4.1666759740138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8207282913165163E-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2.2408963585434174E-2"/>
                  <c:y val="-3.70370370370371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2.3809523809523708E-2"/>
                  <c:y val="-1.8518518518518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remolque'!$B$200:$D$206</c:f>
              <c:multiLvlStrCache>
                <c:ptCount val="7"/>
                <c:lvl>
                  <c:pt idx="0">
                    <c:v>Materia Prima</c:v>
                  </c:pt>
                  <c:pt idx="1">
                    <c:v>Scrap  Atun Manta</c:v>
                  </c:pt>
                  <c:pt idx="2">
                    <c:v>Despacho harina Venta</c:v>
                  </c:pt>
                  <c:pt idx="3">
                    <c:v>Despacho Hidrolizado Venta</c:v>
                  </c:pt>
                  <c:pt idx="4">
                    <c:v>Traslado Har./Camaron Taura</c:v>
                  </c:pt>
                  <c:pt idx="5">
                    <c:v>Traslado Har./Pescado Jambeli</c:v>
                  </c:pt>
                  <c:pt idx="6">
                    <c:v>Ingreso Varios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</c:lvl>
                <c:lvl>
                  <c:pt idx="0">
                    <c:v>Cab-11</c:v>
                  </c:pt>
                </c:lvl>
              </c:multiLvlStrCache>
            </c:multiLvlStrRef>
          </c:cat>
          <c:val>
            <c:numRef>
              <c:f>'Cargas por remolque'!$F$200:$F$206</c:f>
              <c:numCache>
                <c:formatCode>0.00%</c:formatCode>
                <c:ptCount val="7"/>
                <c:pt idx="0">
                  <c:v>0.44335252879318982</c:v>
                </c:pt>
                <c:pt idx="1">
                  <c:v>1.9936154231347022E-2</c:v>
                </c:pt>
                <c:pt idx="2">
                  <c:v>0.30048197295943913</c:v>
                </c:pt>
                <c:pt idx="3">
                  <c:v>4.8405942246703387E-2</c:v>
                </c:pt>
                <c:pt idx="4">
                  <c:v>4.410782840928059E-2</c:v>
                </c:pt>
                <c:pt idx="5">
                  <c:v>0.10639918210649307</c:v>
                </c:pt>
                <c:pt idx="6">
                  <c:v>3.7316391253546993E-2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2.9411703818712769E-2"/>
                  <c:y val="-0.2236011987863219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790987394181361E-2"/>
                  <c:y val="-0.233254407028908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5794831984030092E-2"/>
                  <c:y val="-0.25177304964539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remolque'!$B$200:$D$206</c:f>
              <c:multiLvlStrCache>
                <c:ptCount val="7"/>
                <c:lvl>
                  <c:pt idx="0">
                    <c:v>Materia Prima</c:v>
                  </c:pt>
                  <c:pt idx="1">
                    <c:v>Scrap  Atun Manta</c:v>
                  </c:pt>
                  <c:pt idx="2">
                    <c:v>Despacho harina Venta</c:v>
                  </c:pt>
                  <c:pt idx="3">
                    <c:v>Despacho Hidrolizado Venta</c:v>
                  </c:pt>
                  <c:pt idx="4">
                    <c:v>Traslado Har./Camaron Taura</c:v>
                  </c:pt>
                  <c:pt idx="5">
                    <c:v>Traslado Har./Pescado Jambeli</c:v>
                  </c:pt>
                  <c:pt idx="6">
                    <c:v>Ingreso Varios</c:v>
                  </c:pt>
                </c:lvl>
                <c:lvl>
                  <c:pt idx="0">
                    <c:v>BAÑERA</c:v>
                  </c:pt>
                  <c:pt idx="2">
                    <c:v>CONTENEDOR</c:v>
                  </c:pt>
                  <c:pt idx="3">
                    <c:v>PLATAFORMA</c:v>
                  </c:pt>
                </c:lvl>
                <c:lvl>
                  <c:pt idx="0">
                    <c:v>Cab-11</c:v>
                  </c:pt>
                </c:lvl>
              </c:multiLvlStrCache>
            </c:multiLvlStrRef>
          </c:cat>
          <c:val>
            <c:numRef>
              <c:f>'Cargas por remolque'!$G$200:$G$206</c:f>
              <c:numCache>
                <c:formatCode>0.00%</c:formatCode>
                <c:ptCount val="7"/>
                <c:pt idx="0">
                  <c:v>0.46328868302453685</c:v>
                </c:pt>
                <c:pt idx="2">
                  <c:v>0.30048197295943913</c:v>
                </c:pt>
                <c:pt idx="3">
                  <c:v>0.23622934401602405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33696"/>
        <c:axId val="-1369123904"/>
        <c:axId val="0"/>
      </c:bar3DChart>
      <c:catAx>
        <c:axId val="-1369133696"/>
        <c:scaling>
          <c:orientation val="minMax"/>
        </c:scaling>
        <c:delete val="0"/>
        <c:axPos val="b"/>
        <c:minorGridlines>
          <c:spPr>
            <a:ln>
              <a:noFill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3904"/>
        <c:crosses val="autoZero"/>
        <c:auto val="1"/>
        <c:lblAlgn val="ctr"/>
        <c:lblOffset val="100"/>
        <c:noMultiLvlLbl val="0"/>
      </c:catAx>
      <c:valAx>
        <c:axId val="-136912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 sz="1800" b="1" i="0" baseline="0">
                <a:effectLst>
                  <a:outerShdw blurRad="50800" dist="38100" dir="5400000" algn="t" rotWithShape="0">
                    <a:srgbClr val="000000">
                      <a:alpha val="40000"/>
                    </a:srgbClr>
                  </a:outerShdw>
                </a:effectLst>
              </a:rPr>
              <a:t>CARGAS POR TIPOS DE REMOLQUE</a:t>
            </a:r>
            <a:endParaRPr lang="es-EC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3.8240917782026769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4.0790312300828552E-2"/>
                  <c:y val="-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1.5296367112810707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8.1075164389381044E-17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remolque'!$B$181:$D$183</c:f>
              <c:multiLvlStrCache>
                <c:ptCount val="3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2">
                    <c:v>TANQUERO</c:v>
                  </c:pt>
                </c:lvl>
                <c:lvl>
                  <c:pt idx="0">
                    <c:v>Cab-10</c:v>
                  </c:pt>
                </c:lvl>
              </c:multiLvlStrCache>
            </c:multiLvlStrRef>
          </c:cat>
          <c:val>
            <c:numRef>
              <c:f>'Cargas por remolque'!$E$181:$E$183</c:f>
              <c:numCache>
                <c:formatCode>0.00</c:formatCode>
                <c:ptCount val="3"/>
                <c:pt idx="0">
                  <c:v>61.65</c:v>
                </c:pt>
                <c:pt idx="1">
                  <c:v>41.73</c:v>
                </c:pt>
                <c:pt idx="2">
                  <c:v>56.25</c:v>
                </c:pt>
              </c:numCache>
            </c:numRef>
          </c:val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2721519262828464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0987890376035599E-2"/>
                  <c:y val="-3.2407407407407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36367158085338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6.6334991708125223E-3"/>
                  <c:y val="-9.259259259259258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1.9900497512437648E-2"/>
                  <c:y val="-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remolque'!$B$181:$D$183</c:f>
              <c:multiLvlStrCache>
                <c:ptCount val="3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2">
                    <c:v>TANQUERO</c:v>
                  </c:pt>
                </c:lvl>
                <c:lvl>
                  <c:pt idx="0">
                    <c:v>Cab-10</c:v>
                  </c:pt>
                </c:lvl>
              </c:multiLvlStrCache>
            </c:multiLvlStrRef>
          </c:cat>
          <c:val>
            <c:numRef>
              <c:f>'Cargas por remolque'!$F$181:$F$183</c:f>
              <c:numCache>
                <c:formatCode>0.00%</c:formatCode>
                <c:ptCount val="3"/>
                <c:pt idx="0">
                  <c:v>0.38620560045104302</c:v>
                </c:pt>
                <c:pt idx="1">
                  <c:v>0.26141702687464763</c:v>
                </c:pt>
                <c:pt idx="2">
                  <c:v>0.35237737267430935</c:v>
                </c:pt>
              </c:numCache>
            </c:numRef>
          </c:val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4.6434494195688222E-2"/>
                  <c:y val="-0.2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7.0757324488667769E-2"/>
                  <c:y val="-0.13888888888888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3.5378662244333885E-2"/>
                  <c:y val="-0.166666666666666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1.9900497512437811E-2"/>
                  <c:y val="-0.2222222222222222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8645660585959094E-2"/>
                  <c:y val="-0.254629629629629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'Cargas por remolque'!$B$181:$D$183</c:f>
              <c:multiLvlStrCache>
                <c:ptCount val="3"/>
                <c:lvl>
                  <c:pt idx="0">
                    <c:v>Materia Prima</c:v>
                  </c:pt>
                  <c:pt idx="1">
                    <c:v>Traslado Har./Pescado Jambeli</c:v>
                  </c:pt>
                  <c:pt idx="2">
                    <c:v>A./Cocción Salica</c:v>
                  </c:pt>
                </c:lvl>
                <c:lvl>
                  <c:pt idx="0">
                    <c:v>BAÑERA</c:v>
                  </c:pt>
                  <c:pt idx="1">
                    <c:v>PLATAFORMA</c:v>
                  </c:pt>
                  <c:pt idx="2">
                    <c:v>TANQUERO</c:v>
                  </c:pt>
                </c:lvl>
                <c:lvl>
                  <c:pt idx="0">
                    <c:v>Cab-10</c:v>
                  </c:pt>
                </c:lvl>
              </c:multiLvlStrCache>
            </c:multiLvlStrRef>
          </c:cat>
          <c:val>
            <c:numRef>
              <c:f>'Cargas por remolque'!$G$181:$G$183</c:f>
              <c:numCache>
                <c:formatCode>0.00%</c:formatCode>
                <c:ptCount val="3"/>
                <c:pt idx="0">
                  <c:v>0.38620560045104302</c:v>
                </c:pt>
                <c:pt idx="1">
                  <c:v>0.26141702687464763</c:v>
                </c:pt>
                <c:pt idx="2">
                  <c:v>0.35237737267430935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-1369130432"/>
        <c:axId val="-1369126080"/>
        <c:axId val="0"/>
      </c:bar3DChart>
      <c:catAx>
        <c:axId val="-13691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26080"/>
        <c:crosses val="autoZero"/>
        <c:auto val="1"/>
        <c:lblAlgn val="ctr"/>
        <c:lblOffset val="100"/>
        <c:noMultiLvlLbl val="0"/>
      </c:catAx>
      <c:valAx>
        <c:axId val="-13691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36913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63500</xdr:colOff>
      <xdr:row>1</xdr:row>
      <xdr:rowOff>25400</xdr:rowOff>
    </xdr:from>
    <xdr:to>
      <xdr:col>23</xdr:col>
      <xdr:colOff>736600</xdr:colOff>
      <xdr:row>42</xdr:row>
      <xdr:rowOff>177800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2542804</xdr:colOff>
      <xdr:row>921</xdr:row>
      <xdr:rowOff>38430</xdr:rowOff>
    </xdr:from>
    <xdr:to>
      <xdr:col>11</xdr:col>
      <xdr:colOff>5022273</xdr:colOff>
      <xdr:row>954</xdr:row>
      <xdr:rowOff>127330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259772</xdr:colOff>
      <xdr:row>958</xdr:row>
      <xdr:rowOff>0</xdr:rowOff>
    </xdr:from>
    <xdr:to>
      <xdr:col>12</xdr:col>
      <xdr:colOff>757422</xdr:colOff>
      <xdr:row>1012</xdr:row>
      <xdr:rowOff>12370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371103</xdr:colOff>
      <xdr:row>1015</xdr:row>
      <xdr:rowOff>210293</xdr:rowOff>
    </xdr:from>
    <xdr:to>
      <xdr:col>9</xdr:col>
      <xdr:colOff>717466</xdr:colOff>
      <xdr:row>1039</xdr:row>
      <xdr:rowOff>136071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381001</xdr:colOff>
      <xdr:row>26</xdr:row>
      <xdr:rowOff>180975</xdr:rowOff>
    </xdr:from>
    <xdr:to>
      <xdr:col>7</xdr:col>
      <xdr:colOff>180975</xdr:colOff>
      <xdr:row>32</xdr:row>
      <xdr:rowOff>38100</xdr:rowOff>
    </xdr:to>
    <xdr:graphicFrame macro="">
      <xdr:nvGraphicFramePr>
        <xdr:cNvPr id="9" name="Gráfico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104776</xdr:colOff>
      <xdr:row>0</xdr:row>
      <xdr:rowOff>4762</xdr:rowOff>
    </xdr:from>
    <xdr:to>
      <xdr:col>8</xdr:col>
      <xdr:colOff>314326</xdr:colOff>
      <xdr:row>6</xdr:row>
      <xdr:rowOff>104775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32</xdr:row>
      <xdr:rowOff>161926</xdr:rowOff>
    </xdr:from>
    <xdr:to>
      <xdr:col>7</xdr:col>
      <xdr:colOff>142874</xdr:colOff>
      <xdr:row>39</xdr:row>
      <xdr:rowOff>133351</xdr:rowOff>
    </xdr:to>
    <xdr:graphicFrame macro="">
      <xdr:nvGraphicFramePr>
        <xdr:cNvPr id="11" name="Gráfico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352426</xdr:colOff>
      <xdr:row>40</xdr:row>
      <xdr:rowOff>57150</xdr:rowOff>
    </xdr:from>
    <xdr:to>
      <xdr:col>7</xdr:col>
      <xdr:colOff>495300</xdr:colOff>
      <xdr:row>45</xdr:row>
      <xdr:rowOff>85725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104776</xdr:colOff>
      <xdr:row>45</xdr:row>
      <xdr:rowOff>171450</xdr:rowOff>
    </xdr:from>
    <xdr:to>
      <xdr:col>6</xdr:col>
      <xdr:colOff>466725</xdr:colOff>
      <xdr:row>51</xdr:row>
      <xdr:rowOff>142875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152400</xdr:colOff>
      <xdr:row>20</xdr:row>
      <xdr:rowOff>28575</xdr:rowOff>
    </xdr:from>
    <xdr:to>
      <xdr:col>7</xdr:col>
      <xdr:colOff>76200</xdr:colOff>
      <xdr:row>25</xdr:row>
      <xdr:rowOff>142875</xdr:rowOff>
    </xdr:to>
    <xdr:graphicFrame macro="">
      <xdr:nvGraphicFramePr>
        <xdr:cNvPr id="14" name="Gráfico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523876</xdr:colOff>
      <xdr:row>6</xdr:row>
      <xdr:rowOff>166687</xdr:rowOff>
    </xdr:from>
    <xdr:to>
      <xdr:col>7</xdr:col>
      <xdr:colOff>409575</xdr:colOff>
      <xdr:row>12</xdr:row>
      <xdr:rowOff>76200</xdr:rowOff>
    </xdr:to>
    <xdr:graphicFrame macro="">
      <xdr:nvGraphicFramePr>
        <xdr:cNvPr id="8" name="Gráfico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704850</xdr:colOff>
      <xdr:row>13</xdr:row>
      <xdr:rowOff>80962</xdr:rowOff>
    </xdr:from>
    <xdr:to>
      <xdr:col>7</xdr:col>
      <xdr:colOff>581025</xdr:colOff>
      <xdr:row>18</xdr:row>
      <xdr:rowOff>180975</xdr:rowOff>
    </xdr:to>
    <xdr:graphicFrame macro="">
      <xdr:nvGraphicFramePr>
        <xdr:cNvPr id="10" name="Gráfico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7</xdr:row>
      <xdr:rowOff>9525</xdr:rowOff>
    </xdr:from>
    <xdr:to>
      <xdr:col>8</xdr:col>
      <xdr:colOff>590550</xdr:colOff>
      <xdr:row>19</xdr:row>
      <xdr:rowOff>14287</xdr:rowOff>
    </xdr:to>
    <xdr:graphicFrame macro="">
      <xdr:nvGraphicFramePr>
        <xdr:cNvPr id="20" name="Gráfico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514351</xdr:colOff>
      <xdr:row>28</xdr:row>
      <xdr:rowOff>42862</xdr:rowOff>
    </xdr:from>
    <xdr:to>
      <xdr:col>8</xdr:col>
      <xdr:colOff>581026</xdr:colOff>
      <xdr:row>44</xdr:row>
      <xdr:rowOff>119062</xdr:rowOff>
    </xdr:to>
    <xdr:graphicFrame macro="">
      <xdr:nvGraphicFramePr>
        <xdr:cNvPr id="21" name="Gráfico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66675</xdr:colOff>
      <xdr:row>51</xdr:row>
      <xdr:rowOff>38100</xdr:rowOff>
    </xdr:from>
    <xdr:to>
      <xdr:col>7</xdr:col>
      <xdr:colOff>466725</xdr:colOff>
      <xdr:row>65</xdr:row>
      <xdr:rowOff>114300</xdr:rowOff>
    </xdr:to>
    <xdr:graphicFrame macro="">
      <xdr:nvGraphicFramePr>
        <xdr:cNvPr id="22" name="Gráfico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504824</xdr:colOff>
      <xdr:row>72</xdr:row>
      <xdr:rowOff>19050</xdr:rowOff>
    </xdr:from>
    <xdr:to>
      <xdr:col>8</xdr:col>
      <xdr:colOff>247650</xdr:colOff>
      <xdr:row>84</xdr:row>
      <xdr:rowOff>9525</xdr:rowOff>
    </xdr:to>
    <xdr:graphicFrame macro="">
      <xdr:nvGraphicFramePr>
        <xdr:cNvPr id="23" name="Gráfico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419098</xdr:colOff>
      <xdr:row>93</xdr:row>
      <xdr:rowOff>19050</xdr:rowOff>
    </xdr:from>
    <xdr:to>
      <xdr:col>8</xdr:col>
      <xdr:colOff>76200</xdr:colOff>
      <xdr:row>106</xdr:row>
      <xdr:rowOff>28575</xdr:rowOff>
    </xdr:to>
    <xdr:graphicFrame macro="">
      <xdr:nvGraphicFramePr>
        <xdr:cNvPr id="24" name="Gráfico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485775</xdr:colOff>
      <xdr:row>115</xdr:row>
      <xdr:rowOff>9525</xdr:rowOff>
    </xdr:from>
    <xdr:to>
      <xdr:col>8</xdr:col>
      <xdr:colOff>361950</xdr:colOff>
      <xdr:row>128</xdr:row>
      <xdr:rowOff>104775</xdr:rowOff>
    </xdr:to>
    <xdr:graphicFrame macro="">
      <xdr:nvGraphicFramePr>
        <xdr:cNvPr id="25" name="Gráfico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571500</xdr:colOff>
      <xdr:row>138</xdr:row>
      <xdr:rowOff>66675</xdr:rowOff>
    </xdr:from>
    <xdr:to>
      <xdr:col>8</xdr:col>
      <xdr:colOff>47625</xdr:colOff>
      <xdr:row>153</xdr:row>
      <xdr:rowOff>28575</xdr:rowOff>
    </xdr:to>
    <xdr:graphicFrame macro="">
      <xdr:nvGraphicFramePr>
        <xdr:cNvPr id="26" name="Gráfico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371475</xdr:colOff>
      <xdr:row>164</xdr:row>
      <xdr:rowOff>57150</xdr:rowOff>
    </xdr:from>
    <xdr:to>
      <xdr:col>8</xdr:col>
      <xdr:colOff>419100</xdr:colOff>
      <xdr:row>178</xdr:row>
      <xdr:rowOff>133350</xdr:rowOff>
    </xdr:to>
    <xdr:graphicFrame macro="">
      <xdr:nvGraphicFramePr>
        <xdr:cNvPr id="27" name="Gráfico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714376</xdr:colOff>
      <xdr:row>227</xdr:row>
      <xdr:rowOff>57150</xdr:rowOff>
    </xdr:from>
    <xdr:to>
      <xdr:col>8</xdr:col>
      <xdr:colOff>57151</xdr:colOff>
      <xdr:row>239</xdr:row>
      <xdr:rowOff>9526</xdr:rowOff>
    </xdr:to>
    <xdr:graphicFrame macro="">
      <xdr:nvGraphicFramePr>
        <xdr:cNvPr id="15" name="Gráfico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504825</xdr:colOff>
      <xdr:row>207</xdr:row>
      <xdr:rowOff>57150</xdr:rowOff>
    </xdr:from>
    <xdr:to>
      <xdr:col>8</xdr:col>
      <xdr:colOff>219075</xdr:colOff>
      <xdr:row>220</xdr:row>
      <xdr:rowOff>95250</xdr:rowOff>
    </xdr:to>
    <xdr:graphicFrame macro="">
      <xdr:nvGraphicFramePr>
        <xdr:cNvPr id="12" name="Gráfico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66675</xdr:colOff>
      <xdr:row>184</xdr:row>
      <xdr:rowOff>38100</xdr:rowOff>
    </xdr:from>
    <xdr:to>
      <xdr:col>7</xdr:col>
      <xdr:colOff>466725</xdr:colOff>
      <xdr:row>196</xdr:row>
      <xdr:rowOff>66675</xdr:rowOff>
    </xdr:to>
    <xdr:graphicFrame macro="">
      <xdr:nvGraphicFramePr>
        <xdr:cNvPr id="13" name="Gráfico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Y59"/>
  <sheetViews>
    <sheetView zoomScale="75" zoomScaleNormal="75" workbookViewId="0">
      <selection activeCell="G51" sqref="G51"/>
    </sheetView>
  </sheetViews>
  <sheetFormatPr baseColWidth="10" defaultRowHeight="15" x14ac:dyDescent="0.25"/>
  <cols>
    <col min="3" max="3" width="9.7109375" customWidth="1"/>
    <col min="4" max="4" width="11.7109375" customWidth="1"/>
    <col min="5" max="5" width="9.85546875" customWidth="1"/>
    <col min="6" max="7" width="8.85546875" customWidth="1"/>
  </cols>
  <sheetData>
    <row r="2" spans="1:25" ht="18.75" x14ac:dyDescent="0.3">
      <c r="A2" s="266" t="s">
        <v>8</v>
      </c>
      <c r="B2" s="266"/>
      <c r="C2" s="266"/>
      <c r="D2" s="266"/>
      <c r="E2" s="266"/>
      <c r="F2" s="266"/>
      <c r="G2" s="266"/>
      <c r="H2" s="266"/>
    </row>
    <row r="3" spans="1:25" x14ac:dyDescent="0.25">
      <c r="B3" s="4" t="s">
        <v>6</v>
      </c>
      <c r="C3" s="2" t="s">
        <v>737</v>
      </c>
      <c r="D3" s="2"/>
    </row>
    <row r="5" spans="1:25" ht="30" x14ac:dyDescent="0.25">
      <c r="A5" s="267" t="s">
        <v>3</v>
      </c>
      <c r="B5" s="268"/>
      <c r="C5" s="5" t="s">
        <v>269</v>
      </c>
      <c r="D5" s="5" t="s">
        <v>270</v>
      </c>
      <c r="E5" s="5" t="s">
        <v>271</v>
      </c>
      <c r="F5" s="5" t="s">
        <v>272</v>
      </c>
      <c r="G5" s="5" t="s">
        <v>738</v>
      </c>
      <c r="H5" s="6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269" t="s">
        <v>18</v>
      </c>
      <c r="B6" s="3" t="s">
        <v>4</v>
      </c>
      <c r="C6" s="3">
        <v>0</v>
      </c>
      <c r="D6" s="3">
        <v>4</v>
      </c>
      <c r="E6" s="3">
        <v>12</v>
      </c>
      <c r="F6" s="3">
        <v>6</v>
      </c>
      <c r="G6" s="3">
        <v>4</v>
      </c>
      <c r="H6" s="3">
        <f t="shared" ref="H6:H40" si="0">SUM(C6:G6)</f>
        <v>26</v>
      </c>
    </row>
    <row r="7" spans="1:25" x14ac:dyDescent="0.25">
      <c r="A7" s="270"/>
      <c r="B7" s="3" t="s">
        <v>5</v>
      </c>
      <c r="C7" s="3">
        <f>0/1000</f>
        <v>0</v>
      </c>
      <c r="D7" s="3">
        <f>89950/1000</f>
        <v>89.95</v>
      </c>
      <c r="E7" s="3">
        <f>298355/1000</f>
        <v>298.35500000000002</v>
      </c>
      <c r="F7" s="3">
        <f>99400/1000</f>
        <v>99.4</v>
      </c>
      <c r="G7" s="3">
        <f>72820/1000</f>
        <v>72.819999999999993</v>
      </c>
      <c r="H7" s="224">
        <f t="shared" si="0"/>
        <v>560.52500000000009</v>
      </c>
    </row>
    <row r="8" spans="1:25" ht="18.75" x14ac:dyDescent="0.3">
      <c r="A8" s="269" t="s">
        <v>19</v>
      </c>
      <c r="B8" s="3" t="s">
        <v>4</v>
      </c>
      <c r="C8" s="3">
        <v>6</v>
      </c>
      <c r="D8" s="3">
        <v>19</v>
      </c>
      <c r="E8" s="3">
        <v>6</v>
      </c>
      <c r="F8" s="3">
        <v>16</v>
      </c>
      <c r="G8" s="3">
        <v>1</v>
      </c>
      <c r="H8" s="3">
        <f t="shared" si="0"/>
        <v>48</v>
      </c>
      <c r="M8" s="8"/>
      <c r="N8" s="8"/>
      <c r="O8" s="8"/>
      <c r="P8" s="8"/>
      <c r="Q8" s="8"/>
      <c r="R8" s="8"/>
      <c r="S8" s="8"/>
      <c r="T8" s="7"/>
      <c r="U8" s="8"/>
      <c r="V8" s="8"/>
    </row>
    <row r="9" spans="1:25" ht="18.75" x14ac:dyDescent="0.3">
      <c r="A9" s="270"/>
      <c r="B9" s="3" t="s">
        <v>5</v>
      </c>
      <c r="C9" s="3">
        <f>123460/1000</f>
        <v>123.46</v>
      </c>
      <c r="D9" s="55">
        <f>429550/1000</f>
        <v>429.55</v>
      </c>
      <c r="E9" s="3">
        <f>113930/1000</f>
        <v>113.93</v>
      </c>
      <c r="F9" s="3">
        <f>377810/1000</f>
        <v>377.81</v>
      </c>
      <c r="G9" s="3">
        <f>35140/1000</f>
        <v>35.14</v>
      </c>
      <c r="H9" s="224">
        <f t="shared" si="0"/>
        <v>1079.8900000000001</v>
      </c>
      <c r="K9" s="7"/>
      <c r="L9" s="7"/>
      <c r="M9" s="7"/>
      <c r="N9" s="7"/>
      <c r="O9" s="7"/>
      <c r="P9" s="7"/>
      <c r="Q9" s="7"/>
      <c r="R9" s="7"/>
      <c r="S9" s="7"/>
      <c r="T9" s="7"/>
      <c r="U9" s="8"/>
      <c r="V9" s="8"/>
    </row>
    <row r="10" spans="1:25" ht="18.75" x14ac:dyDescent="0.3">
      <c r="A10" s="269" t="s">
        <v>20</v>
      </c>
      <c r="B10" s="3" t="s">
        <v>4</v>
      </c>
      <c r="C10" s="3">
        <v>8</v>
      </c>
      <c r="D10" s="3">
        <v>19</v>
      </c>
      <c r="E10" s="3">
        <v>11</v>
      </c>
      <c r="F10" s="3">
        <v>10</v>
      </c>
      <c r="G10" s="3">
        <v>9</v>
      </c>
      <c r="H10" s="3">
        <f t="shared" si="0"/>
        <v>57</v>
      </c>
      <c r="K10" s="7"/>
      <c r="L10" s="7"/>
      <c r="M10" s="7"/>
      <c r="N10" s="7"/>
      <c r="O10" s="7"/>
      <c r="P10" s="7"/>
      <c r="Q10" s="7"/>
      <c r="R10" s="7"/>
      <c r="S10" s="9"/>
      <c r="T10" s="9"/>
      <c r="U10" s="8"/>
      <c r="V10" s="8"/>
    </row>
    <row r="11" spans="1:25" ht="18.75" x14ac:dyDescent="0.3">
      <c r="A11" s="270"/>
      <c r="B11" s="3" t="s">
        <v>5</v>
      </c>
      <c r="C11" s="3">
        <f>134544/1000</f>
        <v>134.54400000000001</v>
      </c>
      <c r="D11" s="3">
        <f>370130/1000</f>
        <v>370.13</v>
      </c>
      <c r="E11" s="3">
        <f>166940/1000</f>
        <v>166.94</v>
      </c>
      <c r="F11" s="55">
        <f>203780/1000</f>
        <v>203.78</v>
      </c>
      <c r="G11" s="55">
        <f>200320/1000</f>
        <v>200.32</v>
      </c>
      <c r="H11" s="3">
        <f t="shared" si="0"/>
        <v>1075.7139999999999</v>
      </c>
      <c r="K11" s="7"/>
      <c r="L11" s="7"/>
      <c r="M11" s="7"/>
      <c r="N11" s="7"/>
      <c r="O11" s="7"/>
      <c r="P11" s="7"/>
      <c r="Q11" s="7"/>
      <c r="R11" s="7"/>
      <c r="S11" s="9"/>
      <c r="T11" s="9"/>
      <c r="U11" s="8"/>
      <c r="V11" s="8"/>
    </row>
    <row r="12" spans="1:25" ht="18.75" x14ac:dyDescent="0.3">
      <c r="A12" s="269" t="s">
        <v>21</v>
      </c>
      <c r="B12" s="3" t="s">
        <v>4</v>
      </c>
      <c r="C12" s="3">
        <v>4</v>
      </c>
      <c r="D12" s="3">
        <v>22</v>
      </c>
      <c r="E12" s="3">
        <v>6</v>
      </c>
      <c r="F12" s="3">
        <v>3</v>
      </c>
      <c r="G12" s="3"/>
      <c r="H12" s="3">
        <f t="shared" si="0"/>
        <v>35</v>
      </c>
      <c r="K12" s="7"/>
      <c r="L12" s="7"/>
      <c r="M12" s="7"/>
      <c r="N12" s="7"/>
      <c r="O12" s="7"/>
      <c r="P12" s="7"/>
      <c r="Q12" s="7"/>
      <c r="R12" s="7"/>
      <c r="S12" s="10"/>
      <c r="T12" s="10"/>
      <c r="U12" s="8"/>
      <c r="V12" s="8"/>
    </row>
    <row r="13" spans="1:25" ht="18.75" x14ac:dyDescent="0.3">
      <c r="A13" s="270"/>
      <c r="B13" s="3" t="s">
        <v>5</v>
      </c>
      <c r="C13" s="3">
        <f>65140/1000</f>
        <v>65.14</v>
      </c>
      <c r="D13" s="3">
        <f>427490/1000</f>
        <v>427.49</v>
      </c>
      <c r="E13" s="3">
        <f>130910/1000</f>
        <v>130.91</v>
      </c>
      <c r="F13" s="55">
        <f>45230/1000</f>
        <v>45.23</v>
      </c>
      <c r="G13" s="55"/>
      <c r="H13" s="55">
        <f t="shared" si="0"/>
        <v>668.77</v>
      </c>
      <c r="K13" s="7"/>
      <c r="L13" s="7"/>
      <c r="M13" s="7"/>
      <c r="N13" s="7"/>
      <c r="O13" s="7"/>
      <c r="P13" s="7"/>
      <c r="Q13" s="7"/>
      <c r="R13" s="7"/>
      <c r="S13" s="11"/>
      <c r="T13" s="11"/>
      <c r="U13" s="8"/>
      <c r="V13" s="8"/>
    </row>
    <row r="14" spans="1:25" ht="18.75" x14ac:dyDescent="0.3">
      <c r="A14" s="269" t="s">
        <v>22</v>
      </c>
      <c r="B14" s="3" t="s">
        <v>4</v>
      </c>
      <c r="C14" s="3">
        <v>7</v>
      </c>
      <c r="D14" s="3">
        <v>17</v>
      </c>
      <c r="E14" s="3">
        <v>6</v>
      </c>
      <c r="F14" s="3">
        <v>7</v>
      </c>
      <c r="G14" s="3">
        <v>1</v>
      </c>
      <c r="H14" s="3">
        <f t="shared" si="0"/>
        <v>38</v>
      </c>
      <c r="K14" s="7"/>
      <c r="L14" s="7"/>
      <c r="M14" s="7"/>
      <c r="N14" s="7"/>
      <c r="O14" s="7"/>
      <c r="P14" s="7"/>
      <c r="Q14" s="7"/>
      <c r="R14" s="7"/>
      <c r="S14" s="9"/>
      <c r="T14" s="9"/>
      <c r="U14" s="8"/>
      <c r="V14" s="8"/>
    </row>
    <row r="15" spans="1:25" x14ac:dyDescent="0.25">
      <c r="A15" s="270"/>
      <c r="B15" s="3" t="s">
        <v>5</v>
      </c>
      <c r="C15" s="3">
        <f>145000/1000</f>
        <v>145</v>
      </c>
      <c r="D15" s="55">
        <f>373760/1000</f>
        <v>373.76</v>
      </c>
      <c r="E15" s="3">
        <f>122690/1000</f>
        <v>122.69</v>
      </c>
      <c r="F15" s="55">
        <f>155030/1000</f>
        <v>155.03</v>
      </c>
      <c r="G15" s="55">
        <f>23330/1000</f>
        <v>23.33</v>
      </c>
      <c r="H15" s="55">
        <f t="shared" si="0"/>
        <v>819.81000000000006</v>
      </c>
      <c r="K15" s="8"/>
      <c r="L15" s="8"/>
      <c r="M15" s="12"/>
      <c r="N15" s="12"/>
      <c r="O15" s="12"/>
      <c r="P15" s="12"/>
      <c r="Q15" s="12"/>
      <c r="R15" s="12"/>
      <c r="S15" s="8"/>
      <c r="T15" s="8"/>
      <c r="U15" s="8"/>
      <c r="V15" s="8"/>
    </row>
    <row r="16" spans="1:25" x14ac:dyDescent="0.25">
      <c r="A16" s="269" t="s">
        <v>23</v>
      </c>
      <c r="B16" s="3" t="s">
        <v>4</v>
      </c>
      <c r="C16" s="3">
        <v>1</v>
      </c>
      <c r="D16" s="3">
        <v>17</v>
      </c>
      <c r="E16" s="3">
        <v>5</v>
      </c>
      <c r="F16" s="3">
        <v>7</v>
      </c>
      <c r="G16" s="3">
        <v>2</v>
      </c>
      <c r="H16" s="3">
        <f t="shared" si="0"/>
        <v>32</v>
      </c>
      <c r="K16" s="8"/>
      <c r="L16" s="8"/>
      <c r="M16" s="12"/>
      <c r="N16" s="12"/>
      <c r="O16" s="12"/>
      <c r="P16" s="12"/>
      <c r="Q16" s="12"/>
      <c r="R16" s="12"/>
      <c r="S16" s="8"/>
      <c r="T16" s="8"/>
      <c r="U16" s="8"/>
      <c r="V16" s="8"/>
    </row>
    <row r="17" spans="1:22" x14ac:dyDescent="0.25">
      <c r="A17" s="270"/>
      <c r="B17" s="3" t="s">
        <v>5</v>
      </c>
      <c r="C17" s="3">
        <f>20690/1000</f>
        <v>20.69</v>
      </c>
      <c r="D17" s="3">
        <f>338890/1000</f>
        <v>338.89</v>
      </c>
      <c r="E17" s="3">
        <f>106710/1000</f>
        <v>106.71</v>
      </c>
      <c r="F17" s="3">
        <f>209550/1000</f>
        <v>209.55</v>
      </c>
      <c r="G17" s="3">
        <f>70250/1000</f>
        <v>70.25</v>
      </c>
      <c r="H17" s="55">
        <f t="shared" si="0"/>
        <v>746.08999999999992</v>
      </c>
      <c r="K17" s="8"/>
      <c r="L17" s="8"/>
      <c r="M17" s="12"/>
      <c r="N17" s="12"/>
      <c r="O17" s="12"/>
      <c r="P17" s="12"/>
      <c r="Q17" s="12"/>
      <c r="R17" s="12"/>
      <c r="S17" s="8"/>
      <c r="T17" s="8"/>
      <c r="U17" s="8"/>
      <c r="V17" s="8"/>
    </row>
    <row r="18" spans="1:22" x14ac:dyDescent="0.25">
      <c r="A18" s="269" t="s">
        <v>24</v>
      </c>
      <c r="B18" s="3" t="s">
        <v>4</v>
      </c>
      <c r="C18" s="3">
        <v>7</v>
      </c>
      <c r="D18" s="3">
        <v>17</v>
      </c>
      <c r="E18" s="3">
        <v>8</v>
      </c>
      <c r="F18" s="3">
        <v>5</v>
      </c>
      <c r="G18" s="3"/>
      <c r="H18" s="3">
        <f t="shared" si="0"/>
        <v>37</v>
      </c>
      <c r="K18" s="8"/>
      <c r="L18" s="8"/>
      <c r="M18" s="12"/>
      <c r="N18" s="12"/>
      <c r="O18" s="12"/>
      <c r="P18" s="12"/>
      <c r="Q18" s="12"/>
      <c r="R18" s="12"/>
      <c r="S18" s="8"/>
      <c r="T18" s="8"/>
      <c r="U18" s="8"/>
      <c r="V18" s="8"/>
    </row>
    <row r="19" spans="1:22" x14ac:dyDescent="0.25">
      <c r="A19" s="270"/>
      <c r="B19" s="3" t="s">
        <v>5</v>
      </c>
      <c r="C19" s="55">
        <f>142070/1000</f>
        <v>142.07</v>
      </c>
      <c r="D19" s="3">
        <f>366730/1000</f>
        <v>366.73</v>
      </c>
      <c r="E19" s="3">
        <f>173070/1000</f>
        <v>173.07</v>
      </c>
      <c r="F19" s="3">
        <f>175640/1000</f>
        <v>175.64</v>
      </c>
      <c r="G19" s="3"/>
      <c r="H19" s="55">
        <f t="shared" si="0"/>
        <v>857.51</v>
      </c>
      <c r="K19" s="8"/>
      <c r="L19" s="8"/>
      <c r="M19" s="12"/>
      <c r="N19" s="12"/>
      <c r="O19" s="12"/>
      <c r="P19" s="12"/>
      <c r="Q19" s="12"/>
      <c r="R19" s="12"/>
      <c r="S19" s="8"/>
      <c r="T19" s="8"/>
      <c r="U19" s="8"/>
      <c r="V19" s="8"/>
    </row>
    <row r="20" spans="1:22" x14ac:dyDescent="0.25">
      <c r="A20" s="269" t="s">
        <v>25</v>
      </c>
      <c r="B20" s="3" t="s">
        <v>4</v>
      </c>
      <c r="C20" s="3">
        <v>4</v>
      </c>
      <c r="D20" s="220">
        <v>11</v>
      </c>
      <c r="E20" s="3">
        <v>7</v>
      </c>
      <c r="F20" s="3">
        <v>7</v>
      </c>
      <c r="G20" s="3">
        <v>1</v>
      </c>
      <c r="H20" s="3">
        <f t="shared" si="0"/>
        <v>30</v>
      </c>
      <c r="K20" s="8"/>
      <c r="L20" s="8"/>
      <c r="M20" s="12"/>
      <c r="N20" s="12"/>
      <c r="O20" s="12"/>
      <c r="P20" s="12"/>
      <c r="Q20" s="12"/>
      <c r="R20" s="12"/>
      <c r="S20" s="8"/>
      <c r="T20" s="8"/>
      <c r="U20" s="8"/>
      <c r="V20" s="8"/>
    </row>
    <row r="21" spans="1:22" x14ac:dyDescent="0.25">
      <c r="A21" s="270"/>
      <c r="B21" s="3" t="s">
        <v>5</v>
      </c>
      <c r="C21" s="55">
        <f>82180/1000</f>
        <v>82.18</v>
      </c>
      <c r="D21" s="55">
        <f>210410/1000</f>
        <v>210.41</v>
      </c>
      <c r="E21" s="55">
        <f>165945/1000</f>
        <v>165.94499999999999</v>
      </c>
      <c r="F21" s="3">
        <f>144090/1000</f>
        <v>144.09</v>
      </c>
      <c r="G21" s="3">
        <f>35100/1000</f>
        <v>35.1</v>
      </c>
      <c r="H21" s="224">
        <f t="shared" si="0"/>
        <v>637.72500000000002</v>
      </c>
      <c r="K21" s="8"/>
      <c r="L21" s="8"/>
      <c r="M21" s="12"/>
      <c r="N21" s="12"/>
      <c r="O21" s="12"/>
      <c r="P21" s="12"/>
      <c r="Q21" s="12"/>
      <c r="R21" s="12"/>
      <c r="S21" s="8"/>
      <c r="T21" s="8"/>
      <c r="U21" s="8"/>
      <c r="V21" s="8"/>
    </row>
    <row r="22" spans="1:22" x14ac:dyDescent="0.25">
      <c r="A22" s="269" t="s">
        <v>783</v>
      </c>
      <c r="B22" s="3" t="s">
        <v>4</v>
      </c>
      <c r="C22" s="3">
        <v>0</v>
      </c>
      <c r="D22" s="220">
        <v>0</v>
      </c>
      <c r="E22" s="3">
        <v>0</v>
      </c>
      <c r="F22" s="3">
        <v>3</v>
      </c>
      <c r="G22" s="3">
        <v>5</v>
      </c>
      <c r="H22" s="3">
        <f t="shared" ref="H22:H23" si="1">SUM(C22:G22)</f>
        <v>8</v>
      </c>
      <c r="K22" s="8"/>
      <c r="L22" s="8"/>
      <c r="M22" s="12"/>
      <c r="N22" s="12"/>
      <c r="O22" s="12"/>
      <c r="P22" s="12"/>
      <c r="Q22" s="12"/>
      <c r="R22" s="12"/>
      <c r="S22" s="8"/>
      <c r="T22" s="8"/>
      <c r="U22" s="8"/>
      <c r="V22" s="8"/>
    </row>
    <row r="23" spans="1:22" x14ac:dyDescent="0.25">
      <c r="A23" s="270"/>
      <c r="B23" s="3" t="s">
        <v>5</v>
      </c>
      <c r="C23" s="55">
        <f>0/1000</f>
        <v>0</v>
      </c>
      <c r="D23" s="55">
        <f>0/1000</f>
        <v>0</v>
      </c>
      <c r="E23" s="55">
        <f>0/1000</f>
        <v>0</v>
      </c>
      <c r="F23" s="3">
        <f>61650/1000</f>
        <v>61.65</v>
      </c>
      <c r="G23" s="3">
        <f>97980/1000</f>
        <v>97.98</v>
      </c>
      <c r="H23" s="224">
        <f t="shared" si="1"/>
        <v>159.63</v>
      </c>
      <c r="K23" s="8"/>
      <c r="L23" s="8"/>
      <c r="M23" s="12"/>
      <c r="N23" s="12"/>
      <c r="O23" s="12"/>
      <c r="P23" s="12"/>
      <c r="Q23" s="12"/>
      <c r="R23" s="12"/>
      <c r="S23" s="8"/>
      <c r="T23" s="8"/>
      <c r="U23" s="8"/>
      <c r="V23" s="8"/>
    </row>
    <row r="24" spans="1:22" x14ac:dyDescent="0.25">
      <c r="A24" s="269" t="s">
        <v>150</v>
      </c>
      <c r="B24" s="3" t="s">
        <v>4</v>
      </c>
      <c r="C24" s="3">
        <v>8</v>
      </c>
      <c r="D24" s="3">
        <v>20</v>
      </c>
      <c r="E24" s="3">
        <v>8</v>
      </c>
      <c r="F24" s="3">
        <v>6</v>
      </c>
      <c r="G24" s="3">
        <v>1</v>
      </c>
      <c r="H24" s="3">
        <f t="shared" si="0"/>
        <v>43</v>
      </c>
      <c r="K24" s="8"/>
      <c r="L24" s="8"/>
      <c r="M24" s="12"/>
      <c r="N24" s="12"/>
      <c r="O24" s="12"/>
      <c r="P24" s="12"/>
      <c r="Q24" s="12"/>
      <c r="R24" s="12"/>
      <c r="S24" s="8"/>
      <c r="T24" s="8"/>
      <c r="U24" s="8"/>
      <c r="V24" s="8"/>
    </row>
    <row r="25" spans="1:22" x14ac:dyDescent="0.25">
      <c r="A25" s="270"/>
      <c r="B25" s="3" t="s">
        <v>5</v>
      </c>
      <c r="C25" s="55">
        <f>151450/1000</f>
        <v>151.44999999999999</v>
      </c>
      <c r="D25" s="55">
        <f>413500/1000</f>
        <v>413.5</v>
      </c>
      <c r="E25" s="3">
        <f>167910/1000</f>
        <v>167.91</v>
      </c>
      <c r="F25" s="3">
        <f>195590/1000</f>
        <v>195.59</v>
      </c>
      <c r="G25" s="3">
        <f>30110/1000</f>
        <v>30.11</v>
      </c>
      <c r="H25" s="55">
        <f t="shared" si="0"/>
        <v>958.56000000000006</v>
      </c>
      <c r="K25" s="8"/>
      <c r="L25" s="8"/>
      <c r="M25" s="12"/>
      <c r="N25" s="12"/>
      <c r="O25" s="12"/>
      <c r="P25" s="12"/>
      <c r="Q25" s="12"/>
      <c r="R25" s="12"/>
      <c r="S25" s="8"/>
      <c r="T25" s="8"/>
      <c r="U25" s="8"/>
      <c r="V25" s="8"/>
    </row>
    <row r="26" spans="1:22" x14ac:dyDescent="0.25">
      <c r="A26" s="269" t="s">
        <v>58</v>
      </c>
      <c r="B26" s="3" t="s">
        <v>4</v>
      </c>
      <c r="C26" s="3">
        <v>5</v>
      </c>
      <c r="D26" s="3">
        <v>7</v>
      </c>
      <c r="E26" s="3">
        <v>5</v>
      </c>
      <c r="F26" s="3">
        <v>5</v>
      </c>
      <c r="G26" s="3">
        <v>2</v>
      </c>
      <c r="H26" s="3">
        <f t="shared" si="0"/>
        <v>24</v>
      </c>
      <c r="K26" s="8"/>
      <c r="L26" s="8"/>
      <c r="M26" s="12"/>
      <c r="N26" s="12"/>
      <c r="O26" s="12"/>
      <c r="P26" s="12"/>
      <c r="Q26" s="12"/>
      <c r="R26" s="12"/>
      <c r="S26" s="8"/>
      <c r="T26" s="8"/>
      <c r="U26" s="8"/>
      <c r="V26" s="8"/>
    </row>
    <row r="27" spans="1:22" x14ac:dyDescent="0.25">
      <c r="A27" s="270"/>
      <c r="B27" s="3" t="s">
        <v>5</v>
      </c>
      <c r="C27" s="3">
        <f>87230/1000</f>
        <v>87.23</v>
      </c>
      <c r="D27" s="55">
        <f>148160/1000</f>
        <v>148.16</v>
      </c>
      <c r="E27" s="3">
        <f>108840/1000</f>
        <v>108.84</v>
      </c>
      <c r="F27" s="3">
        <f>118610/1000</f>
        <v>118.61</v>
      </c>
      <c r="G27" s="3">
        <f>37380/1000</f>
        <v>37.380000000000003</v>
      </c>
      <c r="H27" s="55">
        <f t="shared" si="0"/>
        <v>500.22</v>
      </c>
      <c r="K27" s="8"/>
      <c r="L27" s="8"/>
      <c r="M27" s="12"/>
      <c r="N27" s="12"/>
      <c r="O27" s="12"/>
      <c r="P27" s="12"/>
      <c r="Q27" s="12"/>
      <c r="R27" s="12"/>
      <c r="S27" s="8"/>
      <c r="T27" s="8"/>
      <c r="U27" s="8"/>
      <c r="V27" s="8"/>
    </row>
    <row r="28" spans="1:22" x14ac:dyDescent="0.25">
      <c r="A28" s="271" t="s">
        <v>784</v>
      </c>
      <c r="B28" s="3" t="s">
        <v>4</v>
      </c>
      <c r="C28" s="3">
        <v>0</v>
      </c>
      <c r="D28" s="3">
        <v>0</v>
      </c>
      <c r="E28" s="3">
        <v>0</v>
      </c>
      <c r="F28" s="3">
        <v>4</v>
      </c>
      <c r="G28" s="3">
        <v>1</v>
      </c>
      <c r="H28" s="3">
        <f t="shared" ref="H28:H29" si="2">SUM(C28:G28)</f>
        <v>5</v>
      </c>
      <c r="K28" s="8"/>
      <c r="L28" s="8"/>
      <c r="M28" s="12"/>
      <c r="N28" s="12"/>
      <c r="O28" s="12"/>
      <c r="P28" s="12"/>
      <c r="Q28" s="12"/>
      <c r="R28" s="12"/>
      <c r="S28" s="8"/>
      <c r="T28" s="8"/>
      <c r="U28" s="8"/>
      <c r="V28" s="8"/>
    </row>
    <row r="29" spans="1:22" x14ac:dyDescent="0.25">
      <c r="A29" s="272"/>
      <c r="B29" s="3" t="s">
        <v>5</v>
      </c>
      <c r="C29" s="3">
        <f>0/1000</f>
        <v>0</v>
      </c>
      <c r="D29" s="3">
        <v>0</v>
      </c>
      <c r="E29" s="3">
        <f>0/1000</f>
        <v>0</v>
      </c>
      <c r="F29" s="3">
        <f>41710/1000</f>
        <v>41.71</v>
      </c>
      <c r="G29" s="3">
        <f>11800/1000</f>
        <v>11.8</v>
      </c>
      <c r="H29" s="55">
        <f t="shared" si="2"/>
        <v>53.510000000000005</v>
      </c>
      <c r="K29" s="8"/>
      <c r="L29" s="8"/>
      <c r="M29" s="12"/>
      <c r="N29" s="12"/>
      <c r="O29" s="12"/>
      <c r="P29" s="12"/>
      <c r="Q29" s="12"/>
      <c r="R29" s="12"/>
      <c r="S29" s="8"/>
      <c r="T29" s="8"/>
      <c r="U29" s="8"/>
      <c r="V29" s="8"/>
    </row>
    <row r="30" spans="1:22" s="225" customFormat="1" x14ac:dyDescent="0.25">
      <c r="A30" s="271" t="s">
        <v>785</v>
      </c>
      <c r="B30" s="226" t="s">
        <v>4</v>
      </c>
      <c r="C30" s="226">
        <v>0</v>
      </c>
      <c r="D30" s="226">
        <v>1</v>
      </c>
      <c r="E30" s="226">
        <v>0</v>
      </c>
      <c r="F30" s="226">
        <v>0</v>
      </c>
      <c r="G30" s="226"/>
      <c r="H30" s="226">
        <f t="shared" si="0"/>
        <v>1</v>
      </c>
    </row>
    <row r="31" spans="1:22" x14ac:dyDescent="0.25">
      <c r="A31" s="272"/>
      <c r="B31" s="3" t="s">
        <v>5</v>
      </c>
      <c r="C31" s="3">
        <f>0/1000</f>
        <v>0</v>
      </c>
      <c r="D31" s="3">
        <f>5900/1000</f>
        <v>5.9</v>
      </c>
      <c r="E31" s="3">
        <f>0/1000</f>
        <v>0</v>
      </c>
      <c r="F31" s="3">
        <f>0/1000</f>
        <v>0</v>
      </c>
      <c r="G31" s="3"/>
      <c r="H31" s="55">
        <f t="shared" si="0"/>
        <v>5.9</v>
      </c>
    </row>
    <row r="32" spans="1:22" x14ac:dyDescent="0.25">
      <c r="A32" s="271" t="s">
        <v>98</v>
      </c>
      <c r="B32" s="226" t="s">
        <v>4</v>
      </c>
      <c r="C32" s="226">
        <v>0</v>
      </c>
      <c r="D32" s="226">
        <v>1</v>
      </c>
      <c r="E32" s="226">
        <v>0</v>
      </c>
      <c r="F32" s="226">
        <v>1</v>
      </c>
      <c r="G32" s="226"/>
      <c r="H32" s="226">
        <f t="shared" ref="H32:H33" si="3">SUM(C32:G32)</f>
        <v>2</v>
      </c>
    </row>
    <row r="33" spans="1:10" x14ac:dyDescent="0.25">
      <c r="A33" s="272"/>
      <c r="B33" s="3" t="s">
        <v>5</v>
      </c>
      <c r="C33" s="3">
        <f>0/1000</f>
        <v>0</v>
      </c>
      <c r="D33" s="3">
        <f>11090/1000</f>
        <v>11.09</v>
      </c>
      <c r="E33" s="3">
        <f>0/1000</f>
        <v>0</v>
      </c>
      <c r="F33" s="3">
        <f>12420/1000</f>
        <v>12.42</v>
      </c>
      <c r="G33" s="3"/>
      <c r="H33" s="55">
        <f t="shared" si="3"/>
        <v>23.509999999999998</v>
      </c>
    </row>
    <row r="34" spans="1:10" x14ac:dyDescent="0.25">
      <c r="A34" s="269" t="s">
        <v>26</v>
      </c>
      <c r="B34" s="3" t="s">
        <v>4</v>
      </c>
      <c r="C34" s="3">
        <v>2</v>
      </c>
      <c r="D34" s="3">
        <v>2</v>
      </c>
      <c r="E34" s="3">
        <v>0</v>
      </c>
      <c r="F34" s="3">
        <v>0</v>
      </c>
      <c r="G34" s="3"/>
      <c r="H34" s="3">
        <f t="shared" si="0"/>
        <v>4</v>
      </c>
    </row>
    <row r="35" spans="1:10" x14ac:dyDescent="0.25">
      <c r="A35" s="270"/>
      <c r="B35" s="3" t="s">
        <v>5</v>
      </c>
      <c r="C35" s="3">
        <f>10520/1000</f>
        <v>10.52</v>
      </c>
      <c r="D35" s="3">
        <f>9300/1000</f>
        <v>9.3000000000000007</v>
      </c>
      <c r="E35" s="3">
        <f>0/1000</f>
        <v>0</v>
      </c>
      <c r="F35" s="3">
        <f>0/1000</f>
        <v>0</v>
      </c>
      <c r="G35" s="3"/>
      <c r="H35" s="55">
        <f t="shared" si="0"/>
        <v>19.82</v>
      </c>
    </row>
    <row r="36" spans="1:10" x14ac:dyDescent="0.25">
      <c r="A36" s="269" t="s">
        <v>27</v>
      </c>
      <c r="B36" s="3" t="s">
        <v>4</v>
      </c>
      <c r="C36" s="3">
        <v>6</v>
      </c>
      <c r="D36" s="3">
        <v>7</v>
      </c>
      <c r="E36" s="3">
        <v>6</v>
      </c>
      <c r="F36" s="3">
        <v>4</v>
      </c>
      <c r="G36" s="3">
        <v>2</v>
      </c>
      <c r="H36" s="3">
        <f t="shared" si="0"/>
        <v>25</v>
      </c>
    </row>
    <row r="37" spans="1:10" x14ac:dyDescent="0.25">
      <c r="A37" s="270"/>
      <c r="B37" s="3" t="s">
        <v>5</v>
      </c>
      <c r="C37" s="55">
        <f>33420/1000</f>
        <v>33.42</v>
      </c>
      <c r="D37" s="3">
        <f>54840/1000</f>
        <v>54.84</v>
      </c>
      <c r="E37" s="3">
        <f>46655/1000</f>
        <v>46.655000000000001</v>
      </c>
      <c r="F37" s="3">
        <f>29630/1000</f>
        <v>29.63</v>
      </c>
      <c r="G37" s="3">
        <f>18670/1000</f>
        <v>18.670000000000002</v>
      </c>
      <c r="H37" s="224">
        <f t="shared" si="0"/>
        <v>183.21500000000003</v>
      </c>
      <c r="I37">
        <f>+F37/F36</f>
        <v>7.4074999999999998</v>
      </c>
    </row>
    <row r="38" spans="1:10" x14ac:dyDescent="0.25">
      <c r="A38" s="269" t="s">
        <v>28</v>
      </c>
      <c r="B38" s="3" t="s">
        <v>4</v>
      </c>
      <c r="C38" s="3">
        <v>4</v>
      </c>
      <c r="D38" s="3">
        <v>3</v>
      </c>
      <c r="E38" s="3">
        <v>3</v>
      </c>
      <c r="F38" s="3">
        <v>3</v>
      </c>
      <c r="G38" s="3">
        <v>1</v>
      </c>
      <c r="H38" s="3">
        <f t="shared" si="0"/>
        <v>14</v>
      </c>
    </row>
    <row r="39" spans="1:10" x14ac:dyDescent="0.25">
      <c r="A39" s="270"/>
      <c r="B39" s="3" t="s">
        <v>5</v>
      </c>
      <c r="C39" s="55">
        <f>37840/1000</f>
        <v>37.840000000000003</v>
      </c>
      <c r="D39" s="3">
        <f>36540/1000</f>
        <v>36.54</v>
      </c>
      <c r="E39" s="3">
        <f>34190/1000</f>
        <v>34.19</v>
      </c>
      <c r="F39" s="3">
        <f>37950/1000</f>
        <v>37.950000000000003</v>
      </c>
      <c r="G39" s="3">
        <f>12120/1000</f>
        <v>12.12</v>
      </c>
      <c r="H39" s="55">
        <f t="shared" si="0"/>
        <v>158.63999999999999</v>
      </c>
      <c r="J39">
        <f>+E39/E38</f>
        <v>11.396666666666667</v>
      </c>
    </row>
    <row r="40" spans="1:10" x14ac:dyDescent="0.25">
      <c r="A40" s="269" t="s">
        <v>29</v>
      </c>
      <c r="B40" s="3" t="s">
        <v>4</v>
      </c>
      <c r="C40" s="3">
        <v>10</v>
      </c>
      <c r="D40" s="3">
        <v>21</v>
      </c>
      <c r="E40" s="3">
        <v>20</v>
      </c>
      <c r="F40" s="3">
        <v>9</v>
      </c>
      <c r="G40" s="3">
        <v>3</v>
      </c>
      <c r="H40" s="3">
        <f t="shared" si="0"/>
        <v>63</v>
      </c>
    </row>
    <row r="41" spans="1:10" x14ac:dyDescent="0.25">
      <c r="A41" s="270"/>
      <c r="B41" s="3" t="s">
        <v>5</v>
      </c>
      <c r="C41" s="3">
        <f>78300/1000</f>
        <v>78.3</v>
      </c>
      <c r="D41" s="55">
        <f>201030/1000</f>
        <v>201.03</v>
      </c>
      <c r="E41" s="55">
        <f>102535/1000</f>
        <v>102.535</v>
      </c>
      <c r="F41" s="55">
        <f>58440/1000</f>
        <v>58.44</v>
      </c>
      <c r="G41" s="55">
        <f>30500/1000</f>
        <v>30.5</v>
      </c>
      <c r="H41" s="224">
        <f>SUM(C41:G41)</f>
        <v>470.80500000000001</v>
      </c>
      <c r="J41">
        <f>+E41/E40</f>
        <v>5.1267499999999995</v>
      </c>
    </row>
    <row r="42" spans="1:10" x14ac:dyDescent="0.25">
      <c r="A42" s="269" t="s">
        <v>30</v>
      </c>
      <c r="B42" s="3" t="s">
        <v>4</v>
      </c>
      <c r="C42" s="3">
        <v>18</v>
      </c>
      <c r="D42" s="3">
        <v>23</v>
      </c>
      <c r="E42" s="3">
        <v>14</v>
      </c>
      <c r="F42" s="3">
        <v>13</v>
      </c>
      <c r="G42" s="3"/>
      <c r="H42" s="3">
        <f t="shared" ref="H42" si="4">SUM(C42:G42)</f>
        <v>68</v>
      </c>
    </row>
    <row r="43" spans="1:10" x14ac:dyDescent="0.25">
      <c r="A43" s="270"/>
      <c r="B43" s="3" t="s">
        <v>5</v>
      </c>
      <c r="C43" s="3">
        <f>110240/1000</f>
        <v>110.24</v>
      </c>
      <c r="D43" s="55">
        <f>160560/1000</f>
        <v>160.56</v>
      </c>
      <c r="E43" s="55">
        <f>54250/1000</f>
        <v>54.25</v>
      </c>
      <c r="F43" s="55">
        <f>61645/1000</f>
        <v>61.645000000000003</v>
      </c>
      <c r="G43" s="3"/>
      <c r="H43" s="224">
        <f>SUM(C43:G43)</f>
        <v>386.69499999999999</v>
      </c>
    </row>
    <row r="57" spans="9:9" ht="15.75" x14ac:dyDescent="0.25">
      <c r="I57" s="72"/>
    </row>
    <row r="59" spans="9:9" ht="15.75" x14ac:dyDescent="0.25">
      <c r="I59" s="72"/>
    </row>
  </sheetData>
  <mergeCells count="21">
    <mergeCell ref="A28:A29"/>
    <mergeCell ref="A32:A33"/>
    <mergeCell ref="A40:A41"/>
    <mergeCell ref="A42:A43"/>
    <mergeCell ref="A30:A31"/>
    <mergeCell ref="A34:A35"/>
    <mergeCell ref="A36:A37"/>
    <mergeCell ref="A38:A39"/>
    <mergeCell ref="A24:A25"/>
    <mergeCell ref="A26:A27"/>
    <mergeCell ref="A12:A13"/>
    <mergeCell ref="A14:A15"/>
    <mergeCell ref="A16:A17"/>
    <mergeCell ref="A18:A19"/>
    <mergeCell ref="A20:A21"/>
    <mergeCell ref="A22:A23"/>
    <mergeCell ref="A2:H2"/>
    <mergeCell ref="A5:B5"/>
    <mergeCell ref="A6:A7"/>
    <mergeCell ref="A8:A9"/>
    <mergeCell ref="A10:A11"/>
  </mergeCells>
  <pageMargins left="0.11811023622047245" right="0.11811023622047245" top="0.9055118110236221" bottom="0.11811023622047245" header="0.70866141732283472" footer="0.11811023622047245"/>
  <pageSetup paperSize="9" scale="6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1059"/>
  <sheetViews>
    <sheetView topLeftCell="A1009" zoomScale="77" zoomScaleNormal="77" workbookViewId="0">
      <selection activeCell="F914" sqref="F914"/>
    </sheetView>
  </sheetViews>
  <sheetFormatPr baseColWidth="10" defaultRowHeight="15" x14ac:dyDescent="0.25"/>
  <cols>
    <col min="1" max="1" width="33.28515625" style="23" customWidth="1"/>
    <col min="2" max="2" width="15.7109375" style="24" customWidth="1"/>
    <col min="3" max="3" width="53.42578125" style="25" customWidth="1"/>
    <col min="4" max="5" width="10.7109375" style="24" customWidth="1"/>
    <col min="6" max="6" width="44" style="28" customWidth="1"/>
    <col min="7" max="7" width="11.42578125" style="24"/>
    <col min="8" max="8" width="27.7109375" style="25" customWidth="1"/>
    <col min="9" max="9" width="40.140625" style="23" customWidth="1"/>
    <col min="10" max="11" width="11.42578125" style="23"/>
    <col min="12" max="12" width="76.85546875" style="23" bestFit="1" customWidth="1"/>
    <col min="13" max="16384" width="11.42578125" style="23"/>
  </cols>
  <sheetData>
    <row r="1" spans="1:22" ht="21" x14ac:dyDescent="0.35">
      <c r="A1" s="283" t="s">
        <v>11</v>
      </c>
      <c r="B1" s="283"/>
      <c r="C1" s="283"/>
      <c r="D1" s="283"/>
      <c r="E1" s="283"/>
      <c r="F1" s="283"/>
      <c r="G1" s="283"/>
      <c r="H1" s="283"/>
      <c r="I1" s="283"/>
    </row>
    <row r="3" spans="1:22" s="27" customFormat="1" ht="30" x14ac:dyDescent="0.25">
      <c r="A3" s="26" t="s">
        <v>0</v>
      </c>
      <c r="B3" s="26" t="s">
        <v>3</v>
      </c>
      <c r="C3" s="26" t="s">
        <v>9</v>
      </c>
      <c r="D3" s="26" t="s">
        <v>12</v>
      </c>
      <c r="E3" s="26" t="s">
        <v>13</v>
      </c>
      <c r="F3" s="49" t="s">
        <v>5</v>
      </c>
      <c r="G3" s="26" t="s">
        <v>2</v>
      </c>
      <c r="H3" s="26" t="s">
        <v>1</v>
      </c>
      <c r="I3" s="26" t="s">
        <v>10</v>
      </c>
      <c r="K3" s="23"/>
      <c r="L3" s="23"/>
      <c r="M3" s="23"/>
      <c r="N3" s="23"/>
      <c r="O3" s="23"/>
      <c r="P3" s="23"/>
      <c r="Q3" s="23"/>
      <c r="R3" s="23"/>
      <c r="S3" s="23"/>
    </row>
    <row r="4" spans="1:22" s="27" customFormat="1" ht="15" hidden="1" customHeight="1" x14ac:dyDescent="0.25">
      <c r="A4" s="22">
        <v>44256</v>
      </c>
      <c r="B4" s="219" t="s">
        <v>31</v>
      </c>
      <c r="C4" s="219" t="s">
        <v>293</v>
      </c>
      <c r="D4" s="74">
        <v>0.44444444444444442</v>
      </c>
      <c r="E4" s="221">
        <v>0.62986111111111109</v>
      </c>
      <c r="F4" s="245" t="s">
        <v>228</v>
      </c>
      <c r="G4" s="219">
        <v>25000</v>
      </c>
      <c r="H4" s="21" t="s">
        <v>294</v>
      </c>
      <c r="I4" s="20"/>
      <c r="K4" s="23"/>
      <c r="L4" s="23"/>
      <c r="M4" s="23"/>
      <c r="N4" s="23"/>
      <c r="O4" s="23"/>
      <c r="P4" s="23"/>
      <c r="Q4" s="23"/>
      <c r="R4" s="23"/>
      <c r="S4" s="23"/>
    </row>
    <row r="5" spans="1:22" ht="15" hidden="1" customHeight="1" x14ac:dyDescent="0.25">
      <c r="A5" s="22">
        <v>44256</v>
      </c>
      <c r="B5" s="63" t="s">
        <v>31</v>
      </c>
      <c r="C5" s="63" t="s">
        <v>293</v>
      </c>
      <c r="D5" s="74">
        <v>0.45069444444444445</v>
      </c>
      <c r="E5" s="74">
        <v>0.63472222222222219</v>
      </c>
      <c r="F5" s="240" t="s">
        <v>228</v>
      </c>
      <c r="G5" s="63">
        <v>25000</v>
      </c>
      <c r="H5" s="21" t="s">
        <v>295</v>
      </c>
      <c r="I5" s="20"/>
      <c r="T5" s="27"/>
      <c r="U5" s="27"/>
      <c r="V5" s="27"/>
    </row>
    <row r="6" spans="1:22" ht="15" hidden="1" customHeight="1" x14ac:dyDescent="0.25">
      <c r="A6" s="22">
        <v>44256</v>
      </c>
      <c r="B6" s="63" t="s">
        <v>31</v>
      </c>
      <c r="C6" s="222" t="s">
        <v>797</v>
      </c>
      <c r="D6" s="74">
        <v>0.55902777777777779</v>
      </c>
      <c r="E6" s="74">
        <v>0.61527777777777781</v>
      </c>
      <c r="F6" s="237" t="s">
        <v>297</v>
      </c>
      <c r="G6" s="63">
        <v>2530</v>
      </c>
      <c r="H6" s="21" t="s">
        <v>296</v>
      </c>
      <c r="I6" s="20"/>
      <c r="T6" s="27"/>
      <c r="U6" s="27"/>
      <c r="V6" s="27"/>
    </row>
    <row r="7" spans="1:22" ht="15" hidden="1" customHeight="1" x14ac:dyDescent="0.25">
      <c r="A7" s="22">
        <v>44256</v>
      </c>
      <c r="B7" s="63" t="s">
        <v>31</v>
      </c>
      <c r="C7" s="63" t="s">
        <v>259</v>
      </c>
      <c r="D7" s="74">
        <v>0.5444444444444444</v>
      </c>
      <c r="E7" s="74">
        <v>0.61319444444444449</v>
      </c>
      <c r="F7" s="243" t="s">
        <v>52</v>
      </c>
      <c r="G7" s="63">
        <v>35370</v>
      </c>
      <c r="H7" s="21" t="s">
        <v>298</v>
      </c>
      <c r="I7" s="20"/>
      <c r="T7" s="27"/>
      <c r="U7" s="27"/>
      <c r="V7" s="27"/>
    </row>
    <row r="8" spans="1:22" ht="15" hidden="1" customHeight="1" x14ac:dyDescent="0.25">
      <c r="A8" s="22">
        <v>44256</v>
      </c>
      <c r="B8" s="63" t="s">
        <v>300</v>
      </c>
      <c r="C8" s="63" t="s">
        <v>341</v>
      </c>
      <c r="D8" s="74">
        <v>0.57916666666666672</v>
      </c>
      <c r="E8" s="74">
        <v>0.39652777777777781</v>
      </c>
      <c r="F8" s="241" t="s">
        <v>301</v>
      </c>
      <c r="G8" s="63">
        <v>7240</v>
      </c>
      <c r="H8" s="21" t="s">
        <v>299</v>
      </c>
      <c r="I8" s="20"/>
      <c r="T8" s="27"/>
      <c r="U8" s="27"/>
      <c r="V8" s="27"/>
    </row>
    <row r="9" spans="1:22" ht="15" hidden="1" customHeight="1" x14ac:dyDescent="0.25">
      <c r="A9" s="22">
        <v>44256</v>
      </c>
      <c r="B9" s="63" t="s">
        <v>31</v>
      </c>
      <c r="C9" s="63" t="s">
        <v>259</v>
      </c>
      <c r="D9" s="74">
        <v>0.62152777777777779</v>
      </c>
      <c r="E9" s="74">
        <v>0.59652777777777777</v>
      </c>
      <c r="F9" s="243" t="s">
        <v>52</v>
      </c>
      <c r="G9" s="63">
        <v>35340</v>
      </c>
      <c r="H9" s="21" t="s">
        <v>302</v>
      </c>
      <c r="I9" s="20"/>
      <c r="T9" s="27"/>
      <c r="U9" s="27"/>
      <c r="V9" s="27"/>
    </row>
    <row r="10" spans="1:22" ht="15" hidden="1" customHeight="1" x14ac:dyDescent="0.25">
      <c r="A10" s="22">
        <v>44256</v>
      </c>
      <c r="B10" s="63" t="s">
        <v>150</v>
      </c>
      <c r="C10" s="63" t="s">
        <v>238</v>
      </c>
      <c r="D10" s="74">
        <v>0.6381944444444444</v>
      </c>
      <c r="E10" s="74">
        <v>0.72430555555555554</v>
      </c>
      <c r="F10" s="246" t="s">
        <v>218</v>
      </c>
      <c r="G10" s="63">
        <v>21070</v>
      </c>
      <c r="H10" s="21" t="s">
        <v>232</v>
      </c>
      <c r="I10" s="20"/>
      <c r="T10" s="27"/>
      <c r="U10" s="27"/>
      <c r="V10" s="27"/>
    </row>
    <row r="11" spans="1:22" ht="15" hidden="1" customHeight="1" x14ac:dyDescent="0.25">
      <c r="A11" s="22">
        <v>44256</v>
      </c>
      <c r="B11" s="63" t="s">
        <v>303</v>
      </c>
      <c r="C11" s="63" t="s">
        <v>255</v>
      </c>
      <c r="D11" s="74">
        <v>0.65416666666666667</v>
      </c>
      <c r="E11" s="74">
        <v>0.67499999999999993</v>
      </c>
      <c r="F11" s="237" t="s">
        <v>304</v>
      </c>
      <c r="G11" s="63">
        <v>1220</v>
      </c>
      <c r="H11" s="21" t="s">
        <v>213</v>
      </c>
      <c r="I11" s="20"/>
      <c r="T11" s="27"/>
      <c r="U11" s="27"/>
      <c r="V11" s="27"/>
    </row>
    <row r="12" spans="1:22" ht="15" hidden="1" customHeight="1" x14ac:dyDescent="0.25">
      <c r="A12" s="22">
        <v>44256</v>
      </c>
      <c r="B12" s="63" t="s">
        <v>307</v>
      </c>
      <c r="C12" s="63" t="s">
        <v>305</v>
      </c>
      <c r="D12" s="74">
        <v>0.67222222222222217</v>
      </c>
      <c r="E12" s="74">
        <v>0.72986111111111107</v>
      </c>
      <c r="F12" s="247" t="s">
        <v>308</v>
      </c>
      <c r="G12" s="63">
        <v>23470</v>
      </c>
      <c r="H12" s="21" t="s">
        <v>306</v>
      </c>
      <c r="I12" s="20"/>
      <c r="T12" s="27"/>
      <c r="U12" s="27"/>
      <c r="V12" s="27"/>
    </row>
    <row r="13" spans="1:22" ht="15" customHeight="1" x14ac:dyDescent="0.25">
      <c r="A13" s="22">
        <v>44256</v>
      </c>
      <c r="B13" s="63" t="s">
        <v>15</v>
      </c>
      <c r="C13" s="63" t="s">
        <v>238</v>
      </c>
      <c r="D13" s="74">
        <v>0.67708333333333337</v>
      </c>
      <c r="E13" s="74">
        <v>0.70763888888888893</v>
      </c>
      <c r="F13" s="246" t="s">
        <v>218</v>
      </c>
      <c r="G13" s="63">
        <v>21070</v>
      </c>
      <c r="H13" s="21" t="s">
        <v>309</v>
      </c>
      <c r="I13" s="20"/>
      <c r="T13" s="27"/>
      <c r="U13" s="27"/>
      <c r="V13" s="27"/>
    </row>
    <row r="14" spans="1:22" ht="15" hidden="1" customHeight="1" x14ac:dyDescent="0.25">
      <c r="A14" s="22">
        <v>44256</v>
      </c>
      <c r="B14" s="63" t="s">
        <v>78</v>
      </c>
      <c r="C14" s="63" t="s">
        <v>238</v>
      </c>
      <c r="D14" s="74">
        <v>0.68472222222222223</v>
      </c>
      <c r="E14" s="74">
        <v>0.81597222222222221</v>
      </c>
      <c r="F14" s="246" t="s">
        <v>218</v>
      </c>
      <c r="G14" s="63">
        <v>21090</v>
      </c>
      <c r="H14" s="21" t="s">
        <v>178</v>
      </c>
      <c r="I14" s="20"/>
      <c r="R14" s="80"/>
      <c r="T14" s="27"/>
      <c r="U14" s="27"/>
      <c r="V14" s="27"/>
    </row>
    <row r="15" spans="1:22" ht="15" hidden="1" customHeight="1" x14ac:dyDescent="0.25">
      <c r="A15" s="22">
        <v>44256</v>
      </c>
      <c r="B15" s="63" t="s">
        <v>84</v>
      </c>
      <c r="C15" s="63" t="s">
        <v>310</v>
      </c>
      <c r="D15" s="74">
        <v>0.97152777777777777</v>
      </c>
      <c r="E15" s="74">
        <v>0.41319444444444442</v>
      </c>
      <c r="F15" s="241" t="s">
        <v>231</v>
      </c>
      <c r="G15" s="63">
        <v>6780</v>
      </c>
      <c r="H15" s="21" t="s">
        <v>311</v>
      </c>
      <c r="I15" s="20"/>
      <c r="T15" s="27"/>
      <c r="U15" s="27"/>
      <c r="V15" s="27"/>
    </row>
    <row r="16" spans="1:22" ht="15" hidden="1" customHeight="1" x14ac:dyDescent="0.25">
      <c r="A16" s="22">
        <v>44257</v>
      </c>
      <c r="B16" s="63" t="s">
        <v>58</v>
      </c>
      <c r="C16" s="63" t="s">
        <v>312</v>
      </c>
      <c r="D16" s="74">
        <v>0.14444444444444446</v>
      </c>
      <c r="E16" s="74">
        <v>0.16527777777777777</v>
      </c>
      <c r="F16" s="241" t="s">
        <v>351</v>
      </c>
      <c r="G16" s="63">
        <v>17310</v>
      </c>
      <c r="H16" s="21" t="s">
        <v>313</v>
      </c>
      <c r="I16" s="20"/>
      <c r="T16" s="27"/>
      <c r="U16" s="27"/>
      <c r="V16" s="27"/>
    </row>
    <row r="17" spans="1:22" ht="15" hidden="1" customHeight="1" x14ac:dyDescent="0.25">
      <c r="A17" s="22">
        <v>44257</v>
      </c>
      <c r="B17" s="63" t="s">
        <v>181</v>
      </c>
      <c r="C17" s="63" t="s">
        <v>314</v>
      </c>
      <c r="D17" s="74">
        <v>0.15138888888888888</v>
      </c>
      <c r="E17" s="74">
        <v>0.32222222222222224</v>
      </c>
      <c r="F17" s="241" t="s">
        <v>316</v>
      </c>
      <c r="G17" s="63">
        <v>12200</v>
      </c>
      <c r="H17" s="21" t="s">
        <v>315</v>
      </c>
      <c r="I17" s="20"/>
      <c r="T17" s="27"/>
      <c r="U17" s="27"/>
      <c r="V17" s="27"/>
    </row>
    <row r="18" spans="1:22" ht="15" hidden="1" customHeight="1" x14ac:dyDescent="0.25">
      <c r="A18" s="22">
        <v>44257</v>
      </c>
      <c r="B18" s="63" t="s">
        <v>157</v>
      </c>
      <c r="C18" s="63" t="s">
        <v>144</v>
      </c>
      <c r="D18" s="74">
        <v>0.46319444444444446</v>
      </c>
      <c r="E18" s="74">
        <v>0.59861111111111109</v>
      </c>
      <c r="F18" s="236" t="s">
        <v>317</v>
      </c>
      <c r="G18" s="63">
        <v>24430</v>
      </c>
      <c r="H18" s="21" t="s">
        <v>47</v>
      </c>
      <c r="I18" s="20"/>
      <c r="T18" s="27"/>
      <c r="U18" s="27"/>
      <c r="V18" s="27"/>
    </row>
    <row r="19" spans="1:22" ht="15" hidden="1" customHeight="1" x14ac:dyDescent="0.25">
      <c r="A19" s="22">
        <v>44257</v>
      </c>
      <c r="B19" s="63" t="s">
        <v>150</v>
      </c>
      <c r="C19" s="63" t="s">
        <v>238</v>
      </c>
      <c r="D19" s="74">
        <v>0.64166666666666672</v>
      </c>
      <c r="E19" s="74">
        <v>0.71180555555555547</v>
      </c>
      <c r="F19" s="246" t="s">
        <v>218</v>
      </c>
      <c r="G19" s="63">
        <v>21210</v>
      </c>
      <c r="H19" s="21" t="s">
        <v>232</v>
      </c>
      <c r="I19" s="20"/>
      <c r="T19" s="27"/>
      <c r="U19" s="27"/>
      <c r="V19" s="27"/>
    </row>
    <row r="20" spans="1:22" ht="15" hidden="1" customHeight="1" x14ac:dyDescent="0.25">
      <c r="A20" s="22">
        <v>44257</v>
      </c>
      <c r="B20" s="63" t="s">
        <v>303</v>
      </c>
      <c r="C20" s="63" t="s">
        <v>255</v>
      </c>
      <c r="D20" s="74">
        <v>0.68541666666666667</v>
      </c>
      <c r="E20" s="74">
        <v>0.7055555555555556</v>
      </c>
      <c r="F20" s="237" t="s">
        <v>304</v>
      </c>
      <c r="G20" s="63">
        <v>1880</v>
      </c>
      <c r="H20" s="21" t="s">
        <v>213</v>
      </c>
      <c r="I20" s="20"/>
      <c r="T20" s="27"/>
      <c r="U20" s="27"/>
      <c r="V20" s="27"/>
    </row>
    <row r="21" spans="1:22" ht="15" hidden="1" customHeight="1" x14ac:dyDescent="0.25">
      <c r="A21" s="22">
        <v>44257</v>
      </c>
      <c r="B21" s="63" t="s">
        <v>229</v>
      </c>
      <c r="C21" s="63" t="s">
        <v>183</v>
      </c>
      <c r="D21" s="74">
        <v>0.80347222222222225</v>
      </c>
      <c r="E21" s="74">
        <v>0.3840277777777778</v>
      </c>
      <c r="F21" s="236" t="s">
        <v>317</v>
      </c>
      <c r="G21" s="63">
        <v>14260</v>
      </c>
      <c r="H21" s="21" t="s">
        <v>176</v>
      </c>
      <c r="I21" s="20"/>
      <c r="T21" s="27"/>
      <c r="U21" s="27"/>
      <c r="V21" s="27"/>
    </row>
    <row r="22" spans="1:22" ht="15" hidden="1" customHeight="1" x14ac:dyDescent="0.25">
      <c r="A22" s="22">
        <v>44257</v>
      </c>
      <c r="B22" s="63" t="s">
        <v>300</v>
      </c>
      <c r="C22" s="63" t="s">
        <v>318</v>
      </c>
      <c r="D22" s="74">
        <v>0.81805555555555554</v>
      </c>
      <c r="E22" s="74">
        <v>0.34722222222222227</v>
      </c>
      <c r="F22" s="241" t="s">
        <v>88</v>
      </c>
      <c r="G22" s="63">
        <v>3380</v>
      </c>
      <c r="H22" s="21" t="s">
        <v>299</v>
      </c>
      <c r="I22" s="20"/>
      <c r="R22" s="80"/>
      <c r="T22" s="27"/>
      <c r="U22" s="27"/>
      <c r="V22" s="27"/>
    </row>
    <row r="23" spans="1:22" ht="15" hidden="1" customHeight="1" x14ac:dyDescent="0.25">
      <c r="A23" s="22">
        <v>44258</v>
      </c>
      <c r="B23" s="63" t="s">
        <v>58</v>
      </c>
      <c r="C23" s="63" t="s">
        <v>312</v>
      </c>
      <c r="D23" s="74">
        <v>0.11527777777777777</v>
      </c>
      <c r="E23" s="74">
        <v>0.12708333333333333</v>
      </c>
      <c r="F23" s="241" t="s">
        <v>705</v>
      </c>
      <c r="G23" s="63">
        <v>18150</v>
      </c>
      <c r="H23" s="21" t="s">
        <v>313</v>
      </c>
      <c r="I23" s="20"/>
      <c r="T23" s="27"/>
      <c r="U23" s="27"/>
      <c r="V23" s="27"/>
    </row>
    <row r="24" spans="1:22" ht="15" hidden="1" customHeight="1" x14ac:dyDescent="0.25">
      <c r="A24" s="22">
        <v>44258</v>
      </c>
      <c r="B24" s="63" t="s">
        <v>97</v>
      </c>
      <c r="C24" s="63" t="s">
        <v>263</v>
      </c>
      <c r="D24" s="74">
        <v>0.27430555555555552</v>
      </c>
      <c r="E24" s="74">
        <v>0.27777777777777779</v>
      </c>
      <c r="F24" s="241" t="s">
        <v>319</v>
      </c>
      <c r="G24" s="63">
        <v>540</v>
      </c>
      <c r="H24" s="21" t="s">
        <v>92</v>
      </c>
      <c r="I24" s="20"/>
      <c r="T24" s="27"/>
      <c r="U24" s="27"/>
      <c r="V24" s="27"/>
    </row>
    <row r="25" spans="1:22" ht="15" customHeight="1" x14ac:dyDescent="0.25">
      <c r="A25" s="22">
        <v>44258</v>
      </c>
      <c r="B25" s="63" t="s">
        <v>15</v>
      </c>
      <c r="C25" s="63" t="s">
        <v>239</v>
      </c>
      <c r="D25" s="74">
        <v>0.38194444444444442</v>
      </c>
      <c r="E25" s="74">
        <v>0.47847222222222219</v>
      </c>
      <c r="F25" s="244" t="s">
        <v>320</v>
      </c>
      <c r="G25" s="63">
        <v>20680</v>
      </c>
      <c r="H25" s="21" t="s">
        <v>309</v>
      </c>
      <c r="I25" s="20"/>
      <c r="T25" s="27"/>
      <c r="U25" s="27"/>
      <c r="V25" s="27"/>
    </row>
    <row r="26" spans="1:22" ht="15" hidden="1" customHeight="1" x14ac:dyDescent="0.25">
      <c r="A26" s="22">
        <v>44258</v>
      </c>
      <c r="B26" s="63" t="s">
        <v>303</v>
      </c>
      <c r="C26" s="63" t="s">
        <v>255</v>
      </c>
      <c r="D26" s="74">
        <v>0.43194444444444446</v>
      </c>
      <c r="E26" s="74">
        <v>0.47222222222222227</v>
      </c>
      <c r="F26" s="237" t="s">
        <v>322</v>
      </c>
      <c r="G26" s="63">
        <v>2100</v>
      </c>
      <c r="H26" s="21" t="s">
        <v>321</v>
      </c>
      <c r="I26" s="20"/>
      <c r="T26" s="27"/>
      <c r="U26" s="27"/>
      <c r="V26" s="27"/>
    </row>
    <row r="27" spans="1:22" ht="15" hidden="1" customHeight="1" x14ac:dyDescent="0.25">
      <c r="A27" s="22">
        <v>44258</v>
      </c>
      <c r="B27" s="63" t="s">
        <v>187</v>
      </c>
      <c r="C27" s="63" t="s">
        <v>323</v>
      </c>
      <c r="D27" s="74">
        <v>0.50902777777777775</v>
      </c>
      <c r="E27" s="74">
        <v>0.69861111111111107</v>
      </c>
      <c r="F27" s="241" t="s">
        <v>325</v>
      </c>
      <c r="G27" s="63">
        <v>10520</v>
      </c>
      <c r="H27" s="21" t="s">
        <v>324</v>
      </c>
      <c r="I27" s="20"/>
      <c r="T27" s="27"/>
      <c r="U27" s="27"/>
      <c r="V27" s="27"/>
    </row>
    <row r="28" spans="1:22" ht="15" hidden="1" customHeight="1" x14ac:dyDescent="0.25">
      <c r="A28" s="22">
        <v>44258</v>
      </c>
      <c r="B28" s="63" t="s">
        <v>31</v>
      </c>
      <c r="C28" s="63" t="s">
        <v>326</v>
      </c>
      <c r="D28" s="74">
        <v>0.55277777777777781</v>
      </c>
      <c r="E28" s="74">
        <v>0.80486111111111114</v>
      </c>
      <c r="F28" s="249" t="s">
        <v>173</v>
      </c>
      <c r="G28" s="63">
        <v>30910</v>
      </c>
      <c r="H28" s="21" t="s">
        <v>327</v>
      </c>
      <c r="I28" s="20"/>
      <c r="T28" s="27"/>
      <c r="U28" s="27"/>
      <c r="V28" s="27"/>
    </row>
    <row r="29" spans="1:22" ht="15" hidden="1" customHeight="1" x14ac:dyDescent="0.25">
      <c r="A29" s="22">
        <v>44258</v>
      </c>
      <c r="B29" s="63" t="s">
        <v>150</v>
      </c>
      <c r="C29" s="63" t="s">
        <v>141</v>
      </c>
      <c r="D29" s="74">
        <v>0.67222222222222217</v>
      </c>
      <c r="E29" s="74">
        <v>0.73958333333333337</v>
      </c>
      <c r="F29" s="247" t="s">
        <v>308</v>
      </c>
      <c r="G29" s="63">
        <v>22840</v>
      </c>
      <c r="H29" s="21" t="s">
        <v>232</v>
      </c>
      <c r="I29" s="20"/>
      <c r="T29" s="27"/>
      <c r="U29" s="27"/>
      <c r="V29" s="27"/>
    </row>
    <row r="30" spans="1:22" ht="15" hidden="1" customHeight="1" x14ac:dyDescent="0.25">
      <c r="A30" s="22">
        <v>44258</v>
      </c>
      <c r="B30" s="63" t="s">
        <v>53</v>
      </c>
      <c r="C30" s="63" t="s">
        <v>305</v>
      </c>
      <c r="D30" s="74">
        <v>0.68125000000000002</v>
      </c>
      <c r="E30" s="74">
        <v>0.74375000000000002</v>
      </c>
      <c r="F30" s="247" t="s">
        <v>308</v>
      </c>
      <c r="G30" s="63">
        <v>22970</v>
      </c>
      <c r="H30" s="21" t="s">
        <v>328</v>
      </c>
      <c r="I30" s="20"/>
      <c r="T30" s="27"/>
      <c r="U30" s="27"/>
      <c r="V30" s="27"/>
    </row>
    <row r="31" spans="1:22" ht="15" hidden="1" customHeight="1" x14ac:dyDescent="0.25">
      <c r="A31" s="22">
        <v>44258</v>
      </c>
      <c r="B31" s="63" t="s">
        <v>307</v>
      </c>
      <c r="C31" s="63" t="s">
        <v>194</v>
      </c>
      <c r="D31" s="74">
        <v>0.68402777777777779</v>
      </c>
      <c r="E31" s="74">
        <v>0.71527777777777779</v>
      </c>
      <c r="F31" s="241" t="s">
        <v>249</v>
      </c>
      <c r="G31" s="63">
        <v>20290</v>
      </c>
      <c r="H31" s="21" t="s">
        <v>147</v>
      </c>
      <c r="I31" s="20"/>
      <c r="T31" s="27"/>
      <c r="U31" s="27"/>
      <c r="V31" s="27"/>
    </row>
    <row r="32" spans="1:22" ht="15" hidden="1" customHeight="1" x14ac:dyDescent="0.25">
      <c r="A32" s="22">
        <v>44258</v>
      </c>
      <c r="B32" s="63" t="s">
        <v>31</v>
      </c>
      <c r="C32" s="63" t="s">
        <v>329</v>
      </c>
      <c r="D32" s="74">
        <v>0.7090277777777777</v>
      </c>
      <c r="E32" s="74">
        <v>0.75069444444444444</v>
      </c>
      <c r="F32" s="241" t="s">
        <v>331</v>
      </c>
      <c r="G32" s="63">
        <v>3220</v>
      </c>
      <c r="H32" s="21" t="s">
        <v>330</v>
      </c>
      <c r="I32" s="20"/>
      <c r="T32" s="27"/>
      <c r="U32" s="27"/>
      <c r="V32" s="27"/>
    </row>
    <row r="33" spans="1:22" ht="15" hidden="1" customHeight="1" x14ac:dyDescent="0.25">
      <c r="A33" s="22">
        <v>44258</v>
      </c>
      <c r="B33" s="63" t="s">
        <v>31</v>
      </c>
      <c r="C33" s="63" t="s">
        <v>329</v>
      </c>
      <c r="D33" s="74">
        <v>0.71111111111111114</v>
      </c>
      <c r="E33" s="74">
        <v>0.74583333333333324</v>
      </c>
      <c r="F33" s="241" t="s">
        <v>331</v>
      </c>
      <c r="G33" s="63">
        <v>1360</v>
      </c>
      <c r="H33" s="21" t="s">
        <v>332</v>
      </c>
      <c r="I33" s="20"/>
      <c r="T33" s="27"/>
      <c r="U33" s="27"/>
      <c r="V33" s="27"/>
    </row>
    <row r="34" spans="1:22" ht="15" hidden="1" customHeight="1" x14ac:dyDescent="0.25">
      <c r="A34" s="22">
        <v>44258</v>
      </c>
      <c r="B34" s="63" t="s">
        <v>31</v>
      </c>
      <c r="C34" s="63" t="s">
        <v>329</v>
      </c>
      <c r="D34" s="74">
        <v>0.71250000000000002</v>
      </c>
      <c r="E34" s="74">
        <v>0.7319444444444444</v>
      </c>
      <c r="F34" s="241" t="s">
        <v>331</v>
      </c>
      <c r="G34" s="63">
        <v>1300</v>
      </c>
      <c r="H34" s="21" t="s">
        <v>333</v>
      </c>
      <c r="I34" s="20"/>
      <c r="T34" s="27"/>
      <c r="U34" s="27"/>
      <c r="V34" s="27"/>
    </row>
    <row r="35" spans="1:22" ht="15" hidden="1" customHeight="1" x14ac:dyDescent="0.25">
      <c r="A35" s="22">
        <v>44258</v>
      </c>
      <c r="B35" s="63" t="s">
        <v>31</v>
      </c>
      <c r="C35" s="63" t="s">
        <v>329</v>
      </c>
      <c r="D35" s="74">
        <v>0.72499999999999998</v>
      </c>
      <c r="E35" s="74">
        <v>0.74930555555555556</v>
      </c>
      <c r="F35" s="241" t="s">
        <v>335</v>
      </c>
      <c r="G35" s="63">
        <v>980</v>
      </c>
      <c r="H35" s="21" t="s">
        <v>334</v>
      </c>
      <c r="I35" s="20"/>
      <c r="T35" s="27"/>
      <c r="U35" s="27"/>
      <c r="V35" s="27"/>
    </row>
    <row r="36" spans="1:22" ht="15" hidden="1" customHeight="1" x14ac:dyDescent="0.25">
      <c r="A36" s="22">
        <v>44258</v>
      </c>
      <c r="B36" s="63" t="s">
        <v>31</v>
      </c>
      <c r="C36" s="63" t="s">
        <v>326</v>
      </c>
      <c r="D36" s="74">
        <v>0.74791666666666667</v>
      </c>
      <c r="E36" s="74">
        <v>0.8256944444444444</v>
      </c>
      <c r="F36" s="249" t="s">
        <v>173</v>
      </c>
      <c r="G36" s="63">
        <v>30970</v>
      </c>
      <c r="H36" s="21" t="s">
        <v>336</v>
      </c>
      <c r="I36" s="20"/>
      <c r="T36" s="27"/>
      <c r="U36" s="27"/>
      <c r="V36" s="27"/>
    </row>
    <row r="37" spans="1:22" ht="15" hidden="1" customHeight="1" x14ac:dyDescent="0.25">
      <c r="A37" s="22">
        <v>44258</v>
      </c>
      <c r="B37" s="63" t="s">
        <v>175</v>
      </c>
      <c r="C37" s="63" t="s">
        <v>220</v>
      </c>
      <c r="D37" s="74">
        <v>0.76388888888888884</v>
      </c>
      <c r="E37" s="74">
        <v>0.76736111111111116</v>
      </c>
      <c r="F37" s="241" t="s">
        <v>331</v>
      </c>
      <c r="G37" s="63">
        <v>11750</v>
      </c>
      <c r="H37" s="21" t="s">
        <v>182</v>
      </c>
      <c r="I37" s="20"/>
      <c r="T37" s="27"/>
      <c r="U37" s="27"/>
      <c r="V37" s="27"/>
    </row>
    <row r="38" spans="1:22" ht="15" hidden="1" customHeight="1" x14ac:dyDescent="0.25">
      <c r="A38" s="22">
        <v>44258</v>
      </c>
      <c r="B38" s="63" t="s">
        <v>157</v>
      </c>
      <c r="C38" s="63" t="s">
        <v>337</v>
      </c>
      <c r="D38" s="74">
        <v>0.76527777777777783</v>
      </c>
      <c r="E38" s="74">
        <v>0.77777777777777779</v>
      </c>
      <c r="F38" s="241" t="s">
        <v>338</v>
      </c>
      <c r="G38" s="63">
        <v>20870</v>
      </c>
      <c r="H38" s="21" t="s">
        <v>47</v>
      </c>
      <c r="I38" s="20"/>
      <c r="T38" s="27"/>
      <c r="U38" s="27"/>
      <c r="V38" s="27"/>
    </row>
    <row r="39" spans="1:22" ht="15" hidden="1" customHeight="1" x14ac:dyDescent="0.25">
      <c r="A39" s="22">
        <v>44258</v>
      </c>
      <c r="B39" s="63" t="s">
        <v>229</v>
      </c>
      <c r="C39" s="63" t="s">
        <v>183</v>
      </c>
      <c r="D39" s="74">
        <v>0.78055555555555556</v>
      </c>
      <c r="E39" s="74">
        <v>0.36458333333333331</v>
      </c>
      <c r="F39" s="236" t="s">
        <v>317</v>
      </c>
      <c r="G39" s="63">
        <v>21590</v>
      </c>
      <c r="H39" s="21" t="s">
        <v>176</v>
      </c>
      <c r="I39" s="20"/>
      <c r="T39" s="27"/>
      <c r="U39" s="27"/>
      <c r="V39" s="27"/>
    </row>
    <row r="40" spans="1:22" ht="15" hidden="1" customHeight="1" x14ac:dyDescent="0.25">
      <c r="A40" s="22">
        <v>44258</v>
      </c>
      <c r="B40" s="63" t="s">
        <v>31</v>
      </c>
      <c r="C40" s="63" t="s">
        <v>329</v>
      </c>
      <c r="D40" s="74">
        <v>0.85277777777777775</v>
      </c>
      <c r="E40" s="74">
        <v>0.86458333333333337</v>
      </c>
      <c r="F40" s="241" t="s">
        <v>189</v>
      </c>
      <c r="G40" s="63">
        <v>8790</v>
      </c>
      <c r="H40" s="21" t="s">
        <v>339</v>
      </c>
      <c r="I40" s="20"/>
      <c r="T40" s="27"/>
      <c r="U40" s="27"/>
      <c r="V40" s="27"/>
    </row>
    <row r="41" spans="1:22" ht="15" hidden="1" customHeight="1" x14ac:dyDescent="0.25">
      <c r="A41" s="22">
        <v>44258</v>
      </c>
      <c r="B41" s="63" t="s">
        <v>175</v>
      </c>
      <c r="C41" s="63" t="s">
        <v>340</v>
      </c>
      <c r="D41" s="74">
        <v>0.86875000000000002</v>
      </c>
      <c r="E41" s="74">
        <v>0.40208333333333335</v>
      </c>
      <c r="F41" s="241" t="s">
        <v>248</v>
      </c>
      <c r="G41" s="63">
        <v>7290</v>
      </c>
      <c r="H41" s="21" t="s">
        <v>182</v>
      </c>
      <c r="I41" s="20"/>
      <c r="T41" s="27"/>
      <c r="U41" s="27"/>
      <c r="V41" s="27"/>
    </row>
    <row r="42" spans="1:22" ht="15" hidden="1" customHeight="1" x14ac:dyDescent="0.25">
      <c r="A42" s="22">
        <v>44258</v>
      </c>
      <c r="B42" s="63" t="s">
        <v>300</v>
      </c>
      <c r="C42" s="63" t="s">
        <v>341</v>
      </c>
      <c r="D42" s="74">
        <v>0.87708333333333333</v>
      </c>
      <c r="E42" s="74">
        <v>0.37847222222222227</v>
      </c>
      <c r="F42" s="241" t="s">
        <v>75</v>
      </c>
      <c r="G42" s="63">
        <v>3440</v>
      </c>
      <c r="H42" s="21" t="s">
        <v>299</v>
      </c>
      <c r="I42" s="20"/>
      <c r="T42" s="27"/>
      <c r="U42" s="27"/>
      <c r="V42" s="27"/>
    </row>
    <row r="43" spans="1:22" ht="15" hidden="1" customHeight="1" x14ac:dyDescent="0.25">
      <c r="A43" s="22">
        <v>44258</v>
      </c>
      <c r="B43" s="63" t="s">
        <v>83</v>
      </c>
      <c r="C43" s="63" t="s">
        <v>342</v>
      </c>
      <c r="D43" s="74">
        <v>0.88263888888888886</v>
      </c>
      <c r="E43" s="74">
        <v>0.95000000000000007</v>
      </c>
      <c r="F43" s="241" t="s">
        <v>344</v>
      </c>
      <c r="G43" s="63">
        <v>7450</v>
      </c>
      <c r="H43" s="21" t="s">
        <v>343</v>
      </c>
      <c r="I43" s="20"/>
      <c r="T43" s="27"/>
      <c r="U43" s="27"/>
      <c r="V43" s="27"/>
    </row>
    <row r="44" spans="1:22" ht="15" hidden="1" customHeight="1" x14ac:dyDescent="0.25">
      <c r="A44" s="22">
        <v>44258</v>
      </c>
      <c r="B44" s="63" t="s">
        <v>31</v>
      </c>
      <c r="C44" s="63" t="s">
        <v>329</v>
      </c>
      <c r="D44" s="74">
        <v>0.90625</v>
      </c>
      <c r="E44" s="74">
        <v>3.472222222222222E-3</v>
      </c>
      <c r="F44" s="241" t="s">
        <v>189</v>
      </c>
      <c r="G44" s="63">
        <v>7630</v>
      </c>
      <c r="H44" s="21" t="s">
        <v>345</v>
      </c>
      <c r="I44" s="20"/>
      <c r="T44" s="27"/>
      <c r="U44" s="27"/>
      <c r="V44" s="27"/>
    </row>
    <row r="45" spans="1:22" ht="15" hidden="1" customHeight="1" x14ac:dyDescent="0.25">
      <c r="A45" s="22">
        <v>44258</v>
      </c>
      <c r="B45" s="63" t="s">
        <v>31</v>
      </c>
      <c r="C45" s="63" t="s">
        <v>96</v>
      </c>
      <c r="D45" s="74">
        <v>0.91527777777777775</v>
      </c>
      <c r="E45" s="74">
        <v>0.97291666666666676</v>
      </c>
      <c r="F45" s="241" t="s">
        <v>251</v>
      </c>
      <c r="G45" s="63">
        <v>10555</v>
      </c>
      <c r="H45" s="21" t="s">
        <v>346</v>
      </c>
      <c r="I45" s="20"/>
      <c r="T45" s="27"/>
      <c r="U45" s="27"/>
      <c r="V45" s="27"/>
    </row>
    <row r="46" spans="1:22" ht="15" hidden="1" customHeight="1" x14ac:dyDescent="0.25">
      <c r="A46" s="22">
        <v>44258</v>
      </c>
      <c r="B46" s="63" t="s">
        <v>31</v>
      </c>
      <c r="C46" s="63" t="s">
        <v>329</v>
      </c>
      <c r="D46" s="74">
        <v>0.94236111111111109</v>
      </c>
      <c r="E46" s="74">
        <v>0.97777777777777775</v>
      </c>
      <c r="F46" s="241" t="s">
        <v>189</v>
      </c>
      <c r="G46" s="63">
        <v>8840</v>
      </c>
      <c r="H46" s="21" t="s">
        <v>339</v>
      </c>
      <c r="I46" s="20"/>
      <c r="T46" s="27"/>
      <c r="U46" s="27"/>
      <c r="V46" s="27"/>
    </row>
    <row r="47" spans="1:22" ht="15" customHeight="1" x14ac:dyDescent="0.25">
      <c r="A47" s="22">
        <v>44258</v>
      </c>
      <c r="B47" s="63" t="s">
        <v>15</v>
      </c>
      <c r="C47" s="63" t="s">
        <v>305</v>
      </c>
      <c r="D47" s="74">
        <v>0.98472222222222217</v>
      </c>
      <c r="E47" s="74">
        <v>0.40972222222222227</v>
      </c>
      <c r="F47" s="244" t="s">
        <v>320</v>
      </c>
      <c r="G47" s="63">
        <v>19980</v>
      </c>
      <c r="H47" s="21" t="s">
        <v>309</v>
      </c>
      <c r="I47" s="20"/>
      <c r="T47" s="27"/>
      <c r="U47" s="27"/>
      <c r="V47" s="27"/>
    </row>
    <row r="48" spans="1:22" ht="15" hidden="1" customHeight="1" x14ac:dyDescent="0.25">
      <c r="A48" s="22">
        <v>44258</v>
      </c>
      <c r="B48" s="63" t="s">
        <v>187</v>
      </c>
      <c r="C48" s="63" t="s">
        <v>329</v>
      </c>
      <c r="D48" s="74">
        <v>0.99791666666666667</v>
      </c>
      <c r="E48" s="74">
        <v>9.7222222222222224E-3</v>
      </c>
      <c r="F48" s="241" t="s">
        <v>347</v>
      </c>
      <c r="G48" s="63">
        <v>7770</v>
      </c>
      <c r="H48" s="21" t="s">
        <v>182</v>
      </c>
      <c r="I48" s="20"/>
      <c r="T48" s="27"/>
      <c r="U48" s="27"/>
      <c r="V48" s="27"/>
    </row>
    <row r="49" spans="1:22" ht="15" hidden="1" customHeight="1" x14ac:dyDescent="0.25">
      <c r="A49" s="22">
        <v>44258</v>
      </c>
      <c r="B49" s="63" t="s">
        <v>348</v>
      </c>
      <c r="C49" s="63" t="s">
        <v>310</v>
      </c>
      <c r="D49" s="74">
        <v>0.99930555555555556</v>
      </c>
      <c r="E49" s="74">
        <v>0.38263888888888892</v>
      </c>
      <c r="F49" s="241" t="s">
        <v>231</v>
      </c>
      <c r="G49" s="63">
        <v>3740</v>
      </c>
      <c r="H49" s="21" t="s">
        <v>311</v>
      </c>
      <c r="I49" s="20"/>
      <c r="T49" s="27"/>
      <c r="U49" s="27"/>
      <c r="V49" s="27"/>
    </row>
    <row r="50" spans="1:22" ht="15" hidden="1" customHeight="1" x14ac:dyDescent="0.25">
      <c r="A50" s="22">
        <v>44259</v>
      </c>
      <c r="B50" s="63" t="s">
        <v>145</v>
      </c>
      <c r="C50" s="63" t="s">
        <v>149</v>
      </c>
      <c r="D50" s="74">
        <v>5.2083333333333336E-2</v>
      </c>
      <c r="E50" s="74">
        <v>6.25E-2</v>
      </c>
      <c r="F50" s="237" t="s">
        <v>349</v>
      </c>
      <c r="G50" s="63">
        <v>260</v>
      </c>
      <c r="H50" s="21" t="s">
        <v>211</v>
      </c>
      <c r="I50" s="20"/>
      <c r="T50" s="27"/>
      <c r="U50" s="27"/>
      <c r="V50" s="27"/>
    </row>
    <row r="51" spans="1:22" ht="15" hidden="1" customHeight="1" x14ac:dyDescent="0.25">
      <c r="A51" s="22">
        <v>44259</v>
      </c>
      <c r="B51" s="63" t="s">
        <v>145</v>
      </c>
      <c r="C51" s="63" t="s">
        <v>149</v>
      </c>
      <c r="D51" s="74">
        <v>6.3194444444444442E-2</v>
      </c>
      <c r="E51" s="74">
        <v>0.42083333333333334</v>
      </c>
      <c r="F51" s="241" t="s">
        <v>350</v>
      </c>
      <c r="G51" s="63">
        <v>12680</v>
      </c>
      <c r="H51" s="21" t="s">
        <v>211</v>
      </c>
      <c r="I51" s="20"/>
      <c r="T51" s="27"/>
      <c r="U51" s="27"/>
      <c r="V51" s="27"/>
    </row>
    <row r="52" spans="1:22" ht="15" hidden="1" customHeight="1" x14ac:dyDescent="0.25">
      <c r="A52" s="22">
        <v>44259</v>
      </c>
      <c r="B52" s="63" t="s">
        <v>58</v>
      </c>
      <c r="C52" s="63" t="s">
        <v>312</v>
      </c>
      <c r="D52" s="74">
        <v>0.10486111111111111</v>
      </c>
      <c r="E52" s="74">
        <v>0.11458333333333333</v>
      </c>
      <c r="F52" s="241" t="s">
        <v>351</v>
      </c>
      <c r="G52" s="63">
        <v>18000</v>
      </c>
      <c r="H52" s="21" t="s">
        <v>313</v>
      </c>
      <c r="I52" s="20"/>
      <c r="T52" s="27"/>
      <c r="U52" s="27"/>
      <c r="V52" s="27"/>
    </row>
    <row r="53" spans="1:22" ht="15" hidden="1" customHeight="1" x14ac:dyDescent="0.25">
      <c r="A53" s="22">
        <v>44259</v>
      </c>
      <c r="B53" s="63" t="s">
        <v>31</v>
      </c>
      <c r="C53" s="63" t="s">
        <v>352</v>
      </c>
      <c r="D53" s="74">
        <v>0.40763888888888888</v>
      </c>
      <c r="E53" s="74">
        <v>0.41388888888888892</v>
      </c>
      <c r="F53" s="237" t="s">
        <v>354</v>
      </c>
      <c r="G53" s="63">
        <v>510</v>
      </c>
      <c r="H53" s="21" t="s">
        <v>353</v>
      </c>
      <c r="I53" s="20"/>
      <c r="T53" s="27"/>
      <c r="U53" s="27"/>
      <c r="V53" s="27"/>
    </row>
    <row r="54" spans="1:22" ht="15" hidden="1" customHeight="1" x14ac:dyDescent="0.25">
      <c r="A54" s="22">
        <v>44259</v>
      </c>
      <c r="B54" s="63" t="s">
        <v>307</v>
      </c>
      <c r="C54" s="63" t="s">
        <v>355</v>
      </c>
      <c r="D54" s="74">
        <v>0.41597222222222219</v>
      </c>
      <c r="E54" s="74">
        <v>0.4284722222222222</v>
      </c>
      <c r="F54" s="241" t="s">
        <v>356</v>
      </c>
      <c r="G54" s="63">
        <v>16270</v>
      </c>
      <c r="H54" s="21" t="s">
        <v>147</v>
      </c>
      <c r="I54" s="20"/>
      <c r="T54" s="27"/>
      <c r="U54" s="27"/>
      <c r="V54" s="27"/>
    </row>
    <row r="55" spans="1:22" ht="15" hidden="1" customHeight="1" x14ac:dyDescent="0.25">
      <c r="A55" s="22">
        <v>44259</v>
      </c>
      <c r="B55" s="63" t="s">
        <v>187</v>
      </c>
      <c r="C55" s="63" t="s">
        <v>323</v>
      </c>
      <c r="D55" s="74">
        <v>0.43055555555555558</v>
      </c>
      <c r="E55" s="74">
        <v>0.53402777777777777</v>
      </c>
      <c r="F55" s="241" t="s">
        <v>325</v>
      </c>
      <c r="G55" s="63">
        <v>8400</v>
      </c>
      <c r="H55" s="21" t="s">
        <v>324</v>
      </c>
      <c r="I55" s="20"/>
      <c r="T55" s="27"/>
      <c r="U55" s="27"/>
      <c r="V55" s="27"/>
    </row>
    <row r="56" spans="1:22" ht="15" hidden="1" customHeight="1" x14ac:dyDescent="0.25">
      <c r="A56" s="22">
        <v>44259</v>
      </c>
      <c r="B56" s="63" t="s">
        <v>157</v>
      </c>
      <c r="C56" s="63" t="s">
        <v>357</v>
      </c>
      <c r="D56" s="74">
        <v>0.48402777777777778</v>
      </c>
      <c r="E56" s="74">
        <v>0.48958333333333331</v>
      </c>
      <c r="F56" s="241" t="s">
        <v>358</v>
      </c>
      <c r="G56" s="63">
        <v>16440</v>
      </c>
      <c r="H56" s="21" t="s">
        <v>47</v>
      </c>
      <c r="I56" s="20"/>
      <c r="T56" s="27"/>
      <c r="U56" s="27"/>
      <c r="V56" s="27"/>
    </row>
    <row r="57" spans="1:22" ht="15" hidden="1" customHeight="1" x14ac:dyDescent="0.25">
      <c r="A57" s="22">
        <v>44259</v>
      </c>
      <c r="B57" s="63" t="s">
        <v>31</v>
      </c>
      <c r="C57" s="63" t="s">
        <v>359</v>
      </c>
      <c r="D57" s="74">
        <v>0.49652777777777773</v>
      </c>
      <c r="E57" s="74">
        <v>0.57708333333333328</v>
      </c>
      <c r="F57" s="244" t="s">
        <v>320</v>
      </c>
      <c r="G57" s="63">
        <v>400</v>
      </c>
      <c r="H57" s="21" t="s">
        <v>360</v>
      </c>
      <c r="I57" s="20"/>
      <c r="T57" s="27"/>
      <c r="U57" s="27"/>
      <c r="V57" s="27"/>
    </row>
    <row r="58" spans="1:22" ht="15" hidden="1" customHeight="1" x14ac:dyDescent="0.25">
      <c r="A58" s="22">
        <v>44259</v>
      </c>
      <c r="B58" s="63" t="s">
        <v>78</v>
      </c>
      <c r="C58" s="63" t="s">
        <v>361</v>
      </c>
      <c r="D58" s="74">
        <v>0.51944444444444449</v>
      </c>
      <c r="E58" s="74">
        <v>0.53749999999999998</v>
      </c>
      <c r="F58" s="241" t="s">
        <v>363</v>
      </c>
      <c r="G58" s="63">
        <v>13980</v>
      </c>
      <c r="H58" s="21" t="s">
        <v>362</v>
      </c>
      <c r="I58" s="20"/>
      <c r="T58" s="27"/>
      <c r="U58" s="27"/>
      <c r="V58" s="27"/>
    </row>
    <row r="59" spans="1:22" ht="15" hidden="1" customHeight="1" x14ac:dyDescent="0.25">
      <c r="A59" s="22">
        <v>44259</v>
      </c>
      <c r="B59" s="63" t="s">
        <v>31</v>
      </c>
      <c r="C59" s="63" t="s">
        <v>329</v>
      </c>
      <c r="D59" s="74">
        <v>0.66527777777777775</v>
      </c>
      <c r="E59" s="74">
        <v>0.68402777777777779</v>
      </c>
      <c r="F59" s="241" t="s">
        <v>188</v>
      </c>
      <c r="G59" s="63">
        <v>1700</v>
      </c>
      <c r="H59" s="21" t="s">
        <v>334</v>
      </c>
      <c r="I59" s="20"/>
      <c r="T59" s="27"/>
      <c r="U59" s="27"/>
      <c r="V59" s="27"/>
    </row>
    <row r="60" spans="1:22" ht="15" hidden="1" customHeight="1" x14ac:dyDescent="0.25">
      <c r="A60" s="22">
        <v>44259</v>
      </c>
      <c r="B60" s="63" t="s">
        <v>307</v>
      </c>
      <c r="C60" s="63" t="s">
        <v>196</v>
      </c>
      <c r="D60" s="74">
        <v>0.66805555555555562</v>
      </c>
      <c r="E60" s="74">
        <v>0.6777777777777777</v>
      </c>
      <c r="F60" s="241" t="s">
        <v>204</v>
      </c>
      <c r="G60" s="63">
        <v>23900</v>
      </c>
      <c r="H60" s="21" t="s">
        <v>147</v>
      </c>
      <c r="I60" s="20"/>
      <c r="T60" s="27"/>
      <c r="U60" s="27"/>
      <c r="V60" s="27"/>
    </row>
    <row r="61" spans="1:22" ht="15" hidden="1" customHeight="1" x14ac:dyDescent="0.25">
      <c r="A61" s="22">
        <v>44259</v>
      </c>
      <c r="B61" s="63" t="s">
        <v>157</v>
      </c>
      <c r="C61" s="63" t="s">
        <v>196</v>
      </c>
      <c r="D61" s="74">
        <v>0.68263888888888891</v>
      </c>
      <c r="E61" s="74">
        <v>0.70208333333333339</v>
      </c>
      <c r="F61" s="241" t="s">
        <v>204</v>
      </c>
      <c r="G61" s="63">
        <v>21450</v>
      </c>
      <c r="H61" s="21" t="s">
        <v>47</v>
      </c>
      <c r="I61" s="20"/>
      <c r="T61" s="27"/>
      <c r="U61" s="27"/>
      <c r="V61" s="27"/>
    </row>
    <row r="62" spans="1:22" ht="15" hidden="1" customHeight="1" x14ac:dyDescent="0.25">
      <c r="A62" s="22">
        <v>44259</v>
      </c>
      <c r="B62" s="63" t="s">
        <v>187</v>
      </c>
      <c r="C62" s="63" t="s">
        <v>196</v>
      </c>
      <c r="D62" s="74">
        <v>0.69791666666666663</v>
      </c>
      <c r="E62" s="74">
        <v>0.70486111111111116</v>
      </c>
      <c r="F62" s="241" t="s">
        <v>204</v>
      </c>
      <c r="G62" s="63">
        <v>5250</v>
      </c>
      <c r="H62" s="21" t="s">
        <v>176</v>
      </c>
      <c r="I62" s="20"/>
      <c r="T62" s="27"/>
      <c r="U62" s="27"/>
      <c r="V62" s="27"/>
    </row>
    <row r="63" spans="1:22" ht="15" hidden="1" customHeight="1" x14ac:dyDescent="0.25">
      <c r="A63" s="22">
        <v>44259</v>
      </c>
      <c r="B63" s="63" t="s">
        <v>31</v>
      </c>
      <c r="C63" s="63" t="s">
        <v>329</v>
      </c>
      <c r="D63" s="74">
        <v>0.70138888888888884</v>
      </c>
      <c r="E63" s="74">
        <v>0.76944444444444438</v>
      </c>
      <c r="F63" s="241" t="s">
        <v>249</v>
      </c>
      <c r="G63" s="63">
        <v>9230</v>
      </c>
      <c r="H63" s="21" t="s">
        <v>339</v>
      </c>
      <c r="I63" s="20"/>
      <c r="T63" s="27"/>
      <c r="U63" s="27"/>
      <c r="V63" s="27"/>
    </row>
    <row r="64" spans="1:22" ht="15" hidden="1" customHeight="1" x14ac:dyDescent="0.25">
      <c r="A64" s="22">
        <v>44259</v>
      </c>
      <c r="B64" s="63" t="s">
        <v>175</v>
      </c>
      <c r="C64" s="63" t="s">
        <v>216</v>
      </c>
      <c r="D64" s="74">
        <v>0.70972222222222225</v>
      </c>
      <c r="E64" s="74">
        <v>0.71666666666666667</v>
      </c>
      <c r="F64" s="241" t="s">
        <v>204</v>
      </c>
      <c r="G64" s="63">
        <v>11290</v>
      </c>
      <c r="H64" s="21" t="s">
        <v>324</v>
      </c>
      <c r="I64" s="20"/>
      <c r="T64" s="27"/>
      <c r="U64" s="27"/>
      <c r="V64" s="27"/>
    </row>
    <row r="65" spans="1:22" ht="15" hidden="1" customHeight="1" x14ac:dyDescent="0.25">
      <c r="A65" s="22">
        <v>44259</v>
      </c>
      <c r="B65" s="63" t="s">
        <v>150</v>
      </c>
      <c r="C65" s="63" t="s">
        <v>364</v>
      </c>
      <c r="D65" s="74">
        <v>0.74652777777777779</v>
      </c>
      <c r="E65" s="74"/>
      <c r="F65" s="237" t="s">
        <v>365</v>
      </c>
      <c r="G65" s="63">
        <v>18480</v>
      </c>
      <c r="H65" s="21" t="s">
        <v>232</v>
      </c>
      <c r="I65" s="20"/>
      <c r="T65" s="27"/>
      <c r="U65" s="27"/>
      <c r="V65" s="27"/>
    </row>
    <row r="66" spans="1:22" ht="15" hidden="1" customHeight="1" x14ac:dyDescent="0.25">
      <c r="A66" s="22">
        <v>44259</v>
      </c>
      <c r="B66" s="63" t="s">
        <v>175</v>
      </c>
      <c r="C66" s="63" t="s">
        <v>216</v>
      </c>
      <c r="D66" s="74">
        <v>0.7631944444444444</v>
      </c>
      <c r="E66" s="74">
        <v>0.77569444444444446</v>
      </c>
      <c r="F66" s="241" t="s">
        <v>366</v>
      </c>
      <c r="G66" s="63">
        <v>3050</v>
      </c>
      <c r="H66" s="21" t="s">
        <v>324</v>
      </c>
      <c r="I66" s="20"/>
      <c r="T66" s="27"/>
      <c r="U66" s="27"/>
      <c r="V66" s="27"/>
    </row>
    <row r="67" spans="1:22" ht="15" hidden="1" customHeight="1" x14ac:dyDescent="0.25">
      <c r="A67" s="22">
        <v>44259</v>
      </c>
      <c r="B67" s="63" t="s">
        <v>53</v>
      </c>
      <c r="C67" s="63" t="s">
        <v>305</v>
      </c>
      <c r="D67" s="74">
        <v>0.78819444444444453</v>
      </c>
      <c r="E67" s="74">
        <v>0.3743055555555555</v>
      </c>
      <c r="F67" s="237" t="s">
        <v>367</v>
      </c>
      <c r="G67" s="63">
        <v>310</v>
      </c>
      <c r="H67" s="21" t="s">
        <v>328</v>
      </c>
      <c r="I67" s="20"/>
      <c r="T67" s="27"/>
      <c r="U67" s="27"/>
      <c r="V67" s="27"/>
    </row>
    <row r="68" spans="1:22" ht="15" hidden="1" customHeight="1" x14ac:dyDescent="0.25">
      <c r="A68" s="22">
        <v>44259</v>
      </c>
      <c r="B68" s="63" t="s">
        <v>31</v>
      </c>
      <c r="C68" s="63" t="s">
        <v>329</v>
      </c>
      <c r="D68" s="74">
        <v>0.80972222222222223</v>
      </c>
      <c r="E68" s="74">
        <v>0.8965277777777777</v>
      </c>
      <c r="F68" s="241" t="s">
        <v>369</v>
      </c>
      <c r="G68" s="63">
        <v>8400</v>
      </c>
      <c r="H68" s="21" t="s">
        <v>368</v>
      </c>
      <c r="I68" s="20"/>
      <c r="T68" s="27"/>
      <c r="U68" s="27"/>
      <c r="V68" s="27"/>
    </row>
    <row r="69" spans="1:22" ht="15" hidden="1" customHeight="1" x14ac:dyDescent="0.25">
      <c r="A69" s="22">
        <v>44259</v>
      </c>
      <c r="B69" s="63" t="s">
        <v>229</v>
      </c>
      <c r="C69" s="63" t="s">
        <v>183</v>
      </c>
      <c r="D69" s="74">
        <v>0.82152777777777775</v>
      </c>
      <c r="E69" s="74">
        <v>0.37083333333333335</v>
      </c>
      <c r="F69" s="236" t="s">
        <v>317</v>
      </c>
      <c r="G69" s="63">
        <v>11214</v>
      </c>
      <c r="H69" s="21" t="s">
        <v>176</v>
      </c>
      <c r="I69" s="20"/>
      <c r="T69" s="27"/>
      <c r="U69" s="27"/>
      <c r="V69" s="27"/>
    </row>
    <row r="70" spans="1:22" ht="15" hidden="1" customHeight="1" x14ac:dyDescent="0.25">
      <c r="A70" s="22">
        <v>44259</v>
      </c>
      <c r="B70" s="63" t="s">
        <v>175</v>
      </c>
      <c r="C70" s="63" t="s">
        <v>205</v>
      </c>
      <c r="D70" s="74">
        <v>0.82500000000000007</v>
      </c>
      <c r="E70" s="74">
        <v>0.83472222222222225</v>
      </c>
      <c r="F70" s="241" t="s">
        <v>204</v>
      </c>
      <c r="G70" s="63">
        <v>3840</v>
      </c>
      <c r="H70" s="21" t="s">
        <v>324</v>
      </c>
      <c r="I70" s="20"/>
      <c r="T70" s="27"/>
      <c r="U70" s="27"/>
      <c r="V70" s="27"/>
    </row>
    <row r="71" spans="1:22" ht="15" hidden="1" customHeight="1" x14ac:dyDescent="0.25">
      <c r="A71" s="22">
        <v>44259</v>
      </c>
      <c r="B71" s="63" t="s">
        <v>31</v>
      </c>
      <c r="C71" s="63" t="s">
        <v>329</v>
      </c>
      <c r="D71" s="74">
        <v>0.83958333333333324</v>
      </c>
      <c r="E71" s="74">
        <v>0.8569444444444444</v>
      </c>
      <c r="F71" s="241" t="s">
        <v>370</v>
      </c>
      <c r="G71" s="63">
        <v>9220</v>
      </c>
      <c r="H71" s="21" t="s">
        <v>339</v>
      </c>
      <c r="I71" s="20"/>
      <c r="T71" s="27"/>
      <c r="U71" s="27"/>
      <c r="V71" s="27"/>
    </row>
    <row r="72" spans="1:22" ht="15" hidden="1" customHeight="1" x14ac:dyDescent="0.25">
      <c r="A72" s="22">
        <v>44259</v>
      </c>
      <c r="B72" s="63" t="s">
        <v>300</v>
      </c>
      <c r="C72" s="63" t="s">
        <v>371</v>
      </c>
      <c r="D72" s="74">
        <v>0.91527777777777775</v>
      </c>
      <c r="E72" s="74">
        <v>0.44930555555555557</v>
      </c>
      <c r="F72" s="241" t="s">
        <v>75</v>
      </c>
      <c r="G72" s="63">
        <v>2160</v>
      </c>
      <c r="H72" s="21" t="s">
        <v>299</v>
      </c>
      <c r="I72" s="20"/>
      <c r="T72" s="27"/>
      <c r="U72" s="27"/>
      <c r="V72" s="27"/>
    </row>
    <row r="73" spans="1:22" ht="15" hidden="1" customHeight="1" x14ac:dyDescent="0.25">
      <c r="A73" s="22">
        <v>44259</v>
      </c>
      <c r="B73" s="63" t="s">
        <v>31</v>
      </c>
      <c r="C73" s="63" t="s">
        <v>96</v>
      </c>
      <c r="D73" s="74">
        <v>0.9375</v>
      </c>
      <c r="E73" s="74">
        <v>0.99375000000000002</v>
      </c>
      <c r="F73" s="241" t="s">
        <v>251</v>
      </c>
      <c r="G73" s="63">
        <v>12265</v>
      </c>
      <c r="H73" s="21" t="s">
        <v>346</v>
      </c>
      <c r="I73" s="20"/>
      <c r="T73" s="27"/>
      <c r="U73" s="27"/>
      <c r="V73" s="27"/>
    </row>
    <row r="74" spans="1:22" ht="15" hidden="1" customHeight="1" x14ac:dyDescent="0.25">
      <c r="A74" s="22">
        <v>44259</v>
      </c>
      <c r="B74" s="63" t="s">
        <v>175</v>
      </c>
      <c r="C74" s="63" t="s">
        <v>329</v>
      </c>
      <c r="D74" s="74">
        <v>0.93958333333333333</v>
      </c>
      <c r="E74" s="74">
        <v>0.95138888888888884</v>
      </c>
      <c r="F74" s="241" t="s">
        <v>189</v>
      </c>
      <c r="G74" s="63">
        <v>10620</v>
      </c>
      <c r="H74" s="21" t="s">
        <v>324</v>
      </c>
      <c r="I74" s="20"/>
      <c r="T74" s="27"/>
      <c r="U74" s="27"/>
      <c r="V74" s="27"/>
    </row>
    <row r="75" spans="1:22" ht="15" customHeight="1" x14ac:dyDescent="0.25">
      <c r="A75" s="22">
        <v>44259</v>
      </c>
      <c r="B75" s="63" t="s">
        <v>15</v>
      </c>
      <c r="C75" s="63" t="s">
        <v>305</v>
      </c>
      <c r="D75" s="74">
        <v>0.94305555555555554</v>
      </c>
      <c r="E75" s="74">
        <v>0.39305555555555555</v>
      </c>
      <c r="F75" s="244" t="s">
        <v>320</v>
      </c>
      <c r="G75" s="63">
        <v>20450</v>
      </c>
      <c r="H75" s="21" t="s">
        <v>309</v>
      </c>
      <c r="I75" s="20"/>
      <c r="Q75" s="80"/>
      <c r="T75" s="27"/>
      <c r="U75" s="27"/>
      <c r="V75" s="27"/>
    </row>
    <row r="76" spans="1:22" ht="15" hidden="1" customHeight="1" x14ac:dyDescent="0.25">
      <c r="A76" s="22">
        <v>44259</v>
      </c>
      <c r="B76" s="63" t="s">
        <v>187</v>
      </c>
      <c r="C76" s="63" t="s">
        <v>235</v>
      </c>
      <c r="D76" s="74">
        <v>0.9916666666666667</v>
      </c>
      <c r="E76" s="74">
        <v>0</v>
      </c>
      <c r="F76" s="241" t="s">
        <v>204</v>
      </c>
      <c r="G76" s="63">
        <v>630</v>
      </c>
      <c r="H76" s="21" t="s">
        <v>324</v>
      </c>
      <c r="I76" s="20"/>
      <c r="T76" s="27"/>
      <c r="U76" s="27"/>
      <c r="V76" s="27"/>
    </row>
    <row r="77" spans="1:22" ht="15" hidden="1" customHeight="1" x14ac:dyDescent="0.25">
      <c r="A77" s="22">
        <v>44260</v>
      </c>
      <c r="B77" s="63" t="s">
        <v>31</v>
      </c>
      <c r="C77" s="63" t="s">
        <v>329</v>
      </c>
      <c r="D77" s="74">
        <v>1.5277777777777777E-2</v>
      </c>
      <c r="E77" s="74">
        <v>3.6805555555555557E-2</v>
      </c>
      <c r="F77" s="241" t="s">
        <v>252</v>
      </c>
      <c r="G77" s="63">
        <v>7220</v>
      </c>
      <c r="H77" s="21" t="s">
        <v>339</v>
      </c>
      <c r="I77" s="20"/>
      <c r="T77" s="27"/>
      <c r="U77" s="27"/>
      <c r="V77" s="27"/>
    </row>
    <row r="78" spans="1:22" ht="15" hidden="1" customHeight="1" x14ac:dyDescent="0.25">
      <c r="A78" s="22">
        <v>44260</v>
      </c>
      <c r="B78" s="63" t="s">
        <v>58</v>
      </c>
      <c r="C78" s="63" t="s">
        <v>312</v>
      </c>
      <c r="D78" s="74">
        <v>8.0555555555555561E-2</v>
      </c>
      <c r="E78" s="74">
        <v>9.0277777777777776E-2</v>
      </c>
      <c r="F78" s="241" t="s">
        <v>437</v>
      </c>
      <c r="G78" s="63">
        <v>19440</v>
      </c>
      <c r="H78" s="21" t="s">
        <v>313</v>
      </c>
      <c r="I78" s="20"/>
      <c r="T78" s="27"/>
      <c r="U78" s="27"/>
      <c r="V78" s="27"/>
    </row>
    <row r="79" spans="1:22" ht="15" hidden="1" customHeight="1" x14ac:dyDescent="0.25">
      <c r="A79" s="22">
        <v>44260</v>
      </c>
      <c r="B79" s="63" t="s">
        <v>97</v>
      </c>
      <c r="C79" s="63" t="s">
        <v>263</v>
      </c>
      <c r="D79" s="74">
        <v>0.20625000000000002</v>
      </c>
      <c r="E79" s="74">
        <v>0.20902777777777778</v>
      </c>
      <c r="F79" s="241" t="s">
        <v>373</v>
      </c>
      <c r="G79" s="63">
        <v>360</v>
      </c>
      <c r="H79" s="21" t="s">
        <v>372</v>
      </c>
      <c r="I79" s="20"/>
      <c r="T79" s="27"/>
      <c r="U79" s="27"/>
      <c r="V79" s="27"/>
    </row>
    <row r="80" spans="1:22" ht="15" hidden="1" customHeight="1" x14ac:dyDescent="0.25">
      <c r="A80" s="22">
        <v>44260</v>
      </c>
      <c r="B80" s="63" t="s">
        <v>307</v>
      </c>
      <c r="C80" s="63" t="s">
        <v>194</v>
      </c>
      <c r="D80" s="74">
        <v>0.41666666666666669</v>
      </c>
      <c r="E80" s="74">
        <v>0.42708333333333331</v>
      </c>
      <c r="F80" s="241" t="s">
        <v>204</v>
      </c>
      <c r="G80" s="63">
        <v>20910</v>
      </c>
      <c r="H80" s="21" t="s">
        <v>147</v>
      </c>
      <c r="I80" s="20"/>
      <c r="T80" s="27"/>
      <c r="U80" s="27"/>
      <c r="V80" s="27"/>
    </row>
    <row r="81" spans="1:22" ht="15" hidden="1" customHeight="1" x14ac:dyDescent="0.25">
      <c r="A81" s="22">
        <v>44260</v>
      </c>
      <c r="B81" s="63" t="s">
        <v>157</v>
      </c>
      <c r="C81" s="63" t="s">
        <v>194</v>
      </c>
      <c r="D81" s="74">
        <v>0.41805555555555557</v>
      </c>
      <c r="E81" s="74">
        <v>0.4284722222222222</v>
      </c>
      <c r="F81" s="241" t="s">
        <v>204</v>
      </c>
      <c r="G81" s="63">
        <v>21250</v>
      </c>
      <c r="H81" s="21" t="s">
        <v>47</v>
      </c>
      <c r="I81" s="20"/>
      <c r="T81" s="27"/>
      <c r="U81" s="27"/>
      <c r="V81" s="27"/>
    </row>
    <row r="82" spans="1:22" ht="15" hidden="1" customHeight="1" x14ac:dyDescent="0.25">
      <c r="A82" s="22">
        <v>44260</v>
      </c>
      <c r="B82" s="63" t="s">
        <v>31</v>
      </c>
      <c r="C82" s="63" t="s">
        <v>487</v>
      </c>
      <c r="D82" s="74">
        <v>0.4201388888888889</v>
      </c>
      <c r="E82" s="74">
        <v>0.48749999999999999</v>
      </c>
      <c r="F82" s="237" t="s">
        <v>375</v>
      </c>
      <c r="G82" s="63">
        <v>660</v>
      </c>
      <c r="H82" s="21" t="s">
        <v>374</v>
      </c>
      <c r="I82" s="20"/>
      <c r="T82" s="27"/>
      <c r="U82" s="27"/>
      <c r="V82" s="27"/>
    </row>
    <row r="83" spans="1:22" ht="15" hidden="1" customHeight="1" x14ac:dyDescent="0.25">
      <c r="A83" s="22">
        <v>44260</v>
      </c>
      <c r="B83" s="63" t="s">
        <v>175</v>
      </c>
      <c r="C83" s="63" t="s">
        <v>194</v>
      </c>
      <c r="D83" s="74">
        <v>0.42986111111111108</v>
      </c>
      <c r="E83" s="74">
        <v>0.43611111111111112</v>
      </c>
      <c r="F83" s="241" t="s">
        <v>204</v>
      </c>
      <c r="G83" s="63">
        <v>9620</v>
      </c>
      <c r="H83" s="21" t="s">
        <v>362</v>
      </c>
      <c r="I83" s="20"/>
      <c r="T83" s="27"/>
      <c r="U83" s="27"/>
      <c r="V83" s="27"/>
    </row>
    <row r="84" spans="1:22" ht="15" hidden="1" customHeight="1" x14ac:dyDescent="0.25">
      <c r="A84" s="22">
        <v>44260</v>
      </c>
      <c r="B84" s="63" t="s">
        <v>78</v>
      </c>
      <c r="C84" s="63" t="s">
        <v>194</v>
      </c>
      <c r="D84" s="74">
        <v>0.43472222222222223</v>
      </c>
      <c r="E84" s="74">
        <v>0.44305555555555554</v>
      </c>
      <c r="F84" s="241" t="s">
        <v>204</v>
      </c>
      <c r="G84" s="63">
        <v>21540</v>
      </c>
      <c r="H84" s="21" t="s">
        <v>178</v>
      </c>
      <c r="I84" s="20"/>
      <c r="T84" s="27"/>
      <c r="U84" s="27"/>
      <c r="V84" s="27"/>
    </row>
    <row r="85" spans="1:22" ht="15" hidden="1" customHeight="1" x14ac:dyDescent="0.25">
      <c r="A85" s="22">
        <v>44260</v>
      </c>
      <c r="B85" s="63" t="s">
        <v>150</v>
      </c>
      <c r="C85" s="63" t="s">
        <v>194</v>
      </c>
      <c r="D85" s="74">
        <v>0.4465277777777778</v>
      </c>
      <c r="E85" s="74">
        <v>0.4597222222222222</v>
      </c>
      <c r="F85" s="241" t="s">
        <v>204</v>
      </c>
      <c r="G85" s="63">
        <v>20890</v>
      </c>
      <c r="H85" s="21" t="s">
        <v>232</v>
      </c>
      <c r="I85" s="20"/>
      <c r="T85" s="27"/>
      <c r="U85" s="27"/>
      <c r="V85" s="27"/>
    </row>
    <row r="86" spans="1:22" ht="15" hidden="1" customHeight="1" x14ac:dyDescent="0.25">
      <c r="A86" s="22">
        <v>44260</v>
      </c>
      <c r="B86" s="63" t="s">
        <v>187</v>
      </c>
      <c r="C86" s="63" t="s">
        <v>243</v>
      </c>
      <c r="D86" s="74">
        <v>0.46111111111111108</v>
      </c>
      <c r="E86" s="74">
        <v>0.46597222222222223</v>
      </c>
      <c r="F86" s="241" t="s">
        <v>204</v>
      </c>
      <c r="G86" s="63">
        <v>9520</v>
      </c>
      <c r="H86" s="21" t="s">
        <v>324</v>
      </c>
      <c r="I86" s="20"/>
      <c r="T86" s="27"/>
      <c r="U86" s="27"/>
      <c r="V86" s="27"/>
    </row>
    <row r="87" spans="1:22" ht="15" hidden="1" customHeight="1" x14ac:dyDescent="0.25">
      <c r="A87" s="22">
        <v>44260</v>
      </c>
      <c r="B87" s="63" t="s">
        <v>229</v>
      </c>
      <c r="C87" s="63" t="s">
        <v>243</v>
      </c>
      <c r="D87" s="74">
        <v>0.46249999999999997</v>
      </c>
      <c r="E87" s="74">
        <v>0.47361111111111115</v>
      </c>
      <c r="F87" s="241" t="s">
        <v>204</v>
      </c>
      <c r="G87" s="63">
        <v>21000</v>
      </c>
      <c r="H87" s="21" t="s">
        <v>176</v>
      </c>
      <c r="I87" s="20"/>
      <c r="T87" s="27"/>
      <c r="U87" s="27"/>
      <c r="V87" s="27"/>
    </row>
    <row r="88" spans="1:22" ht="15" hidden="1" customHeight="1" x14ac:dyDescent="0.25">
      <c r="A88" s="22">
        <v>44260</v>
      </c>
      <c r="B88" s="63" t="s">
        <v>31</v>
      </c>
      <c r="C88" s="63" t="s">
        <v>142</v>
      </c>
      <c r="D88" s="74">
        <v>0.4826388888888889</v>
      </c>
      <c r="E88" s="74">
        <v>0.49305555555555558</v>
      </c>
      <c r="F88" s="237" t="s">
        <v>376</v>
      </c>
      <c r="G88" s="63">
        <v>920</v>
      </c>
      <c r="H88" s="21" t="s">
        <v>143</v>
      </c>
      <c r="I88" s="20"/>
      <c r="T88" s="27"/>
      <c r="U88" s="27"/>
      <c r="V88" s="27"/>
    </row>
    <row r="89" spans="1:22" ht="15" hidden="1" customHeight="1" x14ac:dyDescent="0.25">
      <c r="A89" s="22">
        <v>44260</v>
      </c>
      <c r="B89" s="63" t="s">
        <v>307</v>
      </c>
      <c r="C89" s="63" t="s">
        <v>243</v>
      </c>
      <c r="D89" s="74">
        <v>0.49722222222222223</v>
      </c>
      <c r="E89" s="74">
        <v>0.51041666666666663</v>
      </c>
      <c r="F89" s="241" t="s">
        <v>204</v>
      </c>
      <c r="G89" s="63">
        <v>18990</v>
      </c>
      <c r="H89" s="21" t="s">
        <v>147</v>
      </c>
      <c r="I89" s="20"/>
      <c r="T89" s="27"/>
      <c r="U89" s="27"/>
      <c r="V89" s="27"/>
    </row>
    <row r="90" spans="1:22" ht="15" hidden="1" customHeight="1" x14ac:dyDescent="0.25">
      <c r="A90" s="22">
        <v>44260</v>
      </c>
      <c r="B90" s="63" t="s">
        <v>157</v>
      </c>
      <c r="C90" s="63" t="s">
        <v>243</v>
      </c>
      <c r="D90" s="74">
        <v>0.5083333333333333</v>
      </c>
      <c r="E90" s="74">
        <v>0.51388888888888895</v>
      </c>
      <c r="F90" s="241" t="s">
        <v>377</v>
      </c>
      <c r="G90" s="63">
        <v>19910</v>
      </c>
      <c r="H90" s="21" t="s">
        <v>47</v>
      </c>
      <c r="I90" s="20"/>
      <c r="T90" s="27"/>
      <c r="U90" s="27"/>
      <c r="V90" s="27"/>
    </row>
    <row r="91" spans="1:22" ht="15" hidden="1" customHeight="1" x14ac:dyDescent="0.25">
      <c r="A91" s="22">
        <v>44260</v>
      </c>
      <c r="B91" s="63" t="s">
        <v>175</v>
      </c>
      <c r="C91" s="63" t="s">
        <v>210</v>
      </c>
      <c r="D91" s="74">
        <v>0.52986111111111112</v>
      </c>
      <c r="E91" s="74">
        <v>0.53611111111111109</v>
      </c>
      <c r="F91" s="241" t="s">
        <v>188</v>
      </c>
      <c r="G91" s="63">
        <v>9500</v>
      </c>
      <c r="H91" s="21" t="s">
        <v>362</v>
      </c>
      <c r="I91" s="20"/>
      <c r="T91" s="27"/>
      <c r="U91" s="27"/>
      <c r="V91" s="27"/>
    </row>
    <row r="92" spans="1:22" ht="15" hidden="1" customHeight="1" x14ac:dyDescent="0.25">
      <c r="A92" s="22">
        <v>44260</v>
      </c>
      <c r="B92" s="63" t="s">
        <v>150</v>
      </c>
      <c r="C92" s="63" t="s">
        <v>323</v>
      </c>
      <c r="D92" s="74">
        <v>0.55069444444444449</v>
      </c>
      <c r="E92" s="74">
        <v>0.56041666666666667</v>
      </c>
      <c r="F92" s="241" t="s">
        <v>188</v>
      </c>
      <c r="G92" s="63">
        <v>18530</v>
      </c>
      <c r="H92" s="21" t="s">
        <v>232</v>
      </c>
      <c r="I92" s="20"/>
      <c r="T92" s="27"/>
      <c r="U92" s="27"/>
      <c r="V92" s="27"/>
    </row>
    <row r="93" spans="1:22" ht="15" hidden="1" customHeight="1" x14ac:dyDescent="0.25">
      <c r="A93" s="22">
        <v>44260</v>
      </c>
      <c r="B93" s="63" t="s">
        <v>78</v>
      </c>
      <c r="C93" s="63" t="s">
        <v>378</v>
      </c>
      <c r="D93" s="74">
        <v>0.55694444444444446</v>
      </c>
      <c r="E93" s="74">
        <v>0.59930555555555554</v>
      </c>
      <c r="F93" s="241" t="s">
        <v>188</v>
      </c>
      <c r="G93" s="63">
        <v>21540</v>
      </c>
      <c r="H93" s="21" t="s">
        <v>178</v>
      </c>
      <c r="I93" s="20"/>
      <c r="T93" s="27"/>
      <c r="U93" s="27"/>
      <c r="V93" s="27"/>
    </row>
    <row r="94" spans="1:22" ht="15" hidden="1" customHeight="1" x14ac:dyDescent="0.25">
      <c r="A94" s="22">
        <v>44260</v>
      </c>
      <c r="B94" s="63" t="s">
        <v>187</v>
      </c>
      <c r="C94" s="63" t="s">
        <v>379</v>
      </c>
      <c r="D94" s="74">
        <v>0.59861111111111109</v>
      </c>
      <c r="E94" s="74">
        <v>0.61388888888888882</v>
      </c>
      <c r="F94" s="241" t="s">
        <v>188</v>
      </c>
      <c r="G94" s="63">
        <v>6090</v>
      </c>
      <c r="H94" s="21" t="s">
        <v>324</v>
      </c>
      <c r="I94" s="20"/>
      <c r="T94" s="27"/>
      <c r="U94" s="27"/>
      <c r="V94" s="27"/>
    </row>
    <row r="95" spans="1:22" ht="15" hidden="1" customHeight="1" x14ac:dyDescent="0.25">
      <c r="A95" s="22">
        <v>44260</v>
      </c>
      <c r="B95" s="63" t="s">
        <v>57</v>
      </c>
      <c r="C95" s="63" t="s">
        <v>255</v>
      </c>
      <c r="D95" s="74">
        <v>0.625</v>
      </c>
      <c r="E95" s="74">
        <v>0.64097222222222217</v>
      </c>
      <c r="F95" s="241" t="s">
        <v>214</v>
      </c>
      <c r="G95" s="63">
        <v>2370</v>
      </c>
      <c r="H95" s="21" t="s">
        <v>213</v>
      </c>
      <c r="I95" s="20"/>
      <c r="T95" s="27"/>
      <c r="U95" s="27"/>
      <c r="V95" s="27"/>
    </row>
    <row r="96" spans="1:22" ht="15" hidden="1" customHeight="1" x14ac:dyDescent="0.25">
      <c r="A96" s="22">
        <v>44260</v>
      </c>
      <c r="B96" s="63" t="s">
        <v>229</v>
      </c>
      <c r="C96" s="63" t="s">
        <v>380</v>
      </c>
      <c r="D96" s="74">
        <v>0.65486111111111112</v>
      </c>
      <c r="E96" s="74">
        <v>0.66319444444444442</v>
      </c>
      <c r="F96" s="241" t="s">
        <v>188</v>
      </c>
      <c r="G96" s="63">
        <v>18330</v>
      </c>
      <c r="H96" s="21" t="s">
        <v>176</v>
      </c>
      <c r="I96" s="20"/>
      <c r="T96" s="27"/>
      <c r="U96" s="27"/>
      <c r="V96" s="27"/>
    </row>
    <row r="97" spans="1:22" ht="15" hidden="1" customHeight="1" x14ac:dyDescent="0.25">
      <c r="A97" s="22">
        <v>44260</v>
      </c>
      <c r="B97" s="63" t="s">
        <v>175</v>
      </c>
      <c r="C97" s="63" t="s">
        <v>381</v>
      </c>
      <c r="D97" s="74">
        <v>0.67083333333333339</v>
      </c>
      <c r="E97" s="74">
        <v>0.67638888888888893</v>
      </c>
      <c r="F97" s="241" t="s">
        <v>188</v>
      </c>
      <c r="G97" s="63">
        <v>1640</v>
      </c>
      <c r="H97" s="21" t="s">
        <v>362</v>
      </c>
      <c r="I97" s="20"/>
      <c r="T97" s="27"/>
      <c r="U97" s="27"/>
      <c r="V97" s="27"/>
    </row>
    <row r="98" spans="1:22" ht="15" hidden="1" customHeight="1" x14ac:dyDescent="0.25">
      <c r="A98" s="22">
        <v>44260</v>
      </c>
      <c r="B98" s="63" t="s">
        <v>53</v>
      </c>
      <c r="C98" s="63" t="s">
        <v>16</v>
      </c>
      <c r="D98" s="74">
        <v>0.67222222222222217</v>
      </c>
      <c r="E98" s="74">
        <v>0.71875</v>
      </c>
      <c r="F98" s="252" t="s">
        <v>219</v>
      </c>
      <c r="G98" s="63">
        <v>25340</v>
      </c>
      <c r="H98" s="21" t="s">
        <v>328</v>
      </c>
      <c r="I98" s="20"/>
      <c r="T98" s="27"/>
      <c r="U98" s="27"/>
      <c r="V98" s="27"/>
    </row>
    <row r="99" spans="1:22" ht="15" hidden="1" customHeight="1" x14ac:dyDescent="0.25">
      <c r="A99" s="22">
        <v>44260</v>
      </c>
      <c r="B99" s="63" t="s">
        <v>303</v>
      </c>
      <c r="C99" s="63" t="s">
        <v>255</v>
      </c>
      <c r="D99" s="74">
        <v>0.69513888888888886</v>
      </c>
      <c r="E99" s="74">
        <v>0.70347222222222217</v>
      </c>
      <c r="F99" s="241" t="s">
        <v>382</v>
      </c>
      <c r="G99" s="63">
        <v>820</v>
      </c>
      <c r="H99" s="21" t="s">
        <v>213</v>
      </c>
      <c r="I99" s="20"/>
      <c r="T99" s="27"/>
      <c r="U99" s="27"/>
      <c r="V99" s="27"/>
    </row>
    <row r="100" spans="1:22" ht="15" hidden="1" customHeight="1" x14ac:dyDescent="0.25">
      <c r="A100" s="22">
        <v>44260</v>
      </c>
      <c r="B100" s="63" t="s">
        <v>78</v>
      </c>
      <c r="C100" s="63" t="s">
        <v>16</v>
      </c>
      <c r="D100" s="74">
        <v>0.70694444444444438</v>
      </c>
      <c r="E100" s="74">
        <v>0.73055555555555562</v>
      </c>
      <c r="F100" s="252" t="s">
        <v>219</v>
      </c>
      <c r="G100" s="63">
        <v>25340</v>
      </c>
      <c r="H100" s="21" t="s">
        <v>178</v>
      </c>
      <c r="I100" s="20"/>
      <c r="T100" s="27"/>
      <c r="U100" s="27"/>
      <c r="V100" s="27"/>
    </row>
    <row r="101" spans="1:22" ht="15" hidden="1" customHeight="1" x14ac:dyDescent="0.25">
      <c r="A101" s="22">
        <v>44260</v>
      </c>
      <c r="B101" s="63" t="s">
        <v>31</v>
      </c>
      <c r="C101" s="63" t="s">
        <v>329</v>
      </c>
      <c r="D101" s="74">
        <v>0.7104166666666667</v>
      </c>
      <c r="E101" s="74">
        <v>0.72222222222222221</v>
      </c>
      <c r="F101" s="241" t="s">
        <v>188</v>
      </c>
      <c r="G101" s="63">
        <v>440</v>
      </c>
      <c r="H101" s="21" t="s">
        <v>334</v>
      </c>
      <c r="I101" s="20"/>
      <c r="T101" s="27"/>
      <c r="U101" s="27"/>
      <c r="V101" s="27"/>
    </row>
    <row r="102" spans="1:22" ht="15" hidden="1" customHeight="1" x14ac:dyDescent="0.25">
      <c r="A102" s="22">
        <v>44260</v>
      </c>
      <c r="B102" s="63" t="s">
        <v>31</v>
      </c>
      <c r="C102" s="63" t="s">
        <v>329</v>
      </c>
      <c r="D102" s="74">
        <v>0.73958333333333337</v>
      </c>
      <c r="E102" s="74">
        <v>0.7631944444444444</v>
      </c>
      <c r="F102" s="241" t="s">
        <v>188</v>
      </c>
      <c r="G102" s="63">
        <v>700</v>
      </c>
      <c r="H102" s="21" t="s">
        <v>333</v>
      </c>
      <c r="I102" s="20"/>
      <c r="T102" s="27"/>
      <c r="U102" s="27"/>
      <c r="V102" s="27"/>
    </row>
    <row r="103" spans="1:22" ht="15" hidden="1" customHeight="1" x14ac:dyDescent="0.25">
      <c r="A103" s="22">
        <v>44260</v>
      </c>
      <c r="B103" s="63" t="s">
        <v>229</v>
      </c>
      <c r="C103" s="63" t="s">
        <v>183</v>
      </c>
      <c r="D103" s="74">
        <v>0.79861111111111116</v>
      </c>
      <c r="E103" s="74">
        <v>0.34791666666666665</v>
      </c>
      <c r="F103" s="236" t="s">
        <v>317</v>
      </c>
      <c r="G103" s="63">
        <v>26120</v>
      </c>
      <c r="H103" s="21" t="s">
        <v>176</v>
      </c>
      <c r="I103" s="20"/>
      <c r="T103" s="27"/>
      <c r="U103" s="27"/>
      <c r="V103" s="27"/>
    </row>
    <row r="104" spans="1:22" ht="15" hidden="1" customHeight="1" x14ac:dyDescent="0.25">
      <c r="A104" s="22">
        <v>44260</v>
      </c>
      <c r="B104" s="63" t="s">
        <v>31</v>
      </c>
      <c r="C104" s="63" t="s">
        <v>96</v>
      </c>
      <c r="D104" s="74">
        <v>0.91180555555555554</v>
      </c>
      <c r="E104" s="74">
        <v>0.96944444444444444</v>
      </c>
      <c r="F104" s="241" t="s">
        <v>251</v>
      </c>
      <c r="G104" s="63">
        <v>12010</v>
      </c>
      <c r="H104" s="21" t="s">
        <v>346</v>
      </c>
      <c r="I104" s="20"/>
      <c r="T104" s="27"/>
      <c r="U104" s="27"/>
      <c r="V104" s="27"/>
    </row>
    <row r="105" spans="1:22" ht="15" hidden="1" customHeight="1" x14ac:dyDescent="0.25">
      <c r="A105" s="22">
        <v>44260</v>
      </c>
      <c r="B105" s="63" t="s">
        <v>31</v>
      </c>
      <c r="C105" s="63" t="s">
        <v>329</v>
      </c>
      <c r="D105" s="74">
        <v>0.92152777777777783</v>
      </c>
      <c r="E105" s="74">
        <v>0.94930555555555562</v>
      </c>
      <c r="F105" s="241" t="s">
        <v>189</v>
      </c>
      <c r="G105" s="63">
        <v>8130</v>
      </c>
      <c r="H105" s="21" t="s">
        <v>339</v>
      </c>
      <c r="I105" s="20"/>
      <c r="T105" s="27"/>
      <c r="U105" s="27"/>
      <c r="V105" s="27"/>
    </row>
    <row r="106" spans="1:22" ht="15" hidden="1" customHeight="1" x14ac:dyDescent="0.25">
      <c r="A106" s="22">
        <v>44260</v>
      </c>
      <c r="B106" s="63" t="s">
        <v>300</v>
      </c>
      <c r="C106" s="63" t="s">
        <v>240</v>
      </c>
      <c r="D106" s="74">
        <v>0.9243055555555556</v>
      </c>
      <c r="E106" s="74">
        <v>0.16597222222222222</v>
      </c>
      <c r="F106" s="241" t="s">
        <v>88</v>
      </c>
      <c r="G106" s="63">
        <v>3690</v>
      </c>
      <c r="H106" s="21" t="s">
        <v>299</v>
      </c>
      <c r="I106" s="20"/>
      <c r="T106" s="27"/>
      <c r="U106" s="27"/>
      <c r="V106" s="27"/>
    </row>
    <row r="107" spans="1:22" ht="15" hidden="1" customHeight="1" x14ac:dyDescent="0.25">
      <c r="A107" s="22">
        <v>44260</v>
      </c>
      <c r="B107" s="63" t="s">
        <v>187</v>
      </c>
      <c r="C107" s="63" t="s">
        <v>329</v>
      </c>
      <c r="D107" s="74">
        <v>0.94166666666666676</v>
      </c>
      <c r="E107" s="74">
        <v>0.95277777777777783</v>
      </c>
      <c r="F107" s="241" t="s">
        <v>189</v>
      </c>
      <c r="G107" s="63">
        <v>2950</v>
      </c>
      <c r="H107" s="21" t="s">
        <v>324</v>
      </c>
      <c r="I107" s="20"/>
      <c r="T107" s="27"/>
      <c r="U107" s="27"/>
      <c r="V107" s="27"/>
    </row>
    <row r="108" spans="1:22" ht="15" hidden="1" customHeight="1" x14ac:dyDescent="0.25">
      <c r="A108" s="22">
        <v>44261</v>
      </c>
      <c r="B108" s="63" t="s">
        <v>145</v>
      </c>
      <c r="C108" s="63" t="s">
        <v>149</v>
      </c>
      <c r="D108" s="74">
        <v>2.7777777777777779E-3</v>
      </c>
      <c r="E108" s="74">
        <v>0.48958333333333331</v>
      </c>
      <c r="F108" s="241" t="s">
        <v>383</v>
      </c>
      <c r="G108" s="63">
        <v>12700</v>
      </c>
      <c r="H108" s="21" t="s">
        <v>211</v>
      </c>
      <c r="I108" s="20"/>
      <c r="T108" s="27"/>
      <c r="U108" s="27"/>
      <c r="V108" s="27"/>
    </row>
    <row r="109" spans="1:22" ht="15" hidden="1" customHeight="1" x14ac:dyDescent="0.25">
      <c r="A109" s="22">
        <v>44261</v>
      </c>
      <c r="B109" s="63" t="s">
        <v>31</v>
      </c>
      <c r="C109" s="63" t="s">
        <v>312</v>
      </c>
      <c r="D109" s="74">
        <v>9.0972222222222218E-2</v>
      </c>
      <c r="E109" s="74">
        <v>0.15902777777777777</v>
      </c>
      <c r="F109" s="241" t="s">
        <v>236</v>
      </c>
      <c r="G109" s="63">
        <v>11180</v>
      </c>
      <c r="H109" s="21" t="s">
        <v>384</v>
      </c>
      <c r="I109" s="20"/>
      <c r="T109" s="27"/>
      <c r="U109" s="27"/>
      <c r="V109" s="27"/>
    </row>
    <row r="110" spans="1:22" ht="15" hidden="1" customHeight="1" x14ac:dyDescent="0.25">
      <c r="A110" s="22">
        <v>44261</v>
      </c>
      <c r="B110" s="63" t="s">
        <v>187</v>
      </c>
      <c r="C110" s="63" t="s">
        <v>329</v>
      </c>
      <c r="D110" s="74">
        <v>0.12916666666666668</v>
      </c>
      <c r="E110" s="74">
        <v>0.13680555555555554</v>
      </c>
      <c r="F110" s="241" t="s">
        <v>252</v>
      </c>
      <c r="G110" s="63">
        <v>6260</v>
      </c>
      <c r="H110" s="21" t="s">
        <v>324</v>
      </c>
      <c r="I110" s="20"/>
      <c r="T110" s="27"/>
      <c r="U110" s="27"/>
      <c r="V110" s="27"/>
    </row>
    <row r="111" spans="1:22" ht="15" hidden="1" customHeight="1" x14ac:dyDescent="0.25">
      <c r="A111" s="22">
        <v>44261</v>
      </c>
      <c r="B111" s="63" t="s">
        <v>150</v>
      </c>
      <c r="C111" s="63" t="s">
        <v>312</v>
      </c>
      <c r="D111" s="74">
        <v>0.2298611111111111</v>
      </c>
      <c r="E111" s="74">
        <v>0.25625000000000003</v>
      </c>
      <c r="F111" s="241" t="s">
        <v>242</v>
      </c>
      <c r="G111" s="63">
        <v>19110</v>
      </c>
      <c r="H111" s="21" t="s">
        <v>232</v>
      </c>
      <c r="I111" s="20"/>
      <c r="T111" s="27"/>
      <c r="U111" s="27"/>
      <c r="V111" s="27"/>
    </row>
    <row r="112" spans="1:22" ht="15" hidden="1" customHeight="1" x14ac:dyDescent="0.25">
      <c r="A112" s="22">
        <v>44261</v>
      </c>
      <c r="B112" s="63" t="s">
        <v>31</v>
      </c>
      <c r="C112" s="63" t="s">
        <v>385</v>
      </c>
      <c r="D112" s="74">
        <v>0.43055555555555558</v>
      </c>
      <c r="E112" s="74">
        <v>0.52708333333333335</v>
      </c>
      <c r="F112" s="241" t="s">
        <v>204</v>
      </c>
      <c r="G112" s="63">
        <v>650</v>
      </c>
      <c r="H112" s="21" t="s">
        <v>386</v>
      </c>
      <c r="I112" s="20"/>
      <c r="T112" s="27"/>
      <c r="U112" s="27"/>
      <c r="V112" s="27"/>
    </row>
    <row r="113" spans="1:22" ht="15" hidden="1" customHeight="1" x14ac:dyDescent="0.25">
      <c r="A113" s="22">
        <v>44261</v>
      </c>
      <c r="B113" s="63" t="s">
        <v>187</v>
      </c>
      <c r="C113" s="63" t="s">
        <v>387</v>
      </c>
      <c r="D113" s="74">
        <v>0.4465277777777778</v>
      </c>
      <c r="E113" s="74">
        <v>0.45763888888888887</v>
      </c>
      <c r="F113" s="241" t="s">
        <v>188</v>
      </c>
      <c r="G113" s="63">
        <v>9730</v>
      </c>
      <c r="H113" s="21" t="s">
        <v>324</v>
      </c>
      <c r="I113" s="20"/>
      <c r="T113" s="27"/>
      <c r="U113" s="27"/>
      <c r="V113" s="27"/>
    </row>
    <row r="114" spans="1:22" ht="15" hidden="1" customHeight="1" x14ac:dyDescent="0.25">
      <c r="A114" s="22">
        <v>44261</v>
      </c>
      <c r="B114" s="63" t="s">
        <v>97</v>
      </c>
      <c r="C114" s="63" t="s">
        <v>263</v>
      </c>
      <c r="D114" s="74">
        <v>0.45069444444444445</v>
      </c>
      <c r="E114" s="74">
        <v>0.4597222222222222</v>
      </c>
      <c r="F114" s="241" t="s">
        <v>388</v>
      </c>
      <c r="G114" s="63">
        <v>520</v>
      </c>
      <c r="H114" s="21" t="s">
        <v>93</v>
      </c>
      <c r="I114" s="20"/>
      <c r="T114" s="27"/>
      <c r="U114" s="27"/>
      <c r="V114" s="27"/>
    </row>
    <row r="115" spans="1:22" ht="15" hidden="1" customHeight="1" x14ac:dyDescent="0.25">
      <c r="A115" s="22">
        <v>44261</v>
      </c>
      <c r="B115" s="63" t="s">
        <v>307</v>
      </c>
      <c r="C115" s="63" t="s">
        <v>387</v>
      </c>
      <c r="D115" s="74">
        <v>0.46458333333333335</v>
      </c>
      <c r="E115" s="74">
        <v>0.47986111111111113</v>
      </c>
      <c r="F115" s="241" t="s">
        <v>188</v>
      </c>
      <c r="G115" s="63">
        <v>18240</v>
      </c>
      <c r="H115" s="21" t="s">
        <v>147</v>
      </c>
      <c r="I115" s="20"/>
      <c r="T115" s="27"/>
      <c r="U115" s="27"/>
      <c r="V115" s="27"/>
    </row>
    <row r="116" spans="1:22" ht="15" hidden="1" customHeight="1" x14ac:dyDescent="0.25">
      <c r="A116" s="22">
        <v>44261</v>
      </c>
      <c r="B116" s="63" t="s">
        <v>53</v>
      </c>
      <c r="C116" s="63" t="s">
        <v>323</v>
      </c>
      <c r="D116" s="74">
        <v>0.4916666666666667</v>
      </c>
      <c r="E116" s="74">
        <v>0.50277777777777777</v>
      </c>
      <c r="F116" s="241" t="s">
        <v>188</v>
      </c>
      <c r="G116" s="63">
        <v>16520</v>
      </c>
      <c r="H116" s="21" t="s">
        <v>328</v>
      </c>
      <c r="I116" s="20"/>
      <c r="T116" s="27"/>
      <c r="U116" s="27"/>
      <c r="V116" s="27"/>
    </row>
    <row r="117" spans="1:22" ht="15" hidden="1" customHeight="1" x14ac:dyDescent="0.25">
      <c r="A117" s="22">
        <v>44261</v>
      </c>
      <c r="B117" s="63" t="s">
        <v>187</v>
      </c>
      <c r="C117" s="63" t="s">
        <v>216</v>
      </c>
      <c r="D117" s="74">
        <v>0.52430555555555558</v>
      </c>
      <c r="E117" s="74">
        <v>0.53263888888888888</v>
      </c>
      <c r="F117" s="241" t="s">
        <v>389</v>
      </c>
      <c r="G117" s="63">
        <v>1340</v>
      </c>
      <c r="H117" s="21" t="s">
        <v>324</v>
      </c>
      <c r="I117" s="20"/>
      <c r="T117" s="27"/>
      <c r="U117" s="27"/>
      <c r="V117" s="27"/>
    </row>
    <row r="118" spans="1:22" ht="15" hidden="1" customHeight="1" x14ac:dyDescent="0.25">
      <c r="A118" s="22">
        <v>44261</v>
      </c>
      <c r="B118" s="63" t="s">
        <v>229</v>
      </c>
      <c r="C118" s="63" t="s">
        <v>192</v>
      </c>
      <c r="D118" s="74">
        <v>0.52569444444444446</v>
      </c>
      <c r="E118" s="74">
        <v>0.53680555555555554</v>
      </c>
      <c r="F118" s="241" t="s">
        <v>390</v>
      </c>
      <c r="G118" s="63">
        <v>13880</v>
      </c>
      <c r="H118" s="21" t="s">
        <v>176</v>
      </c>
      <c r="I118" s="20"/>
      <c r="T118" s="27"/>
      <c r="U118" s="27"/>
      <c r="V118" s="27"/>
    </row>
    <row r="119" spans="1:22" ht="15" hidden="1" customHeight="1" x14ac:dyDescent="0.25">
      <c r="A119" s="22">
        <v>44261</v>
      </c>
      <c r="B119" s="63" t="s">
        <v>229</v>
      </c>
      <c r="C119" s="63" t="s">
        <v>196</v>
      </c>
      <c r="D119" s="74">
        <v>0.61249999999999993</v>
      </c>
      <c r="E119" s="74">
        <v>0.62291666666666667</v>
      </c>
      <c r="F119" s="241" t="s">
        <v>204</v>
      </c>
      <c r="G119" s="63">
        <v>8150</v>
      </c>
      <c r="H119" s="21" t="s">
        <v>176</v>
      </c>
      <c r="I119" s="20"/>
      <c r="T119" s="27"/>
      <c r="U119" s="27"/>
      <c r="V119" s="27"/>
    </row>
    <row r="120" spans="1:22" ht="15" hidden="1" customHeight="1" x14ac:dyDescent="0.25">
      <c r="A120" s="22">
        <v>44261</v>
      </c>
      <c r="B120" s="63" t="s">
        <v>187</v>
      </c>
      <c r="C120" s="63" t="s">
        <v>196</v>
      </c>
      <c r="D120" s="74">
        <v>0.6166666666666667</v>
      </c>
      <c r="E120" s="74">
        <v>0.625</v>
      </c>
      <c r="F120" s="241" t="s">
        <v>204</v>
      </c>
      <c r="G120" s="63">
        <v>830</v>
      </c>
      <c r="H120" s="21" t="s">
        <v>324</v>
      </c>
      <c r="I120" s="20"/>
      <c r="T120" s="27"/>
      <c r="U120" s="27"/>
      <c r="V120" s="27"/>
    </row>
    <row r="121" spans="1:22" ht="15" hidden="1" customHeight="1" x14ac:dyDescent="0.25">
      <c r="A121" s="22">
        <v>44261</v>
      </c>
      <c r="B121" s="63" t="s">
        <v>187</v>
      </c>
      <c r="C121" s="63" t="s">
        <v>235</v>
      </c>
      <c r="D121" s="74">
        <v>0.72638888888888886</v>
      </c>
      <c r="E121" s="74">
        <v>0.73263888888888884</v>
      </c>
      <c r="F121" s="241" t="s">
        <v>204</v>
      </c>
      <c r="G121" s="63">
        <v>9000</v>
      </c>
      <c r="H121" s="21" t="s">
        <v>324</v>
      </c>
      <c r="I121" s="20"/>
      <c r="T121" s="27"/>
      <c r="U121" s="27"/>
      <c r="V121" s="27"/>
    </row>
    <row r="122" spans="1:22" ht="15" hidden="1" customHeight="1" x14ac:dyDescent="0.25">
      <c r="A122" s="22">
        <v>44261</v>
      </c>
      <c r="B122" s="63" t="s">
        <v>97</v>
      </c>
      <c r="C122" s="63" t="s">
        <v>391</v>
      </c>
      <c r="D122" s="74">
        <v>0.75</v>
      </c>
      <c r="E122" s="74">
        <v>0.75555555555555554</v>
      </c>
      <c r="F122" s="241" t="s">
        <v>392</v>
      </c>
      <c r="G122" s="63">
        <v>1540</v>
      </c>
      <c r="H122" s="21" t="s">
        <v>93</v>
      </c>
      <c r="I122" s="20"/>
      <c r="T122" s="27"/>
      <c r="U122" s="27"/>
      <c r="V122" s="27"/>
    </row>
    <row r="123" spans="1:22" ht="15" hidden="1" customHeight="1" x14ac:dyDescent="0.25">
      <c r="A123" s="22">
        <v>44261</v>
      </c>
      <c r="B123" s="63" t="s">
        <v>187</v>
      </c>
      <c r="C123" s="63" t="s">
        <v>196</v>
      </c>
      <c r="D123" s="74">
        <v>0.80069444444444438</v>
      </c>
      <c r="E123" s="74">
        <v>0.80972222222222223</v>
      </c>
      <c r="F123" s="241" t="s">
        <v>393</v>
      </c>
      <c r="G123" s="63">
        <v>1330</v>
      </c>
      <c r="H123" s="21" t="s">
        <v>324</v>
      </c>
      <c r="I123" s="20"/>
      <c r="T123" s="27"/>
      <c r="U123" s="27"/>
      <c r="V123" s="27"/>
    </row>
    <row r="124" spans="1:22" ht="15" hidden="1" customHeight="1" x14ac:dyDescent="0.25">
      <c r="A124" s="22">
        <v>44261</v>
      </c>
      <c r="B124" s="63" t="s">
        <v>187</v>
      </c>
      <c r="C124" s="63" t="s">
        <v>394</v>
      </c>
      <c r="D124" s="74">
        <v>0.84444444444444444</v>
      </c>
      <c r="E124" s="74">
        <v>0.85416666666666663</v>
      </c>
      <c r="F124" s="241" t="s">
        <v>241</v>
      </c>
      <c r="G124" s="63">
        <v>1960</v>
      </c>
      <c r="H124" s="21" t="s">
        <v>324</v>
      </c>
      <c r="I124" s="20"/>
      <c r="T124" s="27"/>
      <c r="U124" s="27"/>
      <c r="V124" s="27"/>
    </row>
    <row r="125" spans="1:22" ht="15" hidden="1" customHeight="1" x14ac:dyDescent="0.25">
      <c r="A125" s="22">
        <v>44261</v>
      </c>
      <c r="B125" s="63" t="s">
        <v>31</v>
      </c>
      <c r="C125" s="63" t="s">
        <v>96</v>
      </c>
      <c r="D125" s="74">
        <v>0.88680555555555562</v>
      </c>
      <c r="E125" s="74">
        <v>0.93472222222222223</v>
      </c>
      <c r="F125" s="241" t="s">
        <v>395</v>
      </c>
      <c r="G125" s="63">
        <v>12740</v>
      </c>
      <c r="H125" s="21" t="s">
        <v>346</v>
      </c>
      <c r="I125" s="20"/>
      <c r="T125" s="27"/>
      <c r="U125" s="27"/>
      <c r="V125" s="27"/>
    </row>
    <row r="126" spans="1:22" ht="15" hidden="1" customHeight="1" x14ac:dyDescent="0.25">
      <c r="A126" s="22">
        <v>44261</v>
      </c>
      <c r="B126" s="63" t="s">
        <v>31</v>
      </c>
      <c r="C126" s="63" t="s">
        <v>96</v>
      </c>
      <c r="D126" s="74">
        <v>0.92083333333333339</v>
      </c>
      <c r="E126" s="74">
        <v>0.9555555555555556</v>
      </c>
      <c r="F126" s="241" t="s">
        <v>681</v>
      </c>
      <c r="G126" s="63">
        <v>5715</v>
      </c>
      <c r="H126" s="21" t="s">
        <v>201</v>
      </c>
      <c r="I126" s="20"/>
      <c r="T126" s="27"/>
      <c r="U126" s="27"/>
      <c r="V126" s="27"/>
    </row>
    <row r="127" spans="1:22" ht="15" hidden="1" customHeight="1" x14ac:dyDescent="0.25">
      <c r="A127" s="22">
        <v>44261</v>
      </c>
      <c r="B127" s="63" t="s">
        <v>31</v>
      </c>
      <c r="C127" s="63" t="s">
        <v>312</v>
      </c>
      <c r="D127" s="74">
        <v>0.9902777777777777</v>
      </c>
      <c r="E127" s="74">
        <v>0.24166666666666667</v>
      </c>
      <c r="F127" s="241" t="s">
        <v>396</v>
      </c>
      <c r="G127" s="63">
        <v>7450</v>
      </c>
      <c r="H127" s="21" t="s">
        <v>384</v>
      </c>
      <c r="I127" s="20"/>
      <c r="T127" s="27"/>
      <c r="U127" s="27"/>
      <c r="V127" s="27"/>
    </row>
    <row r="128" spans="1:22" ht="15" hidden="1" customHeight="1" x14ac:dyDescent="0.25">
      <c r="A128" s="22">
        <v>44261</v>
      </c>
      <c r="B128" s="63" t="s">
        <v>58</v>
      </c>
      <c r="C128" s="63" t="s">
        <v>312</v>
      </c>
      <c r="D128" s="74">
        <v>3.4722222222222224E-2</v>
      </c>
      <c r="E128" s="74">
        <v>4.7222222222222221E-2</v>
      </c>
      <c r="F128" s="241" t="s">
        <v>146</v>
      </c>
      <c r="G128" s="63">
        <v>14330</v>
      </c>
      <c r="H128" s="21" t="s">
        <v>313</v>
      </c>
      <c r="I128" s="20"/>
      <c r="T128" s="27"/>
      <c r="U128" s="27"/>
      <c r="V128" s="27"/>
    </row>
    <row r="129" spans="1:22" ht="15" hidden="1" customHeight="1" x14ac:dyDescent="0.25">
      <c r="A129" s="22">
        <v>44262</v>
      </c>
      <c r="B129" s="63" t="s">
        <v>300</v>
      </c>
      <c r="C129" s="63" t="s">
        <v>397</v>
      </c>
      <c r="D129" s="74">
        <v>0.41319444444444442</v>
      </c>
      <c r="E129" s="74">
        <v>0.70694444444444438</v>
      </c>
      <c r="F129" s="241" t="s">
        <v>246</v>
      </c>
      <c r="G129" s="63">
        <v>13510</v>
      </c>
      <c r="H129" s="21" t="s">
        <v>299</v>
      </c>
      <c r="I129" s="20"/>
      <c r="T129" s="27"/>
      <c r="U129" s="27"/>
      <c r="V129" s="27"/>
    </row>
    <row r="130" spans="1:22" ht="15" hidden="1" customHeight="1" x14ac:dyDescent="0.25">
      <c r="A130" s="22">
        <v>44262</v>
      </c>
      <c r="B130" s="63" t="s">
        <v>400</v>
      </c>
      <c r="C130" s="63" t="s">
        <v>398</v>
      </c>
      <c r="D130" s="74">
        <v>0.46597222222222223</v>
      </c>
      <c r="E130" s="74">
        <v>0.47986111111111113</v>
      </c>
      <c r="F130" s="241" t="s">
        <v>401</v>
      </c>
      <c r="G130" s="63">
        <v>10220</v>
      </c>
      <c r="H130" s="21" t="s">
        <v>399</v>
      </c>
      <c r="I130" s="20"/>
      <c r="T130" s="27"/>
      <c r="U130" s="27"/>
      <c r="V130" s="27"/>
    </row>
    <row r="131" spans="1:22" ht="15" hidden="1" customHeight="1" x14ac:dyDescent="0.25">
      <c r="A131" s="22">
        <v>44262</v>
      </c>
      <c r="B131" s="63" t="s">
        <v>78</v>
      </c>
      <c r="C131" s="63" t="s">
        <v>402</v>
      </c>
      <c r="D131" s="74">
        <v>0.49861111111111112</v>
      </c>
      <c r="E131" s="74">
        <v>0.51111111111111118</v>
      </c>
      <c r="F131" s="241" t="s">
        <v>403</v>
      </c>
      <c r="G131" s="63">
        <v>19970</v>
      </c>
      <c r="H131" s="21" t="s">
        <v>178</v>
      </c>
      <c r="I131" s="20"/>
      <c r="T131" s="27"/>
      <c r="U131" s="27"/>
      <c r="V131" s="27"/>
    </row>
    <row r="132" spans="1:22" ht="15" hidden="1" customHeight="1" x14ac:dyDescent="0.25">
      <c r="A132" s="22">
        <v>44262</v>
      </c>
      <c r="B132" s="63" t="s">
        <v>157</v>
      </c>
      <c r="C132" s="63" t="s">
        <v>404</v>
      </c>
      <c r="D132" s="74">
        <v>0.51041666666666663</v>
      </c>
      <c r="E132" s="74">
        <v>0.51944444444444449</v>
      </c>
      <c r="F132" s="241" t="s">
        <v>405</v>
      </c>
      <c r="G132" s="63">
        <v>20650</v>
      </c>
      <c r="H132" s="21" t="s">
        <v>47</v>
      </c>
      <c r="I132" s="20"/>
      <c r="T132" s="27"/>
      <c r="U132" s="27"/>
      <c r="V132" s="27"/>
    </row>
    <row r="133" spans="1:22" ht="15" hidden="1" customHeight="1" x14ac:dyDescent="0.25">
      <c r="A133" s="22">
        <v>44262</v>
      </c>
      <c r="B133" s="63" t="s">
        <v>14</v>
      </c>
      <c r="C133" s="63" t="s">
        <v>243</v>
      </c>
      <c r="D133" s="74">
        <v>0.52361111111111114</v>
      </c>
      <c r="E133" s="74">
        <v>0.53472222222222221</v>
      </c>
      <c r="F133" s="241" t="s">
        <v>204</v>
      </c>
      <c r="G133" s="63">
        <v>20690</v>
      </c>
      <c r="H133" s="21" t="s">
        <v>174</v>
      </c>
      <c r="I133" s="20"/>
      <c r="T133" s="27"/>
      <c r="U133" s="27"/>
      <c r="V133" s="27"/>
    </row>
    <row r="134" spans="1:22" ht="15" hidden="1" customHeight="1" x14ac:dyDescent="0.25">
      <c r="A134" s="22">
        <v>44262</v>
      </c>
      <c r="B134" s="63" t="s">
        <v>400</v>
      </c>
      <c r="C134" s="63" t="s">
        <v>207</v>
      </c>
      <c r="D134" s="74">
        <v>0.5541666666666667</v>
      </c>
      <c r="E134" s="74">
        <v>0.57847222222222217</v>
      </c>
      <c r="F134" s="241" t="s">
        <v>406</v>
      </c>
      <c r="G134" s="63">
        <v>9180</v>
      </c>
      <c r="H134" s="21" t="s">
        <v>399</v>
      </c>
      <c r="I134" s="20"/>
      <c r="T134" s="27"/>
      <c r="U134" s="27"/>
      <c r="V134" s="27"/>
    </row>
    <row r="135" spans="1:22" ht="15" hidden="1" customHeight="1" x14ac:dyDescent="0.25">
      <c r="A135" s="22">
        <v>44262</v>
      </c>
      <c r="B135" s="63" t="s">
        <v>150</v>
      </c>
      <c r="C135" s="63" t="s">
        <v>207</v>
      </c>
      <c r="D135" s="74">
        <v>0.55972222222222223</v>
      </c>
      <c r="E135" s="74">
        <v>0.57430555555555551</v>
      </c>
      <c r="F135" s="241" t="s">
        <v>406</v>
      </c>
      <c r="G135" s="63">
        <v>9320</v>
      </c>
      <c r="H135" s="21" t="s">
        <v>232</v>
      </c>
      <c r="I135" s="20"/>
      <c r="T135" s="27"/>
      <c r="U135" s="27"/>
      <c r="V135" s="27"/>
    </row>
    <row r="136" spans="1:22" ht="15" hidden="1" customHeight="1" x14ac:dyDescent="0.25">
      <c r="A136" s="22">
        <v>44262</v>
      </c>
      <c r="B136" s="63" t="s">
        <v>400</v>
      </c>
      <c r="C136" s="63" t="s">
        <v>407</v>
      </c>
      <c r="D136" s="74">
        <v>0.64444444444444449</v>
      </c>
      <c r="E136" s="74">
        <v>0.66527777777777775</v>
      </c>
      <c r="F136" s="241" t="s">
        <v>408</v>
      </c>
      <c r="G136" s="63">
        <v>9260</v>
      </c>
      <c r="H136" s="21" t="s">
        <v>399</v>
      </c>
      <c r="I136" s="20"/>
      <c r="T136" s="27"/>
      <c r="U136" s="27"/>
      <c r="V136" s="27"/>
    </row>
    <row r="137" spans="1:22" ht="15" hidden="1" customHeight="1" x14ac:dyDescent="0.25">
      <c r="A137" s="22">
        <v>44262</v>
      </c>
      <c r="B137" s="63" t="s">
        <v>31</v>
      </c>
      <c r="C137" s="63" t="s">
        <v>262</v>
      </c>
      <c r="D137" s="74">
        <v>0.8125</v>
      </c>
      <c r="E137" s="74">
        <v>0.86736111111111114</v>
      </c>
      <c r="F137" s="241" t="s">
        <v>395</v>
      </c>
      <c r="G137" s="63">
        <v>9475</v>
      </c>
      <c r="H137" s="21" t="s">
        <v>409</v>
      </c>
      <c r="I137" s="20"/>
      <c r="T137" s="27"/>
      <c r="U137" s="27"/>
      <c r="V137" s="27"/>
    </row>
    <row r="138" spans="1:22" ht="15" hidden="1" customHeight="1" x14ac:dyDescent="0.25">
      <c r="A138" s="22">
        <v>44262</v>
      </c>
      <c r="B138" s="63" t="s">
        <v>83</v>
      </c>
      <c r="C138" s="63" t="s">
        <v>410</v>
      </c>
      <c r="D138" s="74">
        <v>0.81458333333333333</v>
      </c>
      <c r="E138" s="74">
        <v>0.83333333333333337</v>
      </c>
      <c r="F138" s="241" t="s">
        <v>370</v>
      </c>
      <c r="G138" s="63">
        <v>9100</v>
      </c>
      <c r="H138" s="21" t="s">
        <v>411</v>
      </c>
      <c r="I138" s="20"/>
      <c r="T138" s="27"/>
      <c r="U138" s="27"/>
      <c r="V138" s="27"/>
    </row>
    <row r="139" spans="1:22" ht="15" hidden="1" customHeight="1" x14ac:dyDescent="0.25">
      <c r="A139" s="22">
        <v>44262</v>
      </c>
      <c r="B139" s="63" t="s">
        <v>412</v>
      </c>
      <c r="C139" s="63" t="s">
        <v>329</v>
      </c>
      <c r="D139" s="74">
        <v>0.91111111111111109</v>
      </c>
      <c r="E139" s="74">
        <v>0.91736111111111107</v>
      </c>
      <c r="F139" s="241" t="s">
        <v>413</v>
      </c>
      <c r="G139" s="63">
        <v>9700</v>
      </c>
      <c r="H139" s="21" t="s">
        <v>311</v>
      </c>
      <c r="I139" s="20"/>
      <c r="T139" s="27"/>
      <c r="U139" s="27"/>
      <c r="V139" s="27"/>
    </row>
    <row r="140" spans="1:22" ht="15" hidden="1" customHeight="1" x14ac:dyDescent="0.25">
      <c r="A140" s="22">
        <v>44263</v>
      </c>
      <c r="B140" s="63" t="s">
        <v>300</v>
      </c>
      <c r="C140" s="63" t="s">
        <v>414</v>
      </c>
      <c r="D140" s="74">
        <v>0.14097222222222222</v>
      </c>
      <c r="E140" s="74">
        <v>0.27777777777777779</v>
      </c>
      <c r="F140" s="241" t="s">
        <v>75</v>
      </c>
      <c r="G140" s="63">
        <v>8300</v>
      </c>
      <c r="H140" s="21" t="s">
        <v>299</v>
      </c>
      <c r="I140" s="20"/>
      <c r="T140" s="27"/>
      <c r="U140" s="27"/>
      <c r="V140" s="27"/>
    </row>
    <row r="141" spans="1:22" ht="15" hidden="1" customHeight="1" x14ac:dyDescent="0.25">
      <c r="A141" s="22">
        <v>44263</v>
      </c>
      <c r="B141" s="63" t="s">
        <v>14</v>
      </c>
      <c r="C141" s="63" t="s">
        <v>305</v>
      </c>
      <c r="D141" s="74">
        <v>0.34097222222222223</v>
      </c>
      <c r="E141" s="74">
        <v>0.41944444444444445</v>
      </c>
      <c r="F141" s="244" t="s">
        <v>320</v>
      </c>
      <c r="G141" s="63">
        <v>20080</v>
      </c>
      <c r="H141" s="21" t="s">
        <v>174</v>
      </c>
      <c r="I141" s="20"/>
      <c r="T141" s="27"/>
      <c r="U141" s="27"/>
      <c r="V141" s="27"/>
    </row>
    <row r="142" spans="1:22" ht="15" hidden="1" customHeight="1" x14ac:dyDescent="0.25">
      <c r="A142" s="22">
        <v>44263</v>
      </c>
      <c r="B142" s="63" t="s">
        <v>157</v>
      </c>
      <c r="C142" s="63" t="s">
        <v>16</v>
      </c>
      <c r="D142" s="74">
        <v>0.36874999999999997</v>
      </c>
      <c r="E142" s="74">
        <v>0.41736111111111113</v>
      </c>
      <c r="F142" s="249" t="s">
        <v>173</v>
      </c>
      <c r="G142" s="63">
        <v>25360</v>
      </c>
      <c r="H142" s="21" t="s">
        <v>47</v>
      </c>
      <c r="I142" s="20"/>
      <c r="T142" s="27"/>
      <c r="U142" s="27"/>
      <c r="V142" s="27"/>
    </row>
    <row r="143" spans="1:22" ht="15" hidden="1" customHeight="1" x14ac:dyDescent="0.25">
      <c r="A143" s="22">
        <v>44263</v>
      </c>
      <c r="B143" s="63" t="s">
        <v>150</v>
      </c>
      <c r="C143" s="63" t="s">
        <v>16</v>
      </c>
      <c r="D143" s="74">
        <v>0.37986111111111115</v>
      </c>
      <c r="E143" s="74">
        <v>0.44027777777777777</v>
      </c>
      <c r="F143" s="249" t="s">
        <v>173</v>
      </c>
      <c r="G143" s="63">
        <v>25260</v>
      </c>
      <c r="H143" s="21" t="s">
        <v>232</v>
      </c>
      <c r="I143" s="20"/>
      <c r="T143" s="27"/>
      <c r="U143" s="27"/>
      <c r="V143" s="27"/>
    </row>
    <row r="144" spans="1:22" ht="15" hidden="1" customHeight="1" x14ac:dyDescent="0.25">
      <c r="A144" s="22">
        <v>44263</v>
      </c>
      <c r="B144" s="63" t="s">
        <v>229</v>
      </c>
      <c r="C144" s="63" t="s">
        <v>223</v>
      </c>
      <c r="D144" s="74">
        <v>0.41597222222222219</v>
      </c>
      <c r="E144" s="74">
        <v>0.42430555555555555</v>
      </c>
      <c r="F144" s="241" t="s">
        <v>188</v>
      </c>
      <c r="G144" s="63">
        <v>12640</v>
      </c>
      <c r="H144" s="21" t="s">
        <v>176</v>
      </c>
      <c r="I144" s="20"/>
      <c r="T144" s="27"/>
      <c r="U144" s="27"/>
      <c r="V144" s="27"/>
    </row>
    <row r="145" spans="1:22" ht="15" hidden="1" customHeight="1" x14ac:dyDescent="0.25">
      <c r="A145" s="22">
        <v>44263</v>
      </c>
      <c r="B145" s="63" t="s">
        <v>400</v>
      </c>
      <c r="C145" s="63" t="s">
        <v>323</v>
      </c>
      <c r="D145" s="74">
        <v>0.43611111111111112</v>
      </c>
      <c r="E145" s="74">
        <v>0.4465277777777778</v>
      </c>
      <c r="F145" s="241" t="s">
        <v>248</v>
      </c>
      <c r="G145" s="63">
        <v>3150</v>
      </c>
      <c r="H145" s="21" t="s">
        <v>324</v>
      </c>
      <c r="I145" s="20"/>
      <c r="T145" s="27"/>
      <c r="U145" s="27"/>
      <c r="V145" s="27"/>
    </row>
    <row r="146" spans="1:22" ht="15" hidden="1" customHeight="1" x14ac:dyDescent="0.25">
      <c r="A146" s="22">
        <v>44263</v>
      </c>
      <c r="B146" s="63" t="s">
        <v>412</v>
      </c>
      <c r="C146" s="63" t="s">
        <v>216</v>
      </c>
      <c r="D146" s="74">
        <v>0.45277777777777778</v>
      </c>
      <c r="E146" s="74">
        <v>0.46249999999999997</v>
      </c>
      <c r="F146" s="241" t="s">
        <v>416</v>
      </c>
      <c r="G146" s="63">
        <v>5530</v>
      </c>
      <c r="H146" s="21" t="s">
        <v>415</v>
      </c>
      <c r="I146" s="20"/>
      <c r="T146" s="27"/>
      <c r="U146" s="27"/>
      <c r="V146" s="27"/>
    </row>
    <row r="147" spans="1:22" ht="15" hidden="1" customHeight="1" x14ac:dyDescent="0.25">
      <c r="A147" s="22">
        <v>44263</v>
      </c>
      <c r="B147" s="63" t="s">
        <v>53</v>
      </c>
      <c r="C147" s="63" t="s">
        <v>207</v>
      </c>
      <c r="D147" s="74">
        <v>0.47569444444444442</v>
      </c>
      <c r="E147" s="74">
        <v>0.48472222222222222</v>
      </c>
      <c r="F147" s="241" t="s">
        <v>204</v>
      </c>
      <c r="G147" s="63">
        <v>20520</v>
      </c>
      <c r="H147" s="21" t="s">
        <v>328</v>
      </c>
      <c r="I147" s="20"/>
      <c r="T147" s="27"/>
      <c r="U147" s="27"/>
      <c r="V147" s="27"/>
    </row>
    <row r="148" spans="1:22" ht="15" hidden="1" customHeight="1" x14ac:dyDescent="0.25">
      <c r="A148" s="22">
        <v>44263</v>
      </c>
      <c r="B148" s="63" t="s">
        <v>157</v>
      </c>
      <c r="C148" s="63" t="s">
        <v>16</v>
      </c>
      <c r="D148" s="74">
        <v>0.4770833333333333</v>
      </c>
      <c r="E148" s="74">
        <v>0.50763888888888886</v>
      </c>
      <c r="F148" s="252" t="s">
        <v>225</v>
      </c>
      <c r="G148" s="63">
        <v>25290</v>
      </c>
      <c r="H148" s="21" t="s">
        <v>47</v>
      </c>
      <c r="I148" s="20"/>
      <c r="T148" s="27"/>
      <c r="U148" s="27"/>
      <c r="V148" s="27"/>
    </row>
    <row r="149" spans="1:22" ht="15" hidden="1" customHeight="1" x14ac:dyDescent="0.25">
      <c r="A149" s="22">
        <v>44263</v>
      </c>
      <c r="B149" s="63" t="s">
        <v>31</v>
      </c>
      <c r="C149" s="63" t="s">
        <v>417</v>
      </c>
      <c r="D149" s="74">
        <v>0.50347222222222221</v>
      </c>
      <c r="E149" s="74">
        <v>0.50972222222222219</v>
      </c>
      <c r="F149" s="237" t="s">
        <v>418</v>
      </c>
      <c r="G149" s="63">
        <v>1050</v>
      </c>
      <c r="H149" s="21" t="s">
        <v>148</v>
      </c>
      <c r="I149" s="20"/>
      <c r="T149" s="27"/>
      <c r="U149" s="27"/>
      <c r="V149" s="27"/>
    </row>
    <row r="150" spans="1:22" ht="15" hidden="1" customHeight="1" x14ac:dyDescent="0.25">
      <c r="A150" s="22">
        <v>44263</v>
      </c>
      <c r="B150" s="63" t="s">
        <v>78</v>
      </c>
      <c r="C150" s="63" t="s">
        <v>419</v>
      </c>
      <c r="D150" s="74">
        <v>0.50624999999999998</v>
      </c>
      <c r="E150" s="74">
        <v>0.52569444444444446</v>
      </c>
      <c r="F150" s="241" t="s">
        <v>420</v>
      </c>
      <c r="G150" s="63">
        <v>14090</v>
      </c>
      <c r="H150" s="21" t="s">
        <v>178</v>
      </c>
      <c r="I150" s="20"/>
      <c r="T150" s="27"/>
      <c r="U150" s="27"/>
      <c r="V150" s="27"/>
    </row>
    <row r="151" spans="1:22" ht="15" hidden="1" customHeight="1" x14ac:dyDescent="0.25">
      <c r="A151" s="22">
        <v>44263</v>
      </c>
      <c r="B151" s="63" t="s">
        <v>150</v>
      </c>
      <c r="C151" s="63" t="s">
        <v>16</v>
      </c>
      <c r="D151" s="74">
        <v>0.54166666666666663</v>
      </c>
      <c r="E151" s="74">
        <v>0.57222222222222219</v>
      </c>
      <c r="F151" s="252" t="s">
        <v>219</v>
      </c>
      <c r="G151" s="63">
        <v>26220</v>
      </c>
      <c r="H151" s="21" t="s">
        <v>232</v>
      </c>
      <c r="I151" s="20"/>
      <c r="T151" s="27"/>
      <c r="U151" s="27"/>
      <c r="V151" s="27"/>
    </row>
    <row r="152" spans="1:22" ht="15" hidden="1" customHeight="1" x14ac:dyDescent="0.25">
      <c r="A152" s="22">
        <v>44263</v>
      </c>
      <c r="B152" s="63" t="s">
        <v>307</v>
      </c>
      <c r="C152" s="63" t="s">
        <v>421</v>
      </c>
      <c r="D152" s="74">
        <v>0.5444444444444444</v>
      </c>
      <c r="E152" s="74">
        <v>0.56111111111111112</v>
      </c>
      <c r="F152" s="241" t="s">
        <v>422</v>
      </c>
      <c r="G152" s="63">
        <v>20580</v>
      </c>
      <c r="H152" s="21" t="s">
        <v>147</v>
      </c>
      <c r="I152" s="20"/>
      <c r="T152" s="27"/>
      <c r="U152" s="27"/>
      <c r="V152" s="27"/>
    </row>
    <row r="153" spans="1:22" ht="15" hidden="1" customHeight="1" x14ac:dyDescent="0.25">
      <c r="A153" s="22">
        <v>44263</v>
      </c>
      <c r="B153" s="63" t="s">
        <v>229</v>
      </c>
      <c r="C153" s="63" t="s">
        <v>205</v>
      </c>
      <c r="D153" s="74">
        <v>0.54513888888888895</v>
      </c>
      <c r="E153" s="74">
        <v>0.55902777777777779</v>
      </c>
      <c r="F153" s="241" t="s">
        <v>204</v>
      </c>
      <c r="G153" s="63">
        <v>20990</v>
      </c>
      <c r="H153" s="21" t="s">
        <v>176</v>
      </c>
      <c r="I153" s="20"/>
      <c r="T153" s="27"/>
      <c r="U153" s="27"/>
      <c r="V153" s="27"/>
    </row>
    <row r="154" spans="1:22" ht="15" hidden="1" customHeight="1" x14ac:dyDescent="0.25">
      <c r="A154" s="22">
        <v>44263</v>
      </c>
      <c r="B154" s="63" t="s">
        <v>412</v>
      </c>
      <c r="C154" s="63" t="s">
        <v>205</v>
      </c>
      <c r="D154" s="74">
        <v>0.54861111111111105</v>
      </c>
      <c r="E154" s="74">
        <v>0.55486111111111114</v>
      </c>
      <c r="F154" s="241" t="s">
        <v>204</v>
      </c>
      <c r="G154" s="63">
        <v>12000</v>
      </c>
      <c r="H154" s="21" t="s">
        <v>415</v>
      </c>
      <c r="I154" s="20"/>
      <c r="T154" s="27"/>
      <c r="U154" s="27"/>
      <c r="V154" s="27"/>
    </row>
    <row r="155" spans="1:22" ht="15" hidden="1" customHeight="1" x14ac:dyDescent="0.25">
      <c r="A155" s="22">
        <v>44263</v>
      </c>
      <c r="B155" s="63" t="s">
        <v>425</v>
      </c>
      <c r="C155" s="63" t="s">
        <v>423</v>
      </c>
      <c r="D155" s="74">
        <v>0.57500000000000007</v>
      </c>
      <c r="E155" s="74">
        <v>0.60277777777777775</v>
      </c>
      <c r="F155" s="237" t="s">
        <v>426</v>
      </c>
      <c r="G155" s="63">
        <v>3950</v>
      </c>
      <c r="H155" s="21" t="s">
        <v>424</v>
      </c>
      <c r="I155" s="20"/>
      <c r="T155" s="27"/>
      <c r="U155" s="27"/>
      <c r="V155" s="27"/>
    </row>
    <row r="156" spans="1:22" ht="15" hidden="1" customHeight="1" x14ac:dyDescent="0.25">
      <c r="A156" s="22">
        <v>44263</v>
      </c>
      <c r="B156" s="63" t="s">
        <v>425</v>
      </c>
      <c r="C156" s="63" t="s">
        <v>326</v>
      </c>
      <c r="D156" s="74">
        <v>0.57777777777777783</v>
      </c>
      <c r="E156" s="74">
        <v>0.80347222222222225</v>
      </c>
      <c r="F156" s="249" t="s">
        <v>173</v>
      </c>
      <c r="G156" s="63">
        <v>20620</v>
      </c>
      <c r="H156" s="21" t="s">
        <v>222</v>
      </c>
      <c r="I156" s="20"/>
      <c r="T156" s="27"/>
      <c r="U156" s="27"/>
      <c r="V156" s="27"/>
    </row>
    <row r="157" spans="1:22" ht="15" hidden="1" customHeight="1" x14ac:dyDescent="0.25">
      <c r="A157" s="22">
        <v>44263</v>
      </c>
      <c r="B157" s="63" t="s">
        <v>425</v>
      </c>
      <c r="C157" s="63" t="s">
        <v>326</v>
      </c>
      <c r="D157" s="74">
        <v>0.58124999999999993</v>
      </c>
      <c r="E157" s="74">
        <v>0.67708333333333337</v>
      </c>
      <c r="F157" s="249" t="s">
        <v>173</v>
      </c>
      <c r="G157" s="63">
        <v>20100</v>
      </c>
      <c r="H157" s="21" t="s">
        <v>180</v>
      </c>
      <c r="I157" s="20"/>
      <c r="T157" s="27"/>
      <c r="U157" s="27"/>
      <c r="V157" s="27"/>
    </row>
    <row r="158" spans="1:22" ht="15" customHeight="1" x14ac:dyDescent="0.25">
      <c r="A158" s="22">
        <v>44263</v>
      </c>
      <c r="B158" s="63" t="s">
        <v>15</v>
      </c>
      <c r="C158" s="63" t="s">
        <v>427</v>
      </c>
      <c r="D158" s="74">
        <v>0.58194444444444449</v>
      </c>
      <c r="E158" s="74">
        <v>0.59930555555555554</v>
      </c>
      <c r="F158" s="241" t="s">
        <v>204</v>
      </c>
      <c r="G158" s="63">
        <v>21960</v>
      </c>
      <c r="H158" s="21" t="s">
        <v>309</v>
      </c>
      <c r="I158" s="20"/>
      <c r="T158" s="27"/>
      <c r="U158" s="27"/>
      <c r="V158" s="27"/>
    </row>
    <row r="159" spans="1:22" ht="15" hidden="1" customHeight="1" x14ac:dyDescent="0.25">
      <c r="A159" s="22">
        <v>44263</v>
      </c>
      <c r="B159" s="63" t="s">
        <v>53</v>
      </c>
      <c r="C159" s="63" t="s">
        <v>192</v>
      </c>
      <c r="D159" s="74">
        <v>0.5854166666666667</v>
      </c>
      <c r="E159" s="74">
        <v>0.61111111111111105</v>
      </c>
      <c r="F159" s="241" t="s">
        <v>204</v>
      </c>
      <c r="G159" s="63">
        <v>20910</v>
      </c>
      <c r="H159" s="21" t="s">
        <v>328</v>
      </c>
      <c r="I159" s="20"/>
      <c r="T159" s="27"/>
      <c r="U159" s="27"/>
      <c r="V159" s="27"/>
    </row>
    <row r="160" spans="1:22" ht="15" hidden="1" customHeight="1" x14ac:dyDescent="0.25">
      <c r="A160" s="22">
        <v>44263</v>
      </c>
      <c r="B160" s="63" t="s">
        <v>400</v>
      </c>
      <c r="C160" s="63" t="s">
        <v>216</v>
      </c>
      <c r="D160" s="74">
        <v>0.58680555555555558</v>
      </c>
      <c r="E160" s="74">
        <v>0.59722222222222221</v>
      </c>
      <c r="F160" s="241" t="s">
        <v>257</v>
      </c>
      <c r="G160" s="63">
        <v>1080</v>
      </c>
      <c r="H160" s="21" t="s">
        <v>324</v>
      </c>
      <c r="I160" s="20"/>
      <c r="T160" s="27"/>
      <c r="U160" s="27"/>
      <c r="V160" s="27"/>
    </row>
    <row r="161" spans="1:22" ht="15" hidden="1" customHeight="1" x14ac:dyDescent="0.25">
      <c r="A161" s="22">
        <v>44263</v>
      </c>
      <c r="B161" s="63" t="s">
        <v>78</v>
      </c>
      <c r="C161" s="63" t="s">
        <v>192</v>
      </c>
      <c r="D161" s="74">
        <v>0.59513888888888888</v>
      </c>
      <c r="E161" s="74">
        <v>0.60902777777777783</v>
      </c>
      <c r="F161" s="241" t="s">
        <v>204</v>
      </c>
      <c r="G161" s="63">
        <v>21110</v>
      </c>
      <c r="H161" s="21" t="s">
        <v>178</v>
      </c>
      <c r="I161" s="20"/>
      <c r="T161" s="27"/>
      <c r="U161" s="27"/>
      <c r="V161" s="27"/>
    </row>
    <row r="162" spans="1:22" ht="15" hidden="1" customHeight="1" x14ac:dyDescent="0.25">
      <c r="A162" s="22">
        <v>44263</v>
      </c>
      <c r="B162" s="63" t="s">
        <v>307</v>
      </c>
      <c r="C162" s="63" t="s">
        <v>192</v>
      </c>
      <c r="D162" s="74">
        <v>0.61458333333333337</v>
      </c>
      <c r="E162" s="74">
        <v>0.62986111111111109</v>
      </c>
      <c r="F162" s="241" t="s">
        <v>204</v>
      </c>
      <c r="G162" s="63">
        <v>22230</v>
      </c>
      <c r="H162" s="21" t="s">
        <v>147</v>
      </c>
      <c r="I162" s="20"/>
      <c r="T162" s="27"/>
      <c r="U162" s="27"/>
      <c r="V162" s="27"/>
    </row>
    <row r="163" spans="1:22" ht="15" hidden="1" customHeight="1" x14ac:dyDescent="0.25">
      <c r="A163" s="22">
        <v>44263</v>
      </c>
      <c r="B163" s="63" t="s">
        <v>412</v>
      </c>
      <c r="C163" s="63" t="s">
        <v>428</v>
      </c>
      <c r="D163" s="74">
        <v>0.65</v>
      </c>
      <c r="E163" s="74">
        <v>0.65625</v>
      </c>
      <c r="F163" s="241" t="s">
        <v>188</v>
      </c>
      <c r="G163" s="63">
        <v>11850</v>
      </c>
      <c r="H163" s="21" t="s">
        <v>415</v>
      </c>
      <c r="I163" s="20"/>
      <c r="T163" s="27"/>
      <c r="U163" s="27"/>
      <c r="V163" s="27"/>
    </row>
    <row r="164" spans="1:22" ht="15" hidden="1" customHeight="1" x14ac:dyDescent="0.25">
      <c r="A164" s="22">
        <v>44263</v>
      </c>
      <c r="B164" s="63" t="s">
        <v>90</v>
      </c>
      <c r="C164" s="63" t="s">
        <v>329</v>
      </c>
      <c r="D164" s="74">
        <v>0.66527777777777775</v>
      </c>
      <c r="E164" s="74">
        <v>0.6972222222222223</v>
      </c>
      <c r="F164" s="241" t="s">
        <v>188</v>
      </c>
      <c r="G164" s="63">
        <v>3920</v>
      </c>
      <c r="H164" s="21" t="s">
        <v>429</v>
      </c>
      <c r="I164" s="20"/>
      <c r="T164" s="27"/>
      <c r="U164" s="27"/>
      <c r="V164" s="27"/>
    </row>
    <row r="165" spans="1:22" ht="15" hidden="1" customHeight="1" x14ac:dyDescent="0.25">
      <c r="A165" s="22">
        <v>44263</v>
      </c>
      <c r="B165" s="63" t="s">
        <v>53</v>
      </c>
      <c r="C165" s="63" t="s">
        <v>428</v>
      </c>
      <c r="D165" s="74">
        <v>0.66597222222222219</v>
      </c>
      <c r="E165" s="74">
        <v>0.67152777777777783</v>
      </c>
      <c r="F165" s="241" t="s">
        <v>188</v>
      </c>
      <c r="G165" s="63">
        <v>1530</v>
      </c>
      <c r="H165" s="21" t="s">
        <v>328</v>
      </c>
      <c r="I165" s="20"/>
      <c r="T165" s="27"/>
      <c r="U165" s="27"/>
      <c r="V165" s="27"/>
    </row>
    <row r="166" spans="1:22" ht="15" hidden="1" customHeight="1" x14ac:dyDescent="0.25">
      <c r="A166" s="22">
        <v>44263</v>
      </c>
      <c r="B166" s="63" t="s">
        <v>303</v>
      </c>
      <c r="C166" s="63" t="s">
        <v>255</v>
      </c>
      <c r="D166" s="74">
        <v>0.66736111111111107</v>
      </c>
      <c r="E166" s="74">
        <v>0.68194444444444446</v>
      </c>
      <c r="F166" s="241" t="s">
        <v>382</v>
      </c>
      <c r="G166" s="63">
        <v>1180</v>
      </c>
      <c r="H166" s="21" t="s">
        <v>213</v>
      </c>
      <c r="I166" s="20"/>
      <c r="T166" s="27"/>
      <c r="U166" s="27"/>
      <c r="V166" s="27"/>
    </row>
    <row r="167" spans="1:22" ht="15" hidden="1" customHeight="1" x14ac:dyDescent="0.25">
      <c r="A167" s="22">
        <v>44263</v>
      </c>
      <c r="B167" s="63" t="s">
        <v>400</v>
      </c>
      <c r="C167" s="63" t="s">
        <v>430</v>
      </c>
      <c r="D167" s="74">
        <v>0.75694444444444453</v>
      </c>
      <c r="E167" s="74">
        <v>0.76666666666666661</v>
      </c>
      <c r="F167" s="241" t="s">
        <v>431</v>
      </c>
      <c r="G167" s="63">
        <v>770</v>
      </c>
      <c r="H167" s="21" t="s">
        <v>324</v>
      </c>
      <c r="I167" s="20"/>
      <c r="T167" s="27"/>
      <c r="U167" s="27"/>
      <c r="V167" s="27"/>
    </row>
    <row r="168" spans="1:22" ht="15" hidden="1" customHeight="1" x14ac:dyDescent="0.25">
      <c r="A168" s="22">
        <v>44263</v>
      </c>
      <c r="B168" s="63" t="s">
        <v>90</v>
      </c>
      <c r="C168" s="63" t="s">
        <v>410</v>
      </c>
      <c r="D168" s="74">
        <v>0.7583333333333333</v>
      </c>
      <c r="E168" s="74">
        <v>0.77222222222222225</v>
      </c>
      <c r="F168" s="241" t="s">
        <v>188</v>
      </c>
      <c r="G168" s="63">
        <v>570</v>
      </c>
      <c r="H168" s="21" t="s">
        <v>198</v>
      </c>
      <c r="I168" s="20"/>
      <c r="T168" s="27"/>
      <c r="U168" s="27"/>
      <c r="V168" s="27"/>
    </row>
    <row r="169" spans="1:22" ht="15" hidden="1" customHeight="1" x14ac:dyDescent="0.25">
      <c r="A169" s="22">
        <v>44263</v>
      </c>
      <c r="B169" s="63" t="s">
        <v>78</v>
      </c>
      <c r="C169" s="63" t="s">
        <v>144</v>
      </c>
      <c r="D169" s="74">
        <v>0.82638888888888884</v>
      </c>
      <c r="E169" s="74">
        <v>0.35069444444444442</v>
      </c>
      <c r="F169" s="236" t="s">
        <v>317</v>
      </c>
      <c r="G169" s="63">
        <v>34230</v>
      </c>
      <c r="H169" s="21" t="s">
        <v>178</v>
      </c>
      <c r="I169" s="20"/>
      <c r="T169" s="27"/>
      <c r="U169" s="27"/>
      <c r="V169" s="27"/>
    </row>
    <row r="170" spans="1:22" ht="15" hidden="1" customHeight="1" x14ac:dyDescent="0.25">
      <c r="A170" s="22">
        <v>44263</v>
      </c>
      <c r="B170" s="63" t="s">
        <v>90</v>
      </c>
      <c r="C170" s="63" t="s">
        <v>262</v>
      </c>
      <c r="D170" s="74">
        <v>0.91736111111111107</v>
      </c>
      <c r="E170" s="74">
        <v>0.95694444444444438</v>
      </c>
      <c r="F170" s="241" t="s">
        <v>432</v>
      </c>
      <c r="G170" s="63">
        <v>12940</v>
      </c>
      <c r="H170" s="21" t="s">
        <v>206</v>
      </c>
      <c r="I170" s="20"/>
      <c r="T170" s="27"/>
      <c r="U170" s="27"/>
      <c r="V170" s="27"/>
    </row>
    <row r="171" spans="1:22" ht="15" hidden="1" customHeight="1" x14ac:dyDescent="0.25">
      <c r="A171" s="22">
        <v>44263</v>
      </c>
      <c r="B171" s="63" t="s">
        <v>90</v>
      </c>
      <c r="C171" s="63" t="s">
        <v>329</v>
      </c>
      <c r="D171" s="74">
        <v>0.95624999999999993</v>
      </c>
      <c r="E171" s="74">
        <v>0.99236111111111114</v>
      </c>
      <c r="F171" s="241" t="s">
        <v>224</v>
      </c>
      <c r="G171" s="63">
        <v>9880</v>
      </c>
      <c r="H171" s="21" t="s">
        <v>339</v>
      </c>
      <c r="I171" s="20"/>
      <c r="T171" s="27"/>
      <c r="U171" s="27"/>
      <c r="V171" s="27"/>
    </row>
    <row r="172" spans="1:22" ht="15" hidden="1" customHeight="1" x14ac:dyDescent="0.25">
      <c r="A172" s="22">
        <v>44263</v>
      </c>
      <c r="B172" s="63" t="s">
        <v>300</v>
      </c>
      <c r="C172" s="63" t="s">
        <v>433</v>
      </c>
      <c r="D172" s="74">
        <v>0.99722222222222223</v>
      </c>
      <c r="E172" s="74">
        <v>0.25763888888888892</v>
      </c>
      <c r="F172" s="241" t="s">
        <v>75</v>
      </c>
      <c r="G172" s="63">
        <v>7470</v>
      </c>
      <c r="H172" s="21" t="s">
        <v>299</v>
      </c>
      <c r="I172" s="20"/>
      <c r="T172" s="27"/>
      <c r="U172" s="27"/>
      <c r="V172" s="27"/>
    </row>
    <row r="173" spans="1:22" ht="15" hidden="1" customHeight="1" x14ac:dyDescent="0.25">
      <c r="A173" s="22">
        <v>44263</v>
      </c>
      <c r="B173" s="63" t="s">
        <v>400</v>
      </c>
      <c r="C173" s="63" t="s">
        <v>329</v>
      </c>
      <c r="D173" s="74">
        <v>0.99861111111111101</v>
      </c>
      <c r="E173" s="74">
        <v>9.0277777777777787E-3</v>
      </c>
      <c r="F173" s="241" t="s">
        <v>224</v>
      </c>
      <c r="G173" s="63">
        <v>5290</v>
      </c>
      <c r="H173" s="21" t="s">
        <v>324</v>
      </c>
      <c r="I173" s="20"/>
      <c r="T173" s="27"/>
      <c r="U173" s="27"/>
      <c r="V173" s="27"/>
    </row>
    <row r="174" spans="1:22" ht="15" hidden="1" customHeight="1" x14ac:dyDescent="0.25">
      <c r="A174" s="22">
        <v>44264</v>
      </c>
      <c r="B174" s="63" t="s">
        <v>181</v>
      </c>
      <c r="C174" s="63" t="s">
        <v>149</v>
      </c>
      <c r="D174" s="74">
        <v>3.2638888888888891E-2</v>
      </c>
      <c r="E174" s="74">
        <v>0.13819444444444443</v>
      </c>
      <c r="F174" s="241" t="s">
        <v>217</v>
      </c>
      <c r="G174" s="63">
        <v>12870</v>
      </c>
      <c r="H174" s="21" t="s">
        <v>211</v>
      </c>
      <c r="I174" s="20"/>
      <c r="T174" s="27"/>
      <c r="U174" s="27"/>
      <c r="V174" s="27"/>
    </row>
    <row r="175" spans="1:22" ht="15" hidden="1" customHeight="1" x14ac:dyDescent="0.25">
      <c r="A175" s="22">
        <v>44264</v>
      </c>
      <c r="B175" s="63" t="s">
        <v>90</v>
      </c>
      <c r="C175" s="63" t="s">
        <v>434</v>
      </c>
      <c r="D175" s="74">
        <v>3.4722222222222224E-2</v>
      </c>
      <c r="E175" s="74">
        <v>0.29305555555555557</v>
      </c>
      <c r="F175" s="241" t="s">
        <v>436</v>
      </c>
      <c r="G175" s="63">
        <v>6200</v>
      </c>
      <c r="H175" s="21" t="s">
        <v>435</v>
      </c>
      <c r="I175" s="20"/>
      <c r="T175" s="27"/>
      <c r="U175" s="27"/>
      <c r="V175" s="27"/>
    </row>
    <row r="176" spans="1:22" ht="15" hidden="1" customHeight="1" x14ac:dyDescent="0.25">
      <c r="A176" s="22">
        <v>44264</v>
      </c>
      <c r="B176" s="63" t="s">
        <v>58</v>
      </c>
      <c r="C176" s="63" t="s">
        <v>312</v>
      </c>
      <c r="D176" s="74">
        <v>0.27847222222222223</v>
      </c>
      <c r="E176" s="74">
        <v>0.28472222222222221</v>
      </c>
      <c r="F176" s="241" t="s">
        <v>437</v>
      </c>
      <c r="G176" s="63">
        <v>24260</v>
      </c>
      <c r="H176" s="21" t="s">
        <v>313</v>
      </c>
      <c r="I176" s="20"/>
      <c r="T176" s="27"/>
      <c r="U176" s="27"/>
      <c r="V176" s="27"/>
    </row>
    <row r="177" spans="1:22" ht="15" hidden="1" customHeight="1" x14ac:dyDescent="0.25">
      <c r="A177" s="22">
        <v>44264</v>
      </c>
      <c r="B177" s="63" t="s">
        <v>348</v>
      </c>
      <c r="C177" s="63" t="s">
        <v>190</v>
      </c>
      <c r="D177" s="74">
        <v>0.33749999999999997</v>
      </c>
      <c r="E177" s="74">
        <v>0.38611111111111113</v>
      </c>
      <c r="F177" s="241" t="s">
        <v>438</v>
      </c>
      <c r="G177" s="63">
        <v>4940</v>
      </c>
      <c r="H177" s="21" t="s">
        <v>311</v>
      </c>
      <c r="I177" s="20"/>
      <c r="T177" s="27"/>
      <c r="U177" s="27"/>
      <c r="V177" s="27"/>
    </row>
    <row r="178" spans="1:22" ht="15" hidden="1" customHeight="1" x14ac:dyDescent="0.25">
      <c r="A178" s="22">
        <v>44264</v>
      </c>
      <c r="B178" s="63" t="s">
        <v>90</v>
      </c>
      <c r="C178" s="63" t="s">
        <v>142</v>
      </c>
      <c r="D178" s="74">
        <v>0.36736111111111108</v>
      </c>
      <c r="E178" s="74">
        <v>0.3840277777777778</v>
      </c>
      <c r="F178" s="237" t="s">
        <v>439</v>
      </c>
      <c r="G178" s="63">
        <v>1850</v>
      </c>
      <c r="H178" s="21" t="s">
        <v>226</v>
      </c>
      <c r="I178" s="20"/>
      <c r="T178" s="27"/>
      <c r="U178" s="27"/>
      <c r="V178" s="27"/>
    </row>
    <row r="179" spans="1:22" ht="15" hidden="1" customHeight="1" x14ac:dyDescent="0.25">
      <c r="A179" s="22">
        <v>44264</v>
      </c>
      <c r="B179" s="63" t="s">
        <v>97</v>
      </c>
      <c r="C179" s="63" t="s">
        <v>263</v>
      </c>
      <c r="D179" s="74">
        <v>0.43055555555555558</v>
      </c>
      <c r="E179" s="74">
        <v>0.43611111111111112</v>
      </c>
      <c r="F179" s="241" t="s">
        <v>440</v>
      </c>
      <c r="G179" s="63">
        <v>1110</v>
      </c>
      <c r="H179" s="21" t="s">
        <v>92</v>
      </c>
      <c r="I179" s="20"/>
      <c r="T179" s="27"/>
      <c r="U179" s="27"/>
      <c r="V179" s="27"/>
    </row>
    <row r="180" spans="1:22" ht="15" hidden="1" customHeight="1" x14ac:dyDescent="0.25">
      <c r="A180" s="22">
        <v>44264</v>
      </c>
      <c r="B180" s="63" t="s">
        <v>229</v>
      </c>
      <c r="C180" s="63" t="s">
        <v>205</v>
      </c>
      <c r="D180" s="74">
        <v>0.46180555555555558</v>
      </c>
      <c r="E180" s="74">
        <v>0.47430555555555554</v>
      </c>
      <c r="F180" s="241" t="s">
        <v>204</v>
      </c>
      <c r="G180" s="63">
        <v>23810</v>
      </c>
      <c r="H180" s="21" t="s">
        <v>176</v>
      </c>
      <c r="I180" s="20"/>
      <c r="T180" s="27"/>
      <c r="U180" s="27"/>
      <c r="V180" s="27"/>
    </row>
    <row r="181" spans="1:22" ht="15" hidden="1" customHeight="1" x14ac:dyDescent="0.25">
      <c r="A181" s="22">
        <v>44264</v>
      </c>
      <c r="B181" s="63" t="s">
        <v>53</v>
      </c>
      <c r="C181" s="63" t="s">
        <v>205</v>
      </c>
      <c r="D181" s="74">
        <v>0.46736111111111112</v>
      </c>
      <c r="E181" s="74">
        <v>0.47291666666666665</v>
      </c>
      <c r="F181" s="241" t="s">
        <v>204</v>
      </c>
      <c r="G181" s="63">
        <v>23990</v>
      </c>
      <c r="H181" s="21" t="s">
        <v>328</v>
      </c>
      <c r="I181" s="20"/>
      <c r="T181" s="27"/>
      <c r="U181" s="27"/>
      <c r="V181" s="27"/>
    </row>
    <row r="182" spans="1:22" ht="15" hidden="1" customHeight="1" x14ac:dyDescent="0.25">
      <c r="A182" s="22">
        <v>44264</v>
      </c>
      <c r="B182" s="63" t="s">
        <v>157</v>
      </c>
      <c r="C182" s="63" t="s">
        <v>205</v>
      </c>
      <c r="D182" s="74">
        <v>0.47638888888888892</v>
      </c>
      <c r="E182" s="74">
        <v>0.48125000000000001</v>
      </c>
      <c r="F182" s="241" t="s">
        <v>204</v>
      </c>
      <c r="G182" s="63">
        <v>24100</v>
      </c>
      <c r="H182" s="21" t="s">
        <v>47</v>
      </c>
      <c r="I182" s="20"/>
      <c r="T182" s="27"/>
      <c r="U182" s="27"/>
      <c r="V182" s="27"/>
    </row>
    <row r="183" spans="1:22" ht="15" hidden="1" customHeight="1" x14ac:dyDescent="0.25">
      <c r="A183" s="22">
        <v>44264</v>
      </c>
      <c r="B183" s="63" t="s">
        <v>400</v>
      </c>
      <c r="C183" s="63" t="s">
        <v>205</v>
      </c>
      <c r="D183" s="74">
        <v>0.4770833333333333</v>
      </c>
      <c r="E183" s="74">
        <v>0.48472222222222222</v>
      </c>
      <c r="F183" s="241" t="s">
        <v>204</v>
      </c>
      <c r="G183" s="63">
        <v>10330</v>
      </c>
      <c r="H183" s="21" t="s">
        <v>324</v>
      </c>
      <c r="I183" s="20"/>
      <c r="T183" s="27"/>
      <c r="U183" s="27"/>
      <c r="V183" s="27"/>
    </row>
    <row r="184" spans="1:22" ht="15" hidden="1" customHeight="1" x14ac:dyDescent="0.25">
      <c r="A184" s="22">
        <v>44264</v>
      </c>
      <c r="B184" s="63" t="s">
        <v>150</v>
      </c>
      <c r="C184" s="63" t="s">
        <v>205</v>
      </c>
      <c r="D184" s="74">
        <v>0.48680555555555555</v>
      </c>
      <c r="E184" s="74">
        <v>0.49236111111111108</v>
      </c>
      <c r="F184" s="241" t="s">
        <v>204</v>
      </c>
      <c r="G184" s="63">
        <v>21000</v>
      </c>
      <c r="H184" s="21" t="s">
        <v>232</v>
      </c>
      <c r="I184" s="20"/>
      <c r="T184" s="27"/>
      <c r="U184" s="27"/>
      <c r="V184" s="27"/>
    </row>
    <row r="185" spans="1:22" ht="15" hidden="1" customHeight="1" x14ac:dyDescent="0.25">
      <c r="A185" s="22">
        <v>44264</v>
      </c>
      <c r="B185" s="63" t="s">
        <v>412</v>
      </c>
      <c r="C185" s="63" t="s">
        <v>205</v>
      </c>
      <c r="D185" s="74">
        <v>0.48819444444444443</v>
      </c>
      <c r="E185" s="74">
        <v>0.49444444444444446</v>
      </c>
      <c r="F185" s="241" t="s">
        <v>204</v>
      </c>
      <c r="G185" s="63">
        <v>12930</v>
      </c>
      <c r="H185" s="21" t="s">
        <v>415</v>
      </c>
      <c r="I185" s="20"/>
      <c r="T185" s="27"/>
      <c r="U185" s="27"/>
      <c r="V185" s="27"/>
    </row>
    <row r="186" spans="1:22" ht="15" hidden="1" customHeight="1" x14ac:dyDescent="0.25">
      <c r="A186" s="22">
        <v>44264</v>
      </c>
      <c r="B186" s="63" t="s">
        <v>307</v>
      </c>
      <c r="C186" s="63" t="s">
        <v>205</v>
      </c>
      <c r="D186" s="74">
        <v>0.49583333333333335</v>
      </c>
      <c r="E186" s="74">
        <v>0.50624999999999998</v>
      </c>
      <c r="F186" s="241" t="s">
        <v>204</v>
      </c>
      <c r="G186" s="63">
        <v>24280</v>
      </c>
      <c r="H186" s="21" t="s">
        <v>147</v>
      </c>
      <c r="I186" s="20"/>
      <c r="T186" s="27"/>
      <c r="U186" s="27"/>
      <c r="V186" s="27"/>
    </row>
    <row r="187" spans="1:22" ht="15" hidden="1" customHeight="1" x14ac:dyDescent="0.25">
      <c r="A187" s="22">
        <v>44264</v>
      </c>
      <c r="B187" s="63" t="s">
        <v>78</v>
      </c>
      <c r="C187" s="63" t="s">
        <v>205</v>
      </c>
      <c r="D187" s="74">
        <v>0.5083333333333333</v>
      </c>
      <c r="E187" s="74">
        <v>0.53680555555555554</v>
      </c>
      <c r="F187" s="241" t="s">
        <v>204</v>
      </c>
      <c r="G187" s="63">
        <v>17310</v>
      </c>
      <c r="H187" s="21" t="s">
        <v>178</v>
      </c>
      <c r="I187" s="20"/>
      <c r="T187" s="27"/>
      <c r="U187" s="27"/>
      <c r="V187" s="27"/>
    </row>
    <row r="188" spans="1:22" ht="15" hidden="1" customHeight="1" x14ac:dyDescent="0.25">
      <c r="A188" s="22">
        <v>44264</v>
      </c>
      <c r="B188" s="63" t="s">
        <v>31</v>
      </c>
      <c r="C188" s="63" t="s">
        <v>259</v>
      </c>
      <c r="D188" s="74">
        <v>0.54583333333333328</v>
      </c>
      <c r="E188" s="74">
        <v>0.60486111111111118</v>
      </c>
      <c r="F188" s="243" t="s">
        <v>52</v>
      </c>
      <c r="G188" s="63">
        <v>35330</v>
      </c>
      <c r="H188" s="21" t="s">
        <v>302</v>
      </c>
      <c r="I188" s="20"/>
      <c r="T188" s="27"/>
      <c r="U188" s="27"/>
      <c r="V188" s="27"/>
    </row>
    <row r="189" spans="1:22" ht="15" hidden="1" customHeight="1" x14ac:dyDescent="0.25">
      <c r="A189" s="22">
        <v>44264</v>
      </c>
      <c r="B189" s="63" t="s">
        <v>14</v>
      </c>
      <c r="C189" s="63" t="s">
        <v>441</v>
      </c>
      <c r="D189" s="74">
        <v>0.56527777777777777</v>
      </c>
      <c r="E189" s="74">
        <v>0.57361111111111118</v>
      </c>
      <c r="F189" s="241" t="s">
        <v>442</v>
      </c>
      <c r="G189" s="63">
        <v>22710</v>
      </c>
      <c r="H189" s="21" t="s">
        <v>174</v>
      </c>
      <c r="I189" s="20"/>
      <c r="T189" s="27"/>
      <c r="U189" s="27"/>
      <c r="V189" s="27"/>
    </row>
    <row r="190" spans="1:22" ht="15" hidden="1" customHeight="1" x14ac:dyDescent="0.25">
      <c r="A190" s="22">
        <v>44264</v>
      </c>
      <c r="B190" s="63" t="s">
        <v>400</v>
      </c>
      <c r="C190" s="63" t="s">
        <v>243</v>
      </c>
      <c r="D190" s="74">
        <v>0.5805555555555556</v>
      </c>
      <c r="E190" s="74">
        <v>0.59097222222222223</v>
      </c>
      <c r="F190" s="241" t="s">
        <v>443</v>
      </c>
      <c r="G190" s="63">
        <v>9030</v>
      </c>
      <c r="H190" s="21" t="s">
        <v>324</v>
      </c>
      <c r="I190" s="20"/>
      <c r="T190" s="27"/>
      <c r="U190" s="27"/>
      <c r="V190" s="27"/>
    </row>
    <row r="191" spans="1:22" ht="15" hidden="1" customHeight="1" x14ac:dyDescent="0.25">
      <c r="A191" s="22">
        <v>44264</v>
      </c>
      <c r="B191" s="63" t="s">
        <v>58</v>
      </c>
      <c r="C191" s="63" t="s">
        <v>258</v>
      </c>
      <c r="D191" s="74">
        <v>0.59375</v>
      </c>
      <c r="E191" s="74">
        <v>0.60138888888888886</v>
      </c>
      <c r="F191" s="241" t="s">
        <v>444</v>
      </c>
      <c r="G191" s="63">
        <v>17190</v>
      </c>
      <c r="H191" s="21" t="s">
        <v>47</v>
      </c>
      <c r="I191" s="20"/>
      <c r="T191" s="27"/>
      <c r="U191" s="27"/>
      <c r="V191" s="27"/>
    </row>
    <row r="192" spans="1:22" ht="15" hidden="1" customHeight="1" x14ac:dyDescent="0.25">
      <c r="A192" s="22">
        <v>44264</v>
      </c>
      <c r="B192" s="63" t="s">
        <v>229</v>
      </c>
      <c r="C192" s="63" t="s">
        <v>243</v>
      </c>
      <c r="D192" s="74">
        <v>0.60763888888888895</v>
      </c>
      <c r="E192" s="74">
        <v>0.61249999999999993</v>
      </c>
      <c r="F192" s="241" t="s">
        <v>204</v>
      </c>
      <c r="G192" s="63">
        <v>24860</v>
      </c>
      <c r="H192" s="21" t="s">
        <v>176</v>
      </c>
      <c r="I192" s="20"/>
      <c r="T192" s="27"/>
      <c r="U192" s="27"/>
      <c r="V192" s="27"/>
    </row>
    <row r="193" spans="1:22" ht="15" hidden="1" customHeight="1" x14ac:dyDescent="0.25">
      <c r="A193" s="22">
        <v>44264</v>
      </c>
      <c r="B193" s="63" t="s">
        <v>53</v>
      </c>
      <c r="C193" s="63" t="s">
        <v>243</v>
      </c>
      <c r="D193" s="74">
        <v>0.61111111111111105</v>
      </c>
      <c r="E193" s="74">
        <v>0.61597222222222225</v>
      </c>
      <c r="F193" s="241" t="s">
        <v>204</v>
      </c>
      <c r="G193" s="63">
        <v>24390</v>
      </c>
      <c r="H193" s="21" t="s">
        <v>328</v>
      </c>
      <c r="I193" s="20"/>
      <c r="T193" s="27"/>
      <c r="U193" s="27"/>
      <c r="V193" s="27"/>
    </row>
    <row r="194" spans="1:22" ht="15" hidden="1" customHeight="1" x14ac:dyDescent="0.25">
      <c r="A194" s="22">
        <v>44264</v>
      </c>
      <c r="B194" s="63" t="s">
        <v>150</v>
      </c>
      <c r="C194" s="63" t="s">
        <v>243</v>
      </c>
      <c r="D194" s="74">
        <v>0.61458333333333337</v>
      </c>
      <c r="E194" s="74">
        <v>0.62013888888888891</v>
      </c>
      <c r="F194" s="241" t="s">
        <v>204</v>
      </c>
      <c r="G194" s="63">
        <v>22110</v>
      </c>
      <c r="H194" s="21" t="s">
        <v>232</v>
      </c>
      <c r="I194" s="20"/>
      <c r="T194" s="27"/>
      <c r="U194" s="27"/>
      <c r="V194" s="27"/>
    </row>
    <row r="195" spans="1:22" ht="15" hidden="1" customHeight="1" x14ac:dyDescent="0.25">
      <c r="A195" s="22">
        <v>44264</v>
      </c>
      <c r="B195" s="63" t="s">
        <v>412</v>
      </c>
      <c r="C195" s="63" t="s">
        <v>243</v>
      </c>
      <c r="D195" s="74">
        <v>0.62152777777777779</v>
      </c>
      <c r="E195" s="74">
        <v>0.62986111111111109</v>
      </c>
      <c r="F195" s="241" t="s">
        <v>204</v>
      </c>
      <c r="G195" s="63">
        <v>13920</v>
      </c>
      <c r="H195" s="21" t="s">
        <v>415</v>
      </c>
      <c r="I195" s="20"/>
      <c r="T195" s="27"/>
      <c r="U195" s="27"/>
      <c r="V195" s="27"/>
    </row>
    <row r="196" spans="1:22" ht="15" customHeight="1" x14ac:dyDescent="0.25">
      <c r="A196" s="22">
        <v>44264</v>
      </c>
      <c r="B196" s="63" t="s">
        <v>447</v>
      </c>
      <c r="C196" s="63" t="s">
        <v>445</v>
      </c>
      <c r="D196" s="74">
        <v>0.62569444444444444</v>
      </c>
      <c r="E196" s="74">
        <v>0.64930555555555558</v>
      </c>
      <c r="F196" s="252" t="s">
        <v>448</v>
      </c>
      <c r="G196" s="63">
        <v>25310</v>
      </c>
      <c r="H196" s="21" t="s">
        <v>446</v>
      </c>
      <c r="I196" s="20"/>
      <c r="T196" s="27"/>
      <c r="U196" s="27"/>
      <c r="V196" s="27"/>
    </row>
    <row r="197" spans="1:22" ht="15" hidden="1" customHeight="1" x14ac:dyDescent="0.25">
      <c r="A197" s="22">
        <v>44264</v>
      </c>
      <c r="B197" s="63" t="s">
        <v>307</v>
      </c>
      <c r="C197" s="63" t="s">
        <v>243</v>
      </c>
      <c r="D197" s="74">
        <v>0.62847222222222221</v>
      </c>
      <c r="E197" s="74">
        <v>0.63541666666666663</v>
      </c>
      <c r="F197" s="241" t="s">
        <v>204</v>
      </c>
      <c r="G197" s="63">
        <v>24970</v>
      </c>
      <c r="H197" s="21" t="s">
        <v>147</v>
      </c>
      <c r="I197" s="20"/>
      <c r="T197" s="27"/>
      <c r="U197" s="27"/>
      <c r="V197" s="27"/>
    </row>
    <row r="198" spans="1:22" ht="15" hidden="1" customHeight="1" x14ac:dyDescent="0.25">
      <c r="A198" s="22">
        <v>44264</v>
      </c>
      <c r="B198" s="63" t="s">
        <v>90</v>
      </c>
      <c r="C198" s="63" t="s">
        <v>329</v>
      </c>
      <c r="D198" s="74">
        <v>0.63124999999999998</v>
      </c>
      <c r="E198" s="74">
        <v>0.66180555555555554</v>
      </c>
      <c r="F198" s="241" t="s">
        <v>188</v>
      </c>
      <c r="G198" s="63">
        <v>2150</v>
      </c>
      <c r="H198" s="21" t="s">
        <v>429</v>
      </c>
      <c r="I198" s="20"/>
      <c r="T198" s="27"/>
      <c r="U198" s="27"/>
      <c r="V198" s="27"/>
    </row>
    <row r="199" spans="1:22" ht="15" hidden="1" customHeight="1" x14ac:dyDescent="0.25">
      <c r="A199" s="22">
        <v>44264</v>
      </c>
      <c r="B199" s="63" t="s">
        <v>78</v>
      </c>
      <c r="C199" s="63" t="s">
        <v>449</v>
      </c>
      <c r="D199" s="74">
        <v>0.64652777777777781</v>
      </c>
      <c r="E199" s="74">
        <v>0.65208333333333335</v>
      </c>
      <c r="F199" s="241" t="s">
        <v>204</v>
      </c>
      <c r="G199" s="63">
        <v>22020</v>
      </c>
      <c r="H199" s="21" t="s">
        <v>178</v>
      </c>
      <c r="I199" s="20"/>
      <c r="T199" s="27"/>
      <c r="U199" s="27"/>
      <c r="V199" s="27"/>
    </row>
    <row r="200" spans="1:22" ht="15" hidden="1" customHeight="1" x14ac:dyDescent="0.25">
      <c r="A200" s="22">
        <v>44264</v>
      </c>
      <c r="B200" s="63" t="s">
        <v>14</v>
      </c>
      <c r="C200" s="63" t="s">
        <v>207</v>
      </c>
      <c r="D200" s="74">
        <v>0.6479166666666667</v>
      </c>
      <c r="E200" s="74">
        <v>0.65833333333333333</v>
      </c>
      <c r="F200" s="241" t="s">
        <v>204</v>
      </c>
      <c r="G200" s="63">
        <v>22840</v>
      </c>
      <c r="H200" s="21" t="s">
        <v>174</v>
      </c>
      <c r="I200" s="20"/>
      <c r="T200" s="27"/>
      <c r="U200" s="27"/>
      <c r="V200" s="27"/>
    </row>
    <row r="201" spans="1:22" ht="15" hidden="1" customHeight="1" x14ac:dyDescent="0.25">
      <c r="A201" s="22">
        <v>44264</v>
      </c>
      <c r="B201" s="63" t="s">
        <v>90</v>
      </c>
      <c r="C201" s="63" t="s">
        <v>329</v>
      </c>
      <c r="D201" s="74">
        <v>0.66319444444444442</v>
      </c>
      <c r="E201" s="74">
        <v>0.70277777777777783</v>
      </c>
      <c r="F201" s="241" t="s">
        <v>252</v>
      </c>
      <c r="G201" s="63">
        <v>7940</v>
      </c>
      <c r="H201" s="21" t="s">
        <v>339</v>
      </c>
      <c r="I201" s="20"/>
      <c r="T201" s="27"/>
      <c r="U201" s="27"/>
      <c r="V201" s="27"/>
    </row>
    <row r="202" spans="1:22" ht="15" hidden="1" customHeight="1" x14ac:dyDescent="0.25">
      <c r="A202" s="22">
        <v>44264</v>
      </c>
      <c r="B202" s="63" t="s">
        <v>90</v>
      </c>
      <c r="C202" s="63" t="s">
        <v>329</v>
      </c>
      <c r="D202" s="74">
        <v>0.66875000000000007</v>
      </c>
      <c r="E202" s="74">
        <v>0.67847222222222225</v>
      </c>
      <c r="F202" s="241" t="s">
        <v>188</v>
      </c>
      <c r="G202" s="63">
        <v>1050</v>
      </c>
      <c r="H202" s="21" t="s">
        <v>450</v>
      </c>
      <c r="I202" s="20"/>
      <c r="T202" s="27"/>
      <c r="U202" s="27"/>
      <c r="V202" s="27"/>
    </row>
    <row r="203" spans="1:22" ht="15" hidden="1" customHeight="1" x14ac:dyDescent="0.25">
      <c r="A203" s="22">
        <v>44264</v>
      </c>
      <c r="B203" s="63" t="s">
        <v>229</v>
      </c>
      <c r="C203" s="63" t="s">
        <v>207</v>
      </c>
      <c r="D203" s="74">
        <v>0.6743055555555556</v>
      </c>
      <c r="E203" s="74">
        <v>0.68263888888888891</v>
      </c>
      <c r="F203" s="241" t="s">
        <v>204</v>
      </c>
      <c r="G203" s="63">
        <v>22780</v>
      </c>
      <c r="H203" s="21" t="s">
        <v>176</v>
      </c>
      <c r="I203" s="20"/>
      <c r="T203" s="27"/>
      <c r="U203" s="27"/>
      <c r="V203" s="27"/>
    </row>
    <row r="204" spans="1:22" ht="15" hidden="1" customHeight="1" x14ac:dyDescent="0.25">
      <c r="A204" s="22">
        <v>44264</v>
      </c>
      <c r="B204" s="63" t="s">
        <v>53</v>
      </c>
      <c r="C204" s="63" t="s">
        <v>207</v>
      </c>
      <c r="D204" s="74">
        <v>0.68125000000000002</v>
      </c>
      <c r="E204" s="74">
        <v>0.69027777777777777</v>
      </c>
      <c r="F204" s="241" t="s">
        <v>204</v>
      </c>
      <c r="G204" s="63">
        <v>23040</v>
      </c>
      <c r="H204" s="21" t="s">
        <v>328</v>
      </c>
      <c r="I204" s="20"/>
      <c r="T204" s="27"/>
      <c r="U204" s="27"/>
      <c r="V204" s="27"/>
    </row>
    <row r="205" spans="1:22" ht="15" hidden="1" customHeight="1" x14ac:dyDescent="0.25">
      <c r="A205" s="22">
        <v>44264</v>
      </c>
      <c r="B205" s="63" t="s">
        <v>221</v>
      </c>
      <c r="C205" s="63" t="s">
        <v>451</v>
      </c>
      <c r="D205" s="74">
        <v>0.69166666666666676</v>
      </c>
      <c r="E205" s="74">
        <v>0.51388888888888895</v>
      </c>
      <c r="F205" s="241" t="s">
        <v>453</v>
      </c>
      <c r="G205" s="63">
        <v>4090</v>
      </c>
      <c r="H205" s="21" t="s">
        <v>452</v>
      </c>
      <c r="I205" s="20"/>
      <c r="T205" s="27"/>
      <c r="U205" s="27"/>
      <c r="V205" s="27"/>
    </row>
    <row r="206" spans="1:22" ht="15" hidden="1" customHeight="1" x14ac:dyDescent="0.25">
      <c r="A206" s="22">
        <v>44264</v>
      </c>
      <c r="B206" s="63" t="s">
        <v>157</v>
      </c>
      <c r="C206" s="63" t="s">
        <v>207</v>
      </c>
      <c r="D206" s="74">
        <v>0.69930555555555562</v>
      </c>
      <c r="E206" s="74">
        <v>0.7090277777777777</v>
      </c>
      <c r="F206" s="241" t="s">
        <v>204</v>
      </c>
      <c r="G206" s="63">
        <v>20080</v>
      </c>
      <c r="H206" s="21" t="s">
        <v>47</v>
      </c>
      <c r="I206" s="20"/>
      <c r="T206" s="27"/>
      <c r="U206" s="27"/>
      <c r="V206" s="27"/>
    </row>
    <row r="207" spans="1:22" ht="15" hidden="1" customHeight="1" x14ac:dyDescent="0.25">
      <c r="A207" s="22">
        <v>44264</v>
      </c>
      <c r="B207" s="63" t="s">
        <v>90</v>
      </c>
      <c r="C207" s="63" t="s">
        <v>329</v>
      </c>
      <c r="D207" s="74">
        <v>0.72986111111111107</v>
      </c>
      <c r="E207" s="74">
        <v>0.74444444444444446</v>
      </c>
      <c r="F207" s="241" t="s">
        <v>188</v>
      </c>
      <c r="G207" s="63">
        <v>3460</v>
      </c>
      <c r="H207" s="21" t="s">
        <v>454</v>
      </c>
      <c r="I207" s="20"/>
      <c r="T207" s="27"/>
      <c r="U207" s="27"/>
      <c r="V207" s="27"/>
    </row>
    <row r="208" spans="1:22" ht="15" hidden="1" customHeight="1" x14ac:dyDescent="0.25">
      <c r="A208" s="22">
        <v>44264</v>
      </c>
      <c r="B208" s="63" t="s">
        <v>150</v>
      </c>
      <c r="C208" s="63" t="s">
        <v>455</v>
      </c>
      <c r="D208" s="74">
        <v>0.75347222222222221</v>
      </c>
      <c r="E208" s="74">
        <v>0.79999999999999993</v>
      </c>
      <c r="F208" s="241" t="s">
        <v>204</v>
      </c>
      <c r="G208" s="63">
        <v>15900</v>
      </c>
      <c r="H208" s="21" t="s">
        <v>232</v>
      </c>
      <c r="I208" s="20"/>
      <c r="T208" s="27"/>
      <c r="U208" s="27"/>
      <c r="V208" s="27"/>
    </row>
    <row r="209" spans="1:22" ht="15" customHeight="1" x14ac:dyDescent="0.25">
      <c r="A209" s="22">
        <v>44264</v>
      </c>
      <c r="B209" s="63" t="s">
        <v>457</v>
      </c>
      <c r="C209" s="63" t="s">
        <v>445</v>
      </c>
      <c r="D209" s="74">
        <v>0.75555555555555554</v>
      </c>
      <c r="E209" s="74">
        <v>0.76736111111111116</v>
      </c>
      <c r="F209" s="252" t="s">
        <v>219</v>
      </c>
      <c r="G209" s="63">
        <v>11090</v>
      </c>
      <c r="H209" s="21" t="s">
        <v>456</v>
      </c>
      <c r="I209" s="20"/>
      <c r="T209" s="27"/>
      <c r="U209" s="27"/>
      <c r="V209" s="27"/>
    </row>
    <row r="210" spans="1:22" ht="15" hidden="1" customHeight="1" x14ac:dyDescent="0.25">
      <c r="A210" s="22">
        <v>44264</v>
      </c>
      <c r="B210" s="63" t="s">
        <v>412</v>
      </c>
      <c r="C210" s="63" t="s">
        <v>209</v>
      </c>
      <c r="D210" s="74">
        <v>0.7583333333333333</v>
      </c>
      <c r="E210" s="74">
        <v>0.77777777777777779</v>
      </c>
      <c r="F210" s="241" t="s">
        <v>431</v>
      </c>
      <c r="G210" s="63">
        <v>6230</v>
      </c>
      <c r="H210" s="21" t="s">
        <v>415</v>
      </c>
      <c r="I210" s="20"/>
      <c r="T210" s="27"/>
      <c r="U210" s="27"/>
      <c r="V210" s="27"/>
    </row>
    <row r="211" spans="1:22" ht="15" hidden="1" customHeight="1" x14ac:dyDescent="0.25">
      <c r="A211" s="22">
        <v>44264</v>
      </c>
      <c r="B211" s="63" t="s">
        <v>400</v>
      </c>
      <c r="C211" s="63" t="s">
        <v>430</v>
      </c>
      <c r="D211" s="74">
        <v>0.76041666666666663</v>
      </c>
      <c r="E211" s="74">
        <v>0.76944444444444438</v>
      </c>
      <c r="F211" s="241" t="s">
        <v>431</v>
      </c>
      <c r="G211" s="63">
        <v>560</v>
      </c>
      <c r="H211" s="21" t="s">
        <v>324</v>
      </c>
      <c r="I211" s="20"/>
      <c r="T211" s="27"/>
      <c r="U211" s="27"/>
      <c r="V211" s="27"/>
    </row>
    <row r="212" spans="1:22" ht="15" hidden="1" customHeight="1" x14ac:dyDescent="0.25">
      <c r="A212" s="22">
        <v>44264</v>
      </c>
      <c r="B212" s="63" t="s">
        <v>307</v>
      </c>
      <c r="C212" s="63" t="s">
        <v>458</v>
      </c>
      <c r="D212" s="74">
        <v>0.7631944444444444</v>
      </c>
      <c r="E212" s="74">
        <v>0.78333333333333333</v>
      </c>
      <c r="F212" s="241" t="s">
        <v>459</v>
      </c>
      <c r="G212" s="63">
        <v>7310</v>
      </c>
      <c r="H212" s="21" t="s">
        <v>147</v>
      </c>
      <c r="I212" s="20"/>
      <c r="T212" s="27"/>
      <c r="U212" s="27"/>
      <c r="V212" s="27"/>
    </row>
    <row r="213" spans="1:22" ht="15" hidden="1" customHeight="1" x14ac:dyDescent="0.25">
      <c r="A213" s="22">
        <v>44264</v>
      </c>
      <c r="B213" s="63" t="s">
        <v>78</v>
      </c>
      <c r="C213" s="63" t="s">
        <v>144</v>
      </c>
      <c r="D213" s="74">
        <v>0.77986111111111101</v>
      </c>
      <c r="E213" s="74">
        <v>0.35138888888888892</v>
      </c>
      <c r="F213" s="236" t="s">
        <v>317</v>
      </c>
      <c r="G213" s="63">
        <v>26930</v>
      </c>
      <c r="H213" s="21" t="s">
        <v>178</v>
      </c>
      <c r="I213" s="20"/>
      <c r="T213" s="27"/>
      <c r="U213" s="27"/>
      <c r="V213" s="27"/>
    </row>
    <row r="214" spans="1:22" ht="15" hidden="1" customHeight="1" x14ac:dyDescent="0.25">
      <c r="A214" s="22">
        <v>44264</v>
      </c>
      <c r="B214" s="63" t="s">
        <v>90</v>
      </c>
      <c r="C214" s="63" t="s">
        <v>410</v>
      </c>
      <c r="D214" s="74">
        <v>0.8340277777777777</v>
      </c>
      <c r="E214" s="74">
        <v>0.85416666666666663</v>
      </c>
      <c r="F214" s="241" t="s">
        <v>188</v>
      </c>
      <c r="G214" s="63">
        <v>1420</v>
      </c>
      <c r="H214" s="21" t="s">
        <v>198</v>
      </c>
      <c r="I214" s="20"/>
      <c r="T214" s="27"/>
      <c r="U214" s="27"/>
      <c r="V214" s="27"/>
    </row>
    <row r="215" spans="1:22" ht="15" hidden="1" customHeight="1" x14ac:dyDescent="0.25">
      <c r="A215" s="22">
        <v>44264</v>
      </c>
      <c r="B215" s="63" t="s">
        <v>90</v>
      </c>
      <c r="C215" s="63" t="s">
        <v>410</v>
      </c>
      <c r="D215" s="74">
        <v>0.85833333333333339</v>
      </c>
      <c r="E215" s="74">
        <v>0.9291666666666667</v>
      </c>
      <c r="F215" s="241" t="s">
        <v>224</v>
      </c>
      <c r="G215" s="63">
        <v>7070</v>
      </c>
      <c r="H215" s="21" t="s">
        <v>460</v>
      </c>
      <c r="I215" s="20"/>
      <c r="T215" s="27"/>
      <c r="U215" s="27"/>
      <c r="V215" s="27"/>
    </row>
    <row r="216" spans="1:22" ht="15" hidden="1" customHeight="1" x14ac:dyDescent="0.25">
      <c r="A216" s="22">
        <v>44264</v>
      </c>
      <c r="B216" s="63" t="s">
        <v>90</v>
      </c>
      <c r="C216" s="63" t="s">
        <v>262</v>
      </c>
      <c r="D216" s="74">
        <v>0.92499999999999993</v>
      </c>
      <c r="E216" s="74">
        <v>0.98055555555555562</v>
      </c>
      <c r="F216" s="241" t="s">
        <v>432</v>
      </c>
      <c r="G216" s="63">
        <v>13945</v>
      </c>
      <c r="H216" s="21" t="s">
        <v>206</v>
      </c>
      <c r="I216" s="20"/>
      <c r="T216" s="27"/>
      <c r="U216" s="27"/>
      <c r="V216" s="27"/>
    </row>
    <row r="217" spans="1:22" ht="15" hidden="1" customHeight="1" x14ac:dyDescent="0.25">
      <c r="A217" s="22">
        <v>44265</v>
      </c>
      <c r="B217" s="63" t="s">
        <v>300</v>
      </c>
      <c r="C217" s="63" t="s">
        <v>202</v>
      </c>
      <c r="D217" s="74">
        <v>0.1013888888888889</v>
      </c>
      <c r="E217" s="74">
        <v>0.12222222222222223</v>
      </c>
      <c r="F217" s="241" t="s">
        <v>75</v>
      </c>
      <c r="G217" s="63">
        <v>6890</v>
      </c>
      <c r="H217" s="21" t="s">
        <v>299</v>
      </c>
      <c r="I217" s="20"/>
      <c r="T217" s="27"/>
      <c r="U217" s="27"/>
      <c r="V217" s="27"/>
    </row>
    <row r="218" spans="1:22" ht="15" hidden="1" customHeight="1" x14ac:dyDescent="0.25">
      <c r="A218" s="22">
        <v>44265</v>
      </c>
      <c r="B218" s="63" t="s">
        <v>58</v>
      </c>
      <c r="C218" s="63" t="s">
        <v>312</v>
      </c>
      <c r="D218" s="74">
        <v>0.25138888888888888</v>
      </c>
      <c r="E218" s="74">
        <v>0.25763888888888892</v>
      </c>
      <c r="F218" s="241" t="s">
        <v>437</v>
      </c>
      <c r="G218" s="63">
        <v>23920</v>
      </c>
      <c r="H218" s="21" t="s">
        <v>313</v>
      </c>
      <c r="I218" s="20"/>
      <c r="T218" s="27"/>
      <c r="U218" s="27"/>
      <c r="V218" s="27"/>
    </row>
    <row r="219" spans="1:22" ht="15" hidden="1" customHeight="1" x14ac:dyDescent="0.25">
      <c r="A219" s="22">
        <v>44265</v>
      </c>
      <c r="B219" s="63" t="s">
        <v>90</v>
      </c>
      <c r="C219" s="63" t="s">
        <v>461</v>
      </c>
      <c r="D219" s="74">
        <v>0.4152777777777778</v>
      </c>
      <c r="E219" s="74">
        <v>0.4513888888888889</v>
      </c>
      <c r="F219" s="241" t="s">
        <v>462</v>
      </c>
      <c r="G219" s="63">
        <v>2430</v>
      </c>
      <c r="H219" s="21" t="s">
        <v>461</v>
      </c>
      <c r="I219" s="20"/>
      <c r="T219" s="27"/>
      <c r="U219" s="27"/>
      <c r="V219" s="27"/>
    </row>
    <row r="220" spans="1:22" ht="15" hidden="1" customHeight="1" x14ac:dyDescent="0.25">
      <c r="A220" s="22">
        <v>44265</v>
      </c>
      <c r="B220" s="63" t="s">
        <v>400</v>
      </c>
      <c r="C220" s="63" t="s">
        <v>323</v>
      </c>
      <c r="D220" s="74">
        <v>0.45277777777777778</v>
      </c>
      <c r="E220" s="74">
        <v>0.47152777777777777</v>
      </c>
      <c r="F220" s="241" t="s">
        <v>204</v>
      </c>
      <c r="G220" s="63">
        <v>10380</v>
      </c>
      <c r="H220" s="21" t="s">
        <v>324</v>
      </c>
      <c r="I220" s="20"/>
      <c r="T220" s="27"/>
      <c r="U220" s="27"/>
      <c r="V220" s="27"/>
    </row>
    <row r="221" spans="1:22" ht="15" hidden="1" customHeight="1" x14ac:dyDescent="0.25">
      <c r="A221" s="22">
        <v>44265</v>
      </c>
      <c r="B221" s="63" t="s">
        <v>90</v>
      </c>
      <c r="C221" s="63" t="s">
        <v>463</v>
      </c>
      <c r="D221" s="74">
        <v>0.4548611111111111</v>
      </c>
      <c r="E221" s="74">
        <v>1247</v>
      </c>
      <c r="F221" s="241" t="s">
        <v>248</v>
      </c>
      <c r="G221" s="63">
        <v>9010</v>
      </c>
      <c r="H221" s="21" t="s">
        <v>464</v>
      </c>
      <c r="I221" s="20"/>
      <c r="T221" s="27"/>
      <c r="U221" s="27"/>
      <c r="V221" s="27"/>
    </row>
    <row r="222" spans="1:22" ht="15" hidden="1" customHeight="1" x14ac:dyDescent="0.25">
      <c r="A222" s="22">
        <v>44265</v>
      </c>
      <c r="B222" s="63" t="s">
        <v>412</v>
      </c>
      <c r="C222" s="63" t="s">
        <v>323</v>
      </c>
      <c r="D222" s="74">
        <v>0.45694444444444443</v>
      </c>
      <c r="E222" s="74">
        <v>0.46875</v>
      </c>
      <c r="F222" s="241" t="s">
        <v>204</v>
      </c>
      <c r="G222" s="63">
        <v>13150</v>
      </c>
      <c r="H222" s="21" t="s">
        <v>415</v>
      </c>
      <c r="I222" s="20"/>
      <c r="T222" s="27"/>
      <c r="U222" s="27"/>
      <c r="V222" s="27"/>
    </row>
    <row r="223" spans="1:22" ht="15" hidden="1" customHeight="1" x14ac:dyDescent="0.25">
      <c r="A223" s="22">
        <v>44265</v>
      </c>
      <c r="B223" s="63" t="s">
        <v>150</v>
      </c>
      <c r="C223" s="63" t="s">
        <v>323</v>
      </c>
      <c r="D223" s="74">
        <v>0.47430555555555554</v>
      </c>
      <c r="E223" s="74">
        <v>0.48541666666666666</v>
      </c>
      <c r="F223" s="241" t="s">
        <v>204</v>
      </c>
      <c r="G223" s="63">
        <v>11790</v>
      </c>
      <c r="H223" s="21" t="s">
        <v>232</v>
      </c>
      <c r="I223" s="20"/>
      <c r="T223" s="27"/>
      <c r="U223" s="27"/>
      <c r="V223" s="27"/>
    </row>
    <row r="224" spans="1:22" ht="15" hidden="1" customHeight="1" x14ac:dyDescent="0.25">
      <c r="A224" s="22">
        <v>44265</v>
      </c>
      <c r="B224" s="63" t="s">
        <v>53</v>
      </c>
      <c r="C224" s="63" t="s">
        <v>209</v>
      </c>
      <c r="D224" s="74">
        <v>0.49374999999999997</v>
      </c>
      <c r="E224" s="74">
        <v>0.50486111111111109</v>
      </c>
      <c r="F224" s="241" t="s">
        <v>204</v>
      </c>
      <c r="G224" s="63">
        <v>22860</v>
      </c>
      <c r="H224" s="21" t="s">
        <v>328</v>
      </c>
      <c r="I224" s="20"/>
      <c r="T224" s="27"/>
      <c r="U224" s="27"/>
      <c r="V224" s="27"/>
    </row>
    <row r="225" spans="1:22" ht="15" hidden="1" customHeight="1" x14ac:dyDescent="0.25">
      <c r="A225" s="22">
        <v>44265</v>
      </c>
      <c r="B225" s="63" t="s">
        <v>14</v>
      </c>
      <c r="C225" s="63" t="s">
        <v>465</v>
      </c>
      <c r="D225" s="74">
        <v>0.5180555555555556</v>
      </c>
      <c r="E225" s="74">
        <v>0.52569444444444446</v>
      </c>
      <c r="F225" s="241" t="s">
        <v>204</v>
      </c>
      <c r="G225" s="63">
        <v>23300</v>
      </c>
      <c r="H225" s="21" t="s">
        <v>174</v>
      </c>
      <c r="I225" s="20"/>
      <c r="T225" s="27"/>
      <c r="U225" s="27"/>
      <c r="V225" s="27"/>
    </row>
    <row r="226" spans="1:22" ht="15" hidden="1" customHeight="1" x14ac:dyDescent="0.25">
      <c r="A226" s="22">
        <v>44265</v>
      </c>
      <c r="B226" s="63" t="s">
        <v>157</v>
      </c>
      <c r="C226" s="63" t="s">
        <v>465</v>
      </c>
      <c r="D226" s="74">
        <v>0.52777777777777779</v>
      </c>
      <c r="E226" s="74">
        <v>0.54722222222222217</v>
      </c>
      <c r="F226" s="241" t="s">
        <v>204</v>
      </c>
      <c r="G226" s="63">
        <v>15320</v>
      </c>
      <c r="H226" s="21" t="s">
        <v>47</v>
      </c>
      <c r="I226" s="20"/>
      <c r="T226" s="27"/>
      <c r="U226" s="27"/>
      <c r="V226" s="27"/>
    </row>
    <row r="227" spans="1:22" ht="15" hidden="1" customHeight="1" x14ac:dyDescent="0.25">
      <c r="A227" s="22">
        <v>44265</v>
      </c>
      <c r="B227" s="63" t="s">
        <v>229</v>
      </c>
      <c r="C227" s="63" t="s">
        <v>223</v>
      </c>
      <c r="D227" s="74">
        <v>0.55069444444444449</v>
      </c>
      <c r="E227" s="74">
        <v>0.56180555555555556</v>
      </c>
      <c r="F227" s="241" t="s">
        <v>204</v>
      </c>
      <c r="G227" s="63">
        <v>15250</v>
      </c>
      <c r="H227" s="21" t="s">
        <v>176</v>
      </c>
      <c r="I227" s="20"/>
      <c r="T227" s="27"/>
      <c r="U227" s="27"/>
      <c r="V227" s="27"/>
    </row>
    <row r="228" spans="1:22" ht="15" hidden="1" customHeight="1" x14ac:dyDescent="0.25">
      <c r="A228" s="22">
        <v>44265</v>
      </c>
      <c r="B228" s="63" t="s">
        <v>90</v>
      </c>
      <c r="C228" s="63" t="s">
        <v>259</v>
      </c>
      <c r="D228" s="74">
        <v>0.55277777777777781</v>
      </c>
      <c r="E228" s="74">
        <v>0.6118055555555556</v>
      </c>
      <c r="F228" s="243" t="s">
        <v>52</v>
      </c>
      <c r="G228" s="63">
        <v>35240</v>
      </c>
      <c r="H228" s="21" t="s">
        <v>466</v>
      </c>
      <c r="I228" s="20"/>
      <c r="T228" s="27"/>
      <c r="U228" s="27"/>
      <c r="V228" s="27"/>
    </row>
    <row r="229" spans="1:22" ht="15" hidden="1" customHeight="1" x14ac:dyDescent="0.25">
      <c r="A229" s="22">
        <v>44265</v>
      </c>
      <c r="B229" s="63" t="s">
        <v>78</v>
      </c>
      <c r="C229" s="63" t="s">
        <v>467</v>
      </c>
      <c r="D229" s="74">
        <v>0.57847222222222217</v>
      </c>
      <c r="E229" s="74">
        <v>0.58333333333333337</v>
      </c>
      <c r="F229" s="241" t="s">
        <v>204</v>
      </c>
      <c r="G229" s="63">
        <v>16650</v>
      </c>
      <c r="H229" s="21" t="s">
        <v>178</v>
      </c>
      <c r="I229" s="20"/>
      <c r="T229" s="27"/>
      <c r="U229" s="27"/>
      <c r="V229" s="27"/>
    </row>
    <row r="230" spans="1:22" ht="15" customHeight="1" x14ac:dyDescent="0.25">
      <c r="A230" s="22">
        <v>44265</v>
      </c>
      <c r="B230" s="63" t="s">
        <v>15</v>
      </c>
      <c r="C230" s="63" t="s">
        <v>16</v>
      </c>
      <c r="D230" s="74">
        <v>0.58958333333333335</v>
      </c>
      <c r="E230" s="74">
        <v>0.61805555555555558</v>
      </c>
      <c r="F230" s="252" t="s">
        <v>225</v>
      </c>
      <c r="G230" s="63">
        <v>25250</v>
      </c>
      <c r="H230" s="21" t="s">
        <v>309</v>
      </c>
      <c r="I230" s="20"/>
      <c r="T230" s="27"/>
      <c r="U230" s="27"/>
      <c r="V230" s="27"/>
    </row>
    <row r="231" spans="1:22" ht="15" hidden="1" customHeight="1" x14ac:dyDescent="0.25">
      <c r="A231" s="22">
        <v>44265</v>
      </c>
      <c r="B231" s="63" t="s">
        <v>307</v>
      </c>
      <c r="C231" s="63" t="s">
        <v>455</v>
      </c>
      <c r="D231" s="74">
        <v>0.59791666666666665</v>
      </c>
      <c r="E231" s="74">
        <v>0.61388888888888882</v>
      </c>
      <c r="F231" s="241" t="s">
        <v>204</v>
      </c>
      <c r="G231" s="63">
        <v>23010</v>
      </c>
      <c r="H231" s="21" t="s">
        <v>147</v>
      </c>
      <c r="I231" s="20"/>
      <c r="T231" s="27"/>
      <c r="U231" s="27"/>
      <c r="V231" s="27"/>
    </row>
    <row r="232" spans="1:22" ht="15" hidden="1" customHeight="1" x14ac:dyDescent="0.25">
      <c r="A232" s="22">
        <v>44265</v>
      </c>
      <c r="B232" s="63" t="s">
        <v>78</v>
      </c>
      <c r="C232" s="63" t="s">
        <v>16</v>
      </c>
      <c r="D232" s="74">
        <v>0.60277777777777775</v>
      </c>
      <c r="E232" s="74">
        <v>0.63402777777777775</v>
      </c>
      <c r="F232" s="252" t="s">
        <v>225</v>
      </c>
      <c r="G232" s="63">
        <v>25350</v>
      </c>
      <c r="H232" s="21" t="s">
        <v>178</v>
      </c>
      <c r="I232" s="20"/>
      <c r="T232" s="27"/>
      <c r="U232" s="27"/>
      <c r="V232" s="27"/>
    </row>
    <row r="233" spans="1:22" ht="15" hidden="1" customHeight="1" x14ac:dyDescent="0.25">
      <c r="A233" s="22">
        <v>44265</v>
      </c>
      <c r="B233" s="63" t="s">
        <v>412</v>
      </c>
      <c r="C233" s="63" t="s">
        <v>468</v>
      </c>
      <c r="D233" s="74">
        <v>0.61944444444444446</v>
      </c>
      <c r="E233" s="74">
        <v>0.62361111111111112</v>
      </c>
      <c r="F233" s="241" t="s">
        <v>204</v>
      </c>
      <c r="G233" s="63">
        <v>11460</v>
      </c>
      <c r="H233" s="21" t="s">
        <v>415</v>
      </c>
      <c r="I233" s="20"/>
      <c r="T233" s="27"/>
      <c r="U233" s="27"/>
      <c r="V233" s="27"/>
    </row>
    <row r="234" spans="1:22" ht="15" hidden="1" customHeight="1" x14ac:dyDescent="0.25">
      <c r="A234" s="22">
        <v>44265</v>
      </c>
      <c r="B234" s="63" t="s">
        <v>150</v>
      </c>
      <c r="C234" s="63" t="s">
        <v>215</v>
      </c>
      <c r="D234" s="74">
        <v>0.62638888888888888</v>
      </c>
      <c r="E234" s="74">
        <v>0.64166666666666672</v>
      </c>
      <c r="F234" s="241" t="s">
        <v>204</v>
      </c>
      <c r="G234" s="63">
        <v>19320</v>
      </c>
      <c r="H234" s="21" t="s">
        <v>232</v>
      </c>
      <c r="I234" s="20"/>
      <c r="T234" s="27"/>
      <c r="U234" s="27"/>
      <c r="V234" s="27"/>
    </row>
    <row r="235" spans="1:22" ht="15" hidden="1" customHeight="1" x14ac:dyDescent="0.25">
      <c r="A235" s="22">
        <v>44265</v>
      </c>
      <c r="B235" s="63" t="s">
        <v>400</v>
      </c>
      <c r="C235" s="63" t="s">
        <v>191</v>
      </c>
      <c r="D235" s="74">
        <v>0.62916666666666665</v>
      </c>
      <c r="E235" s="74">
        <v>0.63750000000000007</v>
      </c>
      <c r="F235" s="241" t="s">
        <v>469</v>
      </c>
      <c r="G235" s="63">
        <v>6125</v>
      </c>
      <c r="H235" s="21" t="s">
        <v>324</v>
      </c>
      <c r="I235" s="20"/>
      <c r="T235" s="27"/>
      <c r="U235" s="27"/>
      <c r="V235" s="27"/>
    </row>
    <row r="236" spans="1:22" ht="15" hidden="1" customHeight="1" x14ac:dyDescent="0.25">
      <c r="A236" s="22">
        <v>44265</v>
      </c>
      <c r="B236" s="63" t="s">
        <v>53</v>
      </c>
      <c r="C236" s="63" t="s">
        <v>215</v>
      </c>
      <c r="D236" s="74">
        <v>0.63194444444444442</v>
      </c>
      <c r="E236" s="74">
        <v>0.63888888888888895</v>
      </c>
      <c r="F236" s="241" t="s">
        <v>204</v>
      </c>
      <c r="G236" s="63">
        <v>22290</v>
      </c>
      <c r="H236" s="21" t="s">
        <v>328</v>
      </c>
      <c r="I236" s="20"/>
      <c r="T236" s="27"/>
      <c r="U236" s="27"/>
      <c r="V236" s="27"/>
    </row>
    <row r="237" spans="1:22" ht="15" hidden="1" customHeight="1" x14ac:dyDescent="0.25">
      <c r="A237" s="22">
        <v>44265</v>
      </c>
      <c r="B237" s="63" t="s">
        <v>157</v>
      </c>
      <c r="C237" s="63" t="s">
        <v>215</v>
      </c>
      <c r="D237" s="74">
        <v>0.6430555555555556</v>
      </c>
      <c r="E237" s="74">
        <v>0.65694444444444444</v>
      </c>
      <c r="F237" s="241" t="s">
        <v>204</v>
      </c>
      <c r="G237" s="63">
        <v>7530</v>
      </c>
      <c r="H237" s="21" t="s">
        <v>47</v>
      </c>
      <c r="I237" s="20"/>
      <c r="T237" s="27"/>
      <c r="U237" s="27"/>
      <c r="V237" s="27"/>
    </row>
    <row r="238" spans="1:22" ht="15" hidden="1" customHeight="1" x14ac:dyDescent="0.25">
      <c r="A238" s="22">
        <v>44265</v>
      </c>
      <c r="B238" s="63" t="s">
        <v>14</v>
      </c>
      <c r="C238" s="63" t="s">
        <v>470</v>
      </c>
      <c r="D238" s="74">
        <v>0.65208333333333335</v>
      </c>
      <c r="E238" s="74">
        <v>0.66388888888888886</v>
      </c>
      <c r="F238" s="241" t="s">
        <v>252</v>
      </c>
      <c r="G238" s="63">
        <v>21160</v>
      </c>
      <c r="H238" s="21" t="s">
        <v>174</v>
      </c>
      <c r="I238" s="20"/>
      <c r="T238" s="27"/>
      <c r="U238" s="27"/>
      <c r="V238" s="27"/>
    </row>
    <row r="239" spans="1:22" ht="15" hidden="1" customHeight="1" x14ac:dyDescent="0.25">
      <c r="A239" s="22">
        <v>44265</v>
      </c>
      <c r="B239" s="63" t="s">
        <v>229</v>
      </c>
      <c r="C239" s="63" t="s">
        <v>470</v>
      </c>
      <c r="D239" s="74">
        <v>0.65763888888888888</v>
      </c>
      <c r="E239" s="74">
        <v>0.66875000000000007</v>
      </c>
      <c r="F239" s="241" t="s">
        <v>252</v>
      </c>
      <c r="G239" s="63">
        <v>8720</v>
      </c>
      <c r="H239" s="21" t="s">
        <v>176</v>
      </c>
      <c r="I239" s="20"/>
      <c r="T239" s="27"/>
      <c r="U239" s="27"/>
      <c r="V239" s="27"/>
    </row>
    <row r="240" spans="1:22" ht="15" hidden="1" customHeight="1" x14ac:dyDescent="0.25">
      <c r="A240" s="22">
        <v>44265</v>
      </c>
      <c r="B240" s="63" t="s">
        <v>90</v>
      </c>
      <c r="C240" s="63" t="s">
        <v>461</v>
      </c>
      <c r="D240" s="74">
        <v>0.66597222222222219</v>
      </c>
      <c r="E240" s="74">
        <v>0.71250000000000002</v>
      </c>
      <c r="F240" s="241" t="s">
        <v>471</v>
      </c>
      <c r="G240" s="63">
        <v>2730</v>
      </c>
      <c r="H240" s="21" t="s">
        <v>461</v>
      </c>
      <c r="I240" s="20"/>
      <c r="T240" s="27"/>
      <c r="U240" s="27"/>
      <c r="V240" s="27"/>
    </row>
    <row r="241" spans="1:22" ht="15" customHeight="1" x14ac:dyDescent="0.25">
      <c r="A241" s="22">
        <v>44265</v>
      </c>
      <c r="B241" s="63" t="s">
        <v>15</v>
      </c>
      <c r="C241" s="63" t="s">
        <v>305</v>
      </c>
      <c r="D241" s="74">
        <v>0.70347222222222217</v>
      </c>
      <c r="E241" s="74">
        <v>0.7597222222222223</v>
      </c>
      <c r="F241" s="247" t="s">
        <v>472</v>
      </c>
      <c r="G241" s="63">
        <v>23370</v>
      </c>
      <c r="H241" s="21" t="s">
        <v>309</v>
      </c>
      <c r="I241" s="20"/>
      <c r="T241" s="27"/>
      <c r="U241" s="27"/>
      <c r="V241" s="27"/>
    </row>
    <row r="242" spans="1:22" ht="15" hidden="1" customHeight="1" x14ac:dyDescent="0.25">
      <c r="A242" s="22">
        <v>44265</v>
      </c>
      <c r="B242" s="63" t="s">
        <v>90</v>
      </c>
      <c r="C242" s="63" t="s">
        <v>410</v>
      </c>
      <c r="D242" s="74">
        <v>0.71319444444444446</v>
      </c>
      <c r="E242" s="74">
        <v>0.73333333333333339</v>
      </c>
      <c r="F242" s="241" t="s">
        <v>188</v>
      </c>
      <c r="G242" s="63">
        <v>1340</v>
      </c>
      <c r="H242" s="21" t="s">
        <v>198</v>
      </c>
      <c r="I242" s="20"/>
      <c r="T242" s="27"/>
      <c r="U242" s="27"/>
      <c r="V242" s="27"/>
    </row>
    <row r="243" spans="1:22" ht="15" hidden="1" customHeight="1" x14ac:dyDescent="0.25">
      <c r="A243" s="22">
        <v>44265</v>
      </c>
      <c r="B243" s="63" t="s">
        <v>303</v>
      </c>
      <c r="C243" s="63" t="s">
        <v>255</v>
      </c>
      <c r="D243" s="74">
        <v>0.72569444444444453</v>
      </c>
      <c r="E243" s="74">
        <v>0.7416666666666667</v>
      </c>
      <c r="F243" s="241" t="s">
        <v>382</v>
      </c>
      <c r="G243" s="63">
        <v>1460</v>
      </c>
      <c r="H243" s="21" t="s">
        <v>213</v>
      </c>
      <c r="I243" s="20"/>
      <c r="T243" s="27"/>
      <c r="U243" s="27"/>
      <c r="V243" s="27"/>
    </row>
    <row r="244" spans="1:22" ht="15" hidden="1" customHeight="1" x14ac:dyDescent="0.25">
      <c r="A244" s="22">
        <v>44265</v>
      </c>
      <c r="B244" s="63" t="s">
        <v>90</v>
      </c>
      <c r="C244" s="63" t="s">
        <v>410</v>
      </c>
      <c r="D244" s="74">
        <v>0.73541666666666661</v>
      </c>
      <c r="E244" s="74">
        <v>0.77361111111111114</v>
      </c>
      <c r="F244" s="241" t="s">
        <v>188</v>
      </c>
      <c r="G244" s="63">
        <v>3470</v>
      </c>
      <c r="H244" s="21" t="s">
        <v>473</v>
      </c>
      <c r="I244" s="20"/>
      <c r="T244" s="27"/>
      <c r="U244" s="27"/>
      <c r="V244" s="27"/>
    </row>
    <row r="245" spans="1:22" ht="15" hidden="1" customHeight="1" x14ac:dyDescent="0.25">
      <c r="A245" s="22">
        <v>44265</v>
      </c>
      <c r="B245" s="63" t="s">
        <v>78</v>
      </c>
      <c r="C245" s="63" t="s">
        <v>16</v>
      </c>
      <c r="D245" s="74">
        <v>0.73749999999999993</v>
      </c>
      <c r="E245" s="74">
        <v>0.76527777777777783</v>
      </c>
      <c r="F245" s="252" t="s">
        <v>261</v>
      </c>
      <c r="G245" s="63">
        <v>25410</v>
      </c>
      <c r="H245" s="21" t="s">
        <v>178</v>
      </c>
      <c r="I245" s="20"/>
      <c r="T245" s="27"/>
      <c r="U245" s="27"/>
      <c r="V245" s="27"/>
    </row>
    <row r="246" spans="1:22" ht="15" hidden="1" customHeight="1" x14ac:dyDescent="0.25">
      <c r="A246" s="22">
        <v>44265</v>
      </c>
      <c r="B246" s="63" t="s">
        <v>412</v>
      </c>
      <c r="C246" s="63" t="s">
        <v>256</v>
      </c>
      <c r="D246" s="74">
        <v>0.74583333333333324</v>
      </c>
      <c r="E246" s="74">
        <v>0.77083333333333337</v>
      </c>
      <c r="F246" s="241" t="s">
        <v>248</v>
      </c>
      <c r="G246" s="63">
        <v>8600</v>
      </c>
      <c r="H246" s="21" t="s">
        <v>415</v>
      </c>
      <c r="I246" s="20"/>
      <c r="T246" s="27"/>
      <c r="U246" s="27"/>
      <c r="V246" s="27"/>
    </row>
    <row r="247" spans="1:22" ht="15" hidden="1" customHeight="1" x14ac:dyDescent="0.25">
      <c r="A247" s="22">
        <v>44265</v>
      </c>
      <c r="B247" s="63" t="s">
        <v>90</v>
      </c>
      <c r="C247" s="63" t="s">
        <v>410</v>
      </c>
      <c r="D247" s="74">
        <v>0.77569444444444446</v>
      </c>
      <c r="E247" s="74">
        <v>0.79375000000000007</v>
      </c>
      <c r="F247" s="241" t="s">
        <v>188</v>
      </c>
      <c r="G247" s="63">
        <v>2650</v>
      </c>
      <c r="H247" s="21" t="s">
        <v>330</v>
      </c>
      <c r="I247" s="20"/>
      <c r="T247" s="27"/>
      <c r="U247" s="27"/>
      <c r="V247" s="27"/>
    </row>
    <row r="248" spans="1:22" ht="15" hidden="1" customHeight="1" x14ac:dyDescent="0.25">
      <c r="A248" s="22">
        <v>44265</v>
      </c>
      <c r="B248" s="63" t="s">
        <v>400</v>
      </c>
      <c r="C248" s="63" t="s">
        <v>569</v>
      </c>
      <c r="D248" s="74">
        <v>0.78472222222222221</v>
      </c>
      <c r="E248" s="74">
        <v>0.79513888888888884</v>
      </c>
      <c r="F248" s="241" t="s">
        <v>474</v>
      </c>
      <c r="G248" s="63">
        <v>7530</v>
      </c>
      <c r="H248" s="21" t="s">
        <v>324</v>
      </c>
      <c r="I248" s="20"/>
      <c r="T248" s="27"/>
      <c r="U248" s="27"/>
      <c r="V248" s="27"/>
    </row>
    <row r="249" spans="1:22" ht="15" hidden="1" customHeight="1" x14ac:dyDescent="0.25">
      <c r="A249" s="22">
        <v>44265</v>
      </c>
      <c r="B249" s="63" t="s">
        <v>307</v>
      </c>
      <c r="C249" s="63" t="s">
        <v>144</v>
      </c>
      <c r="D249" s="74">
        <v>0.80763888888888891</v>
      </c>
      <c r="E249" s="74">
        <v>0.35972222222222222</v>
      </c>
      <c r="F249" s="236" t="s">
        <v>317</v>
      </c>
      <c r="G249" s="63">
        <v>27610</v>
      </c>
      <c r="H249" s="21" t="s">
        <v>147</v>
      </c>
      <c r="I249" s="20"/>
      <c r="T249" s="27"/>
      <c r="U249" s="27"/>
      <c r="V249" s="27"/>
    </row>
    <row r="250" spans="1:22" ht="15" hidden="1" customHeight="1" x14ac:dyDescent="0.25">
      <c r="A250" s="22">
        <v>44265</v>
      </c>
      <c r="B250" s="63" t="s">
        <v>31</v>
      </c>
      <c r="C250" s="63" t="s">
        <v>410</v>
      </c>
      <c r="D250" s="74">
        <v>0.81319444444444444</v>
      </c>
      <c r="E250" s="74">
        <v>0.83124999999999993</v>
      </c>
      <c r="F250" s="241" t="s">
        <v>204</v>
      </c>
      <c r="G250" s="63">
        <v>2030</v>
      </c>
      <c r="H250" s="21" t="s">
        <v>339</v>
      </c>
      <c r="I250" s="20"/>
      <c r="T250" s="27"/>
      <c r="U250" s="27"/>
      <c r="V250" s="27"/>
    </row>
    <row r="251" spans="1:22" ht="15" hidden="1" customHeight="1" x14ac:dyDescent="0.25">
      <c r="A251" s="22">
        <v>44265</v>
      </c>
      <c r="B251" s="63" t="s">
        <v>31</v>
      </c>
      <c r="C251" s="63" t="s">
        <v>410</v>
      </c>
      <c r="D251" s="74">
        <v>0.81736111111111109</v>
      </c>
      <c r="E251" s="74">
        <v>0.8652777777777777</v>
      </c>
      <c r="F251" s="241" t="s">
        <v>370</v>
      </c>
      <c r="G251" s="63">
        <v>3110</v>
      </c>
      <c r="H251" s="21" t="s">
        <v>460</v>
      </c>
      <c r="I251" s="20"/>
      <c r="T251" s="27"/>
      <c r="U251" s="27"/>
      <c r="V251" s="27"/>
    </row>
    <row r="252" spans="1:22" ht="15" hidden="1" customHeight="1" x14ac:dyDescent="0.25">
      <c r="A252" s="22">
        <v>44265</v>
      </c>
      <c r="B252" s="63" t="s">
        <v>412</v>
      </c>
      <c r="C252" s="63" t="s">
        <v>569</v>
      </c>
      <c r="D252" s="74">
        <v>0.81874999999999998</v>
      </c>
      <c r="E252" s="74">
        <v>0.82500000000000007</v>
      </c>
      <c r="F252" s="241" t="s">
        <v>475</v>
      </c>
      <c r="G252" s="63">
        <v>5870</v>
      </c>
      <c r="H252" s="21" t="s">
        <v>415</v>
      </c>
      <c r="I252" s="20"/>
      <c r="T252" s="27"/>
      <c r="U252" s="27"/>
      <c r="V252" s="27"/>
    </row>
    <row r="253" spans="1:22" ht="15" hidden="1" customHeight="1" x14ac:dyDescent="0.25">
      <c r="A253" s="22">
        <v>44265</v>
      </c>
      <c r="B253" s="63" t="s">
        <v>53</v>
      </c>
      <c r="C253" s="63" t="s">
        <v>476</v>
      </c>
      <c r="D253" s="74">
        <v>0.8222222222222223</v>
      </c>
      <c r="E253" s="74">
        <v>0.82847222222222217</v>
      </c>
      <c r="F253" s="241" t="s">
        <v>204</v>
      </c>
      <c r="G253" s="63">
        <v>23790</v>
      </c>
      <c r="H253" s="21" t="s">
        <v>328</v>
      </c>
      <c r="I253" s="20"/>
      <c r="T253" s="27"/>
      <c r="U253" s="27"/>
      <c r="V253" s="27"/>
    </row>
    <row r="254" spans="1:22" ht="15" hidden="1" customHeight="1" x14ac:dyDescent="0.25">
      <c r="A254" s="22">
        <v>44265</v>
      </c>
      <c r="B254" s="63" t="s">
        <v>150</v>
      </c>
      <c r="C254" s="63" t="s">
        <v>476</v>
      </c>
      <c r="D254" s="74">
        <v>0.83750000000000002</v>
      </c>
      <c r="E254" s="74">
        <v>0.89236111111111116</v>
      </c>
      <c r="F254" s="241" t="s">
        <v>406</v>
      </c>
      <c r="G254" s="63">
        <v>24210</v>
      </c>
      <c r="H254" s="21" t="s">
        <v>232</v>
      </c>
      <c r="I254" s="20"/>
      <c r="T254" s="27"/>
      <c r="U254" s="27"/>
      <c r="V254" s="27"/>
    </row>
    <row r="255" spans="1:22" ht="15" hidden="1" customHeight="1" x14ac:dyDescent="0.25">
      <c r="A255" s="22">
        <v>44265</v>
      </c>
      <c r="B255" s="63" t="s">
        <v>400</v>
      </c>
      <c r="C255" s="63" t="s">
        <v>470</v>
      </c>
      <c r="D255" s="74">
        <v>0.84236111111111101</v>
      </c>
      <c r="E255" s="74">
        <v>0.86041666666666661</v>
      </c>
      <c r="F255" s="241" t="s">
        <v>204</v>
      </c>
      <c r="G255" s="63">
        <v>2290</v>
      </c>
      <c r="H255" s="21" t="s">
        <v>324</v>
      </c>
      <c r="I255" s="20"/>
      <c r="T255" s="27"/>
      <c r="U255" s="27"/>
      <c r="V255" s="27"/>
    </row>
    <row r="256" spans="1:22" ht="15" hidden="1" customHeight="1" x14ac:dyDescent="0.25">
      <c r="A256" s="22">
        <v>44265</v>
      </c>
      <c r="B256" s="63" t="s">
        <v>90</v>
      </c>
      <c r="C256" s="63" t="s">
        <v>410</v>
      </c>
      <c r="D256" s="74">
        <v>0.92569444444444438</v>
      </c>
      <c r="E256" s="74">
        <v>0.93541666666666667</v>
      </c>
      <c r="F256" s="241" t="s">
        <v>188</v>
      </c>
      <c r="G256" s="63">
        <v>450</v>
      </c>
      <c r="H256" s="21" t="s">
        <v>473</v>
      </c>
      <c r="I256" s="20"/>
      <c r="T256" s="27"/>
      <c r="U256" s="27"/>
      <c r="V256" s="27"/>
    </row>
    <row r="257" spans="1:22" ht="15" hidden="1" customHeight="1" x14ac:dyDescent="0.25">
      <c r="A257" s="22">
        <v>44265</v>
      </c>
      <c r="B257" s="63" t="s">
        <v>90</v>
      </c>
      <c r="C257" s="63" t="s">
        <v>342</v>
      </c>
      <c r="D257" s="74">
        <v>0.94097222222222221</v>
      </c>
      <c r="E257" s="74">
        <v>0.98888888888888893</v>
      </c>
      <c r="F257" s="241" t="s">
        <v>204</v>
      </c>
      <c r="G257" s="63">
        <v>7350</v>
      </c>
      <c r="H257" s="21" t="s">
        <v>477</v>
      </c>
      <c r="I257" s="20"/>
      <c r="T257" s="27"/>
      <c r="U257" s="27"/>
      <c r="V257" s="27"/>
    </row>
    <row r="258" spans="1:22" ht="15" hidden="1" customHeight="1" x14ac:dyDescent="0.25">
      <c r="A258" s="22">
        <v>44265</v>
      </c>
      <c r="B258" s="63" t="s">
        <v>90</v>
      </c>
      <c r="C258" s="63" t="s">
        <v>96</v>
      </c>
      <c r="D258" s="74">
        <v>0.96180555555555547</v>
      </c>
      <c r="E258" s="74">
        <v>6.9444444444444447E-4</v>
      </c>
      <c r="F258" s="241" t="s">
        <v>478</v>
      </c>
      <c r="G258" s="63">
        <v>13775</v>
      </c>
      <c r="H258" s="21" t="s">
        <v>206</v>
      </c>
      <c r="I258" s="20"/>
      <c r="T258" s="27"/>
      <c r="U258" s="27"/>
      <c r="V258" s="27"/>
    </row>
    <row r="259" spans="1:22" ht="15" hidden="1" customHeight="1" x14ac:dyDescent="0.25">
      <c r="A259" s="22">
        <v>44265</v>
      </c>
      <c r="B259" s="63" t="s">
        <v>229</v>
      </c>
      <c r="C259" s="63" t="s">
        <v>207</v>
      </c>
      <c r="D259" s="74">
        <v>0.98541666666666661</v>
      </c>
      <c r="E259" s="74">
        <v>0.99722222222222223</v>
      </c>
      <c r="F259" s="241" t="s">
        <v>479</v>
      </c>
      <c r="G259" s="63">
        <v>23940</v>
      </c>
      <c r="H259" s="21" t="s">
        <v>176</v>
      </c>
      <c r="I259" s="20"/>
      <c r="T259" s="27"/>
      <c r="U259" s="27"/>
      <c r="V259" s="27"/>
    </row>
    <row r="260" spans="1:22" ht="15" hidden="1" customHeight="1" x14ac:dyDescent="0.25">
      <c r="A260" s="22">
        <v>44265</v>
      </c>
      <c r="B260" s="63" t="s">
        <v>14</v>
      </c>
      <c r="C260" s="63" t="s">
        <v>207</v>
      </c>
      <c r="D260" s="74">
        <v>0.98749999999999993</v>
      </c>
      <c r="E260" s="74">
        <v>0.99583333333333324</v>
      </c>
      <c r="F260" s="241" t="s">
        <v>479</v>
      </c>
      <c r="G260" s="63">
        <v>22510</v>
      </c>
      <c r="H260" s="21" t="s">
        <v>174</v>
      </c>
      <c r="I260" s="20"/>
      <c r="T260" s="27"/>
      <c r="U260" s="27"/>
      <c r="V260" s="27"/>
    </row>
    <row r="261" spans="1:22" ht="15" hidden="1" customHeight="1" x14ac:dyDescent="0.25">
      <c r="A261" s="22">
        <v>44266</v>
      </c>
      <c r="B261" s="63" t="s">
        <v>53</v>
      </c>
      <c r="C261" s="63" t="s">
        <v>207</v>
      </c>
      <c r="D261" s="74">
        <v>2.7777777777777779E-3</v>
      </c>
      <c r="E261" s="74">
        <v>1.3194444444444444E-2</v>
      </c>
      <c r="F261" s="241" t="s">
        <v>479</v>
      </c>
      <c r="G261" s="63">
        <v>23160</v>
      </c>
      <c r="H261" s="21" t="s">
        <v>328</v>
      </c>
      <c r="I261" s="20"/>
      <c r="T261" s="27"/>
      <c r="U261" s="27"/>
      <c r="V261" s="27"/>
    </row>
    <row r="262" spans="1:22" ht="15" hidden="1" customHeight="1" x14ac:dyDescent="0.25">
      <c r="A262" s="22">
        <v>44266</v>
      </c>
      <c r="B262" s="63" t="s">
        <v>150</v>
      </c>
      <c r="C262" s="63" t="s">
        <v>207</v>
      </c>
      <c r="D262" s="74">
        <v>1.1111111111111112E-2</v>
      </c>
      <c r="E262" s="74">
        <v>1.9444444444444445E-2</v>
      </c>
      <c r="F262" s="241" t="s">
        <v>479</v>
      </c>
      <c r="G262" s="63">
        <v>9980</v>
      </c>
      <c r="H262" s="21" t="s">
        <v>232</v>
      </c>
      <c r="I262" s="20"/>
      <c r="T262" s="27"/>
      <c r="U262" s="27"/>
      <c r="V262" s="27"/>
    </row>
    <row r="263" spans="1:22" ht="15" hidden="1" customHeight="1" x14ac:dyDescent="0.25">
      <c r="A263" s="22">
        <v>44266</v>
      </c>
      <c r="B263" s="63" t="s">
        <v>181</v>
      </c>
      <c r="C263" s="63" t="s">
        <v>149</v>
      </c>
      <c r="D263" s="74">
        <v>7.2222222222222229E-2</v>
      </c>
      <c r="E263" s="74">
        <v>0.25555555555555559</v>
      </c>
      <c r="F263" s="241" t="s">
        <v>217</v>
      </c>
      <c r="G263" s="63">
        <v>12180</v>
      </c>
      <c r="H263" s="21" t="s">
        <v>211</v>
      </c>
      <c r="I263" s="20"/>
      <c r="T263" s="27"/>
      <c r="U263" s="27"/>
      <c r="V263" s="27"/>
    </row>
    <row r="264" spans="1:22" ht="15" hidden="1" customHeight="1" x14ac:dyDescent="0.25">
      <c r="A264" s="22">
        <v>44266</v>
      </c>
      <c r="B264" s="63" t="s">
        <v>300</v>
      </c>
      <c r="C264" s="63" t="s">
        <v>202</v>
      </c>
      <c r="D264" s="74">
        <v>0.15486111111111112</v>
      </c>
      <c r="E264" s="74">
        <v>0.19097222222222221</v>
      </c>
      <c r="F264" s="241" t="s">
        <v>75</v>
      </c>
      <c r="G264" s="63">
        <v>8920</v>
      </c>
      <c r="H264" s="21" t="s">
        <v>299</v>
      </c>
      <c r="I264" s="20"/>
      <c r="T264" s="27"/>
      <c r="U264" s="27"/>
      <c r="V264" s="27"/>
    </row>
    <row r="265" spans="1:22" ht="15" hidden="1" customHeight="1" x14ac:dyDescent="0.25">
      <c r="A265" s="22">
        <v>44266</v>
      </c>
      <c r="B265" s="63" t="s">
        <v>58</v>
      </c>
      <c r="C265" s="63" t="s">
        <v>312</v>
      </c>
      <c r="D265" s="74">
        <v>0.19305555555555554</v>
      </c>
      <c r="E265" s="74">
        <v>0.20486111111111113</v>
      </c>
      <c r="F265" s="241" t="s">
        <v>437</v>
      </c>
      <c r="G265" s="63">
        <v>23280</v>
      </c>
      <c r="H265" s="21" t="s">
        <v>313</v>
      </c>
      <c r="I265" s="20"/>
      <c r="T265" s="27"/>
      <c r="U265" s="27"/>
      <c r="V265" s="27"/>
    </row>
    <row r="266" spans="1:22" ht="15" hidden="1" customHeight="1" x14ac:dyDescent="0.25">
      <c r="A266" s="22">
        <v>44266</v>
      </c>
      <c r="B266" s="63" t="s">
        <v>90</v>
      </c>
      <c r="C266" s="63" t="s">
        <v>461</v>
      </c>
      <c r="D266" s="74">
        <v>0.34791666666666665</v>
      </c>
      <c r="E266" s="74">
        <v>0.3923611111111111</v>
      </c>
      <c r="F266" s="241" t="s">
        <v>471</v>
      </c>
      <c r="G266" s="63">
        <v>4520</v>
      </c>
      <c r="H266" s="21" t="s">
        <v>461</v>
      </c>
      <c r="I266" s="20"/>
      <c r="T266" s="27"/>
      <c r="U266" s="27"/>
      <c r="V266" s="27"/>
    </row>
    <row r="267" spans="1:22" ht="15" hidden="1" customHeight="1" x14ac:dyDescent="0.25">
      <c r="A267" s="22">
        <v>44266</v>
      </c>
      <c r="B267" s="63" t="s">
        <v>90</v>
      </c>
      <c r="C267" s="63" t="s">
        <v>480</v>
      </c>
      <c r="D267" s="74">
        <v>0.36458333333333331</v>
      </c>
      <c r="E267" s="74">
        <v>0.3833333333333333</v>
      </c>
      <c r="F267" s="249" t="s">
        <v>173</v>
      </c>
      <c r="G267" s="63">
        <v>10020</v>
      </c>
      <c r="H267" s="21" t="s">
        <v>481</v>
      </c>
      <c r="I267" s="20"/>
      <c r="T267" s="27"/>
      <c r="U267" s="27"/>
      <c r="V267" s="27"/>
    </row>
    <row r="268" spans="1:22" ht="15" hidden="1" customHeight="1" x14ac:dyDescent="0.25">
      <c r="A268" s="22">
        <v>44266</v>
      </c>
      <c r="B268" s="63" t="s">
        <v>90</v>
      </c>
      <c r="C268" s="63" t="s">
        <v>482</v>
      </c>
      <c r="D268" s="74">
        <v>0.37638888888888888</v>
      </c>
      <c r="E268" s="74">
        <v>0.4597222222222222</v>
      </c>
      <c r="F268" s="251" t="s">
        <v>484</v>
      </c>
      <c r="G268" s="63">
        <v>1430</v>
      </c>
      <c r="H268" s="21" t="s">
        <v>483</v>
      </c>
      <c r="I268" s="20"/>
      <c r="T268" s="27"/>
      <c r="U268" s="27"/>
      <c r="V268" s="27"/>
    </row>
    <row r="269" spans="1:22" ht="15" hidden="1" customHeight="1" x14ac:dyDescent="0.25">
      <c r="A269" s="22">
        <v>44266</v>
      </c>
      <c r="B269" s="63" t="s">
        <v>90</v>
      </c>
      <c r="C269" s="63" t="s">
        <v>482</v>
      </c>
      <c r="D269" s="74">
        <v>0.37777777777777777</v>
      </c>
      <c r="E269" s="74">
        <v>0.45833333333333331</v>
      </c>
      <c r="F269" s="237" t="s">
        <v>486</v>
      </c>
      <c r="G269" s="63">
        <v>830</v>
      </c>
      <c r="H269" s="21" t="s">
        <v>485</v>
      </c>
      <c r="I269" s="20"/>
      <c r="T269" s="27"/>
      <c r="U269" s="27"/>
      <c r="V269" s="27"/>
    </row>
    <row r="270" spans="1:22" ht="15" hidden="1" customHeight="1" x14ac:dyDescent="0.25">
      <c r="A270" s="22">
        <v>44266</v>
      </c>
      <c r="B270" s="63" t="s">
        <v>90</v>
      </c>
      <c r="C270" s="63" t="s">
        <v>487</v>
      </c>
      <c r="D270" s="74">
        <v>0.4236111111111111</v>
      </c>
      <c r="E270" s="74">
        <v>0.49374999999999997</v>
      </c>
      <c r="F270" s="237" t="s">
        <v>489</v>
      </c>
      <c r="G270" s="63">
        <v>40</v>
      </c>
      <c r="H270" s="21" t="s">
        <v>488</v>
      </c>
      <c r="I270" s="20"/>
      <c r="T270" s="27"/>
      <c r="U270" s="27"/>
      <c r="V270" s="27"/>
    </row>
    <row r="271" spans="1:22" ht="15" hidden="1" customHeight="1" x14ac:dyDescent="0.25">
      <c r="A271" s="22">
        <v>44266</v>
      </c>
      <c r="B271" s="63" t="s">
        <v>78</v>
      </c>
      <c r="C271" s="63" t="s">
        <v>16</v>
      </c>
      <c r="D271" s="74">
        <v>0.44097222222222227</v>
      </c>
      <c r="E271" s="74">
        <v>0.46180555555555558</v>
      </c>
      <c r="F271" s="252" t="s">
        <v>219</v>
      </c>
      <c r="G271" s="63">
        <v>23340</v>
      </c>
      <c r="H271" s="21" t="s">
        <v>178</v>
      </c>
      <c r="I271" s="20"/>
      <c r="T271" s="27"/>
      <c r="U271" s="27"/>
      <c r="V271" s="27"/>
    </row>
    <row r="272" spans="1:22" ht="15" hidden="1" customHeight="1" x14ac:dyDescent="0.25">
      <c r="A272" s="22">
        <v>44266</v>
      </c>
      <c r="B272" s="63" t="s">
        <v>303</v>
      </c>
      <c r="C272" s="63" t="s">
        <v>255</v>
      </c>
      <c r="D272" s="74">
        <v>0.44861111111111113</v>
      </c>
      <c r="E272" s="74">
        <v>0.46736111111111112</v>
      </c>
      <c r="F272" s="237" t="s">
        <v>490</v>
      </c>
      <c r="G272" s="63">
        <v>3620</v>
      </c>
      <c r="H272" s="21" t="s">
        <v>213</v>
      </c>
      <c r="I272" s="20"/>
      <c r="T272" s="27"/>
      <c r="U272" s="27"/>
      <c r="V272" s="27"/>
    </row>
    <row r="273" spans="1:22" ht="15" hidden="1" customHeight="1" x14ac:dyDescent="0.25">
      <c r="A273" s="22">
        <v>44266</v>
      </c>
      <c r="B273" s="63" t="s">
        <v>90</v>
      </c>
      <c r="C273" s="63" t="s">
        <v>491</v>
      </c>
      <c r="D273" s="74">
        <v>0.4604166666666667</v>
      </c>
      <c r="E273" s="74">
        <v>0.50763888888888886</v>
      </c>
      <c r="F273" s="251" t="s">
        <v>492</v>
      </c>
      <c r="G273" s="63">
        <v>1140</v>
      </c>
      <c r="H273" s="21" t="s">
        <v>483</v>
      </c>
      <c r="I273" s="20"/>
      <c r="T273" s="27"/>
      <c r="U273" s="27"/>
      <c r="V273" s="27"/>
    </row>
    <row r="274" spans="1:22" ht="15" hidden="1" customHeight="1" x14ac:dyDescent="0.25">
      <c r="A274" s="22">
        <v>44266</v>
      </c>
      <c r="B274" s="63" t="s">
        <v>78</v>
      </c>
      <c r="C274" s="63" t="s">
        <v>16</v>
      </c>
      <c r="D274" s="74">
        <v>0.46597222222222223</v>
      </c>
      <c r="E274" s="74">
        <v>0.4993055555555555</v>
      </c>
      <c r="F274" s="252" t="s">
        <v>225</v>
      </c>
      <c r="G274" s="63">
        <v>25360</v>
      </c>
      <c r="H274" s="21" t="s">
        <v>178</v>
      </c>
      <c r="I274" s="20"/>
      <c r="T274" s="27"/>
      <c r="U274" s="27"/>
      <c r="V274" s="27"/>
    </row>
    <row r="275" spans="1:22" ht="15" hidden="1" customHeight="1" x14ac:dyDescent="0.25">
      <c r="A275" s="22">
        <v>44266</v>
      </c>
      <c r="B275" s="63" t="s">
        <v>150</v>
      </c>
      <c r="C275" s="63" t="s">
        <v>493</v>
      </c>
      <c r="D275" s="74">
        <v>0.48888888888888887</v>
      </c>
      <c r="E275" s="74">
        <v>0.51111111111111118</v>
      </c>
      <c r="F275" s="241" t="s">
        <v>494</v>
      </c>
      <c r="G275" s="63">
        <v>21560</v>
      </c>
      <c r="H275" s="21" t="s">
        <v>232</v>
      </c>
      <c r="I275" s="20"/>
      <c r="T275" s="27"/>
      <c r="U275" s="27"/>
      <c r="V275" s="27"/>
    </row>
    <row r="276" spans="1:22" ht="15" hidden="1" customHeight="1" x14ac:dyDescent="0.25">
      <c r="A276" s="22">
        <v>44266</v>
      </c>
      <c r="B276" s="63" t="s">
        <v>157</v>
      </c>
      <c r="C276" s="63" t="s">
        <v>212</v>
      </c>
      <c r="D276" s="74">
        <v>0.49027777777777781</v>
      </c>
      <c r="E276" s="74">
        <v>0.51527777777777783</v>
      </c>
      <c r="F276" s="241" t="s">
        <v>204</v>
      </c>
      <c r="G276" s="63">
        <v>21160</v>
      </c>
      <c r="H276" s="21" t="s">
        <v>47</v>
      </c>
      <c r="I276" s="20"/>
      <c r="T276" s="27"/>
      <c r="U276" s="27"/>
      <c r="V276" s="27"/>
    </row>
    <row r="277" spans="1:22" ht="15" hidden="1" customHeight="1" x14ac:dyDescent="0.25">
      <c r="A277" s="22">
        <v>44266</v>
      </c>
      <c r="B277" s="63" t="s">
        <v>400</v>
      </c>
      <c r="C277" s="63" t="s">
        <v>212</v>
      </c>
      <c r="D277" s="74">
        <v>0.4916666666666667</v>
      </c>
      <c r="E277" s="74">
        <v>0.51388888888888895</v>
      </c>
      <c r="F277" s="241" t="s">
        <v>204</v>
      </c>
      <c r="G277" s="63">
        <v>9450</v>
      </c>
      <c r="H277" s="21" t="s">
        <v>324</v>
      </c>
      <c r="I277" s="20"/>
      <c r="T277" s="27"/>
      <c r="U277" s="27"/>
      <c r="V277" s="27"/>
    </row>
    <row r="278" spans="1:22" ht="15" hidden="1" customHeight="1" x14ac:dyDescent="0.25">
      <c r="A278" s="22">
        <v>44266</v>
      </c>
      <c r="B278" s="63" t="s">
        <v>53</v>
      </c>
      <c r="C278" s="63" t="s">
        <v>212</v>
      </c>
      <c r="D278" s="74">
        <v>0.51666666666666672</v>
      </c>
      <c r="E278" s="74">
        <v>0.52430555555555558</v>
      </c>
      <c r="F278" s="241" t="s">
        <v>204</v>
      </c>
      <c r="G278" s="63">
        <v>20690</v>
      </c>
      <c r="H278" s="21" t="s">
        <v>328</v>
      </c>
      <c r="I278" s="20"/>
      <c r="T278" s="27"/>
      <c r="U278" s="27"/>
      <c r="V278" s="27"/>
    </row>
    <row r="279" spans="1:22" ht="15" hidden="1" customHeight="1" x14ac:dyDescent="0.25">
      <c r="A279" s="22">
        <v>44266</v>
      </c>
      <c r="B279" s="63" t="s">
        <v>412</v>
      </c>
      <c r="C279" s="63" t="s">
        <v>212</v>
      </c>
      <c r="D279" s="74">
        <v>0.52916666666666667</v>
      </c>
      <c r="E279" s="74">
        <v>0.53819444444444442</v>
      </c>
      <c r="F279" s="241" t="s">
        <v>204</v>
      </c>
      <c r="G279" s="63">
        <v>11540</v>
      </c>
      <c r="H279" s="21" t="s">
        <v>415</v>
      </c>
      <c r="I279" s="20"/>
      <c r="T279" s="27"/>
      <c r="U279" s="27"/>
      <c r="V279" s="27"/>
    </row>
    <row r="280" spans="1:22" ht="15" hidden="1" customHeight="1" x14ac:dyDescent="0.25">
      <c r="A280" s="22">
        <v>44266</v>
      </c>
      <c r="B280" s="63" t="s">
        <v>307</v>
      </c>
      <c r="C280" s="63" t="s">
        <v>495</v>
      </c>
      <c r="D280" s="74">
        <v>0.54652777777777783</v>
      </c>
      <c r="E280" s="74">
        <v>0.57638888888888895</v>
      </c>
      <c r="F280" s="241" t="s">
        <v>204</v>
      </c>
      <c r="G280" s="63">
        <v>24160</v>
      </c>
      <c r="H280" s="21" t="s">
        <v>147</v>
      </c>
      <c r="I280" s="20"/>
      <c r="T280" s="27"/>
      <c r="U280" s="27"/>
      <c r="V280" s="27"/>
    </row>
    <row r="281" spans="1:22" ht="15" hidden="1" customHeight="1" x14ac:dyDescent="0.25">
      <c r="A281" s="22">
        <v>44266</v>
      </c>
      <c r="B281" s="63" t="s">
        <v>14</v>
      </c>
      <c r="C281" s="63" t="s">
        <v>496</v>
      </c>
      <c r="D281" s="74">
        <v>0.55069444444444449</v>
      </c>
      <c r="E281" s="74">
        <v>0.57013888888888886</v>
      </c>
      <c r="F281" s="241" t="s">
        <v>204</v>
      </c>
      <c r="G281" s="63">
        <v>22170</v>
      </c>
      <c r="H281" s="21" t="s">
        <v>174</v>
      </c>
      <c r="I281" s="20"/>
      <c r="T281" s="27"/>
      <c r="U281" s="27"/>
      <c r="V281" s="27"/>
    </row>
    <row r="282" spans="1:22" ht="15" hidden="1" customHeight="1" x14ac:dyDescent="0.25">
      <c r="A282" s="22">
        <v>44266</v>
      </c>
      <c r="B282" s="63" t="s">
        <v>90</v>
      </c>
      <c r="C282" s="63" t="s">
        <v>497</v>
      </c>
      <c r="D282" s="74">
        <v>0.55625000000000002</v>
      </c>
      <c r="E282" s="74">
        <v>0.56319444444444444</v>
      </c>
      <c r="F282" s="237" t="s">
        <v>499</v>
      </c>
      <c r="G282" s="63">
        <v>690</v>
      </c>
      <c r="H282" s="21" t="s">
        <v>498</v>
      </c>
      <c r="I282" s="20"/>
      <c r="T282" s="27"/>
      <c r="U282" s="27"/>
      <c r="V282" s="27"/>
    </row>
    <row r="283" spans="1:22" ht="15" hidden="1" customHeight="1" x14ac:dyDescent="0.25">
      <c r="A283" s="22">
        <v>44266</v>
      </c>
      <c r="B283" s="63" t="s">
        <v>229</v>
      </c>
      <c r="C283" s="63" t="s">
        <v>212</v>
      </c>
      <c r="D283" s="74">
        <v>0.57222222222222219</v>
      </c>
      <c r="E283" s="74">
        <v>0.58124999999999993</v>
      </c>
      <c r="F283" s="241" t="s">
        <v>204</v>
      </c>
      <c r="G283" s="63">
        <v>20590</v>
      </c>
      <c r="H283" s="21" t="s">
        <v>176</v>
      </c>
      <c r="I283" s="20"/>
      <c r="T283" s="27"/>
      <c r="U283" s="27"/>
      <c r="V283" s="27"/>
    </row>
    <row r="284" spans="1:22" ht="15" hidden="1" customHeight="1" x14ac:dyDescent="0.25">
      <c r="A284" s="22">
        <v>44266</v>
      </c>
      <c r="B284" s="63" t="s">
        <v>150</v>
      </c>
      <c r="C284" s="63" t="s">
        <v>205</v>
      </c>
      <c r="D284" s="74">
        <v>0.58472222222222225</v>
      </c>
      <c r="E284" s="74">
        <v>0.59166666666666667</v>
      </c>
      <c r="F284" s="241" t="s">
        <v>204</v>
      </c>
      <c r="G284" s="63">
        <v>21250</v>
      </c>
      <c r="H284" s="21" t="s">
        <v>232</v>
      </c>
      <c r="I284" s="20"/>
      <c r="T284" s="27"/>
      <c r="U284" s="27"/>
      <c r="V284" s="27"/>
    </row>
    <row r="285" spans="1:22" ht="15" hidden="1" customHeight="1" x14ac:dyDescent="0.25">
      <c r="A285" s="22">
        <v>44266</v>
      </c>
      <c r="B285" s="63" t="s">
        <v>31</v>
      </c>
      <c r="C285" s="63" t="s">
        <v>410</v>
      </c>
      <c r="D285" s="74">
        <v>0.58750000000000002</v>
      </c>
      <c r="E285" s="74">
        <v>0.60833333333333328</v>
      </c>
      <c r="F285" s="241" t="s">
        <v>204</v>
      </c>
      <c r="G285" s="63">
        <v>4460</v>
      </c>
      <c r="H285" s="21" t="s">
        <v>339</v>
      </c>
      <c r="I285" s="20"/>
      <c r="T285" s="27"/>
      <c r="U285" s="27"/>
      <c r="V285" s="27"/>
    </row>
    <row r="286" spans="1:22" ht="15" hidden="1" customHeight="1" x14ac:dyDescent="0.25">
      <c r="A286" s="22">
        <v>44266</v>
      </c>
      <c r="B286" s="63" t="s">
        <v>157</v>
      </c>
      <c r="C286" s="63" t="s">
        <v>205</v>
      </c>
      <c r="D286" s="74">
        <v>0.59375</v>
      </c>
      <c r="E286" s="74">
        <v>0.63472222222222219</v>
      </c>
      <c r="F286" s="241" t="s">
        <v>204</v>
      </c>
      <c r="G286" s="63">
        <v>21480</v>
      </c>
      <c r="H286" s="21" t="s">
        <v>47</v>
      </c>
      <c r="I286" s="20"/>
      <c r="T286" s="27"/>
      <c r="U286" s="27"/>
      <c r="V286" s="27"/>
    </row>
    <row r="287" spans="1:22" ht="15" hidden="1" customHeight="1" x14ac:dyDescent="0.25">
      <c r="A287" s="22">
        <v>44266</v>
      </c>
      <c r="B287" s="63" t="s">
        <v>400</v>
      </c>
      <c r="C287" s="63" t="s">
        <v>205</v>
      </c>
      <c r="D287" s="74">
        <v>0.59444444444444444</v>
      </c>
      <c r="E287" s="74">
        <v>0.60277777777777775</v>
      </c>
      <c r="F287" s="241" t="s">
        <v>204</v>
      </c>
      <c r="G287" s="63">
        <v>9610</v>
      </c>
      <c r="H287" s="21" t="s">
        <v>324</v>
      </c>
      <c r="I287" s="20"/>
      <c r="T287" s="27"/>
      <c r="U287" s="27"/>
      <c r="V287" s="27"/>
    </row>
    <row r="288" spans="1:22" ht="15" hidden="1" customHeight="1" x14ac:dyDescent="0.25">
      <c r="A288" s="22">
        <v>44266</v>
      </c>
      <c r="B288" s="63" t="s">
        <v>53</v>
      </c>
      <c r="C288" s="63" t="s">
        <v>205</v>
      </c>
      <c r="D288" s="74">
        <v>0.59513888888888888</v>
      </c>
      <c r="E288" s="74">
        <v>0.61319444444444449</v>
      </c>
      <c r="F288" s="241" t="s">
        <v>204</v>
      </c>
      <c r="G288" s="63">
        <v>21590</v>
      </c>
      <c r="H288" s="21" t="s">
        <v>328</v>
      </c>
      <c r="I288" s="20"/>
      <c r="T288" s="27"/>
      <c r="U288" s="27"/>
      <c r="V288" s="27"/>
    </row>
    <row r="289" spans="1:22" ht="15" hidden="1" customHeight="1" x14ac:dyDescent="0.25">
      <c r="A289" s="22">
        <v>44266</v>
      </c>
      <c r="B289" s="63" t="s">
        <v>412</v>
      </c>
      <c r="C289" s="63" t="s">
        <v>205</v>
      </c>
      <c r="D289" s="74">
        <v>0.60486111111111118</v>
      </c>
      <c r="E289" s="74">
        <v>0.60972222222222217</v>
      </c>
      <c r="F289" s="241" t="s">
        <v>204</v>
      </c>
      <c r="G289" s="63">
        <v>9660</v>
      </c>
      <c r="H289" s="21" t="s">
        <v>415</v>
      </c>
      <c r="I289" s="20"/>
      <c r="T289" s="27"/>
      <c r="U289" s="27"/>
      <c r="V289" s="27"/>
    </row>
    <row r="290" spans="1:22" ht="15" hidden="1" customHeight="1" x14ac:dyDescent="0.25">
      <c r="A290" s="22">
        <v>44266</v>
      </c>
      <c r="B290" s="63" t="s">
        <v>307</v>
      </c>
      <c r="C290" s="63" t="s">
        <v>205</v>
      </c>
      <c r="D290" s="74">
        <v>0.63194444444444442</v>
      </c>
      <c r="E290" s="74">
        <v>0.64861111111111114</v>
      </c>
      <c r="F290" s="241" t="s">
        <v>406</v>
      </c>
      <c r="G290" s="63">
        <v>18340</v>
      </c>
      <c r="H290" s="21" t="s">
        <v>147</v>
      </c>
      <c r="I290" s="20"/>
      <c r="T290" s="27"/>
      <c r="U290" s="27"/>
      <c r="V290" s="27"/>
    </row>
    <row r="291" spans="1:22" ht="15" hidden="1" customHeight="1" x14ac:dyDescent="0.25">
      <c r="A291" s="22">
        <v>44266</v>
      </c>
      <c r="B291" s="63" t="s">
        <v>14</v>
      </c>
      <c r="C291" s="63" t="s">
        <v>205</v>
      </c>
      <c r="D291" s="74">
        <v>0.63750000000000007</v>
      </c>
      <c r="E291" s="74">
        <v>0.64444444444444449</v>
      </c>
      <c r="F291" s="241" t="s">
        <v>406</v>
      </c>
      <c r="G291" s="63">
        <v>14090</v>
      </c>
      <c r="H291" s="21" t="s">
        <v>174</v>
      </c>
      <c r="I291" s="20"/>
      <c r="T291" s="27"/>
      <c r="U291" s="27"/>
      <c r="V291" s="27"/>
    </row>
    <row r="292" spans="1:22" ht="15" hidden="1" customHeight="1" x14ac:dyDescent="0.25">
      <c r="A292" s="22">
        <v>44266</v>
      </c>
      <c r="B292" s="63" t="s">
        <v>150</v>
      </c>
      <c r="C292" s="63" t="s">
        <v>500</v>
      </c>
      <c r="D292" s="74">
        <v>0.65833333333333333</v>
      </c>
      <c r="E292" s="74">
        <v>0.6645833333333333</v>
      </c>
      <c r="F292" s="241" t="s">
        <v>204</v>
      </c>
      <c r="G292" s="63">
        <v>15840</v>
      </c>
      <c r="H292" s="21" t="s">
        <v>232</v>
      </c>
      <c r="I292" s="20"/>
      <c r="T292" s="27"/>
      <c r="U292" s="27"/>
      <c r="V292" s="27"/>
    </row>
    <row r="293" spans="1:22" ht="15" hidden="1" customHeight="1" x14ac:dyDescent="0.25">
      <c r="A293" s="22">
        <v>44266</v>
      </c>
      <c r="B293" s="63" t="s">
        <v>229</v>
      </c>
      <c r="C293" s="63" t="s">
        <v>501</v>
      </c>
      <c r="D293" s="74">
        <v>0.67361111111111116</v>
      </c>
      <c r="E293" s="74">
        <v>0.6791666666666667</v>
      </c>
      <c r="F293" s="241" t="s">
        <v>204</v>
      </c>
      <c r="G293" s="63">
        <v>18710</v>
      </c>
      <c r="H293" s="21" t="s">
        <v>176</v>
      </c>
      <c r="I293" s="20"/>
      <c r="T293" s="27"/>
      <c r="U293" s="27"/>
      <c r="V293" s="27"/>
    </row>
    <row r="294" spans="1:22" ht="15" hidden="1" customHeight="1" x14ac:dyDescent="0.25">
      <c r="A294" s="22">
        <v>44266</v>
      </c>
      <c r="B294" s="63" t="s">
        <v>97</v>
      </c>
      <c r="C294" s="63" t="s">
        <v>263</v>
      </c>
      <c r="D294" s="74">
        <v>0.69236111111111109</v>
      </c>
      <c r="E294" s="74">
        <v>0.69930555555555562</v>
      </c>
      <c r="F294" s="241" t="s">
        <v>502</v>
      </c>
      <c r="G294" s="63">
        <v>1490</v>
      </c>
      <c r="H294" s="21" t="s">
        <v>92</v>
      </c>
      <c r="I294" s="20"/>
      <c r="T294" s="27"/>
      <c r="U294" s="27"/>
      <c r="V294" s="27"/>
    </row>
    <row r="295" spans="1:22" ht="15" hidden="1" customHeight="1" x14ac:dyDescent="0.25">
      <c r="A295" s="22">
        <v>44266</v>
      </c>
      <c r="B295" s="63" t="s">
        <v>150</v>
      </c>
      <c r="C295" s="63" t="s">
        <v>480</v>
      </c>
      <c r="D295" s="74">
        <v>0.69513888888888886</v>
      </c>
      <c r="E295" s="74">
        <v>0.21319444444444444</v>
      </c>
      <c r="F295" s="249" t="s">
        <v>503</v>
      </c>
      <c r="G295" s="63">
        <v>37070</v>
      </c>
      <c r="H295" s="21" t="s">
        <v>232</v>
      </c>
      <c r="I295" s="20"/>
      <c r="T295" s="27"/>
      <c r="U295" s="27"/>
      <c r="V295" s="27"/>
    </row>
    <row r="296" spans="1:22" ht="15" hidden="1" customHeight="1" x14ac:dyDescent="0.25">
      <c r="A296" s="22">
        <v>44266</v>
      </c>
      <c r="B296" s="63" t="s">
        <v>400</v>
      </c>
      <c r="C296" s="63" t="s">
        <v>504</v>
      </c>
      <c r="D296" s="74">
        <v>0.70277777777777783</v>
      </c>
      <c r="E296" s="74">
        <v>0.7104166666666667</v>
      </c>
      <c r="F296" s="241" t="s">
        <v>204</v>
      </c>
      <c r="G296" s="63">
        <v>10200</v>
      </c>
      <c r="H296" s="21" t="s">
        <v>324</v>
      </c>
      <c r="I296" s="20"/>
      <c r="T296" s="27"/>
      <c r="U296" s="27"/>
      <c r="V296" s="27"/>
    </row>
    <row r="297" spans="1:22" ht="15" hidden="1" customHeight="1" x14ac:dyDescent="0.25">
      <c r="A297" s="22">
        <v>44266</v>
      </c>
      <c r="B297" s="63" t="s">
        <v>303</v>
      </c>
      <c r="C297" s="63" t="s">
        <v>255</v>
      </c>
      <c r="D297" s="74">
        <v>0.70763888888888893</v>
      </c>
      <c r="E297" s="74">
        <v>0.71388888888888891</v>
      </c>
      <c r="F297" s="241" t="s">
        <v>382</v>
      </c>
      <c r="G297" s="63">
        <v>830</v>
      </c>
      <c r="H297" s="21" t="s">
        <v>213</v>
      </c>
      <c r="I297" s="20"/>
      <c r="T297" s="27"/>
      <c r="U297" s="27"/>
      <c r="V297" s="27"/>
    </row>
    <row r="298" spans="1:22" ht="15" hidden="1" customHeight="1" x14ac:dyDescent="0.25">
      <c r="A298" s="22">
        <v>44266</v>
      </c>
      <c r="B298" s="63" t="s">
        <v>31</v>
      </c>
      <c r="C298" s="63" t="s">
        <v>505</v>
      </c>
      <c r="D298" s="74">
        <v>0.72083333333333333</v>
      </c>
      <c r="E298" s="74">
        <v>0.73541666666666661</v>
      </c>
      <c r="F298" s="237" t="s">
        <v>505</v>
      </c>
      <c r="G298" s="63">
        <v>1770</v>
      </c>
      <c r="H298" s="21" t="s">
        <v>506</v>
      </c>
      <c r="I298" s="20"/>
      <c r="T298" s="27"/>
      <c r="U298" s="27"/>
      <c r="V298" s="27"/>
    </row>
    <row r="299" spans="1:22" ht="15" hidden="1" customHeight="1" x14ac:dyDescent="0.25">
      <c r="A299" s="22">
        <v>44266</v>
      </c>
      <c r="B299" s="63" t="s">
        <v>53</v>
      </c>
      <c r="C299" s="63" t="s">
        <v>507</v>
      </c>
      <c r="D299" s="74">
        <v>0.76736111111111116</v>
      </c>
      <c r="E299" s="74">
        <v>0.78263888888888899</v>
      </c>
      <c r="F299" s="241" t="s">
        <v>237</v>
      </c>
      <c r="G299" s="63">
        <v>20860</v>
      </c>
      <c r="H299" s="21" t="s">
        <v>328</v>
      </c>
      <c r="I299" s="20"/>
      <c r="T299" s="27"/>
      <c r="U299" s="27"/>
      <c r="V299" s="27"/>
    </row>
    <row r="300" spans="1:22" ht="15" customHeight="1" x14ac:dyDescent="0.25">
      <c r="A300" s="22">
        <v>44266</v>
      </c>
      <c r="B300" s="63" t="s">
        <v>15</v>
      </c>
      <c r="C300" s="63" t="s">
        <v>305</v>
      </c>
      <c r="D300" s="74">
        <v>0.77777777777777779</v>
      </c>
      <c r="E300" s="74">
        <v>0.41805555555555557</v>
      </c>
      <c r="F300" s="237" t="s">
        <v>508</v>
      </c>
      <c r="G300" s="63">
        <v>2060</v>
      </c>
      <c r="H300" s="21" t="s">
        <v>309</v>
      </c>
      <c r="I300" s="20"/>
      <c r="T300" s="27"/>
      <c r="U300" s="27"/>
      <c r="V300" s="27"/>
    </row>
    <row r="301" spans="1:22" ht="15" hidden="1" customHeight="1" x14ac:dyDescent="0.25">
      <c r="A301" s="22">
        <v>44266</v>
      </c>
      <c r="B301" s="63" t="s">
        <v>307</v>
      </c>
      <c r="C301" s="63" t="s">
        <v>144</v>
      </c>
      <c r="D301" s="74">
        <v>0.79305555555555562</v>
      </c>
      <c r="E301" s="74">
        <v>0.34236111111111112</v>
      </c>
      <c r="F301" s="236" t="s">
        <v>317</v>
      </c>
      <c r="G301" s="63">
        <v>29320</v>
      </c>
      <c r="H301" s="21" t="s">
        <v>147</v>
      </c>
      <c r="I301" s="20"/>
      <c r="T301" s="27"/>
      <c r="U301" s="27"/>
      <c r="V301" s="27"/>
    </row>
    <row r="302" spans="1:22" ht="15" hidden="1" customHeight="1" x14ac:dyDescent="0.25">
      <c r="A302" s="22">
        <v>44266</v>
      </c>
      <c r="B302" s="63" t="s">
        <v>31</v>
      </c>
      <c r="C302" s="63" t="s">
        <v>410</v>
      </c>
      <c r="D302" s="74">
        <v>0.8354166666666667</v>
      </c>
      <c r="E302" s="74">
        <v>0.85625000000000007</v>
      </c>
      <c r="F302" s="241" t="s">
        <v>188</v>
      </c>
      <c r="G302" s="63">
        <v>340</v>
      </c>
      <c r="H302" s="21" t="s">
        <v>198</v>
      </c>
      <c r="I302" s="20"/>
      <c r="T302" s="27"/>
      <c r="U302" s="27"/>
      <c r="V302" s="27"/>
    </row>
    <row r="303" spans="1:22" ht="15" hidden="1" customHeight="1" x14ac:dyDescent="0.25">
      <c r="A303" s="22">
        <v>44266</v>
      </c>
      <c r="B303" s="63" t="s">
        <v>97</v>
      </c>
      <c r="C303" s="63" t="s">
        <v>263</v>
      </c>
      <c r="D303" s="74">
        <v>0.84027777777777779</v>
      </c>
      <c r="E303" s="74">
        <v>0.84305555555555556</v>
      </c>
      <c r="F303" s="241" t="s">
        <v>502</v>
      </c>
      <c r="G303" s="63">
        <v>600</v>
      </c>
      <c r="H303" s="21" t="s">
        <v>92</v>
      </c>
      <c r="I303" s="20"/>
      <c r="T303" s="27"/>
      <c r="U303" s="27"/>
      <c r="V303" s="27"/>
    </row>
    <row r="304" spans="1:22" ht="15" hidden="1" customHeight="1" x14ac:dyDescent="0.25">
      <c r="A304" s="22">
        <v>44266</v>
      </c>
      <c r="B304" s="63" t="s">
        <v>31</v>
      </c>
      <c r="C304" s="63" t="s">
        <v>329</v>
      </c>
      <c r="D304" s="74">
        <v>0.90694444444444444</v>
      </c>
      <c r="E304" s="74">
        <v>0.9243055555555556</v>
      </c>
      <c r="F304" s="241" t="s">
        <v>241</v>
      </c>
      <c r="G304" s="63">
        <v>1980</v>
      </c>
      <c r="H304" s="21" t="s">
        <v>460</v>
      </c>
      <c r="I304" s="20"/>
      <c r="T304" s="27"/>
      <c r="U304" s="27"/>
      <c r="V304" s="27"/>
    </row>
    <row r="305" spans="1:22" ht="15" hidden="1" customHeight="1" x14ac:dyDescent="0.25">
      <c r="A305" s="22">
        <v>44266</v>
      </c>
      <c r="B305" s="63" t="s">
        <v>31</v>
      </c>
      <c r="C305" s="63" t="s">
        <v>96</v>
      </c>
      <c r="D305" s="74">
        <v>0.9194444444444444</v>
      </c>
      <c r="E305" s="74">
        <v>0.97986111111111107</v>
      </c>
      <c r="F305" s="241" t="s">
        <v>509</v>
      </c>
      <c r="G305" s="63">
        <v>12900</v>
      </c>
      <c r="H305" s="21" t="s">
        <v>206</v>
      </c>
      <c r="I305" s="20"/>
      <c r="T305" s="27"/>
      <c r="U305" s="27"/>
      <c r="V305" s="27"/>
    </row>
    <row r="306" spans="1:22" ht="15" hidden="1" customHeight="1" x14ac:dyDescent="0.25">
      <c r="A306" s="22">
        <v>44266</v>
      </c>
      <c r="B306" s="63" t="s">
        <v>31</v>
      </c>
      <c r="C306" s="63" t="s">
        <v>329</v>
      </c>
      <c r="D306" s="74">
        <v>0.92499999999999993</v>
      </c>
      <c r="E306" s="74">
        <v>0.96527777777777779</v>
      </c>
      <c r="F306" s="241" t="s">
        <v>189</v>
      </c>
      <c r="G306" s="63">
        <v>3420</v>
      </c>
      <c r="H306" s="21" t="s">
        <v>460</v>
      </c>
      <c r="I306" s="20"/>
      <c r="T306" s="27"/>
      <c r="U306" s="27"/>
      <c r="V306" s="27"/>
    </row>
    <row r="307" spans="1:22" ht="15" hidden="1" customHeight="1" x14ac:dyDescent="0.25">
      <c r="A307" s="22">
        <v>44266</v>
      </c>
      <c r="B307" s="63" t="s">
        <v>97</v>
      </c>
      <c r="C307" s="63" t="s">
        <v>263</v>
      </c>
      <c r="D307" s="74">
        <v>0.93333333333333324</v>
      </c>
      <c r="E307" s="74">
        <v>0.93541666666666667</v>
      </c>
      <c r="F307" s="241" t="s">
        <v>502</v>
      </c>
      <c r="G307" s="63">
        <v>460</v>
      </c>
      <c r="H307" s="21" t="s">
        <v>93</v>
      </c>
      <c r="I307" s="20"/>
      <c r="T307" s="27"/>
      <c r="U307" s="27"/>
      <c r="V307" s="27"/>
    </row>
    <row r="308" spans="1:22" ht="15" hidden="1" customHeight="1" x14ac:dyDescent="0.25">
      <c r="A308" s="22">
        <v>44266</v>
      </c>
      <c r="B308" s="63" t="s">
        <v>348</v>
      </c>
      <c r="C308" s="63" t="s">
        <v>310</v>
      </c>
      <c r="D308" s="74">
        <v>0.95277777777777783</v>
      </c>
      <c r="E308" s="74">
        <v>4.1666666666666664E-2</v>
      </c>
      <c r="F308" s="241" t="s">
        <v>510</v>
      </c>
      <c r="G308" s="63">
        <v>4360</v>
      </c>
      <c r="H308" s="21" t="s">
        <v>311</v>
      </c>
      <c r="I308" s="20"/>
      <c r="T308" s="27"/>
      <c r="U308" s="27"/>
      <c r="V308" s="27"/>
    </row>
    <row r="309" spans="1:22" ht="15" hidden="1" customHeight="1" x14ac:dyDescent="0.25">
      <c r="A309" s="22">
        <v>44267</v>
      </c>
      <c r="B309" s="63" t="s">
        <v>300</v>
      </c>
      <c r="C309" s="63" t="s">
        <v>202</v>
      </c>
      <c r="D309" s="74">
        <v>6.3888888888888884E-2</v>
      </c>
      <c r="E309" s="74">
        <v>0.13125000000000001</v>
      </c>
      <c r="F309" s="241" t="s">
        <v>75</v>
      </c>
      <c r="G309" s="63">
        <v>6910</v>
      </c>
      <c r="H309" s="21" t="s">
        <v>299</v>
      </c>
      <c r="I309" s="20"/>
      <c r="T309" s="27"/>
      <c r="U309" s="27"/>
      <c r="V309" s="27"/>
    </row>
    <row r="310" spans="1:22" ht="15" hidden="1" customHeight="1" x14ac:dyDescent="0.25">
      <c r="A310" s="22">
        <v>44267</v>
      </c>
      <c r="B310" s="63" t="s">
        <v>229</v>
      </c>
      <c r="C310" s="63" t="s">
        <v>215</v>
      </c>
      <c r="D310" s="74">
        <v>7.7083333333333337E-2</v>
      </c>
      <c r="E310" s="74">
        <v>8.819444444444445E-2</v>
      </c>
      <c r="F310" s="241" t="s">
        <v>204</v>
      </c>
      <c r="G310" s="63">
        <v>12430</v>
      </c>
      <c r="H310" s="21" t="s">
        <v>176</v>
      </c>
      <c r="I310" s="20"/>
      <c r="T310" s="27"/>
      <c r="U310" s="27"/>
      <c r="V310" s="27"/>
    </row>
    <row r="311" spans="1:22" ht="15" hidden="1" customHeight="1" x14ac:dyDescent="0.25">
      <c r="A311" s="22">
        <v>44267</v>
      </c>
      <c r="B311" s="63" t="s">
        <v>58</v>
      </c>
      <c r="C311" s="63" t="s">
        <v>312</v>
      </c>
      <c r="D311" s="74">
        <v>0.12222222222222223</v>
      </c>
      <c r="E311" s="74">
        <v>0.13541666666666666</v>
      </c>
      <c r="F311" s="241" t="s">
        <v>437</v>
      </c>
      <c r="G311" s="63">
        <v>17380</v>
      </c>
      <c r="H311" s="21" t="s">
        <v>313</v>
      </c>
      <c r="I311" s="20"/>
      <c r="T311" s="27"/>
      <c r="U311" s="27"/>
      <c r="V311" s="27"/>
    </row>
    <row r="312" spans="1:22" ht="15" hidden="1" customHeight="1" x14ac:dyDescent="0.25">
      <c r="A312" s="22">
        <v>44267</v>
      </c>
      <c r="B312" s="63" t="s">
        <v>157</v>
      </c>
      <c r="C312" s="63" t="s">
        <v>16</v>
      </c>
      <c r="D312" s="74">
        <v>0.33888888888888885</v>
      </c>
      <c r="E312" s="74">
        <v>0.375</v>
      </c>
      <c r="F312" s="252" t="s">
        <v>225</v>
      </c>
      <c r="G312" s="63">
        <v>25430</v>
      </c>
      <c r="H312" s="21" t="s">
        <v>47</v>
      </c>
      <c r="I312" s="20"/>
      <c r="T312" s="27"/>
      <c r="U312" s="27"/>
      <c r="V312" s="27"/>
    </row>
    <row r="313" spans="1:22" ht="15" hidden="1" customHeight="1" x14ac:dyDescent="0.25">
      <c r="A313" s="22">
        <v>44267</v>
      </c>
      <c r="B313" s="63" t="s">
        <v>83</v>
      </c>
      <c r="C313" s="63" t="s">
        <v>511</v>
      </c>
      <c r="D313" s="74">
        <v>0.35416666666666669</v>
      </c>
      <c r="E313" s="74">
        <v>0.6430555555555556</v>
      </c>
      <c r="F313" s="249" t="s">
        <v>173</v>
      </c>
      <c r="G313" s="63">
        <v>26500</v>
      </c>
      <c r="H313" s="21" t="s">
        <v>512</v>
      </c>
      <c r="I313" s="20"/>
      <c r="T313" s="27"/>
      <c r="U313" s="27"/>
      <c r="V313" s="27"/>
    </row>
    <row r="314" spans="1:22" ht="15" hidden="1" customHeight="1" x14ac:dyDescent="0.25">
      <c r="A314" s="22">
        <v>44267</v>
      </c>
      <c r="B314" s="63" t="s">
        <v>83</v>
      </c>
      <c r="C314" s="63" t="s">
        <v>511</v>
      </c>
      <c r="D314" s="74">
        <v>0.35694444444444445</v>
      </c>
      <c r="E314" s="74">
        <v>0.6479166666666667</v>
      </c>
      <c r="F314" s="249" t="s">
        <v>173</v>
      </c>
      <c r="G314" s="63">
        <v>26500</v>
      </c>
      <c r="H314" s="21" t="s">
        <v>513</v>
      </c>
      <c r="I314" s="20"/>
      <c r="T314" s="27"/>
      <c r="U314" s="27"/>
      <c r="V314" s="27"/>
    </row>
    <row r="315" spans="1:22" ht="15" hidden="1" customHeight="1" x14ac:dyDescent="0.25">
      <c r="A315" s="22">
        <v>44267</v>
      </c>
      <c r="B315" s="63" t="s">
        <v>83</v>
      </c>
      <c r="C315" s="63" t="s">
        <v>511</v>
      </c>
      <c r="D315" s="74">
        <v>0.3611111111111111</v>
      </c>
      <c r="E315" s="74">
        <v>0.62708333333333333</v>
      </c>
      <c r="F315" s="249" t="s">
        <v>173</v>
      </c>
      <c r="G315" s="63">
        <v>26500</v>
      </c>
      <c r="H315" s="21" t="s">
        <v>514</v>
      </c>
      <c r="I315" s="20"/>
      <c r="T315" s="27"/>
      <c r="U315" s="27"/>
      <c r="V315" s="27"/>
    </row>
    <row r="316" spans="1:22" ht="15" hidden="1" customHeight="1" x14ac:dyDescent="0.25">
      <c r="A316" s="22">
        <v>44267</v>
      </c>
      <c r="B316" s="63" t="s">
        <v>78</v>
      </c>
      <c r="C316" s="63" t="s">
        <v>16</v>
      </c>
      <c r="D316" s="74">
        <v>0.36319444444444443</v>
      </c>
      <c r="E316" s="74">
        <v>0.39166666666666666</v>
      </c>
      <c r="F316" s="252" t="s">
        <v>225</v>
      </c>
      <c r="G316" s="63">
        <v>25410</v>
      </c>
      <c r="H316" s="21" t="s">
        <v>178</v>
      </c>
      <c r="I316" s="20"/>
      <c r="T316" s="27"/>
      <c r="U316" s="27"/>
      <c r="V316" s="27"/>
    </row>
    <row r="317" spans="1:22" ht="15" hidden="1" customHeight="1" x14ac:dyDescent="0.25">
      <c r="A317" s="22">
        <v>44267</v>
      </c>
      <c r="B317" s="63" t="s">
        <v>31</v>
      </c>
      <c r="C317" s="63" t="s">
        <v>511</v>
      </c>
      <c r="D317" s="74">
        <v>0.39513888888888887</v>
      </c>
      <c r="E317" s="74">
        <v>0.76041666666666663</v>
      </c>
      <c r="F317" s="249" t="s">
        <v>173</v>
      </c>
      <c r="G317" s="63">
        <v>26500</v>
      </c>
      <c r="H317" s="21" t="s">
        <v>515</v>
      </c>
      <c r="I317" s="20"/>
      <c r="T317" s="27"/>
      <c r="U317" s="27"/>
      <c r="V317" s="27"/>
    </row>
    <row r="318" spans="1:22" ht="15" hidden="1" customHeight="1" x14ac:dyDescent="0.25">
      <c r="A318" s="22">
        <v>44267</v>
      </c>
      <c r="B318" s="63" t="s">
        <v>90</v>
      </c>
      <c r="C318" s="63" t="s">
        <v>329</v>
      </c>
      <c r="D318" s="74">
        <v>0.4597222222222222</v>
      </c>
      <c r="E318" s="74">
        <v>0.4680555555555555</v>
      </c>
      <c r="F318" s="241" t="s">
        <v>516</v>
      </c>
      <c r="G318" s="63">
        <v>360</v>
      </c>
      <c r="H318" s="21" t="s">
        <v>450</v>
      </c>
      <c r="I318" s="20"/>
      <c r="T318" s="27"/>
      <c r="U318" s="27"/>
      <c r="V318" s="27"/>
    </row>
    <row r="319" spans="1:22" ht="15" hidden="1" customHeight="1" x14ac:dyDescent="0.25">
      <c r="A319" s="22">
        <v>44267</v>
      </c>
      <c r="B319" s="63" t="s">
        <v>157</v>
      </c>
      <c r="C319" s="63" t="s">
        <v>16</v>
      </c>
      <c r="D319" s="74">
        <v>0.46527777777777773</v>
      </c>
      <c r="E319" s="74">
        <v>0.49583333333333335</v>
      </c>
      <c r="F319" s="252" t="s">
        <v>225</v>
      </c>
      <c r="G319" s="63">
        <v>25240</v>
      </c>
      <c r="H319" s="21" t="s">
        <v>47</v>
      </c>
      <c r="I319" s="20"/>
      <c r="T319" s="27"/>
      <c r="U319" s="27"/>
      <c r="V319" s="27"/>
    </row>
    <row r="320" spans="1:22" ht="15" hidden="1" customHeight="1" x14ac:dyDescent="0.25">
      <c r="A320" s="22">
        <v>44267</v>
      </c>
      <c r="B320" s="63" t="s">
        <v>78</v>
      </c>
      <c r="C320" s="63" t="s">
        <v>16</v>
      </c>
      <c r="D320" s="74">
        <v>0.47986111111111113</v>
      </c>
      <c r="E320" s="74">
        <v>0.54236111111111118</v>
      </c>
      <c r="F320" s="252" t="s">
        <v>225</v>
      </c>
      <c r="G320" s="63">
        <v>25210</v>
      </c>
      <c r="H320" s="21" t="s">
        <v>178</v>
      </c>
      <c r="I320" s="20"/>
      <c r="T320" s="27"/>
      <c r="U320" s="27"/>
      <c r="V320" s="27"/>
    </row>
    <row r="321" spans="1:22" ht="15" hidden="1" customHeight="1" x14ac:dyDescent="0.25">
      <c r="A321" s="22">
        <v>44267</v>
      </c>
      <c r="B321" s="63" t="s">
        <v>90</v>
      </c>
      <c r="C321" s="63" t="s">
        <v>511</v>
      </c>
      <c r="D321" s="74">
        <v>0.51250000000000007</v>
      </c>
      <c r="E321" s="74">
        <v>0.73958333333333337</v>
      </c>
      <c r="F321" s="249" t="s">
        <v>173</v>
      </c>
      <c r="G321" s="63">
        <v>26500</v>
      </c>
      <c r="H321" s="21" t="s">
        <v>517</v>
      </c>
      <c r="I321" s="20"/>
      <c r="T321" s="27"/>
      <c r="U321" s="27"/>
      <c r="V321" s="27"/>
    </row>
    <row r="322" spans="1:22" ht="15" hidden="1" customHeight="1" x14ac:dyDescent="0.25">
      <c r="A322" s="22">
        <v>44267</v>
      </c>
      <c r="B322" s="63" t="s">
        <v>90</v>
      </c>
      <c r="C322" s="63" t="s">
        <v>511</v>
      </c>
      <c r="D322" s="74">
        <v>0.51388888888888895</v>
      </c>
      <c r="E322" s="74">
        <v>0.74652777777777779</v>
      </c>
      <c r="F322" s="249" t="s">
        <v>173</v>
      </c>
      <c r="G322" s="63">
        <v>26500</v>
      </c>
      <c r="H322" s="21" t="s">
        <v>518</v>
      </c>
      <c r="I322" s="20"/>
      <c r="T322" s="27"/>
      <c r="U322" s="27"/>
      <c r="V322" s="27"/>
    </row>
    <row r="323" spans="1:22" ht="15" hidden="1" customHeight="1" x14ac:dyDescent="0.25">
      <c r="A323" s="22">
        <v>44267</v>
      </c>
      <c r="B323" s="63" t="s">
        <v>14</v>
      </c>
      <c r="C323" s="63" t="s">
        <v>519</v>
      </c>
      <c r="D323" s="74">
        <v>0.55694444444444446</v>
      </c>
      <c r="E323" s="74">
        <v>0.56666666666666665</v>
      </c>
      <c r="F323" s="241" t="s">
        <v>204</v>
      </c>
      <c r="G323" s="63">
        <v>12970</v>
      </c>
      <c r="H323" s="21" t="s">
        <v>174</v>
      </c>
      <c r="I323" s="20"/>
      <c r="T323" s="27"/>
      <c r="U323" s="27"/>
      <c r="V323" s="27"/>
    </row>
    <row r="324" spans="1:22" ht="15" hidden="1" customHeight="1" x14ac:dyDescent="0.25">
      <c r="A324" s="22">
        <v>44267</v>
      </c>
      <c r="B324" s="63" t="s">
        <v>412</v>
      </c>
      <c r="C324" s="63" t="s">
        <v>520</v>
      </c>
      <c r="D324" s="74">
        <v>0.57500000000000007</v>
      </c>
      <c r="E324" s="74">
        <v>0.58750000000000002</v>
      </c>
      <c r="F324" s="241" t="s">
        <v>204</v>
      </c>
      <c r="G324" s="63">
        <v>4930</v>
      </c>
      <c r="H324" s="21" t="s">
        <v>415</v>
      </c>
      <c r="I324" s="20"/>
      <c r="T324" s="27"/>
      <c r="U324" s="27"/>
      <c r="V324" s="27"/>
    </row>
    <row r="325" spans="1:22" ht="15" hidden="1" customHeight="1" x14ac:dyDescent="0.25">
      <c r="A325" s="22">
        <v>44267</v>
      </c>
      <c r="B325" s="63" t="s">
        <v>157</v>
      </c>
      <c r="C325" s="63" t="s">
        <v>16</v>
      </c>
      <c r="D325" s="74">
        <v>0.58402777777777781</v>
      </c>
      <c r="E325" s="74">
        <v>0.65416666666666667</v>
      </c>
      <c r="F325" s="252" t="s">
        <v>225</v>
      </c>
      <c r="G325" s="63">
        <v>25240</v>
      </c>
      <c r="H325" s="21" t="s">
        <v>47</v>
      </c>
      <c r="I325" s="20"/>
      <c r="T325" s="27"/>
      <c r="U325" s="27"/>
      <c r="V325" s="27"/>
    </row>
    <row r="326" spans="1:22" ht="15" hidden="1" customHeight="1" x14ac:dyDescent="0.25">
      <c r="A326" s="22">
        <v>44267</v>
      </c>
      <c r="B326" s="63" t="s">
        <v>90</v>
      </c>
      <c r="C326" s="63" t="s">
        <v>259</v>
      </c>
      <c r="D326" s="74">
        <v>0.62152777777777779</v>
      </c>
      <c r="E326" s="74">
        <v>0.68958333333333333</v>
      </c>
      <c r="F326" s="243" t="s">
        <v>52</v>
      </c>
      <c r="G326" s="63">
        <v>35330</v>
      </c>
      <c r="H326" s="21" t="s">
        <v>298</v>
      </c>
      <c r="I326" s="20"/>
      <c r="T326" s="27"/>
      <c r="U326" s="27"/>
      <c r="V326" s="27"/>
    </row>
    <row r="327" spans="1:22" ht="15" hidden="1" customHeight="1" x14ac:dyDescent="0.25">
      <c r="A327" s="22">
        <v>44267</v>
      </c>
      <c r="B327" s="63" t="s">
        <v>229</v>
      </c>
      <c r="C327" s="63" t="s">
        <v>521</v>
      </c>
      <c r="D327" s="74">
        <v>0.62986111111111109</v>
      </c>
      <c r="E327" s="74">
        <v>0.66388888888888886</v>
      </c>
      <c r="F327" s="241" t="s">
        <v>204</v>
      </c>
      <c r="G327" s="63">
        <v>12550</v>
      </c>
      <c r="H327" s="21" t="s">
        <v>176</v>
      </c>
      <c r="I327" s="20"/>
      <c r="T327" s="27"/>
      <c r="U327" s="27"/>
      <c r="V327" s="27"/>
    </row>
    <row r="328" spans="1:22" ht="15" hidden="1" customHeight="1" x14ac:dyDescent="0.25">
      <c r="A328" s="22">
        <v>44267</v>
      </c>
      <c r="B328" s="63" t="s">
        <v>53</v>
      </c>
      <c r="C328" s="63" t="s">
        <v>522</v>
      </c>
      <c r="D328" s="74">
        <v>0.64513888888888882</v>
      </c>
      <c r="E328" s="74">
        <v>0.65555555555555556</v>
      </c>
      <c r="F328" s="241" t="s">
        <v>204</v>
      </c>
      <c r="G328" s="63">
        <v>14620</v>
      </c>
      <c r="H328" s="21" t="s">
        <v>328</v>
      </c>
      <c r="I328" s="20"/>
      <c r="T328" s="27"/>
      <c r="U328" s="27"/>
      <c r="V328" s="27"/>
    </row>
    <row r="329" spans="1:22" ht="15" customHeight="1" x14ac:dyDescent="0.25">
      <c r="A329" s="22">
        <v>44267</v>
      </c>
      <c r="B329" s="63" t="s">
        <v>15</v>
      </c>
      <c r="C329" s="63" t="s">
        <v>522</v>
      </c>
      <c r="D329" s="74">
        <v>0.67499999999999993</v>
      </c>
      <c r="E329" s="74">
        <v>0.68125000000000002</v>
      </c>
      <c r="F329" s="241" t="s">
        <v>204</v>
      </c>
      <c r="G329" s="63">
        <v>11090</v>
      </c>
      <c r="H329" s="21" t="s">
        <v>309</v>
      </c>
      <c r="I329" s="20"/>
      <c r="T329" s="27"/>
      <c r="U329" s="27"/>
      <c r="V329" s="27"/>
    </row>
    <row r="330" spans="1:22" ht="15" hidden="1" customHeight="1" x14ac:dyDescent="0.25">
      <c r="A330" s="22">
        <v>44267</v>
      </c>
      <c r="B330" s="63" t="s">
        <v>90</v>
      </c>
      <c r="C330" s="63" t="s">
        <v>523</v>
      </c>
      <c r="D330" s="74">
        <v>0.6972222222222223</v>
      </c>
      <c r="E330" s="74">
        <v>0.72222222222222221</v>
      </c>
      <c r="F330" s="237" t="s">
        <v>525</v>
      </c>
      <c r="G330" s="63">
        <v>640</v>
      </c>
      <c r="H330" s="21" t="s">
        <v>524</v>
      </c>
      <c r="I330" s="20"/>
      <c r="T330" s="27"/>
      <c r="U330" s="27"/>
      <c r="V330" s="27"/>
    </row>
    <row r="331" spans="1:22" ht="15" hidden="1" customHeight="1" x14ac:dyDescent="0.25">
      <c r="A331" s="22">
        <v>44267</v>
      </c>
      <c r="B331" s="63" t="s">
        <v>412</v>
      </c>
      <c r="C331" s="63" t="s">
        <v>185</v>
      </c>
      <c r="D331" s="74">
        <v>0.69930555555555562</v>
      </c>
      <c r="E331" s="74">
        <v>0.70486111111111116</v>
      </c>
      <c r="F331" s="241" t="s">
        <v>526</v>
      </c>
      <c r="G331" s="63">
        <v>2730</v>
      </c>
      <c r="H331" s="21" t="s">
        <v>415</v>
      </c>
      <c r="I331" s="20"/>
      <c r="T331" s="27"/>
      <c r="U331" s="27"/>
      <c r="V331" s="27"/>
    </row>
    <row r="332" spans="1:22" ht="15" hidden="1" customHeight="1" x14ac:dyDescent="0.25">
      <c r="A332" s="22">
        <v>44267</v>
      </c>
      <c r="B332" s="63" t="s">
        <v>307</v>
      </c>
      <c r="C332" s="63" t="s">
        <v>144</v>
      </c>
      <c r="D332" s="74">
        <v>0.78888888888888886</v>
      </c>
      <c r="E332" s="74">
        <v>0.33611111111111108</v>
      </c>
      <c r="F332" s="236" t="s">
        <v>317</v>
      </c>
      <c r="G332" s="63">
        <v>31820</v>
      </c>
      <c r="H332" s="21" t="s">
        <v>147</v>
      </c>
      <c r="I332" s="20"/>
      <c r="T332" s="27"/>
      <c r="U332" s="27"/>
      <c r="V332" s="27"/>
    </row>
    <row r="333" spans="1:22" ht="15" hidden="1" customHeight="1" x14ac:dyDescent="0.25">
      <c r="A333" s="22">
        <v>44267</v>
      </c>
      <c r="B333" s="63" t="s">
        <v>400</v>
      </c>
      <c r="C333" s="63" t="s">
        <v>527</v>
      </c>
      <c r="D333" s="74">
        <v>0.79236111111111107</v>
      </c>
      <c r="E333" s="74">
        <v>0.12152777777777778</v>
      </c>
      <c r="F333" s="241" t="s">
        <v>186</v>
      </c>
      <c r="G333" s="63">
        <v>6580</v>
      </c>
      <c r="H333" s="21" t="s">
        <v>324</v>
      </c>
      <c r="I333" s="20"/>
      <c r="T333" s="27"/>
      <c r="U333" s="27"/>
      <c r="V333" s="27"/>
    </row>
    <row r="334" spans="1:22" ht="15" hidden="1" customHeight="1" x14ac:dyDescent="0.25">
      <c r="A334" s="22">
        <v>44267</v>
      </c>
      <c r="B334" s="63" t="s">
        <v>53</v>
      </c>
      <c r="C334" s="63" t="s">
        <v>407</v>
      </c>
      <c r="D334" s="74">
        <v>0.89027777777777783</v>
      </c>
      <c r="E334" s="74">
        <v>0.11458333333333333</v>
      </c>
      <c r="F334" s="241" t="s">
        <v>186</v>
      </c>
      <c r="G334" s="63">
        <v>6270</v>
      </c>
      <c r="H334" s="21" t="s">
        <v>328</v>
      </c>
      <c r="I334" s="20"/>
      <c r="T334" s="27"/>
      <c r="U334" s="27"/>
      <c r="V334" s="27"/>
    </row>
    <row r="335" spans="1:22" ht="15" hidden="1" customHeight="1" x14ac:dyDescent="0.25">
      <c r="A335" s="22">
        <v>44267</v>
      </c>
      <c r="B335" s="63" t="s">
        <v>31</v>
      </c>
      <c r="C335" s="63" t="s">
        <v>96</v>
      </c>
      <c r="D335" s="74">
        <v>0.87708333333333333</v>
      </c>
      <c r="E335" s="74">
        <v>0.91319444444444453</v>
      </c>
      <c r="F335" s="241" t="s">
        <v>509</v>
      </c>
      <c r="G335" s="63">
        <v>11760</v>
      </c>
      <c r="H335" s="21" t="s">
        <v>206</v>
      </c>
      <c r="I335" s="20"/>
      <c r="T335" s="27"/>
      <c r="U335" s="27"/>
      <c r="V335" s="27"/>
    </row>
    <row r="336" spans="1:22" ht="15" hidden="1" customHeight="1" x14ac:dyDescent="0.25">
      <c r="A336" s="22">
        <v>44267</v>
      </c>
      <c r="B336" s="63" t="s">
        <v>31</v>
      </c>
      <c r="C336" s="63" t="s">
        <v>151</v>
      </c>
      <c r="D336" s="74">
        <v>0.9291666666666667</v>
      </c>
      <c r="E336" s="74">
        <v>0.9506944444444444</v>
      </c>
      <c r="F336" s="241" t="s">
        <v>528</v>
      </c>
      <c r="G336" s="63">
        <v>2490</v>
      </c>
      <c r="H336" s="21" t="s">
        <v>91</v>
      </c>
      <c r="I336" s="20"/>
      <c r="T336" s="27"/>
      <c r="U336" s="27"/>
      <c r="V336" s="27"/>
    </row>
    <row r="337" spans="1:22" ht="15" hidden="1" customHeight="1" x14ac:dyDescent="0.25">
      <c r="A337" s="22">
        <v>44267</v>
      </c>
      <c r="B337" s="219" t="s">
        <v>31</v>
      </c>
      <c r="C337" s="63" t="s">
        <v>329</v>
      </c>
      <c r="D337" s="74">
        <v>0.96180555555555547</v>
      </c>
      <c r="E337" s="74">
        <v>5.5555555555555558E-3</v>
      </c>
      <c r="F337" s="241" t="s">
        <v>248</v>
      </c>
      <c r="G337" s="63">
        <v>2660</v>
      </c>
      <c r="H337" s="21" t="s">
        <v>460</v>
      </c>
      <c r="I337" s="20"/>
      <c r="T337" s="27"/>
      <c r="U337" s="27"/>
      <c r="V337" s="27"/>
    </row>
    <row r="338" spans="1:22" ht="15" customHeight="1" x14ac:dyDescent="0.25">
      <c r="A338" s="22">
        <v>44267</v>
      </c>
      <c r="B338" s="63" t="s">
        <v>15</v>
      </c>
      <c r="C338" s="63" t="s">
        <v>223</v>
      </c>
      <c r="D338" s="74" t="s">
        <v>529</v>
      </c>
      <c r="E338" s="74">
        <v>0.10625</v>
      </c>
      <c r="F338" s="241" t="s">
        <v>530</v>
      </c>
      <c r="G338" s="63">
        <v>23110</v>
      </c>
      <c r="H338" s="21" t="s">
        <v>456</v>
      </c>
      <c r="I338" s="20"/>
      <c r="T338" s="27"/>
      <c r="U338" s="27"/>
      <c r="V338" s="27"/>
    </row>
    <row r="339" spans="1:22" ht="15" hidden="1" customHeight="1" x14ac:dyDescent="0.25">
      <c r="A339" s="22">
        <v>44267</v>
      </c>
      <c r="B339" s="63" t="s">
        <v>31</v>
      </c>
      <c r="C339" s="63" t="s">
        <v>342</v>
      </c>
      <c r="D339" s="74">
        <v>0.98333333333333339</v>
      </c>
      <c r="E339" s="74">
        <v>7.2222222222222229E-2</v>
      </c>
      <c r="F339" s="241" t="s">
        <v>204</v>
      </c>
      <c r="G339" s="63">
        <v>11140</v>
      </c>
      <c r="H339" s="21" t="s">
        <v>531</v>
      </c>
      <c r="I339" s="20"/>
      <c r="T339" s="27"/>
      <c r="U339" s="27"/>
      <c r="V339" s="27"/>
    </row>
    <row r="340" spans="1:22" ht="15" hidden="1" customHeight="1" x14ac:dyDescent="0.25">
      <c r="A340" s="22">
        <v>44268</v>
      </c>
      <c r="B340" s="63" t="s">
        <v>181</v>
      </c>
      <c r="C340" s="63" t="s">
        <v>149</v>
      </c>
      <c r="D340" s="74">
        <v>5.2777777777777778E-2</v>
      </c>
      <c r="E340" s="74">
        <v>0.28263888888888888</v>
      </c>
      <c r="F340" s="241" t="s">
        <v>217</v>
      </c>
      <c r="G340" s="63">
        <v>11490</v>
      </c>
      <c r="H340" s="21" t="s">
        <v>211</v>
      </c>
      <c r="I340" s="20"/>
      <c r="T340" s="27"/>
      <c r="U340" s="27"/>
      <c r="V340" s="27"/>
    </row>
    <row r="341" spans="1:22" ht="15" hidden="1" customHeight="1" x14ac:dyDescent="0.25">
      <c r="A341" s="22">
        <v>44268</v>
      </c>
      <c r="B341" s="63" t="s">
        <v>229</v>
      </c>
      <c r="C341" s="63" t="s">
        <v>532</v>
      </c>
      <c r="D341" s="74">
        <v>8.4722222222222213E-2</v>
      </c>
      <c r="E341" s="74">
        <v>9.3055555555555558E-2</v>
      </c>
      <c r="F341" s="241" t="s">
        <v>533</v>
      </c>
      <c r="G341" s="63">
        <v>10960</v>
      </c>
      <c r="H341" s="21" t="s">
        <v>176</v>
      </c>
      <c r="I341" s="20"/>
      <c r="T341" s="27"/>
      <c r="U341" s="27"/>
      <c r="V341" s="27"/>
    </row>
    <row r="342" spans="1:22" ht="15" hidden="1" customHeight="1" x14ac:dyDescent="0.25">
      <c r="A342" s="22">
        <v>44268</v>
      </c>
      <c r="B342" s="63" t="s">
        <v>31</v>
      </c>
      <c r="C342" s="63" t="s">
        <v>329</v>
      </c>
      <c r="D342" s="74">
        <v>8.8888888888888892E-2</v>
      </c>
      <c r="E342" s="74">
        <v>0.1361111111111111</v>
      </c>
      <c r="F342" s="241" t="s">
        <v>526</v>
      </c>
      <c r="G342" s="63">
        <v>4670</v>
      </c>
      <c r="H342" s="21" t="s">
        <v>339</v>
      </c>
      <c r="I342" s="20"/>
      <c r="T342" s="27"/>
      <c r="U342" s="27"/>
      <c r="V342" s="27"/>
    </row>
    <row r="343" spans="1:22" ht="15" hidden="1" customHeight="1" x14ac:dyDescent="0.25">
      <c r="A343" s="22">
        <v>44268</v>
      </c>
      <c r="B343" s="63" t="s">
        <v>300</v>
      </c>
      <c r="C343" s="63" t="s">
        <v>534</v>
      </c>
      <c r="D343" s="74">
        <v>0.12291666666666667</v>
      </c>
      <c r="E343" s="74">
        <v>0.13472222222222222</v>
      </c>
      <c r="F343" s="241" t="s">
        <v>535</v>
      </c>
      <c r="G343" s="63">
        <v>10140</v>
      </c>
      <c r="H343" s="21" t="s">
        <v>299</v>
      </c>
      <c r="I343" s="20"/>
      <c r="T343" s="27"/>
      <c r="U343" s="27"/>
      <c r="V343" s="27"/>
    </row>
    <row r="344" spans="1:22" ht="15" hidden="1" customHeight="1" x14ac:dyDescent="0.25">
      <c r="A344" s="22">
        <v>44268</v>
      </c>
      <c r="B344" s="63" t="s">
        <v>58</v>
      </c>
      <c r="C344" s="63" t="s">
        <v>312</v>
      </c>
      <c r="D344" s="74">
        <v>0.12569444444444444</v>
      </c>
      <c r="E344" s="74">
        <v>0.13749999999999998</v>
      </c>
      <c r="F344" s="241" t="s">
        <v>705</v>
      </c>
      <c r="G344" s="63">
        <v>22240</v>
      </c>
      <c r="H344" s="21" t="s">
        <v>313</v>
      </c>
      <c r="I344" s="20"/>
      <c r="T344" s="27"/>
      <c r="U344" s="27"/>
      <c r="V344" s="27"/>
    </row>
    <row r="345" spans="1:22" ht="15" hidden="1" customHeight="1" x14ac:dyDescent="0.25">
      <c r="A345" s="22">
        <v>44268</v>
      </c>
      <c r="B345" s="63" t="s">
        <v>31</v>
      </c>
      <c r="C345" s="63" t="s">
        <v>511</v>
      </c>
      <c r="D345" s="74">
        <v>0.35069444444444442</v>
      </c>
      <c r="E345" s="74">
        <v>0.55208333333333337</v>
      </c>
      <c r="F345" s="249" t="s">
        <v>173</v>
      </c>
      <c r="G345" s="63">
        <v>26500</v>
      </c>
      <c r="H345" s="21" t="s">
        <v>536</v>
      </c>
      <c r="I345" s="20"/>
      <c r="T345" s="27"/>
      <c r="U345" s="27"/>
      <c r="V345" s="27"/>
    </row>
    <row r="346" spans="1:22" ht="15" hidden="1" customHeight="1" x14ac:dyDescent="0.25">
      <c r="A346" s="22">
        <v>44268</v>
      </c>
      <c r="B346" s="63" t="s">
        <v>31</v>
      </c>
      <c r="C346" s="63" t="s">
        <v>511</v>
      </c>
      <c r="D346" s="74">
        <v>0.35347222222222219</v>
      </c>
      <c r="E346" s="74">
        <v>0.56388888888888888</v>
      </c>
      <c r="F346" s="249" t="s">
        <v>173</v>
      </c>
      <c r="G346" s="63">
        <v>26500</v>
      </c>
      <c r="H346" s="21" t="s">
        <v>537</v>
      </c>
      <c r="I346" s="20"/>
      <c r="T346" s="27"/>
      <c r="U346" s="27"/>
      <c r="V346" s="27"/>
    </row>
    <row r="347" spans="1:22" ht="15" hidden="1" customHeight="1" x14ac:dyDescent="0.25">
      <c r="A347" s="22">
        <v>44268</v>
      </c>
      <c r="B347" s="63" t="s">
        <v>31</v>
      </c>
      <c r="C347" s="63" t="s">
        <v>511</v>
      </c>
      <c r="D347" s="74">
        <v>0.3576388888888889</v>
      </c>
      <c r="E347" s="74">
        <v>0.54999999999999993</v>
      </c>
      <c r="F347" s="249" t="s">
        <v>173</v>
      </c>
      <c r="G347" s="63">
        <v>26500</v>
      </c>
      <c r="H347" s="21" t="s">
        <v>538</v>
      </c>
      <c r="I347" s="20"/>
      <c r="T347" s="27"/>
      <c r="U347" s="27"/>
      <c r="V347" s="27"/>
    </row>
    <row r="348" spans="1:22" ht="15" hidden="1" customHeight="1" x14ac:dyDescent="0.25">
      <c r="A348" s="22">
        <v>44268</v>
      </c>
      <c r="B348" s="63" t="s">
        <v>14</v>
      </c>
      <c r="C348" s="63" t="s">
        <v>467</v>
      </c>
      <c r="D348" s="74">
        <v>0.35555555555555557</v>
      </c>
      <c r="E348" s="74">
        <v>0.3611111111111111</v>
      </c>
      <c r="F348" s="241" t="s">
        <v>241</v>
      </c>
      <c r="G348" s="63">
        <v>22950</v>
      </c>
      <c r="H348" s="21" t="s">
        <v>174</v>
      </c>
      <c r="I348" s="20"/>
      <c r="T348" s="27"/>
      <c r="U348" s="27"/>
      <c r="V348" s="27"/>
    </row>
    <row r="349" spans="1:22" ht="15" hidden="1" customHeight="1" x14ac:dyDescent="0.25">
      <c r="A349" s="22">
        <v>44268</v>
      </c>
      <c r="B349" s="63" t="s">
        <v>229</v>
      </c>
      <c r="C349" s="63" t="s">
        <v>467</v>
      </c>
      <c r="D349" s="74">
        <v>0.36249999999999999</v>
      </c>
      <c r="E349" s="74">
        <v>0.36944444444444446</v>
      </c>
      <c r="F349" s="241" t="s">
        <v>241</v>
      </c>
      <c r="G349" s="63">
        <v>23210</v>
      </c>
      <c r="H349" s="21" t="s">
        <v>176</v>
      </c>
      <c r="I349" s="20"/>
      <c r="T349" s="27"/>
      <c r="U349" s="27"/>
      <c r="V349" s="27"/>
    </row>
    <row r="350" spans="1:22" ht="15" hidden="1" customHeight="1" x14ac:dyDescent="0.25">
      <c r="A350" s="22">
        <v>44268</v>
      </c>
      <c r="B350" s="63" t="s">
        <v>53</v>
      </c>
      <c r="C350" s="63" t="s">
        <v>16</v>
      </c>
      <c r="D350" s="74">
        <v>0.3743055555555555</v>
      </c>
      <c r="E350" s="74">
        <v>0.38263888888888892</v>
      </c>
      <c r="F350" s="252" t="s">
        <v>225</v>
      </c>
      <c r="G350" s="63">
        <v>1820</v>
      </c>
      <c r="H350" s="21" t="s">
        <v>328</v>
      </c>
      <c r="I350" s="20"/>
      <c r="T350" s="27"/>
      <c r="U350" s="27"/>
      <c r="V350" s="27"/>
    </row>
    <row r="351" spans="1:22" ht="15" hidden="1" customHeight="1" x14ac:dyDescent="0.25">
      <c r="A351" s="22">
        <v>44268</v>
      </c>
      <c r="B351" s="219" t="s">
        <v>31</v>
      </c>
      <c r="C351" s="63" t="s">
        <v>329</v>
      </c>
      <c r="D351" s="74">
        <v>0.41597222222222219</v>
      </c>
      <c r="E351" s="74">
        <v>0.43541666666666662</v>
      </c>
      <c r="F351" s="241" t="s">
        <v>241</v>
      </c>
      <c r="G351" s="63">
        <v>4030</v>
      </c>
      <c r="H351" s="21" t="s">
        <v>460</v>
      </c>
      <c r="I351" s="20"/>
      <c r="T351" s="27"/>
      <c r="U351" s="27"/>
      <c r="V351" s="27"/>
    </row>
    <row r="352" spans="1:22" ht="15" hidden="1" customHeight="1" x14ac:dyDescent="0.25">
      <c r="A352" s="22">
        <v>44268</v>
      </c>
      <c r="B352" s="63" t="s">
        <v>83</v>
      </c>
      <c r="C352" s="63" t="s">
        <v>511</v>
      </c>
      <c r="D352" s="74">
        <v>0.42152777777777778</v>
      </c>
      <c r="E352" s="74">
        <v>0.56180555555555556</v>
      </c>
      <c r="F352" s="249" t="s">
        <v>173</v>
      </c>
      <c r="G352" s="63">
        <v>26500</v>
      </c>
      <c r="H352" s="21" t="s">
        <v>512</v>
      </c>
      <c r="I352" s="20"/>
      <c r="T352" s="27"/>
      <c r="U352" s="27"/>
      <c r="V352" s="27"/>
    </row>
    <row r="353" spans="1:22" ht="15" hidden="1" customHeight="1" x14ac:dyDescent="0.25">
      <c r="A353" s="22">
        <v>44268</v>
      </c>
      <c r="B353" s="63" t="s">
        <v>53</v>
      </c>
      <c r="C353" s="63" t="s">
        <v>16</v>
      </c>
      <c r="D353" s="74">
        <v>0.45416666666666666</v>
      </c>
      <c r="E353" s="74">
        <v>0.4909722222222222</v>
      </c>
      <c r="F353" s="252" t="s">
        <v>225</v>
      </c>
      <c r="G353" s="63">
        <v>25410</v>
      </c>
      <c r="H353" s="21" t="s">
        <v>328</v>
      </c>
      <c r="I353" s="20"/>
      <c r="T353" s="27"/>
      <c r="U353" s="27"/>
      <c r="V353" s="27"/>
    </row>
    <row r="354" spans="1:22" ht="15" hidden="1" customHeight="1" x14ac:dyDescent="0.25">
      <c r="A354" s="22">
        <v>44268</v>
      </c>
      <c r="B354" s="63" t="s">
        <v>150</v>
      </c>
      <c r="C354" s="63" t="s">
        <v>539</v>
      </c>
      <c r="D354" s="74">
        <v>0.45833333333333331</v>
      </c>
      <c r="E354" s="74">
        <v>0.46388888888888885</v>
      </c>
      <c r="F354" s="241" t="s">
        <v>540</v>
      </c>
      <c r="G354" s="63">
        <v>22020</v>
      </c>
      <c r="H354" s="21" t="s">
        <v>232</v>
      </c>
      <c r="I354" s="20"/>
      <c r="T354" s="27"/>
      <c r="U354" s="27"/>
      <c r="V354" s="27"/>
    </row>
    <row r="355" spans="1:22" ht="15" hidden="1" customHeight="1" x14ac:dyDescent="0.25">
      <c r="A355" s="22">
        <v>44268</v>
      </c>
      <c r="B355" s="63" t="s">
        <v>157</v>
      </c>
      <c r="C355" s="63" t="s">
        <v>541</v>
      </c>
      <c r="D355" s="74">
        <v>0.4777777777777778</v>
      </c>
      <c r="E355" s="74">
        <v>0.4826388888888889</v>
      </c>
      <c r="F355" s="241" t="s">
        <v>204</v>
      </c>
      <c r="G355" s="63">
        <v>23040</v>
      </c>
      <c r="H355" s="21" t="s">
        <v>47</v>
      </c>
      <c r="I355" s="20"/>
      <c r="T355" s="27"/>
      <c r="U355" s="27"/>
      <c r="V355" s="27"/>
    </row>
    <row r="356" spans="1:22" ht="15" hidden="1" customHeight="1" x14ac:dyDescent="0.25">
      <c r="A356" s="22">
        <v>44268</v>
      </c>
      <c r="B356" s="63" t="s">
        <v>90</v>
      </c>
      <c r="C356" s="63" t="s">
        <v>511</v>
      </c>
      <c r="D356" s="74">
        <v>0.47986111111111113</v>
      </c>
      <c r="E356" s="74">
        <v>0.69791666666666663</v>
      </c>
      <c r="F356" s="249" t="s">
        <v>173</v>
      </c>
      <c r="G356" s="63">
        <v>26500</v>
      </c>
      <c r="H356" s="21" t="s">
        <v>517</v>
      </c>
      <c r="I356" s="20"/>
      <c r="T356" s="27"/>
      <c r="U356" s="27"/>
      <c r="V356" s="27"/>
    </row>
    <row r="357" spans="1:22" ht="15" hidden="1" customHeight="1" x14ac:dyDescent="0.25">
      <c r="A357" s="22">
        <v>44268</v>
      </c>
      <c r="B357" s="63" t="s">
        <v>90</v>
      </c>
      <c r="C357" s="63" t="s">
        <v>511</v>
      </c>
      <c r="D357" s="74">
        <v>0.48125000000000001</v>
      </c>
      <c r="E357" s="74">
        <v>0.70138888888888884</v>
      </c>
      <c r="F357" s="249" t="s">
        <v>173</v>
      </c>
      <c r="G357" s="63">
        <v>26500</v>
      </c>
      <c r="H357" s="21" t="s">
        <v>518</v>
      </c>
      <c r="I357" s="20"/>
      <c r="T357" s="27"/>
      <c r="U357" s="27"/>
      <c r="V357" s="27"/>
    </row>
    <row r="358" spans="1:22" ht="15" hidden="1" customHeight="1" x14ac:dyDescent="0.25">
      <c r="A358" s="22">
        <v>44268</v>
      </c>
      <c r="B358" s="63" t="s">
        <v>412</v>
      </c>
      <c r="C358" s="63" t="s">
        <v>192</v>
      </c>
      <c r="D358" s="74">
        <v>0.48472222222222222</v>
      </c>
      <c r="E358" s="74">
        <v>0.48749999999999999</v>
      </c>
      <c r="F358" s="241" t="s">
        <v>204</v>
      </c>
      <c r="G358" s="63">
        <v>11450</v>
      </c>
      <c r="H358" s="21" t="s">
        <v>415</v>
      </c>
      <c r="I358" s="20"/>
      <c r="T358" s="27"/>
      <c r="U358" s="27"/>
      <c r="V358" s="27"/>
    </row>
    <row r="359" spans="1:22" ht="15" customHeight="1" x14ac:dyDescent="0.25">
      <c r="A359" s="22">
        <v>44268</v>
      </c>
      <c r="B359" s="63" t="s">
        <v>15</v>
      </c>
      <c r="C359" s="63" t="s">
        <v>192</v>
      </c>
      <c r="D359" s="74">
        <v>0.49374999999999997</v>
      </c>
      <c r="E359" s="74">
        <v>0.50138888888888888</v>
      </c>
      <c r="F359" s="241" t="s">
        <v>204</v>
      </c>
      <c r="G359" s="63">
        <v>20770</v>
      </c>
      <c r="H359" s="21" t="s">
        <v>456</v>
      </c>
      <c r="I359" s="20"/>
      <c r="T359" s="27"/>
      <c r="U359" s="27"/>
      <c r="V359" s="27"/>
    </row>
    <row r="360" spans="1:22" ht="15" hidden="1" customHeight="1" x14ac:dyDescent="0.25">
      <c r="A360" s="22">
        <v>44268</v>
      </c>
      <c r="B360" s="63" t="s">
        <v>78</v>
      </c>
      <c r="C360" s="63" t="s">
        <v>192</v>
      </c>
      <c r="D360" s="74">
        <v>0.49791666666666662</v>
      </c>
      <c r="E360" s="74">
        <v>0.5083333333333333</v>
      </c>
      <c r="F360" s="241" t="s">
        <v>204</v>
      </c>
      <c r="G360" s="63">
        <v>20910</v>
      </c>
      <c r="H360" s="21" t="s">
        <v>178</v>
      </c>
      <c r="I360" s="20"/>
      <c r="T360" s="27"/>
      <c r="U360" s="27"/>
      <c r="V360" s="27"/>
    </row>
    <row r="361" spans="1:22" ht="15" hidden="1" customHeight="1" x14ac:dyDescent="0.25">
      <c r="A361" s="22">
        <v>44268</v>
      </c>
      <c r="B361" s="63" t="s">
        <v>229</v>
      </c>
      <c r="C361" s="63" t="s">
        <v>192</v>
      </c>
      <c r="D361" s="74">
        <v>0.50486111111111109</v>
      </c>
      <c r="E361" s="74">
        <v>0.50972222222222219</v>
      </c>
      <c r="F361" s="241" t="s">
        <v>204</v>
      </c>
      <c r="G361" s="63">
        <v>21770</v>
      </c>
      <c r="H361" s="21" t="s">
        <v>176</v>
      </c>
      <c r="I361" s="20"/>
      <c r="T361" s="27"/>
      <c r="U361" s="27"/>
      <c r="V361" s="27"/>
    </row>
    <row r="362" spans="1:22" ht="15" hidden="1" customHeight="1" x14ac:dyDescent="0.25">
      <c r="A362" s="22">
        <v>44268</v>
      </c>
      <c r="B362" s="63" t="s">
        <v>400</v>
      </c>
      <c r="C362" s="63" t="s">
        <v>192</v>
      </c>
      <c r="D362" s="74">
        <v>0.50624999999999998</v>
      </c>
      <c r="E362" s="74">
        <v>0.51111111111111118</v>
      </c>
      <c r="F362" s="241" t="s">
        <v>204</v>
      </c>
      <c r="G362" s="63">
        <v>9470</v>
      </c>
      <c r="H362" s="21" t="s">
        <v>324</v>
      </c>
      <c r="I362" s="20"/>
      <c r="T362" s="27"/>
      <c r="U362" s="27"/>
      <c r="V362" s="27"/>
    </row>
    <row r="363" spans="1:22" ht="15" hidden="1" customHeight="1" x14ac:dyDescent="0.25">
      <c r="A363" s="22">
        <v>44268</v>
      </c>
      <c r="B363" s="63" t="s">
        <v>97</v>
      </c>
      <c r="C363" s="63" t="s">
        <v>263</v>
      </c>
      <c r="D363" s="74">
        <v>0.50694444444444442</v>
      </c>
      <c r="E363" s="74">
        <v>0.51597222222222217</v>
      </c>
      <c r="F363" s="241" t="s">
        <v>542</v>
      </c>
      <c r="G363" s="63">
        <v>1470</v>
      </c>
      <c r="H363" s="21" t="s">
        <v>92</v>
      </c>
      <c r="I363" s="20"/>
      <c r="T363" s="27"/>
      <c r="U363" s="27"/>
      <c r="V363" s="27"/>
    </row>
    <row r="364" spans="1:22" ht="15" hidden="1" customHeight="1" x14ac:dyDescent="0.25">
      <c r="A364" s="22">
        <v>44268</v>
      </c>
      <c r="B364" s="63" t="s">
        <v>14</v>
      </c>
      <c r="C364" s="63" t="s">
        <v>192</v>
      </c>
      <c r="D364" s="74">
        <v>0.5229166666666667</v>
      </c>
      <c r="E364" s="74">
        <v>0.52777777777777779</v>
      </c>
      <c r="F364" s="241" t="s">
        <v>204</v>
      </c>
      <c r="G364" s="63">
        <v>21570</v>
      </c>
      <c r="H364" s="21" t="s">
        <v>174</v>
      </c>
      <c r="I364" s="20"/>
      <c r="T364" s="27"/>
      <c r="U364" s="27"/>
      <c r="V364" s="27"/>
    </row>
    <row r="365" spans="1:22" ht="15" hidden="1" customHeight="1" x14ac:dyDescent="0.25">
      <c r="A365" s="22">
        <v>44268</v>
      </c>
      <c r="B365" s="63" t="s">
        <v>150</v>
      </c>
      <c r="C365" s="63" t="s">
        <v>543</v>
      </c>
      <c r="D365" s="74">
        <v>0.55486111111111114</v>
      </c>
      <c r="E365" s="74">
        <v>0.5708333333333333</v>
      </c>
      <c r="F365" s="241" t="s">
        <v>204</v>
      </c>
      <c r="G365" s="63">
        <v>20760</v>
      </c>
      <c r="H365" s="21" t="s">
        <v>232</v>
      </c>
      <c r="I365" s="20"/>
      <c r="T365" s="27"/>
      <c r="U365" s="27"/>
      <c r="V365" s="27"/>
    </row>
    <row r="366" spans="1:22" ht="15" hidden="1" customHeight="1" x14ac:dyDescent="0.25">
      <c r="A366" s="22">
        <v>44268</v>
      </c>
      <c r="B366" s="63" t="s">
        <v>157</v>
      </c>
      <c r="C366" s="63" t="s">
        <v>476</v>
      </c>
      <c r="D366" s="74">
        <v>0.55694444444444446</v>
      </c>
      <c r="E366" s="74">
        <v>0.57222222222222219</v>
      </c>
      <c r="F366" s="241" t="s">
        <v>204</v>
      </c>
      <c r="G366" s="63">
        <v>26620</v>
      </c>
      <c r="H366" s="21" t="s">
        <v>47</v>
      </c>
      <c r="I366" s="20"/>
      <c r="T366" s="27"/>
      <c r="U366" s="27"/>
      <c r="V366" s="27"/>
    </row>
    <row r="367" spans="1:22" ht="15" hidden="1" customHeight="1" x14ac:dyDescent="0.25">
      <c r="A367" s="22">
        <v>44268</v>
      </c>
      <c r="B367" s="63" t="s">
        <v>53</v>
      </c>
      <c r="C367" s="63" t="s">
        <v>16</v>
      </c>
      <c r="D367" s="74">
        <v>0.58194444444444449</v>
      </c>
      <c r="E367" s="74">
        <v>0.62152777777777779</v>
      </c>
      <c r="F367" s="252" t="s">
        <v>225</v>
      </c>
      <c r="G367" s="63">
        <v>23780</v>
      </c>
      <c r="H367" s="21" t="s">
        <v>328</v>
      </c>
      <c r="I367" s="20"/>
      <c r="T367" s="27"/>
      <c r="U367" s="27"/>
      <c r="V367" s="27"/>
    </row>
    <row r="368" spans="1:22" ht="15" hidden="1" customHeight="1" x14ac:dyDescent="0.25">
      <c r="A368" s="22">
        <v>44268</v>
      </c>
      <c r="B368" s="63" t="s">
        <v>400</v>
      </c>
      <c r="C368" s="63" t="s">
        <v>203</v>
      </c>
      <c r="D368" s="74">
        <v>0.58888888888888891</v>
      </c>
      <c r="E368" s="74">
        <v>0.59583333333333333</v>
      </c>
      <c r="F368" s="241" t="s">
        <v>544</v>
      </c>
      <c r="G368" s="63">
        <v>8125</v>
      </c>
      <c r="H368" s="21" t="s">
        <v>324</v>
      </c>
      <c r="I368" s="20"/>
      <c r="T368" s="27"/>
      <c r="U368" s="27"/>
      <c r="V368" s="27"/>
    </row>
    <row r="369" spans="1:22" ht="15" hidden="1" customHeight="1" x14ac:dyDescent="0.25">
      <c r="A369" s="22">
        <v>44268</v>
      </c>
      <c r="B369" s="63" t="s">
        <v>412</v>
      </c>
      <c r="C369" s="63" t="s">
        <v>545</v>
      </c>
      <c r="D369" s="74">
        <v>0.59236111111111112</v>
      </c>
      <c r="E369" s="74">
        <v>0.59791666666666665</v>
      </c>
      <c r="F369" s="241" t="s">
        <v>546</v>
      </c>
      <c r="G369" s="63">
        <v>11170</v>
      </c>
      <c r="H369" s="21" t="s">
        <v>415</v>
      </c>
      <c r="I369" s="20"/>
      <c r="T369" s="27"/>
      <c r="U369" s="27"/>
      <c r="V369" s="27"/>
    </row>
    <row r="370" spans="1:22" ht="15" customHeight="1" x14ac:dyDescent="0.25">
      <c r="A370" s="22">
        <v>44268</v>
      </c>
      <c r="B370" s="63" t="s">
        <v>15</v>
      </c>
      <c r="C370" s="63" t="s">
        <v>207</v>
      </c>
      <c r="D370" s="74">
        <v>0.59930555555555554</v>
      </c>
      <c r="E370" s="74">
        <v>0.60416666666666663</v>
      </c>
      <c r="F370" s="241" t="s">
        <v>204</v>
      </c>
      <c r="G370" s="63">
        <v>20340</v>
      </c>
      <c r="H370" s="21" t="s">
        <v>456</v>
      </c>
      <c r="I370" s="20"/>
      <c r="T370" s="27"/>
      <c r="U370" s="27"/>
      <c r="V370" s="27"/>
    </row>
    <row r="371" spans="1:22" ht="15" hidden="1" customHeight="1" x14ac:dyDescent="0.25">
      <c r="A371" s="22">
        <v>44268</v>
      </c>
      <c r="B371" s="63" t="s">
        <v>78</v>
      </c>
      <c r="C371" s="63" t="s">
        <v>207</v>
      </c>
      <c r="D371" s="74">
        <v>0.60069444444444442</v>
      </c>
      <c r="E371" s="74">
        <v>0.6069444444444444</v>
      </c>
      <c r="F371" s="241" t="s">
        <v>547</v>
      </c>
      <c r="G371" s="63">
        <v>23250</v>
      </c>
      <c r="H371" s="21" t="s">
        <v>178</v>
      </c>
      <c r="I371" s="20"/>
      <c r="T371" s="27"/>
      <c r="U371" s="27"/>
      <c r="V371" s="27"/>
    </row>
    <row r="372" spans="1:22" ht="15" hidden="1" customHeight="1" x14ac:dyDescent="0.25">
      <c r="A372" s="22">
        <v>44268</v>
      </c>
      <c r="B372" s="63" t="s">
        <v>14</v>
      </c>
      <c r="C372" s="63" t="s">
        <v>207</v>
      </c>
      <c r="D372" s="74">
        <v>0.6020833333333333</v>
      </c>
      <c r="E372" s="74">
        <v>0.60902777777777783</v>
      </c>
      <c r="F372" s="241" t="s">
        <v>547</v>
      </c>
      <c r="G372" s="63">
        <v>21450</v>
      </c>
      <c r="H372" s="21" t="s">
        <v>174</v>
      </c>
      <c r="I372" s="20"/>
      <c r="T372" s="27"/>
      <c r="U372" s="27"/>
      <c r="V372" s="27"/>
    </row>
    <row r="373" spans="1:22" ht="15" hidden="1" customHeight="1" x14ac:dyDescent="0.25">
      <c r="A373" s="22">
        <v>44268</v>
      </c>
      <c r="B373" s="63" t="s">
        <v>150</v>
      </c>
      <c r="C373" s="63" t="s">
        <v>207</v>
      </c>
      <c r="D373" s="74">
        <v>0.61249999999999993</v>
      </c>
      <c r="E373" s="74">
        <v>0.61736111111111114</v>
      </c>
      <c r="F373" s="241" t="s">
        <v>547</v>
      </c>
      <c r="G373" s="63">
        <v>21030</v>
      </c>
      <c r="H373" s="21" t="s">
        <v>232</v>
      </c>
      <c r="I373" s="20"/>
      <c r="T373" s="27"/>
      <c r="U373" s="27"/>
      <c r="V373" s="27"/>
    </row>
    <row r="374" spans="1:22" ht="15" hidden="1" customHeight="1" x14ac:dyDescent="0.25">
      <c r="A374" s="22">
        <v>44268</v>
      </c>
      <c r="B374" s="63" t="s">
        <v>229</v>
      </c>
      <c r="C374" s="63" t="s">
        <v>476</v>
      </c>
      <c r="D374" s="74">
        <v>0.61458333333333337</v>
      </c>
      <c r="E374" s="74">
        <v>0.61944444444444446</v>
      </c>
      <c r="F374" s="241" t="s">
        <v>204</v>
      </c>
      <c r="G374" s="63">
        <v>34970</v>
      </c>
      <c r="H374" s="21" t="s">
        <v>176</v>
      </c>
      <c r="I374" s="20"/>
      <c r="T374" s="27"/>
      <c r="U374" s="27"/>
      <c r="V374" s="27"/>
    </row>
    <row r="375" spans="1:22" ht="15" hidden="1" customHeight="1" x14ac:dyDescent="0.25">
      <c r="A375" s="22">
        <v>44268</v>
      </c>
      <c r="B375" s="63" t="s">
        <v>307</v>
      </c>
      <c r="C375" s="63" t="s">
        <v>16</v>
      </c>
      <c r="D375" s="74">
        <v>0.61597222222222225</v>
      </c>
      <c r="E375" s="74">
        <v>0.65555555555555556</v>
      </c>
      <c r="F375" s="252" t="s">
        <v>225</v>
      </c>
      <c r="G375" s="63">
        <v>25370</v>
      </c>
      <c r="H375" s="21" t="s">
        <v>147</v>
      </c>
      <c r="I375" s="20"/>
      <c r="T375" s="27"/>
      <c r="U375" s="27"/>
      <c r="V375" s="27"/>
    </row>
    <row r="376" spans="1:22" ht="15" hidden="1" customHeight="1" x14ac:dyDescent="0.25">
      <c r="A376" s="22">
        <v>44268</v>
      </c>
      <c r="B376" s="63" t="s">
        <v>157</v>
      </c>
      <c r="C376" s="63" t="s">
        <v>207</v>
      </c>
      <c r="D376" s="74">
        <v>0.62291666666666667</v>
      </c>
      <c r="E376" s="74">
        <v>0.62777777777777777</v>
      </c>
      <c r="F376" s="241" t="s">
        <v>204</v>
      </c>
      <c r="G376" s="63">
        <v>21160</v>
      </c>
      <c r="H376" s="21" t="s">
        <v>47</v>
      </c>
      <c r="I376" s="20"/>
      <c r="T376" s="27"/>
      <c r="U376" s="27"/>
      <c r="V376" s="27"/>
    </row>
    <row r="377" spans="1:22" ht="15" hidden="1" customHeight="1" x14ac:dyDescent="0.25">
      <c r="A377" s="22">
        <v>44268</v>
      </c>
      <c r="B377" s="63" t="s">
        <v>400</v>
      </c>
      <c r="C377" s="63" t="s">
        <v>203</v>
      </c>
      <c r="D377" s="74">
        <v>0.64652777777777781</v>
      </c>
      <c r="E377" s="74">
        <v>0.65763888888888888</v>
      </c>
      <c r="F377" s="241" t="s">
        <v>544</v>
      </c>
      <c r="G377" s="63">
        <v>8590</v>
      </c>
      <c r="H377" s="21" t="s">
        <v>324</v>
      </c>
      <c r="I377" s="20"/>
      <c r="T377" s="27"/>
      <c r="U377" s="27"/>
      <c r="V377" s="27"/>
    </row>
    <row r="378" spans="1:22" ht="15" hidden="1" customHeight="1" x14ac:dyDescent="0.25">
      <c r="A378" s="22">
        <v>44268</v>
      </c>
      <c r="B378" s="63" t="s">
        <v>412</v>
      </c>
      <c r="C378" s="63" t="s">
        <v>207</v>
      </c>
      <c r="D378" s="74">
        <v>0.65138888888888891</v>
      </c>
      <c r="E378" s="74">
        <v>0.66041666666666665</v>
      </c>
      <c r="F378" s="241" t="s">
        <v>204</v>
      </c>
      <c r="G378" s="63">
        <v>12100</v>
      </c>
      <c r="H378" s="21" t="s">
        <v>415</v>
      </c>
      <c r="I378" s="20"/>
      <c r="T378" s="27"/>
      <c r="U378" s="27"/>
      <c r="V378" s="27"/>
    </row>
    <row r="379" spans="1:22" ht="15" customHeight="1" x14ac:dyDescent="0.25">
      <c r="A379" s="22">
        <v>44268</v>
      </c>
      <c r="B379" s="63" t="s">
        <v>15</v>
      </c>
      <c r="C379" s="63" t="s">
        <v>548</v>
      </c>
      <c r="D379" s="74">
        <v>0.68333333333333324</v>
      </c>
      <c r="E379" s="74">
        <v>0.68819444444444444</v>
      </c>
      <c r="F379" s="241" t="s">
        <v>549</v>
      </c>
      <c r="G379" s="63">
        <v>22100</v>
      </c>
      <c r="H379" s="21" t="s">
        <v>456</v>
      </c>
      <c r="I379" s="20"/>
      <c r="T379" s="27"/>
      <c r="U379" s="27"/>
      <c r="V379" s="27"/>
    </row>
    <row r="380" spans="1:22" ht="15" hidden="1" customHeight="1" x14ac:dyDescent="0.25">
      <c r="A380" s="22">
        <v>44268</v>
      </c>
      <c r="B380" s="63" t="s">
        <v>90</v>
      </c>
      <c r="C380" s="63" t="s">
        <v>461</v>
      </c>
      <c r="D380" s="74">
        <v>0.69027777777777777</v>
      </c>
      <c r="E380" s="74">
        <v>0.79027777777777775</v>
      </c>
      <c r="F380" s="241" t="s">
        <v>462</v>
      </c>
      <c r="G380" s="63">
        <v>6450</v>
      </c>
      <c r="H380" s="21" t="s">
        <v>461</v>
      </c>
      <c r="I380" s="20"/>
      <c r="T380" s="27"/>
      <c r="U380" s="27"/>
      <c r="V380" s="27"/>
    </row>
    <row r="381" spans="1:22" ht="15" hidden="1" customHeight="1" x14ac:dyDescent="0.25">
      <c r="A381" s="22">
        <v>44268</v>
      </c>
      <c r="B381" s="63" t="s">
        <v>14</v>
      </c>
      <c r="C381" s="63" t="s">
        <v>205</v>
      </c>
      <c r="D381" s="74">
        <v>0.69930555555555562</v>
      </c>
      <c r="E381" s="74">
        <v>0.70763888888888893</v>
      </c>
      <c r="F381" s="241" t="s">
        <v>204</v>
      </c>
      <c r="G381" s="63">
        <v>20870</v>
      </c>
      <c r="H381" s="21" t="s">
        <v>174</v>
      </c>
      <c r="I381" s="20"/>
      <c r="T381" s="27"/>
      <c r="U381" s="27"/>
      <c r="V381" s="27"/>
    </row>
    <row r="382" spans="1:22" ht="15" hidden="1" customHeight="1" x14ac:dyDescent="0.25">
      <c r="A382" s="22">
        <v>44268</v>
      </c>
      <c r="B382" s="63" t="s">
        <v>78</v>
      </c>
      <c r="C382" s="63" t="s">
        <v>205</v>
      </c>
      <c r="D382" s="74">
        <v>0.70277777777777783</v>
      </c>
      <c r="E382" s="74">
        <v>0.71805555555555556</v>
      </c>
      <c r="F382" s="241" t="s">
        <v>204</v>
      </c>
      <c r="G382" s="63">
        <v>20880</v>
      </c>
      <c r="H382" s="21" t="s">
        <v>178</v>
      </c>
      <c r="I382" s="20"/>
      <c r="T382" s="27"/>
      <c r="U382" s="27"/>
      <c r="V382" s="27"/>
    </row>
    <row r="383" spans="1:22" ht="15" hidden="1" customHeight="1" x14ac:dyDescent="0.25">
      <c r="A383" s="22">
        <v>44268</v>
      </c>
      <c r="B383" s="63" t="s">
        <v>550</v>
      </c>
      <c r="C383" s="63" t="s">
        <v>255</v>
      </c>
      <c r="D383" s="74">
        <v>0.70416666666666661</v>
      </c>
      <c r="E383" s="74">
        <v>0.36388888888888887</v>
      </c>
      <c r="F383" s="241" t="s">
        <v>214</v>
      </c>
      <c r="G383" s="63">
        <v>4180</v>
      </c>
      <c r="H383" s="21" t="s">
        <v>55</v>
      </c>
      <c r="I383" s="20"/>
      <c r="T383" s="27"/>
      <c r="U383" s="27"/>
      <c r="V383" s="27"/>
    </row>
    <row r="384" spans="1:22" ht="15" hidden="1" customHeight="1" x14ac:dyDescent="0.25">
      <c r="A384" s="22">
        <v>44268</v>
      </c>
      <c r="B384" s="63" t="s">
        <v>150</v>
      </c>
      <c r="C384" s="63" t="s">
        <v>205</v>
      </c>
      <c r="D384" s="74">
        <v>0.7055555555555556</v>
      </c>
      <c r="E384" s="74">
        <v>0.72152777777777777</v>
      </c>
      <c r="F384" s="241" t="s">
        <v>420</v>
      </c>
      <c r="G384" s="63">
        <v>21270</v>
      </c>
      <c r="H384" s="21" t="s">
        <v>232</v>
      </c>
      <c r="I384" s="20"/>
      <c r="T384" s="27"/>
      <c r="U384" s="27"/>
      <c r="V384" s="27"/>
    </row>
    <row r="385" spans="1:22" ht="15" hidden="1" customHeight="1" x14ac:dyDescent="0.25">
      <c r="A385" s="22">
        <v>44268</v>
      </c>
      <c r="B385" s="63" t="s">
        <v>229</v>
      </c>
      <c r="C385" s="63" t="s">
        <v>205</v>
      </c>
      <c r="D385" s="74">
        <v>0.70972222222222225</v>
      </c>
      <c r="E385" s="74">
        <v>0.72430555555555554</v>
      </c>
      <c r="F385" s="241" t="s">
        <v>420</v>
      </c>
      <c r="G385" s="63">
        <v>23620</v>
      </c>
      <c r="H385" s="21" t="s">
        <v>176</v>
      </c>
      <c r="I385" s="20"/>
      <c r="T385" s="27"/>
      <c r="U385" s="27"/>
      <c r="V385" s="27"/>
    </row>
    <row r="386" spans="1:22" ht="15" hidden="1" customHeight="1" x14ac:dyDescent="0.25">
      <c r="A386" s="22">
        <v>44268</v>
      </c>
      <c r="B386" s="63" t="s">
        <v>157</v>
      </c>
      <c r="C386" s="63" t="s">
        <v>205</v>
      </c>
      <c r="D386" s="74">
        <v>0.71111111111111114</v>
      </c>
      <c r="E386" s="74">
        <v>0.72916666666666663</v>
      </c>
      <c r="F386" s="241" t="s">
        <v>420</v>
      </c>
      <c r="G386" s="63">
        <v>21600</v>
      </c>
      <c r="H386" s="21" t="s">
        <v>47</v>
      </c>
      <c r="I386" s="20"/>
      <c r="T386" s="27"/>
      <c r="U386" s="27"/>
      <c r="V386" s="27"/>
    </row>
    <row r="387" spans="1:22" ht="15" hidden="1" customHeight="1" x14ac:dyDescent="0.25">
      <c r="A387" s="22">
        <v>44268</v>
      </c>
      <c r="B387" s="63" t="s">
        <v>412</v>
      </c>
      <c r="C387" s="63" t="s">
        <v>205</v>
      </c>
      <c r="D387" s="74">
        <v>0.72083333333333333</v>
      </c>
      <c r="E387" s="74">
        <v>0.72638888888888886</v>
      </c>
      <c r="F387" s="241" t="s">
        <v>420</v>
      </c>
      <c r="G387" s="63">
        <v>11080</v>
      </c>
      <c r="H387" s="21" t="s">
        <v>415</v>
      </c>
      <c r="I387" s="20"/>
      <c r="T387" s="27"/>
      <c r="U387" s="27"/>
      <c r="V387" s="27"/>
    </row>
    <row r="388" spans="1:22" ht="15" hidden="1" customHeight="1" x14ac:dyDescent="0.25">
      <c r="A388" s="22">
        <v>44268</v>
      </c>
      <c r="B388" s="63" t="s">
        <v>307</v>
      </c>
      <c r="C388" s="63" t="s">
        <v>16</v>
      </c>
      <c r="D388" s="74">
        <v>0.72291666666666676</v>
      </c>
      <c r="E388" s="74">
        <v>0.73333333333333339</v>
      </c>
      <c r="F388" s="237" t="s">
        <v>551</v>
      </c>
      <c r="G388" s="63">
        <v>7630</v>
      </c>
      <c r="H388" s="21" t="s">
        <v>147</v>
      </c>
      <c r="I388" s="20"/>
      <c r="T388" s="27"/>
      <c r="U388" s="27"/>
      <c r="V388" s="27"/>
    </row>
    <row r="389" spans="1:22" ht="15" hidden="1" customHeight="1" x14ac:dyDescent="0.25">
      <c r="A389" s="22">
        <v>44268</v>
      </c>
      <c r="B389" s="63" t="s">
        <v>400</v>
      </c>
      <c r="C389" s="63" t="s">
        <v>256</v>
      </c>
      <c r="D389" s="74">
        <v>0.73958333333333337</v>
      </c>
      <c r="E389" s="74">
        <v>0.74583333333333324</v>
      </c>
      <c r="F389" s="241" t="s">
        <v>533</v>
      </c>
      <c r="G389" s="63">
        <v>5410</v>
      </c>
      <c r="H389" s="21" t="s">
        <v>324</v>
      </c>
      <c r="I389" s="20"/>
      <c r="T389" s="27"/>
      <c r="U389" s="27"/>
      <c r="V389" s="27"/>
    </row>
    <row r="390" spans="1:22" ht="15" hidden="1" customHeight="1" x14ac:dyDescent="0.25">
      <c r="A390" s="22">
        <v>44268</v>
      </c>
      <c r="B390" s="63" t="s">
        <v>303</v>
      </c>
      <c r="C390" s="63" t="s">
        <v>255</v>
      </c>
      <c r="D390" s="74">
        <v>0.77361111111111114</v>
      </c>
      <c r="E390" s="74">
        <v>0.78888888888888886</v>
      </c>
      <c r="F390" s="241" t="s">
        <v>382</v>
      </c>
      <c r="G390" s="63">
        <v>380</v>
      </c>
      <c r="H390" s="21" t="s">
        <v>213</v>
      </c>
      <c r="I390" s="20"/>
      <c r="T390" s="27"/>
      <c r="U390" s="27"/>
      <c r="V390" s="27"/>
    </row>
    <row r="391" spans="1:22" ht="15" hidden="1" customHeight="1" x14ac:dyDescent="0.25">
      <c r="A391" s="22">
        <v>44268</v>
      </c>
      <c r="B391" s="63" t="s">
        <v>229</v>
      </c>
      <c r="C391" s="63" t="s">
        <v>552</v>
      </c>
      <c r="D391" s="74">
        <v>0.79305555555555562</v>
      </c>
      <c r="E391" s="74">
        <v>0.80763888888888891</v>
      </c>
      <c r="F391" s="241" t="s">
        <v>553</v>
      </c>
      <c r="G391" s="63">
        <v>16220</v>
      </c>
      <c r="H391" s="21" t="s">
        <v>176</v>
      </c>
      <c r="I391" s="20"/>
      <c r="T391" s="27"/>
      <c r="U391" s="27"/>
      <c r="V391" s="27"/>
    </row>
    <row r="392" spans="1:22" ht="15" hidden="1" customHeight="1" x14ac:dyDescent="0.25">
      <c r="A392" s="22">
        <v>44268</v>
      </c>
      <c r="B392" s="63" t="s">
        <v>412</v>
      </c>
      <c r="C392" s="63" t="s">
        <v>554</v>
      </c>
      <c r="D392" s="74">
        <v>0.8208333333333333</v>
      </c>
      <c r="E392" s="74">
        <v>0.8256944444444444</v>
      </c>
      <c r="F392" s="241" t="s">
        <v>530</v>
      </c>
      <c r="G392" s="63">
        <v>9520</v>
      </c>
      <c r="H392" s="21" t="s">
        <v>415</v>
      </c>
      <c r="I392" s="20"/>
      <c r="T392" s="27"/>
      <c r="U392" s="27"/>
      <c r="V392" s="27"/>
    </row>
    <row r="393" spans="1:22" ht="15" hidden="1" customHeight="1" x14ac:dyDescent="0.25">
      <c r="A393" s="22">
        <v>44268</v>
      </c>
      <c r="B393" s="63" t="s">
        <v>31</v>
      </c>
      <c r="C393" s="63" t="s">
        <v>96</v>
      </c>
      <c r="D393" s="74">
        <v>0.85416666666666663</v>
      </c>
      <c r="E393" s="74">
        <v>0.95208333333333339</v>
      </c>
      <c r="F393" s="241" t="s">
        <v>555</v>
      </c>
      <c r="G393" s="63">
        <v>5270</v>
      </c>
      <c r="H393" s="21" t="s">
        <v>201</v>
      </c>
      <c r="I393" s="20"/>
      <c r="T393" s="27"/>
      <c r="U393" s="27"/>
      <c r="V393" s="27"/>
    </row>
    <row r="394" spans="1:22" ht="15" hidden="1" customHeight="1" x14ac:dyDescent="0.25">
      <c r="A394" s="22">
        <v>44268</v>
      </c>
      <c r="B394" s="63" t="s">
        <v>31</v>
      </c>
      <c r="C394" s="63" t="s">
        <v>329</v>
      </c>
      <c r="D394" s="74">
        <v>0.86944444444444446</v>
      </c>
      <c r="E394" s="74">
        <v>0.89027777777777783</v>
      </c>
      <c r="F394" s="241" t="s">
        <v>347</v>
      </c>
      <c r="G394" s="63">
        <v>5080</v>
      </c>
      <c r="H394" s="21" t="s">
        <v>339</v>
      </c>
      <c r="I394" s="20"/>
      <c r="T394" s="27"/>
      <c r="U394" s="27"/>
      <c r="V394" s="27"/>
    </row>
    <row r="395" spans="1:22" ht="15" hidden="1" customHeight="1" x14ac:dyDescent="0.25">
      <c r="A395" s="22">
        <v>44268</v>
      </c>
      <c r="B395" s="63" t="s">
        <v>31</v>
      </c>
      <c r="C395" s="63" t="s">
        <v>329</v>
      </c>
      <c r="D395" s="74">
        <v>0.87430555555555556</v>
      </c>
      <c r="E395" s="74">
        <v>0.89444444444444438</v>
      </c>
      <c r="F395" s="241" t="s">
        <v>248</v>
      </c>
      <c r="G395" s="63">
        <v>1210</v>
      </c>
      <c r="H395" s="21" t="s">
        <v>460</v>
      </c>
      <c r="I395" s="20"/>
      <c r="T395" s="27"/>
      <c r="U395" s="27"/>
      <c r="V395" s="27"/>
    </row>
    <row r="396" spans="1:22" ht="15" hidden="1" customHeight="1" x14ac:dyDescent="0.25">
      <c r="A396" s="22">
        <v>44268</v>
      </c>
      <c r="B396" s="63" t="s">
        <v>31</v>
      </c>
      <c r="C396" s="63" t="s">
        <v>96</v>
      </c>
      <c r="D396" s="74">
        <v>0.95416666666666661</v>
      </c>
      <c r="E396" s="74">
        <v>0.98333333333333339</v>
      </c>
      <c r="F396" s="241" t="s">
        <v>556</v>
      </c>
      <c r="G396" s="63">
        <v>15715</v>
      </c>
      <c r="H396" s="21" t="s">
        <v>206</v>
      </c>
      <c r="I396" s="20"/>
      <c r="T396" s="27"/>
      <c r="U396" s="27"/>
      <c r="V396" s="27"/>
    </row>
    <row r="397" spans="1:22" ht="15" hidden="1" customHeight="1" x14ac:dyDescent="0.25">
      <c r="A397" s="22">
        <v>44268</v>
      </c>
      <c r="B397" s="63" t="s">
        <v>83</v>
      </c>
      <c r="C397" s="63" t="s">
        <v>557</v>
      </c>
      <c r="D397" s="74">
        <v>0.97569444444444453</v>
      </c>
      <c r="E397" s="74">
        <v>2.9166666666666664E-2</v>
      </c>
      <c r="F397" s="241" t="s">
        <v>233</v>
      </c>
      <c r="G397" s="63">
        <v>11970</v>
      </c>
      <c r="H397" s="21" t="s">
        <v>343</v>
      </c>
      <c r="I397" s="20"/>
      <c r="T397" s="27"/>
      <c r="U397" s="27"/>
      <c r="V397" s="27"/>
    </row>
    <row r="398" spans="1:22" ht="15" hidden="1" customHeight="1" x14ac:dyDescent="0.25">
      <c r="A398" s="22">
        <v>44269</v>
      </c>
      <c r="B398" s="63" t="s">
        <v>58</v>
      </c>
      <c r="C398" s="63" t="s">
        <v>312</v>
      </c>
      <c r="D398" s="74">
        <v>8.9583333333333334E-2</v>
      </c>
      <c r="E398" s="74">
        <v>0.10347222222222223</v>
      </c>
      <c r="F398" s="241" t="s">
        <v>156</v>
      </c>
      <c r="G398" s="63">
        <v>19890</v>
      </c>
      <c r="H398" s="21" t="s">
        <v>313</v>
      </c>
      <c r="I398" s="20"/>
      <c r="T398" s="27"/>
      <c r="U398" s="27"/>
      <c r="V398" s="27"/>
    </row>
    <row r="399" spans="1:22" ht="15" hidden="1" customHeight="1" x14ac:dyDescent="0.25">
      <c r="A399" s="22">
        <v>44269</v>
      </c>
      <c r="B399" s="63" t="s">
        <v>300</v>
      </c>
      <c r="C399" s="63" t="s">
        <v>202</v>
      </c>
      <c r="D399" s="74">
        <v>0.23472222222222219</v>
      </c>
      <c r="E399" s="74">
        <v>0.29930555555555555</v>
      </c>
      <c r="F399" s="241" t="s">
        <v>88</v>
      </c>
      <c r="G399" s="63">
        <v>6210</v>
      </c>
      <c r="H399" s="21" t="s">
        <v>299</v>
      </c>
      <c r="I399" s="20"/>
      <c r="T399" s="27"/>
      <c r="U399" s="27"/>
      <c r="V399" s="27"/>
    </row>
    <row r="400" spans="1:22" ht="15" hidden="1" customHeight="1" x14ac:dyDescent="0.25">
      <c r="A400" s="22">
        <v>44269</v>
      </c>
      <c r="B400" s="63" t="s">
        <v>97</v>
      </c>
      <c r="C400" s="63" t="s">
        <v>263</v>
      </c>
      <c r="D400" s="74">
        <v>0.38680555555555557</v>
      </c>
      <c r="E400" s="74">
        <v>0.48819444444444443</v>
      </c>
      <c r="F400" s="241" t="s">
        <v>542</v>
      </c>
      <c r="G400" s="63">
        <v>620</v>
      </c>
      <c r="H400" s="21" t="s">
        <v>92</v>
      </c>
      <c r="I400" s="20"/>
      <c r="T400" s="27"/>
      <c r="U400" s="27"/>
      <c r="V400" s="27"/>
    </row>
    <row r="401" spans="1:22" ht="15" hidden="1" customHeight="1" x14ac:dyDescent="0.25">
      <c r="A401" s="22">
        <v>44269</v>
      </c>
      <c r="B401" s="63" t="s">
        <v>400</v>
      </c>
      <c r="C401" s="63" t="s">
        <v>192</v>
      </c>
      <c r="D401" s="74">
        <v>0.46180555555555558</v>
      </c>
      <c r="E401" s="74">
        <v>0.47222222222222227</v>
      </c>
      <c r="F401" s="241" t="s">
        <v>233</v>
      </c>
      <c r="G401" s="63">
        <v>9090</v>
      </c>
      <c r="H401" s="21" t="s">
        <v>324</v>
      </c>
      <c r="I401" s="20"/>
      <c r="T401" s="27"/>
      <c r="U401" s="27"/>
      <c r="V401" s="27"/>
    </row>
    <row r="402" spans="1:22" ht="15" hidden="1" customHeight="1" x14ac:dyDescent="0.25">
      <c r="A402" s="22">
        <v>44269</v>
      </c>
      <c r="B402" s="63" t="s">
        <v>97</v>
      </c>
      <c r="C402" s="63" t="s">
        <v>263</v>
      </c>
      <c r="D402" s="74">
        <v>0.46388888888888885</v>
      </c>
      <c r="E402" s="74">
        <v>0.48055555555555557</v>
      </c>
      <c r="F402" s="241" t="s">
        <v>542</v>
      </c>
      <c r="G402" s="63">
        <v>220</v>
      </c>
      <c r="H402" s="21" t="s">
        <v>93</v>
      </c>
      <c r="I402" s="20"/>
      <c r="T402" s="27"/>
      <c r="U402" s="27"/>
      <c r="V402" s="27"/>
    </row>
    <row r="403" spans="1:22" ht="15" hidden="1" customHeight="1" x14ac:dyDescent="0.25">
      <c r="A403" s="22">
        <v>44269</v>
      </c>
      <c r="B403" s="63" t="s">
        <v>229</v>
      </c>
      <c r="C403" s="63" t="s">
        <v>558</v>
      </c>
      <c r="D403" s="74">
        <v>0.48541666666666666</v>
      </c>
      <c r="E403" s="74">
        <v>0.4916666666666667</v>
      </c>
      <c r="F403" s="241" t="s">
        <v>233</v>
      </c>
      <c r="G403" s="63">
        <v>22110</v>
      </c>
      <c r="H403" s="21" t="s">
        <v>176</v>
      </c>
      <c r="I403" s="20"/>
      <c r="T403" s="27"/>
      <c r="U403" s="27"/>
      <c r="V403" s="27"/>
    </row>
    <row r="404" spans="1:22" ht="15" hidden="1" customHeight="1" x14ac:dyDescent="0.25">
      <c r="A404" s="22">
        <v>44269</v>
      </c>
      <c r="B404" s="63" t="s">
        <v>53</v>
      </c>
      <c r="C404" s="63" t="s">
        <v>243</v>
      </c>
      <c r="D404" s="74">
        <v>0.49583333333333335</v>
      </c>
      <c r="E404" s="74">
        <v>0.50486111111111109</v>
      </c>
      <c r="F404" s="241" t="s">
        <v>233</v>
      </c>
      <c r="G404" s="63">
        <v>20920</v>
      </c>
      <c r="H404" s="21" t="s">
        <v>328</v>
      </c>
      <c r="I404" s="20"/>
      <c r="T404" s="27"/>
      <c r="U404" s="27"/>
      <c r="V404" s="27"/>
    </row>
    <row r="405" spans="1:22" ht="15" hidden="1" customHeight="1" x14ac:dyDescent="0.25">
      <c r="A405" s="22">
        <v>44269</v>
      </c>
      <c r="B405" s="63" t="s">
        <v>307</v>
      </c>
      <c r="C405" s="63" t="s">
        <v>243</v>
      </c>
      <c r="D405" s="74">
        <v>0.50277777777777777</v>
      </c>
      <c r="E405" s="74">
        <v>0.51041666666666663</v>
      </c>
      <c r="F405" s="241" t="s">
        <v>233</v>
      </c>
      <c r="G405" s="63">
        <v>23820</v>
      </c>
      <c r="H405" s="21" t="s">
        <v>147</v>
      </c>
      <c r="I405" s="20"/>
      <c r="T405" s="27"/>
      <c r="U405" s="27"/>
      <c r="V405" s="27"/>
    </row>
    <row r="406" spans="1:22" ht="15" hidden="1" customHeight="1" x14ac:dyDescent="0.25">
      <c r="A406" s="22">
        <v>44269</v>
      </c>
      <c r="B406" s="63" t="s">
        <v>14</v>
      </c>
      <c r="C406" s="63" t="s">
        <v>243</v>
      </c>
      <c r="D406" s="74">
        <v>0.51388888888888895</v>
      </c>
      <c r="E406" s="74">
        <v>0.52986111111111112</v>
      </c>
      <c r="F406" s="241" t="s">
        <v>233</v>
      </c>
      <c r="G406" s="63">
        <v>18310</v>
      </c>
      <c r="H406" s="21" t="s">
        <v>174</v>
      </c>
      <c r="I406" s="20"/>
      <c r="T406" s="27"/>
      <c r="U406" s="27"/>
      <c r="V406" s="27"/>
    </row>
    <row r="407" spans="1:22" ht="15" hidden="1" customHeight="1" x14ac:dyDescent="0.25">
      <c r="A407" s="22">
        <v>44269</v>
      </c>
      <c r="B407" s="63" t="s">
        <v>400</v>
      </c>
      <c r="C407" s="63" t="s">
        <v>194</v>
      </c>
      <c r="D407" s="74">
        <v>0.53333333333333333</v>
      </c>
      <c r="E407" s="74">
        <v>0.53888888888888886</v>
      </c>
      <c r="F407" s="241" t="s">
        <v>526</v>
      </c>
      <c r="G407" s="63">
        <v>8690</v>
      </c>
      <c r="H407" s="21" t="s">
        <v>324</v>
      </c>
      <c r="I407" s="20"/>
      <c r="T407" s="27"/>
      <c r="U407" s="27"/>
      <c r="V407" s="27"/>
    </row>
    <row r="408" spans="1:22" ht="15" hidden="1" customHeight="1" x14ac:dyDescent="0.25">
      <c r="A408" s="22">
        <v>44269</v>
      </c>
      <c r="B408" s="63" t="s">
        <v>53</v>
      </c>
      <c r="C408" s="63" t="s">
        <v>194</v>
      </c>
      <c r="D408" s="74">
        <v>0.57777777777777783</v>
      </c>
      <c r="E408" s="74">
        <v>0.58472222222222225</v>
      </c>
      <c r="F408" s="241" t="s">
        <v>559</v>
      </c>
      <c r="G408" s="63">
        <v>21360</v>
      </c>
      <c r="H408" s="21" t="s">
        <v>328</v>
      </c>
      <c r="I408" s="20"/>
      <c r="T408" s="27"/>
      <c r="U408" s="27"/>
      <c r="V408" s="27"/>
    </row>
    <row r="409" spans="1:22" ht="15" hidden="1" customHeight="1" x14ac:dyDescent="0.25">
      <c r="A409" s="22">
        <v>44269</v>
      </c>
      <c r="B409" s="63" t="s">
        <v>307</v>
      </c>
      <c r="C409" s="63" t="s">
        <v>194</v>
      </c>
      <c r="D409" s="74">
        <v>0.58263888888888882</v>
      </c>
      <c r="E409" s="74">
        <v>0.59375</v>
      </c>
      <c r="F409" s="241" t="s">
        <v>559</v>
      </c>
      <c r="G409" s="63">
        <v>15040</v>
      </c>
      <c r="H409" s="21" t="s">
        <v>147</v>
      </c>
      <c r="I409" s="20"/>
      <c r="T409" s="27"/>
      <c r="U409" s="27"/>
      <c r="V409" s="27"/>
    </row>
    <row r="410" spans="1:22" ht="15" hidden="1" customHeight="1" x14ac:dyDescent="0.25">
      <c r="A410" s="22">
        <v>44269</v>
      </c>
      <c r="B410" s="63" t="s">
        <v>78</v>
      </c>
      <c r="C410" s="63" t="s">
        <v>194</v>
      </c>
      <c r="D410" s="74">
        <v>0.58958333333333335</v>
      </c>
      <c r="E410" s="74">
        <v>0.59722222222222221</v>
      </c>
      <c r="F410" s="241" t="s">
        <v>254</v>
      </c>
      <c r="G410" s="63">
        <v>21090</v>
      </c>
      <c r="H410" s="21" t="s">
        <v>178</v>
      </c>
      <c r="I410" s="20"/>
      <c r="T410" s="27"/>
      <c r="U410" s="27"/>
      <c r="V410" s="27"/>
    </row>
    <row r="411" spans="1:22" ht="15" hidden="1" customHeight="1" x14ac:dyDescent="0.25">
      <c r="A411" s="22">
        <v>44269</v>
      </c>
      <c r="B411" s="63" t="s">
        <v>400</v>
      </c>
      <c r="C411" s="63" t="s">
        <v>194</v>
      </c>
      <c r="D411" s="74">
        <v>0.59236111111111112</v>
      </c>
      <c r="E411" s="74">
        <v>0.60277777777777775</v>
      </c>
      <c r="F411" s="241" t="s">
        <v>254</v>
      </c>
      <c r="G411" s="63">
        <v>9480</v>
      </c>
      <c r="H411" s="21" t="s">
        <v>324</v>
      </c>
      <c r="I411" s="20"/>
      <c r="T411" s="27"/>
      <c r="U411" s="27"/>
      <c r="V411" s="27"/>
    </row>
    <row r="412" spans="1:22" ht="15" hidden="1" customHeight="1" x14ac:dyDescent="0.25">
      <c r="A412" s="22">
        <v>44269</v>
      </c>
      <c r="B412" s="63" t="s">
        <v>14</v>
      </c>
      <c r="C412" s="63" t="s">
        <v>194</v>
      </c>
      <c r="D412" s="74">
        <v>0.59583333333333333</v>
      </c>
      <c r="E412" s="74">
        <v>0.60416666666666663</v>
      </c>
      <c r="F412" s="241" t="s">
        <v>254</v>
      </c>
      <c r="G412" s="63">
        <v>21080</v>
      </c>
      <c r="H412" s="21" t="s">
        <v>174</v>
      </c>
      <c r="I412" s="20"/>
      <c r="T412" s="27"/>
      <c r="U412" s="27"/>
      <c r="V412" s="27"/>
    </row>
    <row r="413" spans="1:22" ht="15" hidden="1" customHeight="1" x14ac:dyDescent="0.25">
      <c r="A413" s="22">
        <v>44269</v>
      </c>
      <c r="B413" s="63" t="s">
        <v>31</v>
      </c>
      <c r="C413" s="63" t="s">
        <v>329</v>
      </c>
      <c r="D413" s="74">
        <v>0.60069444444444442</v>
      </c>
      <c r="E413" s="74">
        <v>0.62152777777777779</v>
      </c>
      <c r="F413" s="241" t="s">
        <v>249</v>
      </c>
      <c r="G413" s="63">
        <v>3920</v>
      </c>
      <c r="H413" s="21" t="s">
        <v>339</v>
      </c>
      <c r="I413" s="20"/>
      <c r="T413" s="27"/>
      <c r="U413" s="27"/>
      <c r="V413" s="27"/>
    </row>
    <row r="414" spans="1:22" ht="15" hidden="1" customHeight="1" x14ac:dyDescent="0.25">
      <c r="A414" s="22">
        <v>44269</v>
      </c>
      <c r="B414" s="63" t="s">
        <v>412</v>
      </c>
      <c r="C414" s="63" t="s">
        <v>194</v>
      </c>
      <c r="D414" s="74">
        <v>0.60555555555555551</v>
      </c>
      <c r="E414" s="74">
        <v>0.61041666666666672</v>
      </c>
      <c r="F414" s="241" t="s">
        <v>254</v>
      </c>
      <c r="G414" s="63">
        <v>11810</v>
      </c>
      <c r="H414" s="21" t="s">
        <v>415</v>
      </c>
      <c r="I414" s="20"/>
      <c r="T414" s="27"/>
      <c r="U414" s="27"/>
      <c r="V414" s="27"/>
    </row>
    <row r="415" spans="1:22" ht="15" hidden="1" customHeight="1" x14ac:dyDescent="0.25">
      <c r="A415" s="22">
        <v>44269</v>
      </c>
      <c r="B415" s="63" t="s">
        <v>150</v>
      </c>
      <c r="C415" s="63" t="s">
        <v>560</v>
      </c>
      <c r="D415" s="74">
        <v>0.63124999999999998</v>
      </c>
      <c r="E415" s="74">
        <v>0.64027777777777783</v>
      </c>
      <c r="F415" s="241" t="s">
        <v>561</v>
      </c>
      <c r="G415" s="63">
        <v>20890</v>
      </c>
      <c r="H415" s="21" t="s">
        <v>232</v>
      </c>
      <c r="I415" s="20"/>
      <c r="T415" s="27"/>
      <c r="U415" s="27"/>
      <c r="V415" s="27"/>
    </row>
    <row r="416" spans="1:22" ht="15" customHeight="1" x14ac:dyDescent="0.25">
      <c r="A416" s="22">
        <v>44269</v>
      </c>
      <c r="B416" s="63" t="s">
        <v>15</v>
      </c>
      <c r="C416" s="63" t="s">
        <v>562</v>
      </c>
      <c r="D416" s="74">
        <v>0.63611111111111118</v>
      </c>
      <c r="E416" s="74">
        <v>0.6430555555555556</v>
      </c>
      <c r="F416" s="241" t="s">
        <v>233</v>
      </c>
      <c r="G416" s="63">
        <v>21730</v>
      </c>
      <c r="H416" s="21" t="s">
        <v>456</v>
      </c>
      <c r="I416" s="20"/>
      <c r="T416" s="27"/>
      <c r="U416" s="27"/>
      <c r="V416" s="27"/>
    </row>
    <row r="417" spans="1:22" ht="15" hidden="1" customHeight="1" x14ac:dyDescent="0.25">
      <c r="A417" s="22">
        <v>44269</v>
      </c>
      <c r="B417" s="63" t="s">
        <v>17</v>
      </c>
      <c r="C417" s="63" t="s">
        <v>562</v>
      </c>
      <c r="D417" s="74">
        <v>0.63958333333333328</v>
      </c>
      <c r="E417" s="74">
        <v>0.64652777777777781</v>
      </c>
      <c r="F417" s="241" t="s">
        <v>233</v>
      </c>
      <c r="G417" s="63">
        <v>22120</v>
      </c>
      <c r="H417" s="21" t="s">
        <v>176</v>
      </c>
      <c r="I417" s="20"/>
      <c r="T417" s="27"/>
      <c r="U417" s="27"/>
      <c r="V417" s="27"/>
    </row>
    <row r="418" spans="1:22" ht="15" hidden="1" customHeight="1" x14ac:dyDescent="0.25">
      <c r="A418" s="22">
        <v>44269</v>
      </c>
      <c r="B418" s="63" t="s">
        <v>157</v>
      </c>
      <c r="C418" s="63" t="s">
        <v>562</v>
      </c>
      <c r="D418" s="74">
        <v>0.6479166666666667</v>
      </c>
      <c r="E418" s="74">
        <v>0.65625</v>
      </c>
      <c r="F418" s="241" t="s">
        <v>233</v>
      </c>
      <c r="G418" s="63">
        <v>24230</v>
      </c>
      <c r="H418" s="21" t="s">
        <v>47</v>
      </c>
      <c r="I418" s="20"/>
      <c r="T418" s="27"/>
      <c r="U418" s="27"/>
      <c r="V418" s="27"/>
    </row>
    <row r="419" spans="1:22" ht="15" hidden="1" customHeight="1" x14ac:dyDescent="0.25">
      <c r="A419" s="22">
        <v>44269</v>
      </c>
      <c r="B419" s="63" t="s">
        <v>53</v>
      </c>
      <c r="C419" s="63" t="s">
        <v>562</v>
      </c>
      <c r="D419" s="74">
        <v>0.67361111111111116</v>
      </c>
      <c r="E419" s="74">
        <v>0.67499999999999993</v>
      </c>
      <c r="F419" s="241" t="s">
        <v>233</v>
      </c>
      <c r="G419" s="63">
        <v>21850</v>
      </c>
      <c r="H419" s="21" t="s">
        <v>328</v>
      </c>
      <c r="I419" s="20"/>
      <c r="T419" s="27"/>
      <c r="U419" s="27"/>
      <c r="V419" s="27"/>
    </row>
    <row r="420" spans="1:22" ht="15" hidden="1" customHeight="1" x14ac:dyDescent="0.25">
      <c r="A420" s="22">
        <v>44269</v>
      </c>
      <c r="B420" s="63" t="s">
        <v>563</v>
      </c>
      <c r="C420" s="63" t="s">
        <v>16</v>
      </c>
      <c r="D420" s="74">
        <v>0.67361111111111116</v>
      </c>
      <c r="E420" s="74">
        <v>0.69097222222222221</v>
      </c>
      <c r="F420" s="237" t="s">
        <v>564</v>
      </c>
      <c r="G420" s="63">
        <v>5900</v>
      </c>
      <c r="H420" s="21" t="s">
        <v>311</v>
      </c>
      <c r="I420" s="20"/>
      <c r="T420" s="27"/>
      <c r="U420" s="27"/>
      <c r="V420" s="27"/>
    </row>
    <row r="421" spans="1:22" ht="15" hidden="1" customHeight="1" x14ac:dyDescent="0.25">
      <c r="A421" s="22">
        <v>44269</v>
      </c>
      <c r="B421" s="63" t="s">
        <v>307</v>
      </c>
      <c r="C421" s="63" t="s">
        <v>562</v>
      </c>
      <c r="D421" s="74">
        <v>0.67638888888888893</v>
      </c>
      <c r="E421" s="74">
        <v>0.68472222222222223</v>
      </c>
      <c r="F421" s="241" t="s">
        <v>233</v>
      </c>
      <c r="G421" s="63">
        <v>20840</v>
      </c>
      <c r="H421" s="21" t="s">
        <v>147</v>
      </c>
      <c r="I421" s="20"/>
      <c r="T421" s="27"/>
      <c r="U421" s="27"/>
      <c r="V421" s="27"/>
    </row>
    <row r="422" spans="1:22" ht="15" hidden="1" customHeight="1" x14ac:dyDescent="0.25">
      <c r="A422" s="22">
        <v>44269</v>
      </c>
      <c r="B422" s="63" t="s">
        <v>78</v>
      </c>
      <c r="C422" s="63" t="s">
        <v>562</v>
      </c>
      <c r="D422" s="74">
        <v>0.6972222222222223</v>
      </c>
      <c r="E422" s="74">
        <v>0.70486111111111116</v>
      </c>
      <c r="F422" s="241" t="s">
        <v>233</v>
      </c>
      <c r="G422" s="63">
        <v>20580</v>
      </c>
      <c r="H422" s="21" t="s">
        <v>178</v>
      </c>
      <c r="I422" s="20"/>
      <c r="T422" s="27"/>
      <c r="U422" s="27"/>
      <c r="V422" s="27"/>
    </row>
    <row r="423" spans="1:22" ht="15" hidden="1" customHeight="1" x14ac:dyDescent="0.25">
      <c r="A423" s="22">
        <v>44269</v>
      </c>
      <c r="B423" s="63" t="s">
        <v>400</v>
      </c>
      <c r="C423" s="63" t="s">
        <v>562</v>
      </c>
      <c r="D423" s="74">
        <v>0.70416666666666661</v>
      </c>
      <c r="E423" s="74">
        <v>0.71527777777777779</v>
      </c>
      <c r="F423" s="241" t="s">
        <v>233</v>
      </c>
      <c r="G423" s="63">
        <v>9330</v>
      </c>
      <c r="H423" s="21" t="s">
        <v>324</v>
      </c>
      <c r="I423" s="20"/>
      <c r="T423" s="27"/>
      <c r="U423" s="27"/>
      <c r="V423" s="27"/>
    </row>
    <row r="424" spans="1:22" ht="15" hidden="1" customHeight="1" x14ac:dyDescent="0.25">
      <c r="A424" s="22">
        <v>44269</v>
      </c>
      <c r="B424" s="63" t="s">
        <v>14</v>
      </c>
      <c r="C424" s="63" t="s">
        <v>562</v>
      </c>
      <c r="D424" s="74">
        <v>0.71736111111111101</v>
      </c>
      <c r="E424" s="74">
        <v>0.72222222222222221</v>
      </c>
      <c r="F424" s="241" t="s">
        <v>233</v>
      </c>
      <c r="G424" s="63">
        <v>17830</v>
      </c>
      <c r="H424" s="21" t="s">
        <v>174</v>
      </c>
      <c r="I424" s="20"/>
      <c r="T424" s="27"/>
      <c r="U424" s="27"/>
      <c r="V424" s="27"/>
    </row>
    <row r="425" spans="1:22" ht="15" hidden="1" customHeight="1" x14ac:dyDescent="0.25">
      <c r="A425" s="22">
        <v>44269</v>
      </c>
      <c r="B425" s="63" t="s">
        <v>412</v>
      </c>
      <c r="C425" s="63" t="s">
        <v>255</v>
      </c>
      <c r="D425" s="74">
        <v>0.72916666666666663</v>
      </c>
      <c r="E425" s="74">
        <v>0.74652777777777779</v>
      </c>
      <c r="F425" s="241" t="s">
        <v>241</v>
      </c>
      <c r="G425" s="63">
        <v>3500</v>
      </c>
      <c r="H425" s="21" t="s">
        <v>415</v>
      </c>
      <c r="I425" s="20"/>
      <c r="T425" s="27"/>
      <c r="U425" s="27"/>
      <c r="V425" s="27"/>
    </row>
    <row r="426" spans="1:22" ht="15" hidden="1" customHeight="1" x14ac:dyDescent="0.25">
      <c r="A426" s="22">
        <v>44269</v>
      </c>
      <c r="B426" s="63" t="s">
        <v>17</v>
      </c>
      <c r="C426" s="63" t="s">
        <v>194</v>
      </c>
      <c r="D426" s="74">
        <v>0.7402777777777777</v>
      </c>
      <c r="E426" s="74">
        <v>0.75902777777777775</v>
      </c>
      <c r="F426" s="241" t="s">
        <v>252</v>
      </c>
      <c r="G426" s="63">
        <v>20890</v>
      </c>
      <c r="H426" s="21" t="s">
        <v>176</v>
      </c>
      <c r="I426" s="20"/>
      <c r="T426" s="27"/>
      <c r="U426" s="27"/>
      <c r="V426" s="27"/>
    </row>
    <row r="427" spans="1:22" ht="15" hidden="1" customHeight="1" x14ac:dyDescent="0.25">
      <c r="A427" s="22">
        <v>44269</v>
      </c>
      <c r="B427" s="63" t="s">
        <v>150</v>
      </c>
      <c r="C427" s="63" t="s">
        <v>185</v>
      </c>
      <c r="D427" s="74">
        <v>0.7729166666666667</v>
      </c>
      <c r="E427" s="74">
        <v>0.78194444444444444</v>
      </c>
      <c r="F427" s="241" t="s">
        <v>561</v>
      </c>
      <c r="G427" s="63">
        <v>21240</v>
      </c>
      <c r="H427" s="21" t="s">
        <v>232</v>
      </c>
      <c r="I427" s="20"/>
      <c r="T427" s="27"/>
      <c r="U427" s="27"/>
      <c r="V427" s="27"/>
    </row>
    <row r="428" spans="1:22" ht="15" customHeight="1" x14ac:dyDescent="0.25">
      <c r="A428" s="22">
        <v>44269</v>
      </c>
      <c r="B428" s="63" t="s">
        <v>15</v>
      </c>
      <c r="C428" s="63" t="s">
        <v>565</v>
      </c>
      <c r="D428" s="74">
        <v>0.8041666666666667</v>
      </c>
      <c r="E428" s="74">
        <v>0.82708333333333339</v>
      </c>
      <c r="F428" s="241" t="s">
        <v>252</v>
      </c>
      <c r="G428" s="63">
        <v>18630</v>
      </c>
      <c r="H428" s="21" t="s">
        <v>456</v>
      </c>
      <c r="I428" s="20"/>
      <c r="T428" s="27"/>
      <c r="U428" s="27"/>
      <c r="V428" s="27"/>
    </row>
    <row r="429" spans="1:22" ht="15" hidden="1" customHeight="1" x14ac:dyDescent="0.25">
      <c r="A429" s="22">
        <v>44269</v>
      </c>
      <c r="B429" s="63" t="s">
        <v>157</v>
      </c>
      <c r="C429" s="63" t="s">
        <v>565</v>
      </c>
      <c r="D429" s="74">
        <v>0.82500000000000007</v>
      </c>
      <c r="E429" s="74">
        <v>0.86805555555555547</v>
      </c>
      <c r="F429" s="241" t="s">
        <v>252</v>
      </c>
      <c r="G429" s="63">
        <v>20880</v>
      </c>
      <c r="H429" s="21" t="s">
        <v>47</v>
      </c>
      <c r="I429" s="20"/>
      <c r="T429" s="27"/>
      <c r="U429" s="27"/>
      <c r="V429" s="27"/>
    </row>
    <row r="430" spans="1:22" ht="15" hidden="1" customHeight="1" x14ac:dyDescent="0.25">
      <c r="A430" s="22">
        <v>44269</v>
      </c>
      <c r="B430" s="63" t="s">
        <v>53</v>
      </c>
      <c r="C430" s="63" t="s">
        <v>566</v>
      </c>
      <c r="D430" s="74">
        <v>0.85555555555555562</v>
      </c>
      <c r="E430" s="74">
        <v>0.90138888888888891</v>
      </c>
      <c r="F430" s="241" t="s">
        <v>567</v>
      </c>
      <c r="G430" s="63">
        <v>21840</v>
      </c>
      <c r="H430" s="21" t="s">
        <v>328</v>
      </c>
      <c r="I430" s="20"/>
      <c r="T430" s="27"/>
      <c r="U430" s="27"/>
      <c r="V430" s="27"/>
    </row>
    <row r="431" spans="1:22" ht="15" hidden="1" customHeight="1" x14ac:dyDescent="0.25">
      <c r="A431" s="22">
        <v>44269</v>
      </c>
      <c r="B431" s="63" t="s">
        <v>17</v>
      </c>
      <c r="C431" s="63" t="s">
        <v>195</v>
      </c>
      <c r="D431" s="74">
        <v>0.86388888888888893</v>
      </c>
      <c r="E431" s="74">
        <v>0.90347222222222223</v>
      </c>
      <c r="F431" s="241" t="s">
        <v>252</v>
      </c>
      <c r="G431" s="63">
        <v>21630</v>
      </c>
      <c r="H431" s="21" t="s">
        <v>176</v>
      </c>
      <c r="I431" s="20"/>
      <c r="T431" s="27"/>
      <c r="U431" s="27"/>
      <c r="V431" s="27"/>
    </row>
    <row r="432" spans="1:22" ht="15" hidden="1" customHeight="1" x14ac:dyDescent="0.25">
      <c r="A432" s="22">
        <v>44269</v>
      </c>
      <c r="B432" s="63" t="s">
        <v>307</v>
      </c>
      <c r="C432" s="63" t="s">
        <v>195</v>
      </c>
      <c r="D432" s="74">
        <v>0.87152777777777779</v>
      </c>
      <c r="E432" s="74">
        <v>0.8979166666666667</v>
      </c>
      <c r="F432" s="241" t="s">
        <v>567</v>
      </c>
      <c r="G432" s="63">
        <v>20400</v>
      </c>
      <c r="H432" s="21" t="s">
        <v>147</v>
      </c>
      <c r="I432" s="20"/>
      <c r="T432" s="27"/>
      <c r="U432" s="27"/>
      <c r="V432" s="27"/>
    </row>
    <row r="433" spans="1:22" ht="15" hidden="1" customHeight="1" x14ac:dyDescent="0.25">
      <c r="A433" s="22">
        <v>44269</v>
      </c>
      <c r="B433" s="63" t="s">
        <v>78</v>
      </c>
      <c r="C433" s="63" t="s">
        <v>195</v>
      </c>
      <c r="D433" s="74">
        <v>0.8847222222222223</v>
      </c>
      <c r="E433" s="74">
        <v>0.90694444444444444</v>
      </c>
      <c r="F433" s="241" t="s">
        <v>567</v>
      </c>
      <c r="G433" s="63">
        <v>20420</v>
      </c>
      <c r="H433" s="21" t="s">
        <v>178</v>
      </c>
      <c r="I433" s="20"/>
      <c r="T433" s="27"/>
      <c r="U433" s="27"/>
      <c r="V433" s="27"/>
    </row>
    <row r="434" spans="1:22" ht="15" hidden="1" customHeight="1" x14ac:dyDescent="0.25">
      <c r="A434" s="22">
        <v>44269</v>
      </c>
      <c r="B434" s="63" t="s">
        <v>14</v>
      </c>
      <c r="C434" s="63" t="s">
        <v>195</v>
      </c>
      <c r="D434" s="74">
        <v>0.89027777777777783</v>
      </c>
      <c r="E434" s="74">
        <v>0.90069444444444446</v>
      </c>
      <c r="F434" s="241" t="s">
        <v>567</v>
      </c>
      <c r="G434" s="63">
        <v>13000</v>
      </c>
      <c r="H434" s="21" t="s">
        <v>174</v>
      </c>
      <c r="I434" s="20"/>
      <c r="T434" s="27"/>
      <c r="U434" s="27"/>
      <c r="V434" s="27"/>
    </row>
    <row r="435" spans="1:22" ht="15" hidden="1" customHeight="1" x14ac:dyDescent="0.25">
      <c r="A435" s="22">
        <v>44269</v>
      </c>
      <c r="B435" s="63" t="s">
        <v>31</v>
      </c>
      <c r="C435" s="63" t="s">
        <v>96</v>
      </c>
      <c r="D435" s="74">
        <v>0.90625</v>
      </c>
      <c r="E435" s="74">
        <v>0.15555555555555556</v>
      </c>
      <c r="F435" s="241" t="s">
        <v>568</v>
      </c>
      <c r="G435" s="63">
        <v>13575</v>
      </c>
      <c r="H435" s="21" t="s">
        <v>201</v>
      </c>
      <c r="I435" s="20"/>
      <c r="T435" s="27"/>
      <c r="U435" s="27"/>
      <c r="V435" s="27"/>
    </row>
    <row r="436" spans="1:22" ht="15" hidden="1" customHeight="1" x14ac:dyDescent="0.25">
      <c r="A436" s="22">
        <v>44269</v>
      </c>
      <c r="B436" s="63" t="s">
        <v>83</v>
      </c>
      <c r="C436" s="63" t="s">
        <v>329</v>
      </c>
      <c r="D436" s="74">
        <v>0.92638888888888893</v>
      </c>
      <c r="E436" s="74">
        <v>4.6527777777777779E-2</v>
      </c>
      <c r="F436" s="241" t="s">
        <v>252</v>
      </c>
      <c r="G436" s="63">
        <v>8250</v>
      </c>
      <c r="H436" s="21" t="s">
        <v>460</v>
      </c>
      <c r="I436" s="20"/>
      <c r="T436" s="27"/>
      <c r="U436" s="27"/>
      <c r="V436" s="27"/>
    </row>
    <row r="437" spans="1:22" ht="15" hidden="1" customHeight="1" x14ac:dyDescent="0.25">
      <c r="A437" s="22">
        <v>44269</v>
      </c>
      <c r="B437" s="63" t="s">
        <v>150</v>
      </c>
      <c r="C437" s="63" t="s">
        <v>569</v>
      </c>
      <c r="D437" s="74">
        <v>0.9277777777777777</v>
      </c>
      <c r="E437" s="74">
        <v>0.94236111111111109</v>
      </c>
      <c r="F437" s="241" t="s">
        <v>186</v>
      </c>
      <c r="G437" s="63">
        <v>14780</v>
      </c>
      <c r="H437" s="21" t="s">
        <v>232</v>
      </c>
      <c r="I437" s="20"/>
      <c r="T437" s="27"/>
      <c r="U437" s="27"/>
      <c r="V437" s="27"/>
    </row>
    <row r="438" spans="1:22" ht="15" hidden="1" customHeight="1" x14ac:dyDescent="0.25">
      <c r="A438" s="22">
        <v>44270</v>
      </c>
      <c r="B438" s="63" t="s">
        <v>300</v>
      </c>
      <c r="C438" s="63" t="s">
        <v>570</v>
      </c>
      <c r="D438" s="74">
        <v>0.18888888888888888</v>
      </c>
      <c r="E438" s="74" t="s">
        <v>571</v>
      </c>
      <c r="F438" s="241" t="s">
        <v>572</v>
      </c>
      <c r="G438" s="63">
        <v>5915</v>
      </c>
      <c r="H438" s="21" t="s">
        <v>299</v>
      </c>
      <c r="I438" s="20"/>
      <c r="T438" s="27"/>
      <c r="U438" s="27"/>
      <c r="V438" s="27"/>
    </row>
    <row r="439" spans="1:22" ht="15" hidden="1" customHeight="1" x14ac:dyDescent="0.25">
      <c r="A439" s="22">
        <v>44270</v>
      </c>
      <c r="B439" s="63" t="s">
        <v>400</v>
      </c>
      <c r="C439" s="63" t="s">
        <v>573</v>
      </c>
      <c r="D439" s="74">
        <v>0.3611111111111111</v>
      </c>
      <c r="E439" s="74">
        <v>0.38194444444444442</v>
      </c>
      <c r="F439" s="241" t="s">
        <v>204</v>
      </c>
      <c r="G439" s="63">
        <v>5130</v>
      </c>
      <c r="H439" s="21" t="s">
        <v>324</v>
      </c>
      <c r="I439" s="20"/>
      <c r="T439" s="27"/>
      <c r="U439" s="27"/>
      <c r="V439" s="27"/>
    </row>
    <row r="440" spans="1:22" ht="15" hidden="1" customHeight="1" x14ac:dyDescent="0.25">
      <c r="A440" s="22">
        <v>44270</v>
      </c>
      <c r="B440" s="63" t="s">
        <v>150</v>
      </c>
      <c r="C440" s="63" t="s">
        <v>16</v>
      </c>
      <c r="D440" s="74">
        <v>0.38750000000000001</v>
      </c>
      <c r="E440" s="74">
        <v>0.41319444444444442</v>
      </c>
      <c r="F440" s="252" t="s">
        <v>225</v>
      </c>
      <c r="G440" s="63">
        <v>25250</v>
      </c>
      <c r="H440" s="21" t="s">
        <v>232</v>
      </c>
      <c r="I440" s="20"/>
      <c r="T440" s="27"/>
      <c r="U440" s="27"/>
      <c r="V440" s="27"/>
    </row>
    <row r="441" spans="1:22" ht="15" hidden="1" customHeight="1" x14ac:dyDescent="0.25">
      <c r="A441" s="22">
        <v>44270</v>
      </c>
      <c r="B441" s="63" t="s">
        <v>17</v>
      </c>
      <c r="C441" s="63" t="s">
        <v>16</v>
      </c>
      <c r="D441" s="74">
        <v>0.3979166666666667</v>
      </c>
      <c r="E441" s="74">
        <v>0.43472222222222223</v>
      </c>
      <c r="F441" s="252" t="s">
        <v>225</v>
      </c>
      <c r="G441" s="63">
        <v>25290</v>
      </c>
      <c r="H441" s="21" t="s">
        <v>176</v>
      </c>
      <c r="I441" s="20"/>
      <c r="T441" s="27"/>
      <c r="U441" s="27"/>
      <c r="V441" s="27"/>
    </row>
    <row r="442" spans="1:22" ht="15" customHeight="1" x14ac:dyDescent="0.25">
      <c r="A442" s="22">
        <v>44270</v>
      </c>
      <c r="B442" s="63" t="s">
        <v>15</v>
      </c>
      <c r="C442" s="63" t="s">
        <v>16</v>
      </c>
      <c r="D442" s="74">
        <v>0.44444444444444442</v>
      </c>
      <c r="E442" s="74">
        <v>0.47847222222222219</v>
      </c>
      <c r="F442" s="252" t="s">
        <v>225</v>
      </c>
      <c r="G442" s="63">
        <v>25270</v>
      </c>
      <c r="H442" s="21" t="s">
        <v>456</v>
      </c>
      <c r="I442" s="20"/>
      <c r="T442" s="27"/>
      <c r="U442" s="27"/>
      <c r="V442" s="27"/>
    </row>
    <row r="443" spans="1:22" ht="15" hidden="1" customHeight="1" x14ac:dyDescent="0.25">
      <c r="A443" s="22">
        <v>44270</v>
      </c>
      <c r="B443" s="63" t="s">
        <v>150</v>
      </c>
      <c r="C443" s="63" t="s">
        <v>16</v>
      </c>
      <c r="D443" s="74">
        <v>0.4770833333333333</v>
      </c>
      <c r="E443" s="74">
        <v>0.50763888888888886</v>
      </c>
      <c r="F443" s="252" t="s">
        <v>225</v>
      </c>
      <c r="G443" s="63">
        <v>25320</v>
      </c>
      <c r="H443" s="21" t="s">
        <v>232</v>
      </c>
      <c r="I443" s="20"/>
      <c r="T443" s="27"/>
      <c r="U443" s="27"/>
      <c r="V443" s="27"/>
    </row>
    <row r="444" spans="1:22" ht="15" hidden="1" customHeight="1" x14ac:dyDescent="0.25">
      <c r="A444" s="22">
        <v>44270</v>
      </c>
      <c r="B444" s="63" t="s">
        <v>412</v>
      </c>
      <c r="C444" s="63" t="s">
        <v>574</v>
      </c>
      <c r="D444" s="74">
        <v>0.4826388888888889</v>
      </c>
      <c r="E444" s="74">
        <v>0.48888888888888887</v>
      </c>
      <c r="F444" s="241" t="s">
        <v>575</v>
      </c>
      <c r="G444" s="63">
        <v>7530</v>
      </c>
      <c r="H444" s="21" t="s">
        <v>415</v>
      </c>
      <c r="I444" s="20"/>
      <c r="T444" s="27"/>
      <c r="U444" s="27"/>
      <c r="V444" s="27"/>
    </row>
    <row r="445" spans="1:22" ht="15" hidden="1" customHeight="1" x14ac:dyDescent="0.25">
      <c r="A445" s="22">
        <v>44270</v>
      </c>
      <c r="B445" s="63" t="s">
        <v>303</v>
      </c>
      <c r="C445" s="63" t="s">
        <v>255</v>
      </c>
      <c r="D445" s="74">
        <v>0.50902777777777775</v>
      </c>
      <c r="E445" s="74">
        <v>0.54583333333333328</v>
      </c>
      <c r="F445" s="237" t="s">
        <v>576</v>
      </c>
      <c r="G445" s="63">
        <v>740</v>
      </c>
      <c r="H445" s="21" t="s">
        <v>213</v>
      </c>
      <c r="I445" s="20"/>
      <c r="T445" s="27"/>
      <c r="U445" s="27"/>
      <c r="V445" s="27"/>
    </row>
    <row r="446" spans="1:22" ht="15" hidden="1" customHeight="1" x14ac:dyDescent="0.25">
      <c r="A446" s="22">
        <v>44270</v>
      </c>
      <c r="B446" s="63" t="s">
        <v>78</v>
      </c>
      <c r="C446" s="63" t="s">
        <v>470</v>
      </c>
      <c r="D446" s="74">
        <v>0.51041666666666663</v>
      </c>
      <c r="E446" s="74">
        <v>0.51944444444444449</v>
      </c>
      <c r="F446" s="241" t="s">
        <v>577</v>
      </c>
      <c r="G446" s="63">
        <v>12560</v>
      </c>
      <c r="H446" s="21" t="s">
        <v>178</v>
      </c>
      <c r="I446" s="20"/>
      <c r="T446" s="27"/>
      <c r="U446" s="27"/>
      <c r="V446" s="27"/>
    </row>
    <row r="447" spans="1:22" ht="15" hidden="1" customHeight="1" x14ac:dyDescent="0.25">
      <c r="A447" s="22">
        <v>44270</v>
      </c>
      <c r="B447" s="63" t="s">
        <v>17</v>
      </c>
      <c r="C447" s="63" t="s">
        <v>16</v>
      </c>
      <c r="D447" s="74">
        <v>0.53541666666666665</v>
      </c>
      <c r="E447" s="74">
        <v>0.56736111111111109</v>
      </c>
      <c r="F447" s="252" t="s">
        <v>225</v>
      </c>
      <c r="G447" s="63">
        <v>25290</v>
      </c>
      <c r="H447" s="21" t="s">
        <v>176</v>
      </c>
      <c r="I447" s="20"/>
      <c r="T447" s="27"/>
      <c r="U447" s="27"/>
      <c r="V447" s="27"/>
    </row>
    <row r="448" spans="1:22" ht="15" hidden="1" customHeight="1" x14ac:dyDescent="0.25">
      <c r="A448" s="22">
        <v>44270</v>
      </c>
      <c r="B448" s="63" t="s">
        <v>31</v>
      </c>
      <c r="C448" s="63" t="s">
        <v>578</v>
      </c>
      <c r="D448" s="74">
        <v>0.53680555555555554</v>
      </c>
      <c r="E448" s="74">
        <v>0.63472222222222219</v>
      </c>
      <c r="F448" s="241" t="s">
        <v>580</v>
      </c>
      <c r="G448" s="63">
        <v>1280</v>
      </c>
      <c r="H448" s="21" t="s">
        <v>579</v>
      </c>
      <c r="I448" s="20"/>
      <c r="T448" s="27"/>
      <c r="U448" s="27"/>
      <c r="V448" s="27"/>
    </row>
    <row r="449" spans="1:22" ht="15" hidden="1" customHeight="1" x14ac:dyDescent="0.25">
      <c r="A449" s="22">
        <v>44270</v>
      </c>
      <c r="B449" s="63" t="s">
        <v>157</v>
      </c>
      <c r="C449" s="63" t="s">
        <v>500</v>
      </c>
      <c r="D449" s="74">
        <v>0.53749999999999998</v>
      </c>
      <c r="E449" s="74">
        <v>0.55486111111111114</v>
      </c>
      <c r="F449" s="241" t="s">
        <v>204</v>
      </c>
      <c r="G449" s="63">
        <v>10580</v>
      </c>
      <c r="H449" s="21" t="s">
        <v>47</v>
      </c>
      <c r="I449" s="20"/>
      <c r="T449" s="27"/>
      <c r="U449" s="27"/>
      <c r="V449" s="27"/>
    </row>
    <row r="450" spans="1:22" ht="15" hidden="1" customHeight="1" x14ac:dyDescent="0.25">
      <c r="A450" s="22">
        <v>44270</v>
      </c>
      <c r="B450" s="63" t="s">
        <v>307</v>
      </c>
      <c r="C450" s="63" t="s">
        <v>196</v>
      </c>
      <c r="D450" s="74">
        <v>0.56388888888888888</v>
      </c>
      <c r="E450" s="74">
        <v>0.57708333333333328</v>
      </c>
      <c r="F450" s="241" t="s">
        <v>247</v>
      </c>
      <c r="G450" s="63">
        <v>22970</v>
      </c>
      <c r="H450" s="21" t="s">
        <v>147</v>
      </c>
      <c r="I450" s="20"/>
      <c r="T450" s="27"/>
      <c r="U450" s="27"/>
      <c r="V450" s="27"/>
    </row>
    <row r="451" spans="1:22" ht="15" hidden="1" customHeight="1" x14ac:dyDescent="0.25">
      <c r="A451" s="22">
        <v>44270</v>
      </c>
      <c r="B451" s="63" t="s">
        <v>31</v>
      </c>
      <c r="C451" s="63" t="s">
        <v>329</v>
      </c>
      <c r="D451" s="74">
        <v>0.56597222222222221</v>
      </c>
      <c r="E451" s="74">
        <v>0.60069444444444442</v>
      </c>
      <c r="F451" s="241" t="s">
        <v>331</v>
      </c>
      <c r="G451" s="63">
        <v>3710</v>
      </c>
      <c r="H451" s="21" t="s">
        <v>581</v>
      </c>
      <c r="I451" s="20"/>
      <c r="T451" s="27"/>
      <c r="U451" s="27"/>
      <c r="V451" s="27"/>
    </row>
    <row r="452" spans="1:22" ht="15" hidden="1" customHeight="1" x14ac:dyDescent="0.25">
      <c r="A452" s="22">
        <v>44270</v>
      </c>
      <c r="B452" s="63" t="s">
        <v>31</v>
      </c>
      <c r="C452" s="63" t="s">
        <v>329</v>
      </c>
      <c r="D452" s="74">
        <v>0.56944444444444442</v>
      </c>
      <c r="E452" s="74">
        <v>0.59930555555555554</v>
      </c>
      <c r="F452" s="241" t="s">
        <v>331</v>
      </c>
      <c r="G452" s="63">
        <v>2140</v>
      </c>
      <c r="H452" s="21" t="s">
        <v>582</v>
      </c>
      <c r="I452" s="20"/>
      <c r="T452" s="27"/>
      <c r="U452" s="27"/>
      <c r="V452" s="27"/>
    </row>
    <row r="453" spans="1:22" ht="15" hidden="1" customHeight="1" x14ac:dyDescent="0.25">
      <c r="A453" s="22">
        <v>44270</v>
      </c>
      <c r="B453" s="63" t="s">
        <v>53</v>
      </c>
      <c r="C453" s="63" t="s">
        <v>196</v>
      </c>
      <c r="D453" s="74">
        <v>0.5708333333333333</v>
      </c>
      <c r="E453" s="74">
        <v>0.59236111111111112</v>
      </c>
      <c r="F453" s="241" t="s">
        <v>247</v>
      </c>
      <c r="G453" s="63">
        <v>23220</v>
      </c>
      <c r="H453" s="21" t="s">
        <v>328</v>
      </c>
      <c r="I453" s="20"/>
      <c r="T453" s="27"/>
      <c r="U453" s="27"/>
      <c r="V453" s="27"/>
    </row>
    <row r="454" spans="1:22" ht="15" customHeight="1" x14ac:dyDescent="0.25">
      <c r="A454" s="22">
        <v>44270</v>
      </c>
      <c r="B454" s="63" t="s">
        <v>15</v>
      </c>
      <c r="C454" s="63" t="s">
        <v>16</v>
      </c>
      <c r="D454" s="74">
        <v>0.57222222222222219</v>
      </c>
      <c r="E454" s="74">
        <v>0.60347222222222219</v>
      </c>
      <c r="F454" s="252" t="s">
        <v>225</v>
      </c>
      <c r="G454" s="63">
        <v>25250</v>
      </c>
      <c r="H454" s="21" t="s">
        <v>456</v>
      </c>
      <c r="I454" s="20"/>
      <c r="T454" s="27"/>
      <c r="U454" s="27"/>
      <c r="V454" s="27"/>
    </row>
    <row r="455" spans="1:22" ht="15" hidden="1" customHeight="1" x14ac:dyDescent="0.25">
      <c r="A455" s="22">
        <v>44270</v>
      </c>
      <c r="B455" s="63" t="s">
        <v>412</v>
      </c>
      <c r="C455" s="63" t="s">
        <v>196</v>
      </c>
      <c r="D455" s="74">
        <v>0.57916666666666672</v>
      </c>
      <c r="E455" s="74">
        <v>0.62361111111111112</v>
      </c>
      <c r="F455" s="241" t="s">
        <v>204</v>
      </c>
      <c r="G455" s="63">
        <v>11660</v>
      </c>
      <c r="H455" s="21" t="s">
        <v>415</v>
      </c>
      <c r="I455" s="20"/>
      <c r="T455" s="27"/>
      <c r="U455" s="27"/>
      <c r="V455" s="27"/>
    </row>
    <row r="456" spans="1:22" ht="15" hidden="1" customHeight="1" x14ac:dyDescent="0.25">
      <c r="A456" s="22">
        <v>44270</v>
      </c>
      <c r="B456" s="63" t="s">
        <v>150</v>
      </c>
      <c r="C456" s="63" t="s">
        <v>16</v>
      </c>
      <c r="D456" s="74">
        <v>0.59513888888888888</v>
      </c>
      <c r="E456" s="74">
        <v>0.62569444444444444</v>
      </c>
      <c r="F456" s="252" t="s">
        <v>225</v>
      </c>
      <c r="G456" s="63">
        <v>25200</v>
      </c>
      <c r="H456" s="21" t="s">
        <v>232</v>
      </c>
      <c r="I456" s="20"/>
      <c r="T456" s="27"/>
      <c r="U456" s="27"/>
      <c r="V456" s="27"/>
    </row>
    <row r="457" spans="1:22" ht="15" hidden="1" customHeight="1" x14ac:dyDescent="0.25">
      <c r="A457" s="22">
        <v>44270</v>
      </c>
      <c r="B457" s="63" t="s">
        <v>31</v>
      </c>
      <c r="C457" s="63" t="s">
        <v>259</v>
      </c>
      <c r="D457" s="74">
        <v>0.61458333333333337</v>
      </c>
      <c r="E457" s="74">
        <v>0.6791666666666667</v>
      </c>
      <c r="F457" s="243" t="s">
        <v>52</v>
      </c>
      <c r="G457" s="63">
        <v>35310</v>
      </c>
      <c r="H457" s="21" t="s">
        <v>466</v>
      </c>
      <c r="I457" s="20"/>
      <c r="T457" s="27"/>
      <c r="U457" s="27"/>
      <c r="V457" s="27"/>
    </row>
    <row r="458" spans="1:22" ht="15" hidden="1" customHeight="1" x14ac:dyDescent="0.25">
      <c r="A458" s="22">
        <v>44270</v>
      </c>
      <c r="B458" s="63" t="s">
        <v>78</v>
      </c>
      <c r="C458" s="63" t="s">
        <v>196</v>
      </c>
      <c r="D458" s="74">
        <v>0.62013888888888891</v>
      </c>
      <c r="E458" s="74">
        <v>0.64583333333333337</v>
      </c>
      <c r="F458" s="241" t="s">
        <v>583</v>
      </c>
      <c r="G458" s="63">
        <v>23410</v>
      </c>
      <c r="H458" s="21" t="s">
        <v>178</v>
      </c>
      <c r="I458" s="20"/>
      <c r="T458" s="27"/>
      <c r="U458" s="27"/>
      <c r="V458" s="27"/>
    </row>
    <row r="459" spans="1:22" ht="15" hidden="1" customHeight="1" x14ac:dyDescent="0.25">
      <c r="A459" s="22">
        <v>44270</v>
      </c>
      <c r="B459" s="63" t="s">
        <v>17</v>
      </c>
      <c r="C459" s="63" t="s">
        <v>16</v>
      </c>
      <c r="D459" s="74">
        <v>0.62916666666666665</v>
      </c>
      <c r="E459" s="74">
        <v>0.65486111111111112</v>
      </c>
      <c r="F459" s="252" t="s">
        <v>225</v>
      </c>
      <c r="G459" s="63">
        <v>24290</v>
      </c>
      <c r="H459" s="21" t="s">
        <v>176</v>
      </c>
      <c r="I459" s="20"/>
      <c r="T459" s="27"/>
      <c r="U459" s="27"/>
      <c r="V459" s="27"/>
    </row>
    <row r="460" spans="1:22" ht="15" hidden="1" customHeight="1" x14ac:dyDescent="0.25">
      <c r="A460" s="22">
        <v>44270</v>
      </c>
      <c r="B460" s="63" t="s">
        <v>31</v>
      </c>
      <c r="C460" s="63" t="s">
        <v>578</v>
      </c>
      <c r="D460" s="74">
        <v>0.63472222222222219</v>
      </c>
      <c r="E460" s="74">
        <v>0.65833333333333333</v>
      </c>
      <c r="F460" s="241" t="s">
        <v>584</v>
      </c>
      <c r="G460" s="63">
        <v>2990</v>
      </c>
      <c r="H460" s="21" t="s">
        <v>579</v>
      </c>
      <c r="I460" s="20"/>
      <c r="T460" s="27"/>
      <c r="U460" s="27"/>
      <c r="V460" s="27"/>
    </row>
    <row r="461" spans="1:22" ht="15" hidden="1" customHeight="1" x14ac:dyDescent="0.25">
      <c r="A461" s="22">
        <v>44270</v>
      </c>
      <c r="B461" s="63" t="s">
        <v>157</v>
      </c>
      <c r="C461" s="63" t="s">
        <v>585</v>
      </c>
      <c r="D461" s="74">
        <v>0.6430555555555556</v>
      </c>
      <c r="E461" s="74">
        <v>0.66180555555555554</v>
      </c>
      <c r="F461" s="241" t="s">
        <v>583</v>
      </c>
      <c r="G461" s="63">
        <v>18750</v>
      </c>
      <c r="H461" s="21" t="s">
        <v>47</v>
      </c>
      <c r="I461" s="20"/>
      <c r="T461" s="27"/>
      <c r="U461" s="27"/>
      <c r="V461" s="27"/>
    </row>
    <row r="462" spans="1:22" ht="15" hidden="1" customHeight="1" x14ac:dyDescent="0.25">
      <c r="A462" s="22">
        <v>44270</v>
      </c>
      <c r="B462" s="63" t="s">
        <v>303</v>
      </c>
      <c r="C462" s="63" t="s">
        <v>255</v>
      </c>
      <c r="D462" s="74">
        <v>0.66319444444444442</v>
      </c>
      <c r="E462" s="74">
        <v>0.68541666666666667</v>
      </c>
      <c r="F462" s="241" t="s">
        <v>382</v>
      </c>
      <c r="G462" s="63">
        <v>460</v>
      </c>
      <c r="H462" s="21" t="s">
        <v>213</v>
      </c>
      <c r="I462" s="20"/>
      <c r="T462" s="27"/>
      <c r="U462" s="27"/>
      <c r="V462" s="27"/>
    </row>
    <row r="463" spans="1:22" ht="15" hidden="1" customHeight="1" x14ac:dyDescent="0.25">
      <c r="A463" s="22">
        <v>44270</v>
      </c>
      <c r="B463" s="63" t="s">
        <v>307</v>
      </c>
      <c r="C463" s="63" t="s">
        <v>394</v>
      </c>
      <c r="D463" s="74">
        <v>0.67569444444444438</v>
      </c>
      <c r="E463" s="74">
        <v>0.69236111111111109</v>
      </c>
      <c r="F463" s="241" t="s">
        <v>204</v>
      </c>
      <c r="G463" s="63">
        <v>21470</v>
      </c>
      <c r="H463" s="21" t="s">
        <v>147</v>
      </c>
      <c r="I463" s="20"/>
      <c r="T463" s="27"/>
      <c r="U463" s="27"/>
      <c r="V463" s="27"/>
    </row>
    <row r="464" spans="1:22" ht="15" hidden="1" customHeight="1" x14ac:dyDescent="0.25">
      <c r="A464" s="22">
        <v>44270</v>
      </c>
      <c r="B464" s="63" t="s">
        <v>31</v>
      </c>
      <c r="C464" s="63" t="s">
        <v>259</v>
      </c>
      <c r="D464" s="74">
        <v>0.68333333333333324</v>
      </c>
      <c r="E464" s="74">
        <v>0.75069444444444444</v>
      </c>
      <c r="F464" s="243" t="s">
        <v>52</v>
      </c>
      <c r="G464" s="63">
        <v>35260</v>
      </c>
      <c r="H464" s="21" t="s">
        <v>244</v>
      </c>
      <c r="I464" s="20"/>
      <c r="T464" s="27"/>
      <c r="U464" s="27"/>
      <c r="V464" s="27"/>
    </row>
    <row r="465" spans="1:22" ht="15" hidden="1" customHeight="1" x14ac:dyDescent="0.25">
      <c r="A465" s="22">
        <v>44270</v>
      </c>
      <c r="B465" s="63" t="s">
        <v>150</v>
      </c>
      <c r="C465" s="63" t="s">
        <v>364</v>
      </c>
      <c r="D465" s="74">
        <v>0.69513888888888886</v>
      </c>
      <c r="E465" s="74">
        <v>0.72916666666666663</v>
      </c>
      <c r="F465" s="247" t="s">
        <v>586</v>
      </c>
      <c r="G465" s="63">
        <v>23560</v>
      </c>
      <c r="H465" s="21" t="s">
        <v>232</v>
      </c>
      <c r="I465" s="20"/>
      <c r="T465" s="27"/>
      <c r="U465" s="27"/>
      <c r="V465" s="27"/>
    </row>
    <row r="466" spans="1:22" ht="15" hidden="1" customHeight="1" x14ac:dyDescent="0.25">
      <c r="A466" s="22">
        <v>44270</v>
      </c>
      <c r="B466" s="63" t="s">
        <v>229</v>
      </c>
      <c r="C466" s="63" t="s">
        <v>235</v>
      </c>
      <c r="D466" s="74">
        <v>0.71319444444444446</v>
      </c>
      <c r="E466" s="74">
        <v>0.7319444444444444</v>
      </c>
      <c r="F466" s="241" t="s">
        <v>588</v>
      </c>
      <c r="G466" s="63">
        <v>2430</v>
      </c>
      <c r="H466" s="21" t="s">
        <v>587</v>
      </c>
      <c r="I466" s="20"/>
      <c r="T466" s="27"/>
      <c r="U466" s="27"/>
      <c r="V466" s="27"/>
    </row>
    <row r="467" spans="1:22" ht="15" hidden="1" customHeight="1" x14ac:dyDescent="0.25">
      <c r="A467" s="22">
        <v>44270</v>
      </c>
      <c r="B467" s="63" t="s">
        <v>412</v>
      </c>
      <c r="C467" s="63" t="s">
        <v>235</v>
      </c>
      <c r="D467" s="74">
        <v>0.72361111111111109</v>
      </c>
      <c r="E467" s="74">
        <v>0.73333333333333339</v>
      </c>
      <c r="F467" s="241" t="s">
        <v>247</v>
      </c>
      <c r="G467" s="63">
        <v>1970</v>
      </c>
      <c r="H467" s="21" t="s">
        <v>415</v>
      </c>
      <c r="I467" s="20"/>
      <c r="T467" s="27"/>
      <c r="U467" s="27"/>
      <c r="V467" s="27"/>
    </row>
    <row r="468" spans="1:22" ht="15" hidden="1" customHeight="1" x14ac:dyDescent="0.25">
      <c r="A468" s="22">
        <v>44270</v>
      </c>
      <c r="B468" s="63" t="s">
        <v>307</v>
      </c>
      <c r="C468" s="63" t="s">
        <v>144</v>
      </c>
      <c r="D468" s="74">
        <v>0.83124999999999993</v>
      </c>
      <c r="E468" s="74">
        <v>0.36180555555555555</v>
      </c>
      <c r="F468" s="236" t="s">
        <v>317</v>
      </c>
      <c r="G468" s="63">
        <v>16410</v>
      </c>
      <c r="H468" s="21" t="s">
        <v>147</v>
      </c>
      <c r="I468" s="20"/>
      <c r="T468" s="27"/>
      <c r="U468" s="27"/>
      <c r="V468" s="27"/>
    </row>
    <row r="469" spans="1:22" ht="15" hidden="1" customHeight="1" x14ac:dyDescent="0.25">
      <c r="A469" s="22">
        <v>44270</v>
      </c>
      <c r="B469" s="63" t="s">
        <v>31</v>
      </c>
      <c r="C469" s="63" t="s">
        <v>589</v>
      </c>
      <c r="D469" s="74">
        <v>0.91319444444444453</v>
      </c>
      <c r="E469" s="74">
        <v>0.93055555555555547</v>
      </c>
      <c r="F469" s="241" t="s">
        <v>188</v>
      </c>
      <c r="G469" s="63">
        <v>1460</v>
      </c>
      <c r="H469" s="21" t="s">
        <v>590</v>
      </c>
      <c r="I469" s="20"/>
      <c r="T469" s="27"/>
      <c r="U469" s="27"/>
      <c r="V469" s="27"/>
    </row>
    <row r="470" spans="1:22" ht="15" hidden="1" customHeight="1" x14ac:dyDescent="0.25">
      <c r="A470" s="22">
        <v>44270</v>
      </c>
      <c r="B470" s="63" t="s">
        <v>31</v>
      </c>
      <c r="C470" s="63" t="s">
        <v>591</v>
      </c>
      <c r="D470" s="74">
        <v>0.95694444444444438</v>
      </c>
      <c r="E470" s="74">
        <v>9.0277777777777787E-3</v>
      </c>
      <c r="F470" s="241" t="s">
        <v>251</v>
      </c>
      <c r="G470" s="63">
        <v>11195</v>
      </c>
      <c r="H470" s="21" t="s">
        <v>592</v>
      </c>
      <c r="I470" s="20"/>
      <c r="T470" s="27"/>
      <c r="U470" s="27"/>
      <c r="V470" s="27"/>
    </row>
    <row r="471" spans="1:22" ht="15" hidden="1" customHeight="1" x14ac:dyDescent="0.25">
      <c r="A471" s="22">
        <v>44270</v>
      </c>
      <c r="B471" s="63" t="s">
        <v>31</v>
      </c>
      <c r="C471" s="63" t="s">
        <v>593</v>
      </c>
      <c r="D471" s="74">
        <v>0.97986111111111107</v>
      </c>
      <c r="E471" s="74">
        <v>6.9444444444444441E-3</v>
      </c>
      <c r="F471" s="241" t="s">
        <v>188</v>
      </c>
      <c r="G471" s="63">
        <v>2960</v>
      </c>
      <c r="H471" s="21" t="s">
        <v>594</v>
      </c>
      <c r="I471" s="20"/>
      <c r="T471" s="27"/>
      <c r="U471" s="27"/>
      <c r="V471" s="27"/>
    </row>
    <row r="472" spans="1:22" ht="15" hidden="1" customHeight="1" x14ac:dyDescent="0.25">
      <c r="A472" s="22">
        <v>44270</v>
      </c>
      <c r="B472" s="63" t="s">
        <v>300</v>
      </c>
      <c r="C472" s="63" t="s">
        <v>595</v>
      </c>
      <c r="D472" s="74">
        <v>0.99930555555555556</v>
      </c>
      <c r="E472" s="74">
        <v>5.4166666666666669E-2</v>
      </c>
      <c r="F472" s="241" t="s">
        <v>250</v>
      </c>
      <c r="G472" s="63">
        <v>7810</v>
      </c>
      <c r="H472" s="21" t="s">
        <v>299</v>
      </c>
      <c r="I472" s="20"/>
      <c r="T472" s="27"/>
      <c r="U472" s="27"/>
      <c r="V472" s="27"/>
    </row>
    <row r="473" spans="1:22" ht="15" hidden="1" customHeight="1" x14ac:dyDescent="0.25">
      <c r="A473" s="22">
        <v>44271</v>
      </c>
      <c r="B473" s="63" t="s">
        <v>90</v>
      </c>
      <c r="C473" s="63" t="s">
        <v>329</v>
      </c>
      <c r="D473" s="74">
        <v>2.7777777777777779E-3</v>
      </c>
      <c r="E473" s="74">
        <v>2.7083333333333334E-2</v>
      </c>
      <c r="F473" s="241" t="s">
        <v>188</v>
      </c>
      <c r="G473" s="63">
        <v>2680</v>
      </c>
      <c r="H473" s="21" t="s">
        <v>450</v>
      </c>
      <c r="I473" s="20"/>
      <c r="T473" s="27"/>
      <c r="U473" s="27"/>
      <c r="V473" s="27"/>
    </row>
    <row r="474" spans="1:22" ht="15" hidden="1" customHeight="1" x14ac:dyDescent="0.25">
      <c r="A474" s="22">
        <v>44271</v>
      </c>
      <c r="B474" s="63" t="s">
        <v>31</v>
      </c>
      <c r="C474" s="63" t="s">
        <v>329</v>
      </c>
      <c r="D474" s="74">
        <v>1.1805555555555555E-2</v>
      </c>
      <c r="E474" s="74">
        <v>9.0972222222222218E-2</v>
      </c>
      <c r="F474" s="241" t="s">
        <v>188</v>
      </c>
      <c r="G474" s="63">
        <v>10190</v>
      </c>
      <c r="H474" s="21" t="s">
        <v>582</v>
      </c>
      <c r="I474" s="20"/>
      <c r="T474" s="27"/>
      <c r="U474" s="27"/>
      <c r="V474" s="27"/>
    </row>
    <row r="475" spans="1:22" ht="15" hidden="1" customHeight="1" x14ac:dyDescent="0.25">
      <c r="A475" s="22">
        <v>44271</v>
      </c>
      <c r="B475" s="63" t="s">
        <v>181</v>
      </c>
      <c r="C475" s="63" t="s">
        <v>149</v>
      </c>
      <c r="D475" s="74">
        <v>3.4027777777777775E-2</v>
      </c>
      <c r="E475" s="74">
        <v>0.20555555555555557</v>
      </c>
      <c r="F475" s="241" t="s">
        <v>217</v>
      </c>
      <c r="G475" s="63">
        <v>10810</v>
      </c>
      <c r="H475" s="21" t="s">
        <v>211</v>
      </c>
      <c r="I475" s="20"/>
      <c r="T475" s="27"/>
      <c r="U475" s="27"/>
      <c r="V475" s="27"/>
    </row>
    <row r="476" spans="1:22" ht="15" hidden="1" customHeight="1" x14ac:dyDescent="0.25">
      <c r="A476" s="22">
        <v>44271</v>
      </c>
      <c r="B476" s="63" t="s">
        <v>31</v>
      </c>
      <c r="C476" s="63" t="s">
        <v>329</v>
      </c>
      <c r="D476" s="74">
        <v>5.7638888888888885E-2</v>
      </c>
      <c r="E476" s="74">
        <v>9.5833333333333326E-2</v>
      </c>
      <c r="F476" s="241" t="s">
        <v>188</v>
      </c>
      <c r="G476" s="63">
        <v>3290</v>
      </c>
      <c r="H476" s="21" t="s">
        <v>454</v>
      </c>
      <c r="I476" s="20"/>
      <c r="T476" s="27"/>
      <c r="U476" s="27"/>
      <c r="V476" s="27"/>
    </row>
    <row r="477" spans="1:22" ht="15" hidden="1" customHeight="1" x14ac:dyDescent="0.25">
      <c r="A477" s="22">
        <v>44271</v>
      </c>
      <c r="B477" s="63" t="s">
        <v>58</v>
      </c>
      <c r="C477" s="63" t="s">
        <v>312</v>
      </c>
      <c r="D477" s="74">
        <v>0.16319444444444445</v>
      </c>
      <c r="E477" s="74">
        <v>0.17083333333333331</v>
      </c>
      <c r="F477" s="241" t="s">
        <v>596</v>
      </c>
      <c r="G477" s="63">
        <v>23550</v>
      </c>
      <c r="H477" s="21" t="s">
        <v>313</v>
      </c>
      <c r="I477" s="20"/>
      <c r="T477" s="27"/>
      <c r="U477" s="27"/>
      <c r="V477" s="27"/>
    </row>
    <row r="478" spans="1:22" ht="15" hidden="1" customHeight="1" x14ac:dyDescent="0.25">
      <c r="A478" s="22">
        <v>44271</v>
      </c>
      <c r="B478" s="63" t="s">
        <v>17</v>
      </c>
      <c r="C478" s="63" t="s">
        <v>16</v>
      </c>
      <c r="D478" s="74">
        <v>0.37638888888888888</v>
      </c>
      <c r="E478" s="74">
        <v>0.42222222222222222</v>
      </c>
      <c r="F478" s="252" t="s">
        <v>225</v>
      </c>
      <c r="G478" s="63">
        <v>25570</v>
      </c>
      <c r="H478" s="21" t="s">
        <v>587</v>
      </c>
      <c r="I478" s="20"/>
      <c r="T478" s="27"/>
      <c r="U478" s="27"/>
      <c r="V478" s="27"/>
    </row>
    <row r="479" spans="1:22" ht="15" hidden="1" customHeight="1" x14ac:dyDescent="0.25">
      <c r="A479" s="22">
        <v>44271</v>
      </c>
      <c r="B479" s="63" t="s">
        <v>97</v>
      </c>
      <c r="C479" s="63" t="s">
        <v>263</v>
      </c>
      <c r="D479" s="74">
        <v>0.4291666666666667</v>
      </c>
      <c r="E479" s="74">
        <v>0.45555555555555555</v>
      </c>
      <c r="F479" s="241" t="s">
        <v>597</v>
      </c>
      <c r="G479" s="63">
        <v>270</v>
      </c>
      <c r="H479" s="21" t="s">
        <v>93</v>
      </c>
      <c r="I479" s="20"/>
      <c r="T479" s="27"/>
      <c r="U479" s="27"/>
      <c r="V479" s="27"/>
    </row>
    <row r="480" spans="1:22" ht="15" hidden="1" customHeight="1" x14ac:dyDescent="0.25">
      <c r="A480" s="22">
        <v>44271</v>
      </c>
      <c r="B480" s="63" t="s">
        <v>31</v>
      </c>
      <c r="C480" s="63" t="s">
        <v>480</v>
      </c>
      <c r="D480" s="74">
        <v>0.42708333333333331</v>
      </c>
      <c r="E480" s="74">
        <v>0.47152777777777777</v>
      </c>
      <c r="F480" s="249" t="s">
        <v>173</v>
      </c>
      <c r="G480" s="63">
        <v>20070</v>
      </c>
      <c r="H480" s="21" t="s">
        <v>598</v>
      </c>
      <c r="I480" s="20"/>
      <c r="T480" s="27"/>
      <c r="U480" s="27"/>
      <c r="V480" s="27"/>
    </row>
    <row r="481" spans="1:22" ht="15" hidden="1" customHeight="1" x14ac:dyDescent="0.25">
      <c r="A481" s="22">
        <v>44271</v>
      </c>
      <c r="B481" s="63" t="s">
        <v>229</v>
      </c>
      <c r="C481" s="63" t="s">
        <v>599</v>
      </c>
      <c r="D481" s="74">
        <v>0.4694444444444445</v>
      </c>
      <c r="E481" s="74">
        <v>0.47916666666666669</v>
      </c>
      <c r="F481" s="241" t="s">
        <v>247</v>
      </c>
      <c r="G481" s="63">
        <v>20160</v>
      </c>
      <c r="H481" s="21" t="s">
        <v>176</v>
      </c>
      <c r="I481" s="20"/>
      <c r="T481" s="27"/>
      <c r="U481" s="27"/>
      <c r="V481" s="27"/>
    </row>
    <row r="482" spans="1:22" ht="15" hidden="1" customHeight="1" x14ac:dyDescent="0.25">
      <c r="A482" s="22">
        <v>44271</v>
      </c>
      <c r="B482" s="63" t="s">
        <v>17</v>
      </c>
      <c r="C482" s="63" t="s">
        <v>16</v>
      </c>
      <c r="D482" s="74">
        <v>0.5131944444444444</v>
      </c>
      <c r="E482" s="74">
        <v>0.5805555555555556</v>
      </c>
      <c r="F482" s="252" t="s">
        <v>225</v>
      </c>
      <c r="G482" s="63">
        <v>25560</v>
      </c>
      <c r="H482" s="21" t="s">
        <v>587</v>
      </c>
      <c r="I482" s="20"/>
      <c r="T482" s="27"/>
      <c r="U482" s="27"/>
      <c r="V482" s="27"/>
    </row>
    <row r="483" spans="1:22" ht="15" hidden="1" customHeight="1" x14ac:dyDescent="0.25">
      <c r="A483" s="22">
        <v>44271</v>
      </c>
      <c r="B483" s="63" t="s">
        <v>31</v>
      </c>
      <c r="C483" s="63" t="s">
        <v>329</v>
      </c>
      <c r="D483" s="74">
        <v>0.52152777777777781</v>
      </c>
      <c r="E483" s="74">
        <v>0.53611111111111109</v>
      </c>
      <c r="F483" s="241" t="s">
        <v>331</v>
      </c>
      <c r="G483" s="63">
        <v>1560</v>
      </c>
      <c r="H483" s="21" t="s">
        <v>590</v>
      </c>
      <c r="I483" s="20"/>
      <c r="T483" s="27"/>
      <c r="U483" s="27"/>
      <c r="V483" s="27"/>
    </row>
    <row r="484" spans="1:22" ht="15" hidden="1" customHeight="1" x14ac:dyDescent="0.25">
      <c r="A484" s="22">
        <v>44271</v>
      </c>
      <c r="B484" s="63" t="s">
        <v>78</v>
      </c>
      <c r="C484" s="63" t="s">
        <v>194</v>
      </c>
      <c r="D484" s="74">
        <v>0.56597222222222221</v>
      </c>
      <c r="E484" s="74">
        <v>0.57291666666666663</v>
      </c>
      <c r="F484" s="241" t="s">
        <v>247</v>
      </c>
      <c r="G484" s="63">
        <v>20270</v>
      </c>
      <c r="H484" s="21" t="s">
        <v>178</v>
      </c>
      <c r="I484" s="20"/>
      <c r="T484" s="27"/>
      <c r="U484" s="27"/>
      <c r="V484" s="27"/>
    </row>
    <row r="485" spans="1:22" ht="15" hidden="1" customHeight="1" x14ac:dyDescent="0.25">
      <c r="A485" s="22">
        <v>44271</v>
      </c>
      <c r="B485" s="63" t="s">
        <v>31</v>
      </c>
      <c r="C485" s="63" t="s">
        <v>593</v>
      </c>
      <c r="D485" s="74">
        <v>0.56805555555555554</v>
      </c>
      <c r="E485" s="74">
        <v>0.58263888888888882</v>
      </c>
      <c r="F485" s="241" t="s">
        <v>331</v>
      </c>
      <c r="G485" s="63">
        <v>690</v>
      </c>
      <c r="H485" s="21" t="s">
        <v>594</v>
      </c>
      <c r="I485" s="20"/>
      <c r="T485" s="27"/>
      <c r="U485" s="27"/>
      <c r="V485" s="27"/>
    </row>
    <row r="486" spans="1:22" ht="15" hidden="1" customHeight="1" x14ac:dyDescent="0.25">
      <c r="A486" s="22">
        <v>44271</v>
      </c>
      <c r="B486" s="63" t="s">
        <v>31</v>
      </c>
      <c r="C486" s="222" t="s">
        <v>797</v>
      </c>
      <c r="D486" s="74">
        <v>0.57500000000000007</v>
      </c>
      <c r="E486" s="74">
        <v>0.67361111111111116</v>
      </c>
      <c r="F486" s="251" t="s">
        <v>600</v>
      </c>
      <c r="G486" s="63">
        <v>2900</v>
      </c>
      <c r="H486" s="21" t="s">
        <v>296</v>
      </c>
      <c r="I486" s="20"/>
      <c r="T486" s="27"/>
      <c r="U486" s="27"/>
      <c r="V486" s="27"/>
    </row>
    <row r="487" spans="1:22" ht="15" hidden="1" customHeight="1" x14ac:dyDescent="0.25">
      <c r="A487" s="22">
        <v>44271</v>
      </c>
      <c r="B487" s="63" t="s">
        <v>31</v>
      </c>
      <c r="C487" s="63" t="s">
        <v>593</v>
      </c>
      <c r="D487" s="74">
        <v>0.57708333333333328</v>
      </c>
      <c r="E487" s="74">
        <v>0.59652777777777777</v>
      </c>
      <c r="F487" s="241" t="s">
        <v>331</v>
      </c>
      <c r="G487" s="63">
        <v>2510</v>
      </c>
      <c r="H487" s="21" t="s">
        <v>582</v>
      </c>
      <c r="I487" s="20"/>
      <c r="T487" s="27"/>
      <c r="U487" s="27"/>
      <c r="V487" s="27"/>
    </row>
    <row r="488" spans="1:22" ht="15" hidden="1" customHeight="1" x14ac:dyDescent="0.25">
      <c r="A488" s="22">
        <v>44271</v>
      </c>
      <c r="B488" s="63" t="s">
        <v>412</v>
      </c>
      <c r="C488" s="63" t="s">
        <v>194</v>
      </c>
      <c r="D488" s="74">
        <v>0.58750000000000002</v>
      </c>
      <c r="E488" s="74">
        <v>0.59375</v>
      </c>
      <c r="F488" s="241" t="s">
        <v>247</v>
      </c>
      <c r="G488" s="63">
        <v>6450</v>
      </c>
      <c r="H488" s="21" t="s">
        <v>415</v>
      </c>
      <c r="I488" s="20"/>
      <c r="T488" s="27"/>
      <c r="U488" s="27"/>
      <c r="V488" s="27"/>
    </row>
    <row r="489" spans="1:22" ht="15" hidden="1" customHeight="1" x14ac:dyDescent="0.25">
      <c r="A489" s="22">
        <v>44271</v>
      </c>
      <c r="B489" s="63" t="s">
        <v>31</v>
      </c>
      <c r="C489" s="63" t="s">
        <v>593</v>
      </c>
      <c r="D489" s="74">
        <v>0.58958333333333335</v>
      </c>
      <c r="E489" s="74">
        <v>0.60277777777777775</v>
      </c>
      <c r="F489" s="241" t="s">
        <v>331</v>
      </c>
      <c r="G489" s="63">
        <v>2900</v>
      </c>
      <c r="H489" s="21" t="s">
        <v>450</v>
      </c>
      <c r="I489" s="20"/>
      <c r="T489" s="27"/>
      <c r="U489" s="27"/>
      <c r="V489" s="27"/>
    </row>
    <row r="490" spans="1:22" ht="15" hidden="1" customHeight="1" x14ac:dyDescent="0.25">
      <c r="A490" s="22">
        <v>44271</v>
      </c>
      <c r="B490" s="63" t="s">
        <v>31</v>
      </c>
      <c r="C490" s="63" t="s">
        <v>89</v>
      </c>
      <c r="D490" s="74">
        <v>0.59861111111111109</v>
      </c>
      <c r="E490" s="74">
        <v>0.65138888888888891</v>
      </c>
      <c r="F490" s="246" t="s">
        <v>177</v>
      </c>
      <c r="G490" s="63">
        <v>21590</v>
      </c>
      <c r="H490" s="21" t="s">
        <v>601</v>
      </c>
      <c r="I490" s="20"/>
      <c r="T490" s="27"/>
      <c r="U490" s="27"/>
      <c r="V490" s="27"/>
    </row>
    <row r="491" spans="1:22" ht="15" hidden="1" customHeight="1" x14ac:dyDescent="0.25">
      <c r="A491" s="22">
        <v>44271</v>
      </c>
      <c r="B491" s="63" t="s">
        <v>31</v>
      </c>
      <c r="C491" s="63" t="s">
        <v>259</v>
      </c>
      <c r="D491" s="74">
        <v>0.62222222222222223</v>
      </c>
      <c r="E491" s="74">
        <v>0.68680555555555556</v>
      </c>
      <c r="F491" s="243" t="s">
        <v>52</v>
      </c>
      <c r="G491" s="63">
        <v>35420</v>
      </c>
      <c r="H491" s="21" t="s">
        <v>298</v>
      </c>
      <c r="I491" s="20"/>
      <c r="T491" s="27"/>
      <c r="U491" s="27"/>
      <c r="V491" s="27"/>
    </row>
    <row r="492" spans="1:22" ht="15" hidden="1" customHeight="1" x14ac:dyDescent="0.25">
      <c r="A492" s="22">
        <v>44271</v>
      </c>
      <c r="B492" s="63" t="s">
        <v>31</v>
      </c>
      <c r="C492" s="63" t="s">
        <v>593</v>
      </c>
      <c r="D492" s="74">
        <v>0.62986111111111109</v>
      </c>
      <c r="E492" s="74">
        <v>0.66597222222222219</v>
      </c>
      <c r="F492" s="241" t="s">
        <v>331</v>
      </c>
      <c r="G492" s="63">
        <v>1090</v>
      </c>
      <c r="H492" s="21" t="s">
        <v>198</v>
      </c>
      <c r="I492" s="20"/>
      <c r="T492" s="27"/>
      <c r="U492" s="27"/>
      <c r="V492" s="27"/>
    </row>
    <row r="493" spans="1:22" ht="15" hidden="1" customHeight="1" x14ac:dyDescent="0.25">
      <c r="A493" s="22">
        <v>44271</v>
      </c>
      <c r="B493" s="63" t="s">
        <v>14</v>
      </c>
      <c r="C493" s="63" t="s">
        <v>602</v>
      </c>
      <c r="D493" s="74">
        <v>0.64444444444444449</v>
      </c>
      <c r="E493" s="74">
        <v>0.6777777777777777</v>
      </c>
      <c r="F493" s="237" t="s">
        <v>603</v>
      </c>
      <c r="G493" s="63">
        <v>1450</v>
      </c>
      <c r="H493" s="21" t="s">
        <v>174</v>
      </c>
      <c r="I493" s="20"/>
      <c r="T493" s="27"/>
      <c r="U493" s="27"/>
      <c r="V493" s="27"/>
    </row>
    <row r="494" spans="1:22" ht="15" hidden="1" customHeight="1" x14ac:dyDescent="0.25">
      <c r="A494" s="22">
        <v>44271</v>
      </c>
      <c r="B494" s="63" t="s">
        <v>412</v>
      </c>
      <c r="C494" s="63" t="s">
        <v>185</v>
      </c>
      <c r="D494" s="74">
        <v>0.65833333333333333</v>
      </c>
      <c r="E494" s="74">
        <v>0.66805555555555562</v>
      </c>
      <c r="F494" s="241" t="s">
        <v>249</v>
      </c>
      <c r="G494" s="63">
        <v>1590</v>
      </c>
      <c r="H494" s="21" t="s">
        <v>415</v>
      </c>
      <c r="I494" s="20"/>
      <c r="T494" s="27"/>
      <c r="U494" s="27"/>
      <c r="V494" s="27"/>
    </row>
    <row r="495" spans="1:22" ht="15" hidden="1" customHeight="1" x14ac:dyDescent="0.25">
      <c r="A495" s="22">
        <v>44271</v>
      </c>
      <c r="B495" s="63" t="s">
        <v>53</v>
      </c>
      <c r="C495" s="63" t="s">
        <v>192</v>
      </c>
      <c r="D495" s="74">
        <v>0.67013888888888884</v>
      </c>
      <c r="E495" s="74">
        <v>0.68472222222222223</v>
      </c>
      <c r="F495" s="241" t="s">
        <v>204</v>
      </c>
      <c r="G495" s="63">
        <v>16240</v>
      </c>
      <c r="H495" s="21" t="s">
        <v>328</v>
      </c>
      <c r="I495" s="20"/>
      <c r="T495" s="27"/>
      <c r="U495" s="27"/>
      <c r="V495" s="27"/>
    </row>
    <row r="496" spans="1:22" ht="15" hidden="1" customHeight="1" x14ac:dyDescent="0.25">
      <c r="A496" s="22">
        <v>44271</v>
      </c>
      <c r="B496" s="63" t="s">
        <v>229</v>
      </c>
      <c r="C496" s="63" t="s">
        <v>192</v>
      </c>
      <c r="D496" s="74">
        <v>0.67222222222222217</v>
      </c>
      <c r="E496" s="74">
        <v>0.68125000000000002</v>
      </c>
      <c r="F496" s="241" t="s">
        <v>604</v>
      </c>
      <c r="G496" s="63">
        <v>11015</v>
      </c>
      <c r="H496" s="21" t="s">
        <v>176</v>
      </c>
      <c r="I496" s="20"/>
      <c r="T496" s="27"/>
      <c r="U496" s="27"/>
      <c r="V496" s="27"/>
    </row>
    <row r="497" spans="1:22" ht="15" hidden="1" customHeight="1" x14ac:dyDescent="0.25">
      <c r="A497" s="22">
        <v>44271</v>
      </c>
      <c r="B497" s="63" t="s">
        <v>31</v>
      </c>
      <c r="C497" s="63" t="s">
        <v>227</v>
      </c>
      <c r="D497" s="74">
        <v>0.67986111111111114</v>
      </c>
      <c r="E497" s="74">
        <v>0.70347222222222217</v>
      </c>
      <c r="F497" s="237" t="s">
        <v>605</v>
      </c>
      <c r="G497" s="63">
        <v>4290</v>
      </c>
      <c r="H497" s="21" t="s">
        <v>506</v>
      </c>
      <c r="I497" s="20"/>
      <c r="T497" s="27"/>
      <c r="U497" s="27"/>
      <c r="V497" s="27"/>
    </row>
    <row r="498" spans="1:22" ht="15" hidden="1" customHeight="1" x14ac:dyDescent="0.25">
      <c r="A498" s="22">
        <v>44271</v>
      </c>
      <c r="B498" s="63" t="s">
        <v>17</v>
      </c>
      <c r="C498" s="63" t="s">
        <v>16</v>
      </c>
      <c r="D498" s="74">
        <v>0.69513888888888886</v>
      </c>
      <c r="E498" s="74">
        <v>0.71527777777777779</v>
      </c>
      <c r="F498" s="252" t="s">
        <v>219</v>
      </c>
      <c r="G498" s="63">
        <v>25300</v>
      </c>
      <c r="H498" s="21" t="s">
        <v>587</v>
      </c>
      <c r="I498" s="20"/>
      <c r="T498" s="27"/>
      <c r="U498" s="27"/>
      <c r="V498" s="27"/>
    </row>
    <row r="499" spans="1:22" ht="15" hidden="1" customHeight="1" x14ac:dyDescent="0.25">
      <c r="A499" s="22">
        <v>44271</v>
      </c>
      <c r="B499" s="63" t="s">
        <v>31</v>
      </c>
      <c r="C499" s="63" t="s">
        <v>89</v>
      </c>
      <c r="D499" s="74">
        <v>0.70138888888888884</v>
      </c>
      <c r="E499" s="74">
        <v>0.72986111111111107</v>
      </c>
      <c r="F499" s="246" t="s">
        <v>177</v>
      </c>
      <c r="G499" s="63">
        <v>21820</v>
      </c>
      <c r="H499" s="21" t="s">
        <v>606</v>
      </c>
      <c r="I499" s="20"/>
      <c r="T499" s="27"/>
      <c r="U499" s="27"/>
      <c r="V499" s="27"/>
    </row>
    <row r="500" spans="1:22" ht="15" hidden="1" customHeight="1" x14ac:dyDescent="0.25">
      <c r="A500" s="22">
        <v>44271</v>
      </c>
      <c r="B500" s="63" t="s">
        <v>412</v>
      </c>
      <c r="C500" s="63" t="s">
        <v>203</v>
      </c>
      <c r="D500" s="74">
        <v>0.7055555555555556</v>
      </c>
      <c r="E500" s="74">
        <v>0.71388888888888891</v>
      </c>
      <c r="F500" s="241" t="s">
        <v>249</v>
      </c>
      <c r="G500" s="63">
        <v>1710</v>
      </c>
      <c r="H500" s="21" t="s">
        <v>415</v>
      </c>
      <c r="I500" s="20"/>
      <c r="T500" s="27"/>
      <c r="U500" s="27"/>
      <c r="V500" s="27"/>
    </row>
    <row r="501" spans="1:22" ht="15" customHeight="1" x14ac:dyDescent="0.25">
      <c r="A501" s="22">
        <v>44271</v>
      </c>
      <c r="B501" s="63" t="s">
        <v>15</v>
      </c>
      <c r="C501" s="63" t="s">
        <v>607</v>
      </c>
      <c r="D501" s="74">
        <v>0.70972222222222225</v>
      </c>
      <c r="E501" s="74">
        <v>0.76736111111111116</v>
      </c>
      <c r="F501" s="247" t="s">
        <v>586</v>
      </c>
      <c r="G501" s="63">
        <v>23130</v>
      </c>
      <c r="H501" s="21" t="s">
        <v>456</v>
      </c>
      <c r="I501" s="20"/>
      <c r="T501" s="27"/>
      <c r="U501" s="27"/>
      <c r="V501" s="27"/>
    </row>
    <row r="502" spans="1:22" ht="15" hidden="1" customHeight="1" x14ac:dyDescent="0.25">
      <c r="A502" s="22">
        <v>44271</v>
      </c>
      <c r="B502" s="63" t="s">
        <v>31</v>
      </c>
      <c r="C502" s="63" t="s">
        <v>89</v>
      </c>
      <c r="D502" s="74">
        <v>0.73055555555555562</v>
      </c>
      <c r="E502" s="74">
        <v>0.78333333333333333</v>
      </c>
      <c r="F502" s="246" t="s">
        <v>218</v>
      </c>
      <c r="G502" s="63">
        <v>21150</v>
      </c>
      <c r="H502" s="21" t="s">
        <v>606</v>
      </c>
      <c r="I502" s="20"/>
      <c r="T502" s="27"/>
      <c r="U502" s="27"/>
      <c r="V502" s="27"/>
    </row>
    <row r="503" spans="1:22" ht="15" hidden="1" customHeight="1" x14ac:dyDescent="0.25">
      <c r="A503" s="22">
        <v>44271</v>
      </c>
      <c r="B503" s="63" t="s">
        <v>31</v>
      </c>
      <c r="C503" s="63" t="s">
        <v>608</v>
      </c>
      <c r="D503" s="74">
        <v>0.74583333333333324</v>
      </c>
      <c r="E503" s="74">
        <v>0.78611111111111109</v>
      </c>
      <c r="F503" s="241" t="s">
        <v>204</v>
      </c>
      <c r="G503" s="63">
        <v>1990</v>
      </c>
      <c r="H503" s="21" t="s">
        <v>609</v>
      </c>
      <c r="I503" s="20"/>
      <c r="T503" s="27"/>
      <c r="U503" s="27"/>
      <c r="V503" s="27"/>
    </row>
    <row r="504" spans="1:22" ht="15" hidden="1" customHeight="1" x14ac:dyDescent="0.25">
      <c r="A504" s="22">
        <v>44271</v>
      </c>
      <c r="B504" s="63" t="s">
        <v>300</v>
      </c>
      <c r="C504" s="63" t="s">
        <v>341</v>
      </c>
      <c r="D504" s="74">
        <v>0.77500000000000002</v>
      </c>
      <c r="E504" s="74">
        <v>0.83750000000000002</v>
      </c>
      <c r="F504" s="241" t="s">
        <v>75</v>
      </c>
      <c r="G504" s="63">
        <v>8230</v>
      </c>
      <c r="H504" s="21" t="s">
        <v>311</v>
      </c>
      <c r="I504" s="20"/>
      <c r="T504" s="27"/>
      <c r="U504" s="27"/>
      <c r="V504" s="27"/>
    </row>
    <row r="505" spans="1:22" ht="15" hidden="1" customHeight="1" x14ac:dyDescent="0.25">
      <c r="A505" s="22">
        <v>44271</v>
      </c>
      <c r="B505" s="63" t="s">
        <v>31</v>
      </c>
      <c r="C505" s="63" t="s">
        <v>329</v>
      </c>
      <c r="D505" s="74">
        <v>0.8027777777777777</v>
      </c>
      <c r="E505" s="74">
        <v>0.84305555555555556</v>
      </c>
      <c r="F505" s="241" t="s">
        <v>252</v>
      </c>
      <c r="G505" s="63">
        <v>6850</v>
      </c>
      <c r="H505" s="21" t="s">
        <v>460</v>
      </c>
      <c r="I505" s="20"/>
      <c r="T505" s="27"/>
      <c r="U505" s="27"/>
      <c r="V505" s="27"/>
    </row>
    <row r="506" spans="1:22" ht="15" hidden="1" customHeight="1" x14ac:dyDescent="0.25">
      <c r="A506" s="22">
        <v>44271</v>
      </c>
      <c r="B506" s="63" t="s">
        <v>150</v>
      </c>
      <c r="C506" s="63" t="s">
        <v>610</v>
      </c>
      <c r="D506" s="74">
        <v>0.81111111111111101</v>
      </c>
      <c r="E506" s="74"/>
      <c r="F506" s="237" t="s">
        <v>611</v>
      </c>
      <c r="G506" s="63">
        <v>17290</v>
      </c>
      <c r="H506" s="21" t="s">
        <v>232</v>
      </c>
      <c r="I506" s="20"/>
      <c r="T506" s="27"/>
      <c r="U506" s="27"/>
      <c r="V506" s="27"/>
    </row>
    <row r="507" spans="1:22" ht="15" hidden="1" customHeight="1" x14ac:dyDescent="0.25">
      <c r="A507" s="22">
        <v>44271</v>
      </c>
      <c r="B507" s="63" t="s">
        <v>307</v>
      </c>
      <c r="C507" s="63" t="s">
        <v>144</v>
      </c>
      <c r="D507" s="74">
        <v>0.81805555555555554</v>
      </c>
      <c r="E507" s="74">
        <v>0.37916666666666665</v>
      </c>
      <c r="F507" s="236" t="s">
        <v>317</v>
      </c>
      <c r="G507" s="63">
        <v>25050</v>
      </c>
      <c r="H507" s="21" t="s">
        <v>147</v>
      </c>
      <c r="I507" s="20"/>
      <c r="T507" s="27"/>
      <c r="U507" s="27"/>
      <c r="V507" s="27"/>
    </row>
    <row r="508" spans="1:22" ht="15" hidden="1" customHeight="1" x14ac:dyDescent="0.25">
      <c r="A508" s="22">
        <v>44271</v>
      </c>
      <c r="B508" s="63" t="s">
        <v>412</v>
      </c>
      <c r="C508" s="63" t="s">
        <v>329</v>
      </c>
      <c r="D508" s="74">
        <v>0.85763888888888884</v>
      </c>
      <c r="E508" s="74">
        <v>0.86944444444444446</v>
      </c>
      <c r="F508" s="241" t="s">
        <v>370</v>
      </c>
      <c r="G508" s="63">
        <v>5360</v>
      </c>
      <c r="H508" s="21" t="s">
        <v>415</v>
      </c>
      <c r="I508" s="20"/>
      <c r="T508" s="27"/>
      <c r="U508" s="27"/>
      <c r="V508" s="27"/>
    </row>
    <row r="509" spans="1:22" ht="15" hidden="1" customHeight="1" x14ac:dyDescent="0.25">
      <c r="A509" s="22">
        <v>44271</v>
      </c>
      <c r="B509" s="63" t="s">
        <v>31</v>
      </c>
      <c r="C509" s="63" t="s">
        <v>329</v>
      </c>
      <c r="D509" s="74">
        <v>0.89166666666666661</v>
      </c>
      <c r="E509" s="74">
        <v>0.90486111111111101</v>
      </c>
      <c r="F509" s="241" t="s">
        <v>188</v>
      </c>
      <c r="G509" s="63">
        <v>310</v>
      </c>
      <c r="H509" s="21" t="s">
        <v>333</v>
      </c>
      <c r="I509" s="20"/>
      <c r="T509" s="27"/>
      <c r="U509" s="27"/>
      <c r="V509" s="27"/>
    </row>
    <row r="510" spans="1:22" ht="15" hidden="1" customHeight="1" x14ac:dyDescent="0.25">
      <c r="A510" s="22">
        <v>44271</v>
      </c>
      <c r="B510" s="63" t="s">
        <v>31</v>
      </c>
      <c r="C510" s="63" t="s">
        <v>96</v>
      </c>
      <c r="D510" s="74">
        <v>0.94305555555555554</v>
      </c>
      <c r="E510" s="74">
        <v>4.8611111111111112E-3</v>
      </c>
      <c r="F510" s="241" t="s">
        <v>251</v>
      </c>
      <c r="G510" s="63">
        <v>11010</v>
      </c>
      <c r="H510" s="21" t="s">
        <v>592</v>
      </c>
      <c r="I510" s="20"/>
      <c r="T510" s="27"/>
      <c r="U510" s="27"/>
      <c r="V510" s="27"/>
    </row>
    <row r="511" spans="1:22" ht="15" hidden="1" customHeight="1" x14ac:dyDescent="0.25">
      <c r="A511" s="22">
        <v>44272</v>
      </c>
      <c r="B511" s="63" t="s">
        <v>31</v>
      </c>
      <c r="C511" s="63" t="s">
        <v>595</v>
      </c>
      <c r="D511" s="74">
        <v>8.6111111111111124E-2</v>
      </c>
      <c r="E511" s="74">
        <v>0.16527777777777777</v>
      </c>
      <c r="F511" s="241" t="s">
        <v>612</v>
      </c>
      <c r="G511" s="63">
        <v>8070</v>
      </c>
      <c r="H511" s="21" t="s">
        <v>179</v>
      </c>
      <c r="I511" s="20"/>
      <c r="T511" s="27"/>
      <c r="U511" s="27"/>
      <c r="V511" s="27"/>
    </row>
    <row r="512" spans="1:22" ht="15" hidden="1" customHeight="1" x14ac:dyDescent="0.25">
      <c r="A512" s="22">
        <v>44272</v>
      </c>
      <c r="B512" s="63" t="s">
        <v>58</v>
      </c>
      <c r="C512" s="63" t="s">
        <v>312</v>
      </c>
      <c r="D512" s="74">
        <v>0.17152777777777775</v>
      </c>
      <c r="E512" s="74">
        <v>0.17916666666666667</v>
      </c>
      <c r="F512" s="241" t="s">
        <v>705</v>
      </c>
      <c r="G512" s="63">
        <v>23320</v>
      </c>
      <c r="H512" s="21" t="s">
        <v>313</v>
      </c>
      <c r="I512" s="20"/>
      <c r="T512" s="27"/>
      <c r="U512" s="27"/>
      <c r="V512" s="27"/>
    </row>
    <row r="513" spans="1:22" ht="15" hidden="1" customHeight="1" x14ac:dyDescent="0.25">
      <c r="A513" s="22">
        <v>44272</v>
      </c>
      <c r="B513" s="63" t="s">
        <v>90</v>
      </c>
      <c r="C513" s="63" t="s">
        <v>461</v>
      </c>
      <c r="D513" s="74">
        <v>0.32916666666666666</v>
      </c>
      <c r="E513" s="74">
        <v>0.35416666666666669</v>
      </c>
      <c r="F513" s="241" t="s">
        <v>462</v>
      </c>
      <c r="G513" s="63">
        <v>2740</v>
      </c>
      <c r="H513" s="21" t="s">
        <v>461</v>
      </c>
      <c r="I513" s="20"/>
      <c r="T513" s="27"/>
      <c r="U513" s="27"/>
      <c r="V513" s="27"/>
    </row>
    <row r="514" spans="1:22" ht="15" hidden="1" customHeight="1" x14ac:dyDescent="0.25">
      <c r="A514" s="22">
        <v>44272</v>
      </c>
      <c r="B514" s="63" t="s">
        <v>17</v>
      </c>
      <c r="C514" s="63" t="s">
        <v>16</v>
      </c>
      <c r="D514" s="74">
        <v>0.40902777777777777</v>
      </c>
      <c r="E514" s="74">
        <v>0.47083333333333338</v>
      </c>
      <c r="F514" s="252" t="s">
        <v>225</v>
      </c>
      <c r="G514" s="63">
        <v>25720</v>
      </c>
      <c r="H514" s="21" t="s">
        <v>587</v>
      </c>
      <c r="I514" s="20"/>
      <c r="T514" s="27"/>
      <c r="U514" s="27"/>
      <c r="V514" s="27"/>
    </row>
    <row r="515" spans="1:22" ht="15" hidden="1" customHeight="1" x14ac:dyDescent="0.25">
      <c r="A515" s="22">
        <v>44272</v>
      </c>
      <c r="B515" s="63" t="s">
        <v>400</v>
      </c>
      <c r="C515" s="63" t="s">
        <v>407</v>
      </c>
      <c r="D515" s="74">
        <v>0.41250000000000003</v>
      </c>
      <c r="E515" s="74">
        <v>0.42291666666666666</v>
      </c>
      <c r="F515" s="241" t="s">
        <v>613</v>
      </c>
      <c r="G515" s="63">
        <v>3170</v>
      </c>
      <c r="H515" s="21" t="s">
        <v>324</v>
      </c>
      <c r="I515" s="20"/>
      <c r="T515" s="27"/>
      <c r="U515" s="27"/>
      <c r="V515" s="27"/>
    </row>
    <row r="516" spans="1:22" ht="15" hidden="1" customHeight="1" x14ac:dyDescent="0.25">
      <c r="A516" s="22">
        <v>44272</v>
      </c>
      <c r="B516" s="63" t="s">
        <v>412</v>
      </c>
      <c r="C516" s="63" t="s">
        <v>258</v>
      </c>
      <c r="D516" s="74">
        <v>0.44236111111111115</v>
      </c>
      <c r="E516" s="74">
        <v>0.45</v>
      </c>
      <c r="F516" s="241" t="s">
        <v>252</v>
      </c>
      <c r="G516" s="63">
        <v>8730</v>
      </c>
      <c r="H516" s="21" t="s">
        <v>415</v>
      </c>
      <c r="I516" s="20"/>
      <c r="T516" s="27"/>
      <c r="U516" s="27"/>
      <c r="V516" s="27"/>
    </row>
    <row r="517" spans="1:22" ht="15" hidden="1" customHeight="1" x14ac:dyDescent="0.25">
      <c r="A517" s="22">
        <v>44272</v>
      </c>
      <c r="B517" s="63" t="s">
        <v>90</v>
      </c>
      <c r="C517" s="63" t="s">
        <v>614</v>
      </c>
      <c r="D517" s="74">
        <v>0.4597222222222222</v>
      </c>
      <c r="E517" s="74">
        <v>0.52569444444444446</v>
      </c>
      <c r="F517" s="251" t="s">
        <v>616</v>
      </c>
      <c r="G517" s="63">
        <v>4460</v>
      </c>
      <c r="H517" s="21" t="s">
        <v>615</v>
      </c>
      <c r="I517" s="20"/>
      <c r="T517" s="27"/>
      <c r="U517" s="27"/>
      <c r="V517" s="27"/>
    </row>
    <row r="518" spans="1:22" ht="15" hidden="1" customHeight="1" x14ac:dyDescent="0.25">
      <c r="A518" s="22">
        <v>44272</v>
      </c>
      <c r="B518" s="63" t="s">
        <v>14</v>
      </c>
      <c r="C518" s="63" t="s">
        <v>195</v>
      </c>
      <c r="D518" s="74">
        <v>0.46736111111111112</v>
      </c>
      <c r="E518" s="74">
        <v>0.47986111111111113</v>
      </c>
      <c r="F518" s="241" t="s">
        <v>617</v>
      </c>
      <c r="G518" s="63">
        <v>19280</v>
      </c>
      <c r="H518" s="21" t="s">
        <v>174</v>
      </c>
      <c r="I518" s="20"/>
      <c r="T518" s="27"/>
      <c r="U518" s="27"/>
      <c r="V518" s="27"/>
    </row>
    <row r="519" spans="1:22" ht="15" hidden="1" customHeight="1" x14ac:dyDescent="0.25">
      <c r="A519" s="22">
        <v>44272</v>
      </c>
      <c r="B519" s="63" t="s">
        <v>53</v>
      </c>
      <c r="C519" s="63" t="s">
        <v>618</v>
      </c>
      <c r="D519" s="74">
        <v>0.4916666666666667</v>
      </c>
      <c r="E519" s="74">
        <v>0.50347222222222221</v>
      </c>
      <c r="F519" s="241" t="s">
        <v>204</v>
      </c>
      <c r="G519" s="63">
        <v>19970</v>
      </c>
      <c r="H519" s="21" t="s">
        <v>328</v>
      </c>
      <c r="I519" s="20"/>
      <c r="T519" s="27"/>
      <c r="U519" s="27"/>
      <c r="V519" s="27"/>
    </row>
    <row r="520" spans="1:22" ht="15" hidden="1" customHeight="1" x14ac:dyDescent="0.25">
      <c r="A520" s="22">
        <v>44272</v>
      </c>
      <c r="B520" s="63" t="s">
        <v>78</v>
      </c>
      <c r="C520" s="63" t="s">
        <v>220</v>
      </c>
      <c r="D520" s="74">
        <v>0.52777777777777779</v>
      </c>
      <c r="E520" s="74">
        <v>0.56388888888888888</v>
      </c>
      <c r="F520" s="241" t="s">
        <v>204</v>
      </c>
      <c r="G520" s="63">
        <v>22470</v>
      </c>
      <c r="H520" s="21" t="s">
        <v>178</v>
      </c>
      <c r="I520" s="20"/>
      <c r="T520" s="27"/>
      <c r="U520" s="27"/>
      <c r="V520" s="27"/>
    </row>
    <row r="521" spans="1:22" ht="15" hidden="1" customHeight="1" x14ac:dyDescent="0.25">
      <c r="A521" s="22">
        <v>44272</v>
      </c>
      <c r="B521" s="63" t="s">
        <v>150</v>
      </c>
      <c r="C521" s="63" t="s">
        <v>619</v>
      </c>
      <c r="D521" s="74">
        <v>0.55277777777777781</v>
      </c>
      <c r="E521" s="74">
        <v>0.5756944444444444</v>
      </c>
      <c r="F521" s="241" t="s">
        <v>204</v>
      </c>
      <c r="G521" s="63">
        <v>22680</v>
      </c>
      <c r="H521" s="21" t="s">
        <v>232</v>
      </c>
      <c r="I521" s="20"/>
      <c r="T521" s="27"/>
      <c r="U521" s="27"/>
      <c r="V521" s="27"/>
    </row>
    <row r="522" spans="1:22" ht="15" hidden="1" customHeight="1" x14ac:dyDescent="0.25">
      <c r="A522" s="22">
        <v>44272</v>
      </c>
      <c r="B522" s="63" t="s">
        <v>412</v>
      </c>
      <c r="C522" s="63" t="s">
        <v>191</v>
      </c>
      <c r="D522" s="74">
        <v>0.55347222222222225</v>
      </c>
      <c r="E522" s="74">
        <v>0.57847222222222217</v>
      </c>
      <c r="F522" s="241" t="s">
        <v>204</v>
      </c>
      <c r="G522" s="63">
        <v>10680</v>
      </c>
      <c r="H522" s="21" t="s">
        <v>415</v>
      </c>
      <c r="I522" s="20"/>
      <c r="T522" s="27"/>
      <c r="U522" s="27"/>
      <c r="V522" s="27"/>
    </row>
    <row r="523" spans="1:22" ht="15" hidden="1" customHeight="1" x14ac:dyDescent="0.25">
      <c r="A523" s="22">
        <v>44272</v>
      </c>
      <c r="B523" s="63" t="s">
        <v>400</v>
      </c>
      <c r="C523" s="63" t="s">
        <v>732</v>
      </c>
      <c r="D523" s="74">
        <v>0.56319444444444444</v>
      </c>
      <c r="E523" s="74">
        <v>0.57013888888888886</v>
      </c>
      <c r="F523" s="241" t="s">
        <v>406</v>
      </c>
      <c r="G523" s="63">
        <v>5410</v>
      </c>
      <c r="H523" s="21" t="s">
        <v>324</v>
      </c>
      <c r="I523" s="20"/>
      <c r="T523" s="27"/>
      <c r="U523" s="27"/>
      <c r="V523" s="27"/>
    </row>
    <row r="524" spans="1:22" ht="15" hidden="1" customHeight="1" x14ac:dyDescent="0.25">
      <c r="A524" s="22">
        <v>44272</v>
      </c>
      <c r="B524" s="63" t="s">
        <v>17</v>
      </c>
      <c r="C524" s="63" t="s">
        <v>16</v>
      </c>
      <c r="D524" s="74">
        <v>0.58263888888888882</v>
      </c>
      <c r="E524" s="74">
        <v>0.6743055555555556</v>
      </c>
      <c r="F524" s="252" t="s">
        <v>225</v>
      </c>
      <c r="G524" s="63">
        <v>25040</v>
      </c>
      <c r="H524" s="21" t="s">
        <v>587</v>
      </c>
      <c r="I524" s="20"/>
      <c r="T524" s="27"/>
      <c r="U524" s="27"/>
      <c r="V524" s="27"/>
    </row>
    <row r="525" spans="1:22" ht="15" hidden="1" customHeight="1" x14ac:dyDescent="0.25">
      <c r="A525" s="22">
        <v>44272</v>
      </c>
      <c r="B525" s="63" t="s">
        <v>90</v>
      </c>
      <c r="C525" s="63" t="s">
        <v>620</v>
      </c>
      <c r="D525" s="74">
        <v>0.58680555555555558</v>
      </c>
      <c r="E525" s="74">
        <v>0.63194444444444442</v>
      </c>
      <c r="F525" s="247" t="s">
        <v>586</v>
      </c>
      <c r="G525" s="63">
        <v>3000</v>
      </c>
      <c r="H525" s="21" t="s">
        <v>621</v>
      </c>
      <c r="I525" s="20"/>
      <c r="T525" s="27"/>
      <c r="U525" s="27"/>
      <c r="V525" s="27"/>
    </row>
    <row r="526" spans="1:22" ht="15" hidden="1" customHeight="1" x14ac:dyDescent="0.25">
      <c r="A526" s="22">
        <v>44272</v>
      </c>
      <c r="B526" s="63" t="s">
        <v>31</v>
      </c>
      <c r="C526" s="63" t="s">
        <v>329</v>
      </c>
      <c r="D526" s="74">
        <v>0.59097222222222223</v>
      </c>
      <c r="E526" s="74">
        <v>0.59930555555555554</v>
      </c>
      <c r="F526" s="241" t="s">
        <v>193</v>
      </c>
      <c r="G526" s="63">
        <v>980</v>
      </c>
      <c r="H526" s="21" t="s">
        <v>460</v>
      </c>
      <c r="I526" s="20"/>
      <c r="T526" s="27"/>
      <c r="U526" s="27"/>
      <c r="V526" s="27"/>
    </row>
    <row r="527" spans="1:22" ht="15" hidden="1" customHeight="1" x14ac:dyDescent="0.25">
      <c r="A527" s="22">
        <v>44272</v>
      </c>
      <c r="B527" s="63" t="s">
        <v>412</v>
      </c>
      <c r="C527" s="63" t="s">
        <v>622</v>
      </c>
      <c r="D527" s="74">
        <v>0.61875000000000002</v>
      </c>
      <c r="E527" s="74">
        <v>0.63055555555555554</v>
      </c>
      <c r="F527" s="241" t="s">
        <v>420</v>
      </c>
      <c r="G527" s="63">
        <v>1260</v>
      </c>
      <c r="H527" s="21" t="s">
        <v>415</v>
      </c>
      <c r="I527" s="20"/>
      <c r="T527" s="27"/>
      <c r="U527" s="27"/>
      <c r="V527" s="27"/>
    </row>
    <row r="528" spans="1:22" ht="15" hidden="1" customHeight="1" x14ac:dyDescent="0.25">
      <c r="A528" s="22">
        <v>44272</v>
      </c>
      <c r="B528" s="63" t="s">
        <v>303</v>
      </c>
      <c r="C528" s="63" t="s">
        <v>255</v>
      </c>
      <c r="D528" s="74">
        <v>0.62916666666666665</v>
      </c>
      <c r="E528" s="74">
        <v>0.6381944444444444</v>
      </c>
      <c r="F528" s="241" t="s">
        <v>382</v>
      </c>
      <c r="G528" s="63">
        <v>850</v>
      </c>
      <c r="H528" s="21" t="s">
        <v>213</v>
      </c>
      <c r="I528" s="20"/>
      <c r="T528" s="27"/>
      <c r="U528" s="27"/>
      <c r="V528" s="27"/>
    </row>
    <row r="529" spans="1:22" ht="15" hidden="1" customHeight="1" x14ac:dyDescent="0.25">
      <c r="A529" s="22">
        <v>44272</v>
      </c>
      <c r="B529" s="63" t="s">
        <v>31</v>
      </c>
      <c r="C529" s="63" t="s">
        <v>593</v>
      </c>
      <c r="D529" s="74">
        <v>0.64513888888888882</v>
      </c>
      <c r="E529" s="74">
        <v>0.66180555555555554</v>
      </c>
      <c r="F529" s="241" t="s">
        <v>188</v>
      </c>
      <c r="G529" s="63">
        <v>2610</v>
      </c>
      <c r="H529" s="21" t="s">
        <v>450</v>
      </c>
      <c r="I529" s="20"/>
      <c r="T529" s="27"/>
      <c r="U529" s="27"/>
      <c r="V529" s="27"/>
    </row>
    <row r="530" spans="1:22" ht="15" hidden="1" customHeight="1" x14ac:dyDescent="0.25">
      <c r="A530" s="22">
        <v>44272</v>
      </c>
      <c r="B530" s="63" t="s">
        <v>31</v>
      </c>
      <c r="C530" s="63" t="s">
        <v>593</v>
      </c>
      <c r="D530" s="74">
        <v>0.64652777777777781</v>
      </c>
      <c r="E530" s="74">
        <v>0.65833333333333333</v>
      </c>
      <c r="F530" s="241" t="s">
        <v>188</v>
      </c>
      <c r="G530" s="63">
        <v>2860</v>
      </c>
      <c r="H530" s="21" t="s">
        <v>623</v>
      </c>
      <c r="I530" s="20"/>
      <c r="T530" s="27"/>
      <c r="U530" s="27"/>
      <c r="V530" s="27"/>
    </row>
    <row r="531" spans="1:22" ht="15" customHeight="1" x14ac:dyDescent="0.25">
      <c r="A531" s="22">
        <v>44272</v>
      </c>
      <c r="B531" s="63" t="s">
        <v>15</v>
      </c>
      <c r="C531" s="63" t="s">
        <v>305</v>
      </c>
      <c r="D531" s="74">
        <v>0.64930555555555558</v>
      </c>
      <c r="E531" s="74">
        <v>0.72291666666666676</v>
      </c>
      <c r="F531" s="249" t="s">
        <v>173</v>
      </c>
      <c r="G531" s="63">
        <v>35100</v>
      </c>
      <c r="H531" s="21" t="s">
        <v>456</v>
      </c>
      <c r="I531" s="20"/>
      <c r="T531" s="27"/>
      <c r="U531" s="27"/>
      <c r="V531" s="27"/>
    </row>
    <row r="532" spans="1:22" ht="15" hidden="1" customHeight="1" x14ac:dyDescent="0.25">
      <c r="A532" s="22">
        <v>44272</v>
      </c>
      <c r="B532" s="63" t="s">
        <v>31</v>
      </c>
      <c r="C532" s="63" t="s">
        <v>329</v>
      </c>
      <c r="D532" s="74">
        <v>0.66041666666666665</v>
      </c>
      <c r="E532" s="74">
        <v>0.67013888888888884</v>
      </c>
      <c r="F532" s="241" t="s">
        <v>188</v>
      </c>
      <c r="G532" s="63">
        <v>680</v>
      </c>
      <c r="H532" s="21" t="s">
        <v>333</v>
      </c>
      <c r="I532" s="20"/>
      <c r="T532" s="27"/>
      <c r="U532" s="27"/>
      <c r="V532" s="27"/>
    </row>
    <row r="533" spans="1:22" ht="15" hidden="1" customHeight="1" x14ac:dyDescent="0.25">
      <c r="A533" s="22">
        <v>44272</v>
      </c>
      <c r="B533" s="63" t="s">
        <v>31</v>
      </c>
      <c r="C533" s="63" t="s">
        <v>624</v>
      </c>
      <c r="D533" s="74">
        <v>0.71597222222222223</v>
      </c>
      <c r="E533" s="74">
        <v>0.72083333333333333</v>
      </c>
      <c r="F533" s="237" t="s">
        <v>626</v>
      </c>
      <c r="G533" s="63">
        <v>70</v>
      </c>
      <c r="H533" s="21" t="s">
        <v>625</v>
      </c>
      <c r="I533" s="20"/>
      <c r="T533" s="27"/>
      <c r="U533" s="27"/>
      <c r="V533" s="27"/>
    </row>
    <row r="534" spans="1:22" ht="15" hidden="1" customHeight="1" x14ac:dyDescent="0.25">
      <c r="A534" s="22">
        <v>44272</v>
      </c>
      <c r="B534" s="63" t="s">
        <v>31</v>
      </c>
      <c r="C534" s="63" t="s">
        <v>627</v>
      </c>
      <c r="D534" s="74">
        <v>0.7319444444444444</v>
      </c>
      <c r="E534" s="74">
        <v>0.7729166666666667</v>
      </c>
      <c r="F534" s="246" t="s">
        <v>629</v>
      </c>
      <c r="G534" s="63">
        <v>21950</v>
      </c>
      <c r="H534" s="21" t="s">
        <v>628</v>
      </c>
      <c r="I534" s="20"/>
      <c r="T534" s="27"/>
      <c r="U534" s="27"/>
      <c r="V534" s="27"/>
    </row>
    <row r="535" spans="1:22" ht="15" hidden="1" customHeight="1" x14ac:dyDescent="0.25">
      <c r="A535" s="22">
        <v>44272</v>
      </c>
      <c r="B535" s="63" t="s">
        <v>90</v>
      </c>
      <c r="C535" s="63" t="s">
        <v>461</v>
      </c>
      <c r="D535" s="74">
        <v>0.73402777777777783</v>
      </c>
      <c r="E535" s="74">
        <v>0.76944444444444438</v>
      </c>
      <c r="F535" s="241" t="s">
        <v>462</v>
      </c>
      <c r="G535" s="63">
        <v>3210</v>
      </c>
      <c r="H535" s="21" t="s">
        <v>461</v>
      </c>
      <c r="I535" s="20"/>
      <c r="T535" s="27"/>
      <c r="U535" s="27"/>
      <c r="V535" s="27"/>
    </row>
    <row r="536" spans="1:22" ht="15" hidden="1" customHeight="1" x14ac:dyDescent="0.25">
      <c r="A536" s="22">
        <v>44272</v>
      </c>
      <c r="B536" s="63" t="s">
        <v>90</v>
      </c>
      <c r="C536" s="63" t="s">
        <v>630</v>
      </c>
      <c r="D536" s="74">
        <v>0.7368055555555556</v>
      </c>
      <c r="E536" s="74">
        <v>0.80625000000000002</v>
      </c>
      <c r="F536" s="246" t="s">
        <v>629</v>
      </c>
      <c r="G536" s="63">
        <v>21680</v>
      </c>
      <c r="H536" s="21" t="s">
        <v>631</v>
      </c>
      <c r="I536" s="20"/>
      <c r="T536" s="27"/>
      <c r="U536" s="27"/>
      <c r="V536" s="27"/>
    </row>
    <row r="537" spans="1:22" ht="15" hidden="1" customHeight="1" x14ac:dyDescent="0.25">
      <c r="A537" s="22">
        <v>44272</v>
      </c>
      <c r="B537" s="63" t="s">
        <v>90</v>
      </c>
      <c r="C537" s="63" t="s">
        <v>630</v>
      </c>
      <c r="D537" s="74">
        <v>0.73819444444444438</v>
      </c>
      <c r="E537" s="74">
        <v>0.81666666666666676</v>
      </c>
      <c r="F537" s="246" t="s">
        <v>629</v>
      </c>
      <c r="G537" s="63">
        <v>21850</v>
      </c>
      <c r="H537" s="21" t="s">
        <v>632</v>
      </c>
      <c r="I537" s="20"/>
      <c r="T537" s="27"/>
      <c r="U537" s="27"/>
      <c r="V537" s="27"/>
    </row>
    <row r="538" spans="1:22" ht="15" hidden="1" customHeight="1" x14ac:dyDescent="0.25">
      <c r="A538" s="22">
        <v>44272</v>
      </c>
      <c r="B538" s="63" t="s">
        <v>307</v>
      </c>
      <c r="C538" s="63" t="s">
        <v>144</v>
      </c>
      <c r="D538" s="74">
        <v>0.77430555555555547</v>
      </c>
      <c r="E538" s="74">
        <v>0.36249999999999999</v>
      </c>
      <c r="F538" s="236" t="s">
        <v>317</v>
      </c>
      <c r="G538" s="63">
        <v>22680</v>
      </c>
      <c r="H538" s="21" t="s">
        <v>147</v>
      </c>
      <c r="I538" s="20"/>
      <c r="T538" s="27"/>
      <c r="U538" s="27"/>
      <c r="V538" s="27"/>
    </row>
    <row r="539" spans="1:22" ht="15" hidden="1" customHeight="1" x14ac:dyDescent="0.25">
      <c r="A539" s="22">
        <v>44272</v>
      </c>
      <c r="B539" s="63" t="s">
        <v>90</v>
      </c>
      <c r="C539" s="63" t="s">
        <v>630</v>
      </c>
      <c r="D539" s="74">
        <v>0.81805555555555554</v>
      </c>
      <c r="E539" s="74">
        <v>0.8666666666666667</v>
      </c>
      <c r="F539" s="246" t="s">
        <v>218</v>
      </c>
      <c r="G539" s="63">
        <v>20910</v>
      </c>
      <c r="H539" s="21" t="s">
        <v>632</v>
      </c>
      <c r="I539" s="20"/>
      <c r="T539" s="27"/>
      <c r="U539" s="27"/>
      <c r="V539" s="27"/>
    </row>
    <row r="540" spans="1:22" ht="15" hidden="1" customHeight="1" x14ac:dyDescent="0.25">
      <c r="A540" s="22">
        <v>44272</v>
      </c>
      <c r="B540" s="63" t="s">
        <v>400</v>
      </c>
      <c r="C540" s="63" t="s">
        <v>574</v>
      </c>
      <c r="D540" s="74">
        <v>0.85069444444444453</v>
      </c>
      <c r="E540" s="74">
        <v>0.86319444444444438</v>
      </c>
      <c r="F540" s="241" t="s">
        <v>252</v>
      </c>
      <c r="G540" s="63">
        <v>750</v>
      </c>
      <c r="H540" s="21" t="s">
        <v>324</v>
      </c>
      <c r="I540" s="20"/>
      <c r="T540" s="27"/>
      <c r="U540" s="27"/>
      <c r="V540" s="27"/>
    </row>
    <row r="541" spans="1:22" ht="15" hidden="1" customHeight="1" x14ac:dyDescent="0.25">
      <c r="A541" s="22">
        <v>44272</v>
      </c>
      <c r="B541" s="63" t="s">
        <v>31</v>
      </c>
      <c r="C541" s="63" t="s">
        <v>329</v>
      </c>
      <c r="D541" s="74">
        <v>0.86875000000000002</v>
      </c>
      <c r="E541" s="74">
        <v>0.90486111111111101</v>
      </c>
      <c r="F541" s="241" t="s">
        <v>189</v>
      </c>
      <c r="G541" s="63">
        <v>1960</v>
      </c>
      <c r="H541" s="21" t="s">
        <v>460</v>
      </c>
      <c r="I541" s="20"/>
      <c r="T541" s="27"/>
      <c r="U541" s="27"/>
      <c r="V541" s="27"/>
    </row>
    <row r="542" spans="1:22" ht="15" hidden="1" customHeight="1" x14ac:dyDescent="0.25">
      <c r="A542" s="22">
        <v>44272</v>
      </c>
      <c r="B542" s="63" t="s">
        <v>53</v>
      </c>
      <c r="C542" s="63" t="s">
        <v>209</v>
      </c>
      <c r="D542" s="74">
        <v>0.94236111111111109</v>
      </c>
      <c r="E542" s="74">
        <v>0.95277777777777783</v>
      </c>
      <c r="F542" s="241" t="s">
        <v>248</v>
      </c>
      <c r="G542" s="63">
        <v>20600</v>
      </c>
      <c r="H542" s="21" t="s">
        <v>328</v>
      </c>
      <c r="I542" s="20"/>
      <c r="T542" s="27"/>
      <c r="U542" s="27"/>
      <c r="V542" s="27"/>
    </row>
    <row r="543" spans="1:22" ht="15" hidden="1" customHeight="1" x14ac:dyDescent="0.25">
      <c r="A543" s="22">
        <v>44272</v>
      </c>
      <c r="B543" s="63" t="s">
        <v>78</v>
      </c>
      <c r="C543" s="63" t="s">
        <v>633</v>
      </c>
      <c r="D543" s="74">
        <v>0.94513888888888886</v>
      </c>
      <c r="E543" s="74">
        <v>0.9590277777777777</v>
      </c>
      <c r="F543" s="241" t="s">
        <v>634</v>
      </c>
      <c r="G543" s="63">
        <v>25010</v>
      </c>
      <c r="H543" s="21" t="s">
        <v>178</v>
      </c>
      <c r="I543" s="20"/>
      <c r="T543" s="27"/>
      <c r="U543" s="27"/>
      <c r="V543" s="27"/>
    </row>
    <row r="544" spans="1:22" ht="15" hidden="1" customHeight="1" x14ac:dyDescent="0.25">
      <c r="A544" s="22">
        <v>44272</v>
      </c>
      <c r="B544" s="63" t="s">
        <v>31</v>
      </c>
      <c r="C544" s="63" t="s">
        <v>96</v>
      </c>
      <c r="D544" s="74">
        <v>0.94652777777777775</v>
      </c>
      <c r="E544" s="74">
        <v>0.99444444444444446</v>
      </c>
      <c r="F544" s="241" t="s">
        <v>568</v>
      </c>
      <c r="G544" s="63">
        <v>11670</v>
      </c>
      <c r="H544" s="21" t="s">
        <v>592</v>
      </c>
      <c r="I544" s="20"/>
      <c r="T544" s="27"/>
      <c r="U544" s="27"/>
      <c r="V544" s="27"/>
    </row>
    <row r="545" spans="1:22" ht="15" hidden="1" customHeight="1" x14ac:dyDescent="0.25">
      <c r="A545" s="22">
        <v>44272</v>
      </c>
      <c r="B545" s="63" t="s">
        <v>229</v>
      </c>
      <c r="C545" s="63" t="s">
        <v>209</v>
      </c>
      <c r="D545" s="74">
        <v>0.95763888888888893</v>
      </c>
      <c r="E545" s="74">
        <v>0.96458333333333324</v>
      </c>
      <c r="F545" s="241" t="s">
        <v>248</v>
      </c>
      <c r="G545" s="63">
        <v>14720</v>
      </c>
      <c r="H545" s="21" t="s">
        <v>176</v>
      </c>
      <c r="I545" s="20"/>
      <c r="T545" s="27"/>
      <c r="U545" s="27"/>
      <c r="V545" s="27"/>
    </row>
    <row r="546" spans="1:22" ht="15" hidden="1" customHeight="1" x14ac:dyDescent="0.25">
      <c r="A546" s="22">
        <v>44273</v>
      </c>
      <c r="B546" s="63" t="s">
        <v>31</v>
      </c>
      <c r="C546" s="63" t="s">
        <v>329</v>
      </c>
      <c r="D546" s="74">
        <v>1.9444444444444445E-2</v>
      </c>
      <c r="E546" s="74">
        <v>6.5972222222222224E-2</v>
      </c>
      <c r="F546" s="241" t="s">
        <v>252</v>
      </c>
      <c r="G546" s="63">
        <v>4550</v>
      </c>
      <c r="H546" s="21" t="s">
        <v>460</v>
      </c>
      <c r="I546" s="20"/>
      <c r="T546" s="27"/>
      <c r="U546" s="27"/>
      <c r="V546" s="27"/>
    </row>
    <row r="547" spans="1:22" ht="15" hidden="1" customHeight="1" x14ac:dyDescent="0.25">
      <c r="A547" s="22">
        <v>44273</v>
      </c>
      <c r="B547" s="63" t="s">
        <v>181</v>
      </c>
      <c r="C547" s="63" t="s">
        <v>149</v>
      </c>
      <c r="D547" s="74">
        <v>2.2916666666666669E-2</v>
      </c>
      <c r="E547" s="74">
        <v>0.23194444444444443</v>
      </c>
      <c r="F547" s="241" t="s">
        <v>635</v>
      </c>
      <c r="G547" s="63">
        <v>10860</v>
      </c>
      <c r="H547" s="21" t="s">
        <v>211</v>
      </c>
      <c r="I547" s="20"/>
      <c r="T547" s="27"/>
      <c r="U547" s="27"/>
      <c r="V547" s="27"/>
    </row>
    <row r="548" spans="1:22" ht="15" hidden="1" customHeight="1" x14ac:dyDescent="0.25">
      <c r="A548" s="22">
        <v>44273</v>
      </c>
      <c r="B548" s="63" t="s">
        <v>300</v>
      </c>
      <c r="C548" s="63" t="s">
        <v>636</v>
      </c>
      <c r="D548" s="74">
        <v>0.10416666666666667</v>
      </c>
      <c r="E548" s="74">
        <v>0.14097222222222222</v>
      </c>
      <c r="F548" s="241" t="s">
        <v>88</v>
      </c>
      <c r="G548" s="63">
        <v>8310</v>
      </c>
      <c r="H548" s="21" t="s">
        <v>299</v>
      </c>
      <c r="I548" s="20"/>
      <c r="T548" s="27"/>
      <c r="U548" s="27"/>
      <c r="V548" s="27"/>
    </row>
    <row r="549" spans="1:22" ht="15" hidden="1" customHeight="1" x14ac:dyDescent="0.25">
      <c r="A549" s="22">
        <v>44273</v>
      </c>
      <c r="B549" s="63" t="s">
        <v>58</v>
      </c>
      <c r="C549" s="63" t="s">
        <v>312</v>
      </c>
      <c r="D549" s="74">
        <v>0.24930555555555556</v>
      </c>
      <c r="E549" s="74">
        <v>0.26319444444444445</v>
      </c>
      <c r="F549" s="241" t="s">
        <v>705</v>
      </c>
      <c r="G549" s="63">
        <v>19690</v>
      </c>
      <c r="H549" s="21" t="s">
        <v>313</v>
      </c>
      <c r="I549" s="20"/>
      <c r="T549" s="27"/>
      <c r="U549" s="27"/>
      <c r="V549" s="27"/>
    </row>
    <row r="550" spans="1:22" ht="15" hidden="1" customHeight="1" x14ac:dyDescent="0.25">
      <c r="A550" s="22">
        <v>44273</v>
      </c>
      <c r="B550" s="63" t="s">
        <v>31</v>
      </c>
      <c r="C550" s="63" t="s">
        <v>637</v>
      </c>
      <c r="D550" s="74">
        <v>0.38958333333333334</v>
      </c>
      <c r="E550" s="74">
        <v>0.4597222222222222</v>
      </c>
      <c r="F550" s="241" t="s">
        <v>639</v>
      </c>
      <c r="G550" s="63">
        <v>3490</v>
      </c>
      <c r="H550" s="21" t="s">
        <v>638</v>
      </c>
      <c r="I550" s="20"/>
      <c r="T550" s="27"/>
      <c r="U550" s="27"/>
      <c r="V550" s="27"/>
    </row>
    <row r="551" spans="1:22" ht="15" hidden="1" customHeight="1" x14ac:dyDescent="0.25">
      <c r="A551" s="22">
        <v>44273</v>
      </c>
      <c r="B551" s="63" t="s">
        <v>31</v>
      </c>
      <c r="C551" s="63" t="s">
        <v>640</v>
      </c>
      <c r="D551" s="74">
        <v>0.39583333333333331</v>
      </c>
      <c r="E551" s="74">
        <v>0.63472222222222219</v>
      </c>
      <c r="F551" s="237" t="s">
        <v>642</v>
      </c>
      <c r="G551" s="63">
        <v>9670</v>
      </c>
      <c r="H551" s="21" t="s">
        <v>641</v>
      </c>
      <c r="I551" s="20"/>
      <c r="T551" s="27"/>
      <c r="U551" s="27"/>
      <c r="V551" s="27"/>
    </row>
    <row r="552" spans="1:22" ht="15" hidden="1" customHeight="1" x14ac:dyDescent="0.25">
      <c r="A552" s="22">
        <v>44273</v>
      </c>
      <c r="B552" s="63" t="s">
        <v>400</v>
      </c>
      <c r="C552" s="63" t="s">
        <v>196</v>
      </c>
      <c r="D552" s="74">
        <v>0.42083333333333334</v>
      </c>
      <c r="E552" s="74">
        <v>0.47152777777777777</v>
      </c>
      <c r="F552" s="241" t="s">
        <v>204</v>
      </c>
      <c r="G552" s="63">
        <v>10030</v>
      </c>
      <c r="H552" s="21" t="s">
        <v>324</v>
      </c>
      <c r="I552" s="20"/>
      <c r="T552" s="27"/>
      <c r="U552" s="27"/>
      <c r="V552" s="27"/>
    </row>
    <row r="553" spans="1:22" ht="15" hidden="1" customHeight="1" x14ac:dyDescent="0.25">
      <c r="A553" s="22">
        <v>44273</v>
      </c>
      <c r="B553" s="63" t="s">
        <v>17</v>
      </c>
      <c r="C553" s="63" t="s">
        <v>16</v>
      </c>
      <c r="D553" s="74">
        <v>0.4291666666666667</v>
      </c>
      <c r="E553" s="74">
        <v>0.47569444444444442</v>
      </c>
      <c r="F553" s="252" t="s">
        <v>225</v>
      </c>
      <c r="G553" s="63">
        <v>25290</v>
      </c>
      <c r="H553" s="21" t="s">
        <v>51</v>
      </c>
      <c r="I553" s="20"/>
      <c r="T553" s="27"/>
      <c r="U553" s="27"/>
      <c r="V553" s="27"/>
    </row>
    <row r="554" spans="1:22" ht="15" hidden="1" customHeight="1" x14ac:dyDescent="0.25">
      <c r="A554" s="22">
        <v>44273</v>
      </c>
      <c r="B554" s="63" t="s">
        <v>14</v>
      </c>
      <c r="C554" s="63" t="s">
        <v>16</v>
      </c>
      <c r="D554" s="74">
        <v>0.4375</v>
      </c>
      <c r="E554" s="74">
        <v>0.48333333333333334</v>
      </c>
      <c r="F554" s="252" t="s">
        <v>225</v>
      </c>
      <c r="G554" s="63">
        <v>25340</v>
      </c>
      <c r="H554" s="21" t="s">
        <v>587</v>
      </c>
      <c r="I554" s="20"/>
      <c r="T554" s="27"/>
      <c r="U554" s="27"/>
      <c r="V554" s="27"/>
    </row>
    <row r="555" spans="1:22" ht="15" hidden="1" customHeight="1" x14ac:dyDescent="0.25">
      <c r="A555" s="22">
        <v>44273</v>
      </c>
      <c r="B555" s="63" t="s">
        <v>53</v>
      </c>
      <c r="C555" s="63" t="s">
        <v>16</v>
      </c>
      <c r="D555" s="74">
        <v>0.44861111111111113</v>
      </c>
      <c r="E555" s="74">
        <v>0.48888888888888887</v>
      </c>
      <c r="F555" s="252" t="s">
        <v>225</v>
      </c>
      <c r="G555" s="63">
        <v>25320</v>
      </c>
      <c r="H555" s="21" t="s">
        <v>328</v>
      </c>
      <c r="I555" s="20"/>
      <c r="T555" s="27"/>
      <c r="U555" s="27"/>
      <c r="V555" s="27"/>
    </row>
    <row r="556" spans="1:22" ht="15" hidden="1" customHeight="1" x14ac:dyDescent="0.25">
      <c r="A556" s="22">
        <v>44273</v>
      </c>
      <c r="B556" s="63" t="s">
        <v>229</v>
      </c>
      <c r="C556" s="63" t="s">
        <v>196</v>
      </c>
      <c r="D556" s="74">
        <v>0.45</v>
      </c>
      <c r="E556" s="74">
        <v>0.47847222222222219</v>
      </c>
      <c r="F556" s="241" t="s">
        <v>204</v>
      </c>
      <c r="G556" s="63">
        <v>14970</v>
      </c>
      <c r="H556" s="21" t="s">
        <v>176</v>
      </c>
      <c r="I556" s="20"/>
      <c r="T556" s="27"/>
      <c r="U556" s="27"/>
      <c r="V556" s="27"/>
    </row>
    <row r="557" spans="1:22" ht="15" hidden="1" customHeight="1" x14ac:dyDescent="0.25">
      <c r="A557" s="22">
        <v>44273</v>
      </c>
      <c r="B557" s="63" t="s">
        <v>157</v>
      </c>
      <c r="C557" s="63" t="s">
        <v>643</v>
      </c>
      <c r="D557" s="74">
        <v>0.54305555555555551</v>
      </c>
      <c r="E557" s="74">
        <v>0.55208333333333337</v>
      </c>
      <c r="F557" s="241" t="s">
        <v>204</v>
      </c>
      <c r="G557" s="63">
        <v>21700</v>
      </c>
      <c r="H557" s="21" t="s">
        <v>47</v>
      </c>
      <c r="I557" s="20"/>
      <c r="T557" s="27"/>
      <c r="U557" s="27"/>
      <c r="V557" s="27"/>
    </row>
    <row r="558" spans="1:22" ht="15" hidden="1" customHeight="1" x14ac:dyDescent="0.25">
      <c r="A558" s="22">
        <v>44273</v>
      </c>
      <c r="B558" s="63" t="s">
        <v>17</v>
      </c>
      <c r="C558" s="63" t="s">
        <v>16</v>
      </c>
      <c r="D558" s="74">
        <v>0.55347222222222225</v>
      </c>
      <c r="E558" s="74">
        <v>0.58888888888888891</v>
      </c>
      <c r="F558" s="252" t="s">
        <v>225</v>
      </c>
      <c r="G558" s="63">
        <v>25320</v>
      </c>
      <c r="H558" s="21" t="s">
        <v>51</v>
      </c>
      <c r="I558" s="20"/>
      <c r="T558" s="27"/>
      <c r="U558" s="27"/>
      <c r="V558" s="27"/>
    </row>
    <row r="559" spans="1:22" ht="15" hidden="1" customHeight="1" x14ac:dyDescent="0.25">
      <c r="A559" s="22">
        <v>44273</v>
      </c>
      <c r="B559" s="63" t="s">
        <v>150</v>
      </c>
      <c r="C559" s="63" t="s">
        <v>220</v>
      </c>
      <c r="D559" s="74">
        <v>0.55625000000000002</v>
      </c>
      <c r="E559" s="74">
        <v>0.58611111111111114</v>
      </c>
      <c r="F559" s="241" t="s">
        <v>204</v>
      </c>
      <c r="G559" s="63">
        <v>16730</v>
      </c>
      <c r="H559" s="21" t="s">
        <v>232</v>
      </c>
      <c r="I559" s="20"/>
      <c r="T559" s="27"/>
      <c r="U559" s="27"/>
      <c r="V559" s="27"/>
    </row>
    <row r="560" spans="1:22" ht="15" hidden="1" customHeight="1" x14ac:dyDescent="0.25">
      <c r="A560" s="22">
        <v>44273</v>
      </c>
      <c r="B560" s="63" t="s">
        <v>412</v>
      </c>
      <c r="C560" s="63" t="s">
        <v>215</v>
      </c>
      <c r="D560" s="74">
        <v>0.56527777777777777</v>
      </c>
      <c r="E560" s="74">
        <v>0.57916666666666672</v>
      </c>
      <c r="F560" s="241" t="s">
        <v>252</v>
      </c>
      <c r="G560" s="63">
        <v>1540</v>
      </c>
      <c r="H560" s="21" t="s">
        <v>415</v>
      </c>
      <c r="I560" s="20"/>
      <c r="T560" s="27"/>
      <c r="U560" s="27"/>
      <c r="V560" s="27"/>
    </row>
    <row r="561" spans="1:22" ht="15" hidden="1" customHeight="1" x14ac:dyDescent="0.25">
      <c r="A561" s="22">
        <v>44273</v>
      </c>
      <c r="B561" s="63" t="s">
        <v>53</v>
      </c>
      <c r="C561" s="63" t="s">
        <v>16</v>
      </c>
      <c r="D561" s="74">
        <v>0.56666666666666665</v>
      </c>
      <c r="E561" s="74">
        <v>0.59722222222222221</v>
      </c>
      <c r="F561" s="252" t="s">
        <v>225</v>
      </c>
      <c r="G561" s="63">
        <v>25560</v>
      </c>
      <c r="H561" s="21" t="s">
        <v>328</v>
      </c>
      <c r="I561" s="20"/>
      <c r="T561" s="27"/>
      <c r="U561" s="27"/>
      <c r="V561" s="27"/>
    </row>
    <row r="562" spans="1:22" ht="15" hidden="1" customHeight="1" x14ac:dyDescent="0.25">
      <c r="A562" s="22">
        <v>44273</v>
      </c>
      <c r="B562" s="63" t="s">
        <v>31</v>
      </c>
      <c r="C562" s="63" t="s">
        <v>593</v>
      </c>
      <c r="D562" s="74">
        <v>0.56874999999999998</v>
      </c>
      <c r="E562" s="74">
        <v>0.58263888888888882</v>
      </c>
      <c r="F562" s="241" t="s">
        <v>188</v>
      </c>
      <c r="G562" s="63">
        <v>2850</v>
      </c>
      <c r="H562" s="21" t="s">
        <v>450</v>
      </c>
      <c r="I562" s="20"/>
      <c r="T562" s="27"/>
      <c r="U562" s="27"/>
      <c r="V562" s="27"/>
    </row>
    <row r="563" spans="1:22" ht="15" hidden="1" customHeight="1" x14ac:dyDescent="0.25">
      <c r="A563" s="22">
        <v>44273</v>
      </c>
      <c r="B563" s="63" t="s">
        <v>14</v>
      </c>
      <c r="C563" s="63" t="s">
        <v>16</v>
      </c>
      <c r="D563" s="74">
        <v>0.5805555555555556</v>
      </c>
      <c r="E563" s="74">
        <v>0.61597222222222225</v>
      </c>
      <c r="F563" s="252" t="s">
        <v>225</v>
      </c>
      <c r="G563" s="63">
        <v>25560</v>
      </c>
      <c r="H563" s="21" t="s">
        <v>587</v>
      </c>
      <c r="I563" s="20"/>
      <c r="T563" s="27"/>
      <c r="U563" s="27"/>
      <c r="V563" s="27"/>
    </row>
    <row r="564" spans="1:22" ht="15" hidden="1" customHeight="1" x14ac:dyDescent="0.25">
      <c r="A564" s="22">
        <v>44273</v>
      </c>
      <c r="B564" s="63" t="s">
        <v>97</v>
      </c>
      <c r="C564" s="63" t="s">
        <v>263</v>
      </c>
      <c r="D564" s="74">
        <v>0.58472222222222225</v>
      </c>
      <c r="E564" s="74">
        <v>0.59097222222222223</v>
      </c>
      <c r="F564" s="241" t="s">
        <v>645</v>
      </c>
      <c r="G564" s="63">
        <v>360</v>
      </c>
      <c r="H564" s="21" t="s">
        <v>644</v>
      </c>
      <c r="I564" s="20"/>
      <c r="T564" s="27"/>
      <c r="U564" s="27"/>
      <c r="V564" s="27"/>
    </row>
    <row r="565" spans="1:22" ht="15" hidden="1" customHeight="1" x14ac:dyDescent="0.25">
      <c r="A565" s="22">
        <v>44273</v>
      </c>
      <c r="B565" s="63" t="s">
        <v>31</v>
      </c>
      <c r="C565" s="63" t="s">
        <v>593</v>
      </c>
      <c r="D565" s="74">
        <v>0.58819444444444446</v>
      </c>
      <c r="E565" s="74">
        <v>0.59930555555555554</v>
      </c>
      <c r="F565" s="241" t="s">
        <v>331</v>
      </c>
      <c r="G565" s="63">
        <v>2910</v>
      </c>
      <c r="H565" s="21" t="s">
        <v>198</v>
      </c>
      <c r="I565" s="20"/>
      <c r="T565" s="27"/>
      <c r="U565" s="27"/>
      <c r="V565" s="27"/>
    </row>
    <row r="566" spans="1:22" ht="15" hidden="1" customHeight="1" x14ac:dyDescent="0.25">
      <c r="A566" s="22">
        <v>44273</v>
      </c>
      <c r="B566" s="63" t="s">
        <v>31</v>
      </c>
      <c r="C566" s="63" t="s">
        <v>578</v>
      </c>
      <c r="D566" s="74">
        <v>0.6118055555555556</v>
      </c>
      <c r="E566" s="74">
        <v>0.62708333333333333</v>
      </c>
      <c r="F566" s="241" t="s">
        <v>580</v>
      </c>
      <c r="G566" s="63">
        <v>2760</v>
      </c>
      <c r="H566" s="21" t="s">
        <v>424</v>
      </c>
      <c r="I566" s="20"/>
      <c r="T566" s="27"/>
      <c r="U566" s="27"/>
      <c r="V566" s="27"/>
    </row>
    <row r="567" spans="1:22" ht="15" hidden="1" customHeight="1" x14ac:dyDescent="0.25">
      <c r="A567" s="22">
        <v>44273</v>
      </c>
      <c r="B567" s="63" t="s">
        <v>412</v>
      </c>
      <c r="C567" s="63" t="s">
        <v>646</v>
      </c>
      <c r="D567" s="74">
        <v>0.63055555555555554</v>
      </c>
      <c r="E567" s="74">
        <v>0.64166666666666672</v>
      </c>
      <c r="F567" s="241" t="s">
        <v>252</v>
      </c>
      <c r="G567" s="63">
        <v>3775</v>
      </c>
      <c r="H567" s="21" t="s">
        <v>415</v>
      </c>
      <c r="I567" s="20"/>
      <c r="T567" s="27"/>
      <c r="U567" s="27"/>
      <c r="V567" s="27"/>
    </row>
    <row r="568" spans="1:22" ht="15" hidden="1" customHeight="1" x14ac:dyDescent="0.25">
      <c r="A568" s="22">
        <v>44273</v>
      </c>
      <c r="B568" s="63" t="s">
        <v>31</v>
      </c>
      <c r="C568" s="63" t="s">
        <v>329</v>
      </c>
      <c r="D568" s="74">
        <v>0.66666666666666663</v>
      </c>
      <c r="E568" s="74">
        <v>0.68402777777777779</v>
      </c>
      <c r="F568" s="241" t="s">
        <v>331</v>
      </c>
      <c r="G568" s="63">
        <v>2680</v>
      </c>
      <c r="H568" s="21" t="s">
        <v>647</v>
      </c>
      <c r="I568" s="20"/>
      <c r="T568" s="27"/>
      <c r="U568" s="27"/>
      <c r="V568" s="27"/>
    </row>
    <row r="569" spans="1:22" ht="15" hidden="1" customHeight="1" x14ac:dyDescent="0.25">
      <c r="A569" s="22">
        <v>44273</v>
      </c>
      <c r="B569" s="63" t="s">
        <v>31</v>
      </c>
      <c r="C569" s="63" t="s">
        <v>329</v>
      </c>
      <c r="D569" s="74">
        <v>0.6743055555555556</v>
      </c>
      <c r="E569" s="74">
        <v>0.69236111111111109</v>
      </c>
      <c r="F569" s="241" t="s">
        <v>331</v>
      </c>
      <c r="G569" s="63">
        <v>4730</v>
      </c>
      <c r="H569" s="21" t="s">
        <v>648</v>
      </c>
      <c r="I569" s="20"/>
      <c r="T569" s="27"/>
      <c r="U569" s="27"/>
      <c r="V569" s="27"/>
    </row>
    <row r="570" spans="1:22" ht="15" hidden="1" customHeight="1" x14ac:dyDescent="0.25">
      <c r="A570" s="22">
        <v>44273</v>
      </c>
      <c r="B570" s="63" t="s">
        <v>90</v>
      </c>
      <c r="C570" s="63" t="s">
        <v>461</v>
      </c>
      <c r="D570" s="74">
        <v>0.67569444444444438</v>
      </c>
      <c r="E570" s="74">
        <v>0.70972222222222225</v>
      </c>
      <c r="F570" s="241" t="s">
        <v>462</v>
      </c>
      <c r="G570" s="63">
        <v>3150</v>
      </c>
      <c r="H570" s="21" t="s">
        <v>461</v>
      </c>
      <c r="I570" s="20"/>
      <c r="T570" s="27"/>
      <c r="U570" s="27"/>
      <c r="V570" s="27"/>
    </row>
    <row r="571" spans="1:22" ht="15" hidden="1" customHeight="1" x14ac:dyDescent="0.25">
      <c r="A571" s="22">
        <v>44273</v>
      </c>
      <c r="B571" s="63" t="s">
        <v>31</v>
      </c>
      <c r="C571" s="63" t="s">
        <v>329</v>
      </c>
      <c r="D571" s="74">
        <v>0.68194444444444446</v>
      </c>
      <c r="E571" s="74">
        <v>0.69930555555555562</v>
      </c>
      <c r="F571" s="241" t="s">
        <v>331</v>
      </c>
      <c r="G571" s="63">
        <v>2420</v>
      </c>
      <c r="H571" s="21" t="s">
        <v>450</v>
      </c>
      <c r="I571" s="20"/>
      <c r="T571" s="27"/>
      <c r="U571" s="27"/>
      <c r="V571" s="27"/>
    </row>
    <row r="572" spans="1:22" ht="15" hidden="1" customHeight="1" x14ac:dyDescent="0.25">
      <c r="A572" s="22">
        <v>44273</v>
      </c>
      <c r="B572" s="63" t="s">
        <v>412</v>
      </c>
      <c r="C572" s="63" t="s">
        <v>203</v>
      </c>
      <c r="D572" s="74">
        <v>0.69444444444444453</v>
      </c>
      <c r="E572" s="74">
        <v>0.70416666666666661</v>
      </c>
      <c r="F572" s="241" t="s">
        <v>252</v>
      </c>
      <c r="G572" s="63">
        <v>1540</v>
      </c>
      <c r="H572" s="21" t="s">
        <v>415</v>
      </c>
      <c r="I572" s="20"/>
      <c r="T572" s="27"/>
      <c r="U572" s="27"/>
      <c r="V572" s="27"/>
    </row>
    <row r="573" spans="1:22" ht="15" hidden="1" customHeight="1" x14ac:dyDescent="0.25">
      <c r="A573" s="22">
        <v>44273</v>
      </c>
      <c r="B573" s="63" t="s">
        <v>17</v>
      </c>
      <c r="C573" s="63" t="s">
        <v>16</v>
      </c>
      <c r="D573" s="74">
        <v>0.71388888888888891</v>
      </c>
      <c r="E573" s="74">
        <v>0.73125000000000007</v>
      </c>
      <c r="F573" s="252" t="s">
        <v>219</v>
      </c>
      <c r="G573" s="63">
        <v>25340</v>
      </c>
      <c r="H573" s="21" t="s">
        <v>51</v>
      </c>
      <c r="I573" s="20"/>
      <c r="T573" s="27"/>
      <c r="U573" s="27"/>
      <c r="V573" s="27"/>
    </row>
    <row r="574" spans="1:22" ht="15" hidden="1" customHeight="1" x14ac:dyDescent="0.25">
      <c r="A574" s="22">
        <v>44273</v>
      </c>
      <c r="B574" s="63" t="s">
        <v>14</v>
      </c>
      <c r="C574" s="63" t="s">
        <v>305</v>
      </c>
      <c r="D574" s="74">
        <v>0.7284722222222223</v>
      </c>
      <c r="E574" s="74">
        <v>0.17430555555555557</v>
      </c>
      <c r="F574" s="249" t="s">
        <v>173</v>
      </c>
      <c r="G574" s="63">
        <v>35080</v>
      </c>
      <c r="H574" s="21" t="s">
        <v>174</v>
      </c>
      <c r="I574" s="20"/>
      <c r="T574" s="27"/>
      <c r="U574" s="27"/>
      <c r="V574" s="27"/>
    </row>
    <row r="575" spans="1:22" ht="15" hidden="1" customHeight="1" x14ac:dyDescent="0.25">
      <c r="A575" s="22">
        <v>44273</v>
      </c>
      <c r="B575" s="63" t="s">
        <v>31</v>
      </c>
      <c r="C575" s="63" t="s">
        <v>593</v>
      </c>
      <c r="D575" s="74">
        <v>0.7416666666666667</v>
      </c>
      <c r="E575" s="74">
        <v>0.78125</v>
      </c>
      <c r="F575" s="241" t="s">
        <v>331</v>
      </c>
      <c r="G575" s="63">
        <v>5320</v>
      </c>
      <c r="H575" s="21" t="s">
        <v>198</v>
      </c>
      <c r="I575" s="20"/>
      <c r="T575" s="27"/>
      <c r="U575" s="27"/>
      <c r="V575" s="27"/>
    </row>
    <row r="576" spans="1:22" ht="15" hidden="1" customHeight="1" x14ac:dyDescent="0.25">
      <c r="A576" s="22">
        <v>44273</v>
      </c>
      <c r="B576" s="63" t="s">
        <v>400</v>
      </c>
      <c r="C576" s="63" t="s">
        <v>208</v>
      </c>
      <c r="D576" s="74">
        <v>0.75555555555555554</v>
      </c>
      <c r="E576" s="74">
        <v>0.7631944444444444</v>
      </c>
      <c r="F576" s="241" t="s">
        <v>204</v>
      </c>
      <c r="G576" s="63">
        <v>8230</v>
      </c>
      <c r="H576" s="21" t="s">
        <v>324</v>
      </c>
      <c r="I576" s="20"/>
      <c r="T576" s="27"/>
      <c r="U576" s="27"/>
      <c r="V576" s="27"/>
    </row>
    <row r="577" spans="1:22" ht="15" hidden="1" customHeight="1" x14ac:dyDescent="0.25">
      <c r="A577" s="22">
        <v>44273</v>
      </c>
      <c r="B577" s="63" t="s">
        <v>412</v>
      </c>
      <c r="C577" s="63" t="s">
        <v>470</v>
      </c>
      <c r="D577" s="74">
        <v>0.75694444444444453</v>
      </c>
      <c r="E577" s="74">
        <v>0.76736111111111116</v>
      </c>
      <c r="F577" s="241" t="s">
        <v>252</v>
      </c>
      <c r="G577" s="63">
        <v>670</v>
      </c>
      <c r="H577" s="21" t="s">
        <v>415</v>
      </c>
      <c r="I577" s="20"/>
      <c r="T577" s="27"/>
      <c r="U577" s="27"/>
      <c r="V577" s="27"/>
    </row>
    <row r="578" spans="1:22" ht="15" hidden="1" customHeight="1" x14ac:dyDescent="0.25">
      <c r="A578" s="22">
        <v>44273</v>
      </c>
      <c r="B578" s="63" t="s">
        <v>307</v>
      </c>
      <c r="C578" s="63" t="s">
        <v>144</v>
      </c>
      <c r="D578" s="74">
        <v>0.76041666666666663</v>
      </c>
      <c r="E578" s="74">
        <v>0.3840277777777778</v>
      </c>
      <c r="F578" s="236" t="s">
        <v>317</v>
      </c>
      <c r="G578" s="63">
        <v>23430</v>
      </c>
      <c r="H578" s="21" t="s">
        <v>147</v>
      </c>
      <c r="I578" s="20"/>
      <c r="T578" s="27"/>
      <c r="U578" s="27"/>
      <c r="V578" s="27"/>
    </row>
    <row r="579" spans="1:22" ht="15" hidden="1" customHeight="1" x14ac:dyDescent="0.25">
      <c r="A579" s="22">
        <v>44273</v>
      </c>
      <c r="B579" s="63" t="s">
        <v>31</v>
      </c>
      <c r="C579" s="63" t="s">
        <v>649</v>
      </c>
      <c r="D579" s="74">
        <v>0.79166666666666663</v>
      </c>
      <c r="E579" s="74">
        <v>0.83472222222222225</v>
      </c>
      <c r="F579" s="241" t="s">
        <v>331</v>
      </c>
      <c r="G579" s="63">
        <v>5090</v>
      </c>
      <c r="H579" s="21" t="s">
        <v>650</v>
      </c>
      <c r="I579" s="20"/>
      <c r="T579" s="27"/>
      <c r="U579" s="27"/>
      <c r="V579" s="27"/>
    </row>
    <row r="580" spans="1:22" ht="15" hidden="1" customHeight="1" x14ac:dyDescent="0.25">
      <c r="A580" s="22">
        <v>44273</v>
      </c>
      <c r="B580" s="63" t="s">
        <v>31</v>
      </c>
      <c r="C580" s="63" t="s">
        <v>649</v>
      </c>
      <c r="D580" s="74">
        <v>0.79236111111111107</v>
      </c>
      <c r="E580" s="74">
        <v>0.83819444444444446</v>
      </c>
      <c r="F580" s="241" t="s">
        <v>331</v>
      </c>
      <c r="G580" s="63">
        <v>3330</v>
      </c>
      <c r="H580" s="21" t="s">
        <v>651</v>
      </c>
      <c r="I580" s="20"/>
      <c r="T580" s="27"/>
      <c r="U580" s="27"/>
      <c r="V580" s="27"/>
    </row>
    <row r="581" spans="1:22" ht="15" hidden="1" customHeight="1" x14ac:dyDescent="0.25">
      <c r="A581" s="22">
        <v>44273</v>
      </c>
      <c r="B581" s="63" t="s">
        <v>31</v>
      </c>
      <c r="C581" s="63" t="s">
        <v>649</v>
      </c>
      <c r="D581" s="74">
        <v>0.7944444444444444</v>
      </c>
      <c r="E581" s="74">
        <v>0.83611111111111114</v>
      </c>
      <c r="F581" s="241" t="s">
        <v>331</v>
      </c>
      <c r="G581" s="63">
        <v>5230</v>
      </c>
      <c r="H581" s="21" t="s">
        <v>650</v>
      </c>
      <c r="I581" s="20"/>
      <c r="T581" s="27"/>
      <c r="U581" s="27"/>
      <c r="V581" s="27"/>
    </row>
    <row r="582" spans="1:22" ht="15" hidden="1" customHeight="1" x14ac:dyDescent="0.25">
      <c r="A582" s="22">
        <v>44273</v>
      </c>
      <c r="B582" s="63" t="s">
        <v>400</v>
      </c>
      <c r="C582" s="63" t="s">
        <v>235</v>
      </c>
      <c r="D582" s="74">
        <v>0.83194444444444438</v>
      </c>
      <c r="E582" s="74">
        <v>0.84027777777777779</v>
      </c>
      <c r="F582" s="241" t="s">
        <v>252</v>
      </c>
      <c r="G582" s="63">
        <v>450</v>
      </c>
      <c r="H582" s="21" t="s">
        <v>324</v>
      </c>
      <c r="I582" s="20"/>
      <c r="T582" s="27"/>
      <c r="U582" s="27"/>
      <c r="V582" s="27"/>
    </row>
    <row r="583" spans="1:22" ht="15" hidden="1" customHeight="1" x14ac:dyDescent="0.25">
      <c r="A583" s="22">
        <v>44273</v>
      </c>
      <c r="B583" s="63" t="s">
        <v>31</v>
      </c>
      <c r="C583" s="63" t="s">
        <v>649</v>
      </c>
      <c r="D583" s="74">
        <v>0.89444444444444438</v>
      </c>
      <c r="E583" s="74">
        <v>0.91111111111111109</v>
      </c>
      <c r="F583" s="241" t="s">
        <v>370</v>
      </c>
      <c r="G583" s="63">
        <v>3480</v>
      </c>
      <c r="H583" s="21" t="s">
        <v>460</v>
      </c>
      <c r="I583" s="20"/>
      <c r="T583" s="27"/>
      <c r="U583" s="27"/>
      <c r="V583" s="27"/>
    </row>
    <row r="584" spans="1:22" ht="15" hidden="1" customHeight="1" x14ac:dyDescent="0.25">
      <c r="A584" s="22">
        <v>44273</v>
      </c>
      <c r="B584" s="63" t="s">
        <v>400</v>
      </c>
      <c r="C584" s="63" t="s">
        <v>407</v>
      </c>
      <c r="D584" s="74">
        <v>0.90486111111111101</v>
      </c>
      <c r="E584" s="74">
        <v>0.91249999999999998</v>
      </c>
      <c r="F584" s="241" t="s">
        <v>248</v>
      </c>
      <c r="G584" s="63">
        <v>2450</v>
      </c>
      <c r="H584" s="21" t="s">
        <v>324</v>
      </c>
      <c r="I584" s="20"/>
      <c r="T584" s="27"/>
      <c r="U584" s="27"/>
      <c r="V584" s="27"/>
    </row>
    <row r="585" spans="1:22" ht="15" hidden="1" customHeight="1" x14ac:dyDescent="0.25">
      <c r="A585" s="22">
        <v>44273</v>
      </c>
      <c r="B585" s="63" t="s">
        <v>31</v>
      </c>
      <c r="C585" s="63" t="s">
        <v>649</v>
      </c>
      <c r="D585" s="74">
        <v>0.97777777777777775</v>
      </c>
      <c r="E585" s="74">
        <v>1.5277777777777777E-2</v>
      </c>
      <c r="F585" s="241" t="s">
        <v>331</v>
      </c>
      <c r="G585" s="63">
        <v>3080</v>
      </c>
      <c r="H585" s="21" t="s">
        <v>652</v>
      </c>
      <c r="I585" s="20"/>
      <c r="T585" s="27"/>
      <c r="U585" s="27"/>
      <c r="V585" s="27"/>
    </row>
    <row r="586" spans="1:22" ht="15" hidden="1" customHeight="1" x14ac:dyDescent="0.25">
      <c r="A586" s="22">
        <v>44274</v>
      </c>
      <c r="B586" s="63" t="s">
        <v>31</v>
      </c>
      <c r="C586" s="63" t="s">
        <v>96</v>
      </c>
      <c r="D586" s="74">
        <v>2.7777777777777779E-3</v>
      </c>
      <c r="E586" s="74">
        <v>6.7361111111111108E-2</v>
      </c>
      <c r="F586" s="241" t="s">
        <v>251</v>
      </c>
      <c r="G586" s="63">
        <v>16550</v>
      </c>
      <c r="H586" s="21" t="s">
        <v>346</v>
      </c>
      <c r="I586" s="20"/>
      <c r="T586" s="27"/>
      <c r="U586" s="27"/>
      <c r="V586" s="27"/>
    </row>
    <row r="587" spans="1:22" ht="15" hidden="1" customHeight="1" x14ac:dyDescent="0.25">
      <c r="A587" s="22">
        <v>44274</v>
      </c>
      <c r="B587" s="63" t="s">
        <v>31</v>
      </c>
      <c r="C587" s="63" t="s">
        <v>649</v>
      </c>
      <c r="D587" s="74">
        <v>2.1527777777777781E-2</v>
      </c>
      <c r="E587" s="74">
        <v>4.6527777777777779E-2</v>
      </c>
      <c r="F587" s="241" t="s">
        <v>331</v>
      </c>
      <c r="G587" s="63">
        <v>1460</v>
      </c>
      <c r="H587" s="21" t="s">
        <v>333</v>
      </c>
      <c r="I587" s="20"/>
      <c r="T587" s="27"/>
      <c r="U587" s="27"/>
      <c r="V587" s="27"/>
    </row>
    <row r="588" spans="1:22" ht="15" hidden="1" customHeight="1" x14ac:dyDescent="0.25">
      <c r="A588" s="22">
        <v>44274</v>
      </c>
      <c r="B588" s="63" t="s">
        <v>31</v>
      </c>
      <c r="C588" s="63" t="s">
        <v>649</v>
      </c>
      <c r="D588" s="74">
        <v>2.9166666666666664E-2</v>
      </c>
      <c r="E588" s="74">
        <v>5.2083333333333336E-2</v>
      </c>
      <c r="F588" s="241" t="s">
        <v>331</v>
      </c>
      <c r="G588" s="63">
        <v>1220</v>
      </c>
      <c r="H588" s="21" t="s">
        <v>200</v>
      </c>
      <c r="I588" s="20"/>
      <c r="T588" s="27"/>
      <c r="U588" s="27"/>
      <c r="V588" s="27"/>
    </row>
    <row r="589" spans="1:22" ht="15" hidden="1" customHeight="1" x14ac:dyDescent="0.25">
      <c r="A589" s="22">
        <v>44274</v>
      </c>
      <c r="B589" s="63" t="s">
        <v>31</v>
      </c>
      <c r="C589" s="63" t="s">
        <v>649</v>
      </c>
      <c r="D589" s="74">
        <v>3.6111111111111115E-2</v>
      </c>
      <c r="E589" s="74">
        <v>7.2222222222222229E-2</v>
      </c>
      <c r="F589" s="241" t="s">
        <v>331</v>
      </c>
      <c r="G589" s="63">
        <v>4020</v>
      </c>
      <c r="H589" s="21" t="s">
        <v>650</v>
      </c>
      <c r="I589" s="20"/>
      <c r="T589" s="27"/>
      <c r="U589" s="27"/>
      <c r="V589" s="27"/>
    </row>
    <row r="590" spans="1:22" ht="15" hidden="1" customHeight="1" x14ac:dyDescent="0.25">
      <c r="A590" s="22">
        <v>44274</v>
      </c>
      <c r="B590" s="63" t="s">
        <v>229</v>
      </c>
      <c r="C590" s="63" t="s">
        <v>653</v>
      </c>
      <c r="D590" s="74">
        <v>6.458333333333334E-2</v>
      </c>
      <c r="E590" s="74">
        <v>7.7777777777777779E-2</v>
      </c>
      <c r="F590" s="241" t="s">
        <v>331</v>
      </c>
      <c r="G590" s="63">
        <v>25030</v>
      </c>
      <c r="H590" s="21" t="s">
        <v>587</v>
      </c>
      <c r="I590" s="20"/>
      <c r="T590" s="27"/>
      <c r="U590" s="27"/>
      <c r="V590" s="27"/>
    </row>
    <row r="591" spans="1:22" ht="15" hidden="1" customHeight="1" x14ac:dyDescent="0.25">
      <c r="A591" s="22">
        <v>44274</v>
      </c>
      <c r="B591" s="63" t="s">
        <v>58</v>
      </c>
      <c r="C591" s="63" t="s">
        <v>312</v>
      </c>
      <c r="D591" s="74">
        <v>0.17291666666666669</v>
      </c>
      <c r="E591" s="74">
        <v>0.17847222222222223</v>
      </c>
      <c r="F591" s="241" t="s">
        <v>670</v>
      </c>
      <c r="G591" s="63">
        <v>17430</v>
      </c>
      <c r="H591" s="21" t="s">
        <v>313</v>
      </c>
      <c r="I591" s="20"/>
      <c r="T591" s="27"/>
      <c r="U591" s="27"/>
      <c r="V591" s="27"/>
    </row>
    <row r="592" spans="1:22" ht="15" hidden="1" customHeight="1" x14ac:dyDescent="0.25">
      <c r="A592" s="22">
        <v>44274</v>
      </c>
      <c r="B592" s="63" t="s">
        <v>31</v>
      </c>
      <c r="C592" s="63" t="s">
        <v>654</v>
      </c>
      <c r="D592" s="74">
        <v>0.3520833333333333</v>
      </c>
      <c r="E592" s="74">
        <v>0.55902777777777779</v>
      </c>
      <c r="F592" s="249" t="s">
        <v>173</v>
      </c>
      <c r="G592" s="63">
        <v>26500</v>
      </c>
      <c r="H592" s="21" t="s">
        <v>655</v>
      </c>
      <c r="I592" s="20"/>
      <c r="T592" s="27"/>
      <c r="U592" s="27"/>
      <c r="V592" s="27"/>
    </row>
    <row r="593" spans="1:22" ht="15" hidden="1" customHeight="1" x14ac:dyDescent="0.25">
      <c r="A593" s="22">
        <v>44274</v>
      </c>
      <c r="B593" s="63" t="s">
        <v>31</v>
      </c>
      <c r="C593" s="63" t="s">
        <v>654</v>
      </c>
      <c r="D593" s="74">
        <v>0.35347222222222219</v>
      </c>
      <c r="E593" s="74">
        <v>0.55555555555555558</v>
      </c>
      <c r="F593" s="249" t="s">
        <v>173</v>
      </c>
      <c r="G593" s="63">
        <v>26500</v>
      </c>
      <c r="H593" s="21" t="s">
        <v>656</v>
      </c>
      <c r="I593" s="20"/>
      <c r="T593" s="27"/>
      <c r="U593" s="27"/>
      <c r="V593" s="27"/>
    </row>
    <row r="594" spans="1:22" ht="15" hidden="1" customHeight="1" x14ac:dyDescent="0.25">
      <c r="A594" s="22">
        <v>44274</v>
      </c>
      <c r="B594" s="63" t="s">
        <v>31</v>
      </c>
      <c r="C594" s="63" t="s">
        <v>654</v>
      </c>
      <c r="D594" s="74">
        <v>0.35486111111111113</v>
      </c>
      <c r="E594" s="74">
        <v>0.63680555555555551</v>
      </c>
      <c r="F594" s="249" t="s">
        <v>173</v>
      </c>
      <c r="G594" s="63">
        <v>26500</v>
      </c>
      <c r="H594" s="21" t="s">
        <v>657</v>
      </c>
      <c r="I594" s="20"/>
      <c r="T594" s="27"/>
      <c r="U594" s="27"/>
      <c r="V594" s="27"/>
    </row>
    <row r="595" spans="1:22" ht="15" hidden="1" customHeight="1" x14ac:dyDescent="0.25">
      <c r="A595" s="22">
        <v>44274</v>
      </c>
      <c r="B595" s="63" t="s">
        <v>31</v>
      </c>
      <c r="C595" s="63" t="s">
        <v>238</v>
      </c>
      <c r="D595" s="74">
        <v>0.36944444444444446</v>
      </c>
      <c r="E595" s="74">
        <v>0.43333333333333335</v>
      </c>
      <c r="F595" s="246" t="s">
        <v>177</v>
      </c>
      <c r="G595" s="63">
        <v>21530</v>
      </c>
      <c r="H595" s="21" t="s">
        <v>260</v>
      </c>
      <c r="I595" s="20"/>
      <c r="T595" s="27"/>
      <c r="U595" s="27"/>
      <c r="V595" s="27"/>
    </row>
    <row r="596" spans="1:22" ht="15" hidden="1" customHeight="1" x14ac:dyDescent="0.25">
      <c r="A596" s="22">
        <v>44274</v>
      </c>
      <c r="B596" s="63" t="s">
        <v>31</v>
      </c>
      <c r="C596" s="63" t="s">
        <v>654</v>
      </c>
      <c r="D596" s="74">
        <v>0.3833333333333333</v>
      </c>
      <c r="E596" s="74">
        <v>0.65138888888888891</v>
      </c>
      <c r="F596" s="249" t="s">
        <v>173</v>
      </c>
      <c r="G596" s="63">
        <v>26500</v>
      </c>
      <c r="H596" s="21" t="s">
        <v>514</v>
      </c>
      <c r="I596" s="20"/>
      <c r="T596" s="27"/>
      <c r="U596" s="27"/>
      <c r="V596" s="27"/>
    </row>
    <row r="597" spans="1:22" ht="15" hidden="1" customHeight="1" x14ac:dyDescent="0.25">
      <c r="A597" s="22">
        <v>44274</v>
      </c>
      <c r="B597" s="63" t="s">
        <v>31</v>
      </c>
      <c r="C597" s="63" t="s">
        <v>654</v>
      </c>
      <c r="D597" s="74">
        <v>0.39305555555555555</v>
      </c>
      <c r="E597" s="74">
        <v>0.6479166666666667</v>
      </c>
      <c r="F597" s="249" t="s">
        <v>173</v>
      </c>
      <c r="G597" s="63">
        <v>26500</v>
      </c>
      <c r="H597" s="21" t="s">
        <v>512</v>
      </c>
      <c r="I597" s="20"/>
      <c r="T597" s="27"/>
      <c r="U597" s="27"/>
      <c r="V597" s="27"/>
    </row>
    <row r="598" spans="1:22" ht="15" hidden="1" customHeight="1" x14ac:dyDescent="0.25">
      <c r="A598" s="22">
        <v>44274</v>
      </c>
      <c r="B598" s="63" t="s">
        <v>31</v>
      </c>
      <c r="C598" s="63" t="s">
        <v>487</v>
      </c>
      <c r="D598" s="74">
        <v>0.40972222222222227</v>
      </c>
      <c r="E598" s="74">
        <v>0.4375</v>
      </c>
      <c r="F598" s="237" t="s">
        <v>658</v>
      </c>
      <c r="G598" s="63">
        <v>940</v>
      </c>
      <c r="H598" s="21" t="s">
        <v>488</v>
      </c>
      <c r="I598" s="20"/>
      <c r="T598" s="27"/>
      <c r="U598" s="27"/>
      <c r="V598" s="27"/>
    </row>
    <row r="599" spans="1:22" ht="15" hidden="1" customHeight="1" x14ac:dyDescent="0.25">
      <c r="A599" s="22">
        <v>44274</v>
      </c>
      <c r="B599" s="63" t="s">
        <v>31</v>
      </c>
      <c r="C599" s="63" t="s">
        <v>654</v>
      </c>
      <c r="D599" s="74">
        <v>0.41250000000000003</v>
      </c>
      <c r="E599" s="74">
        <v>0.66527777777777775</v>
      </c>
      <c r="F599" s="249" t="s">
        <v>173</v>
      </c>
      <c r="G599" s="63">
        <v>26500</v>
      </c>
      <c r="H599" s="21" t="s">
        <v>295</v>
      </c>
      <c r="I599" s="20"/>
      <c r="T599" s="27"/>
      <c r="U599" s="27"/>
      <c r="V599" s="27"/>
    </row>
    <row r="600" spans="1:22" ht="15" hidden="1" customHeight="1" x14ac:dyDescent="0.25">
      <c r="A600" s="22">
        <v>44274</v>
      </c>
      <c r="B600" s="63" t="s">
        <v>31</v>
      </c>
      <c r="C600" s="63" t="s">
        <v>410</v>
      </c>
      <c r="D600" s="74">
        <v>0.44930555555555557</v>
      </c>
      <c r="E600" s="74">
        <v>0.48819444444444443</v>
      </c>
      <c r="F600" s="241" t="s">
        <v>252</v>
      </c>
      <c r="G600" s="63">
        <v>3520</v>
      </c>
      <c r="H600" s="21" t="s">
        <v>460</v>
      </c>
      <c r="I600" s="20"/>
      <c r="T600" s="27"/>
      <c r="U600" s="27"/>
      <c r="V600" s="27"/>
    </row>
    <row r="601" spans="1:22" ht="15" hidden="1" customHeight="1" x14ac:dyDescent="0.25">
      <c r="A601" s="22">
        <v>44274</v>
      </c>
      <c r="B601" s="63" t="s">
        <v>229</v>
      </c>
      <c r="C601" s="63" t="s">
        <v>194</v>
      </c>
      <c r="D601" s="74">
        <v>0.46249999999999997</v>
      </c>
      <c r="E601" s="74">
        <v>0.47569444444444442</v>
      </c>
      <c r="F601" s="241" t="s">
        <v>247</v>
      </c>
      <c r="G601" s="63">
        <v>18950</v>
      </c>
      <c r="H601" s="21" t="s">
        <v>176</v>
      </c>
      <c r="I601" s="20"/>
      <c r="T601" s="27"/>
      <c r="U601" s="27"/>
      <c r="V601" s="27"/>
    </row>
    <row r="602" spans="1:22" ht="15" hidden="1" customHeight="1" x14ac:dyDescent="0.25">
      <c r="A602" s="22">
        <v>44274</v>
      </c>
      <c r="B602" s="63" t="s">
        <v>400</v>
      </c>
      <c r="C602" s="63" t="s">
        <v>234</v>
      </c>
      <c r="D602" s="74">
        <v>0.46388888888888885</v>
      </c>
      <c r="E602" s="74">
        <v>0.47430555555555554</v>
      </c>
      <c r="F602" s="241" t="s">
        <v>204</v>
      </c>
      <c r="G602" s="63">
        <v>9100</v>
      </c>
      <c r="H602" s="21" t="s">
        <v>324</v>
      </c>
      <c r="I602" s="20"/>
      <c r="T602" s="27"/>
      <c r="U602" s="27"/>
      <c r="V602" s="27"/>
    </row>
    <row r="603" spans="1:22" ht="15" hidden="1" customHeight="1" x14ac:dyDescent="0.25">
      <c r="A603" s="22">
        <v>44274</v>
      </c>
      <c r="B603" s="63" t="s">
        <v>157</v>
      </c>
      <c r="C603" s="63" t="s">
        <v>659</v>
      </c>
      <c r="D603" s="74">
        <v>0.52847222222222223</v>
      </c>
      <c r="E603" s="74">
        <v>0.5493055555555556</v>
      </c>
      <c r="F603" s="241" t="s">
        <v>204</v>
      </c>
      <c r="G603" s="63">
        <v>22200</v>
      </c>
      <c r="H603" s="21" t="s">
        <v>47</v>
      </c>
      <c r="I603" s="20"/>
      <c r="T603" s="27"/>
      <c r="U603" s="27"/>
      <c r="V603" s="27"/>
    </row>
    <row r="604" spans="1:22" ht="15" hidden="1" customHeight="1" x14ac:dyDescent="0.25">
      <c r="A604" s="22">
        <v>44274</v>
      </c>
      <c r="B604" s="63" t="s">
        <v>412</v>
      </c>
      <c r="C604" s="63" t="s">
        <v>191</v>
      </c>
      <c r="D604" s="74">
        <v>0.53680555555555554</v>
      </c>
      <c r="E604" s="74">
        <v>0.54305555555555551</v>
      </c>
      <c r="F604" s="241" t="s">
        <v>247</v>
      </c>
      <c r="G604" s="63">
        <v>7000</v>
      </c>
      <c r="H604" s="21" t="s">
        <v>415</v>
      </c>
      <c r="I604" s="20"/>
      <c r="T604" s="27"/>
      <c r="U604" s="27"/>
      <c r="V604" s="27"/>
    </row>
    <row r="605" spans="1:22" ht="15" hidden="1" customHeight="1" x14ac:dyDescent="0.25">
      <c r="A605" s="22">
        <v>44274</v>
      </c>
      <c r="B605" s="63" t="s">
        <v>31</v>
      </c>
      <c r="C605" s="63" t="s">
        <v>654</v>
      </c>
      <c r="D605" s="74">
        <v>0.53819444444444442</v>
      </c>
      <c r="E605" s="74">
        <v>0.8833333333333333</v>
      </c>
      <c r="F605" s="249" t="s">
        <v>173</v>
      </c>
      <c r="G605" s="63">
        <v>26500</v>
      </c>
      <c r="H605" s="21" t="s">
        <v>660</v>
      </c>
      <c r="I605" s="20"/>
      <c r="T605" s="27"/>
      <c r="U605" s="27"/>
      <c r="V605" s="27"/>
    </row>
    <row r="606" spans="1:22" ht="15" hidden="1" customHeight="1" x14ac:dyDescent="0.25">
      <c r="A606" s="22">
        <v>44274</v>
      </c>
      <c r="B606" s="63" t="s">
        <v>31</v>
      </c>
      <c r="C606" s="63" t="s">
        <v>654</v>
      </c>
      <c r="D606" s="74">
        <v>0.54791666666666672</v>
      </c>
      <c r="E606" s="74">
        <v>0.8027777777777777</v>
      </c>
      <c r="F606" s="249" t="s">
        <v>173</v>
      </c>
      <c r="G606" s="63">
        <v>26500</v>
      </c>
      <c r="H606" s="21" t="s">
        <v>661</v>
      </c>
      <c r="I606" s="20"/>
      <c r="T606" s="27"/>
      <c r="U606" s="27"/>
      <c r="V606" s="27"/>
    </row>
    <row r="607" spans="1:22" ht="15" hidden="1" customHeight="1" x14ac:dyDescent="0.25">
      <c r="A607" s="22">
        <v>44274</v>
      </c>
      <c r="B607" s="63" t="s">
        <v>31</v>
      </c>
      <c r="C607" s="63" t="s">
        <v>259</v>
      </c>
      <c r="D607" s="74">
        <v>0.55138888888888882</v>
      </c>
      <c r="E607" s="74">
        <v>0.625</v>
      </c>
      <c r="F607" s="243" t="s">
        <v>52</v>
      </c>
      <c r="G607" s="63">
        <v>35350</v>
      </c>
      <c r="H607" s="21" t="s">
        <v>244</v>
      </c>
      <c r="I607" s="20"/>
      <c r="T607" s="27"/>
      <c r="U607" s="27"/>
      <c r="V607" s="27"/>
    </row>
    <row r="608" spans="1:22" ht="15" hidden="1" customHeight="1" x14ac:dyDescent="0.25">
      <c r="A608" s="22">
        <v>44274</v>
      </c>
      <c r="B608" s="63" t="s">
        <v>150</v>
      </c>
      <c r="C608" s="63" t="s">
        <v>196</v>
      </c>
      <c r="D608" s="74">
        <v>0.56111111111111112</v>
      </c>
      <c r="E608" s="74">
        <v>0.65972222222222221</v>
      </c>
      <c r="F608" s="241" t="s">
        <v>204</v>
      </c>
      <c r="G608" s="63">
        <v>11880</v>
      </c>
      <c r="H608" s="21" t="s">
        <v>232</v>
      </c>
      <c r="I608" s="20"/>
      <c r="T608" s="27"/>
      <c r="U608" s="27"/>
      <c r="V608" s="27"/>
    </row>
    <row r="609" spans="1:22" ht="15" hidden="1" customHeight="1" x14ac:dyDescent="0.25">
      <c r="A609" s="22">
        <v>44274</v>
      </c>
      <c r="B609" s="63" t="s">
        <v>400</v>
      </c>
      <c r="C609" s="63" t="s">
        <v>470</v>
      </c>
      <c r="D609" s="74">
        <v>0.56180555555555556</v>
      </c>
      <c r="E609" s="74">
        <v>0.57500000000000007</v>
      </c>
      <c r="F609" s="241" t="s">
        <v>204</v>
      </c>
      <c r="G609" s="63">
        <v>2310</v>
      </c>
      <c r="H609" s="21" t="s">
        <v>324</v>
      </c>
      <c r="I609" s="20"/>
      <c r="T609" s="27"/>
      <c r="U609" s="27"/>
      <c r="V609" s="27"/>
    </row>
    <row r="610" spans="1:22" ht="15" hidden="1" customHeight="1" x14ac:dyDescent="0.25">
      <c r="A610" s="22">
        <v>44274</v>
      </c>
      <c r="B610" s="63" t="s">
        <v>31</v>
      </c>
      <c r="C610" s="63" t="s">
        <v>654</v>
      </c>
      <c r="D610" s="74">
        <v>0.56944444444444442</v>
      </c>
      <c r="E610" s="74">
        <v>0.79375000000000007</v>
      </c>
      <c r="F610" s="249" t="s">
        <v>173</v>
      </c>
      <c r="G610" s="63">
        <v>26500</v>
      </c>
      <c r="H610" s="21" t="s">
        <v>518</v>
      </c>
      <c r="I610" s="20"/>
      <c r="T610" s="27"/>
      <c r="U610" s="27"/>
      <c r="V610" s="27"/>
    </row>
    <row r="611" spans="1:22" ht="15" hidden="1" customHeight="1" x14ac:dyDescent="0.25">
      <c r="A611" s="22">
        <v>44274</v>
      </c>
      <c r="B611" s="63" t="s">
        <v>17</v>
      </c>
      <c r="C611" s="63" t="s">
        <v>196</v>
      </c>
      <c r="D611" s="74">
        <v>0.57430555555555551</v>
      </c>
      <c r="E611" s="74">
        <v>0.58124999999999993</v>
      </c>
      <c r="F611" s="241" t="s">
        <v>204</v>
      </c>
      <c r="G611" s="63">
        <v>20345</v>
      </c>
      <c r="H611" s="21" t="s">
        <v>51</v>
      </c>
      <c r="I611" s="20"/>
      <c r="T611" s="27"/>
      <c r="U611" s="27"/>
      <c r="V611" s="27"/>
    </row>
    <row r="612" spans="1:22" ht="15" customHeight="1" x14ac:dyDescent="0.25">
      <c r="A612" s="22">
        <v>44274</v>
      </c>
      <c r="B612" s="63" t="s">
        <v>15</v>
      </c>
      <c r="C612" s="63" t="s">
        <v>196</v>
      </c>
      <c r="D612" s="74">
        <v>0.57916666666666672</v>
      </c>
      <c r="E612" s="74">
        <v>0.5854166666666667</v>
      </c>
      <c r="F612" s="241" t="s">
        <v>204</v>
      </c>
      <c r="G612" s="63">
        <v>10365</v>
      </c>
      <c r="H612" s="21" t="s">
        <v>456</v>
      </c>
      <c r="I612" s="20"/>
      <c r="T612" s="27"/>
      <c r="U612" s="27"/>
      <c r="V612" s="27"/>
    </row>
    <row r="613" spans="1:22" ht="15" hidden="1" customHeight="1" x14ac:dyDescent="0.25">
      <c r="A613" s="22">
        <v>44274</v>
      </c>
      <c r="B613" s="63" t="s">
        <v>31</v>
      </c>
      <c r="C613" s="63" t="s">
        <v>654</v>
      </c>
      <c r="D613" s="74">
        <v>0.58680555555555558</v>
      </c>
      <c r="E613" s="74">
        <v>0.88958333333333339</v>
      </c>
      <c r="F613" s="249" t="s">
        <v>173</v>
      </c>
      <c r="G613" s="63">
        <v>26500</v>
      </c>
      <c r="H613" s="21" t="s">
        <v>662</v>
      </c>
      <c r="I613" s="20"/>
      <c r="T613" s="27"/>
      <c r="U613" s="27"/>
      <c r="V613" s="27"/>
    </row>
    <row r="614" spans="1:22" ht="15" hidden="1" customHeight="1" x14ac:dyDescent="0.25">
      <c r="A614" s="22">
        <v>44274</v>
      </c>
      <c r="B614" s="63" t="s">
        <v>31</v>
      </c>
      <c r="C614" s="63" t="s">
        <v>654</v>
      </c>
      <c r="D614" s="74">
        <v>0.58819444444444446</v>
      </c>
      <c r="E614" s="74">
        <v>0.86388888888888893</v>
      </c>
      <c r="F614" s="249" t="s">
        <v>173</v>
      </c>
      <c r="G614" s="63">
        <v>26500</v>
      </c>
      <c r="H614" s="21" t="s">
        <v>663</v>
      </c>
      <c r="I614" s="20"/>
      <c r="T614" s="27"/>
      <c r="U614" s="27"/>
      <c r="V614" s="27"/>
    </row>
    <row r="615" spans="1:22" ht="15" hidden="1" customHeight="1" x14ac:dyDescent="0.25">
      <c r="A615" s="22">
        <v>44274</v>
      </c>
      <c r="B615" s="63" t="s">
        <v>31</v>
      </c>
      <c r="C615" s="63" t="s">
        <v>593</v>
      </c>
      <c r="D615" s="74">
        <v>0.59513888888888888</v>
      </c>
      <c r="E615" s="74">
        <v>0.61736111111111114</v>
      </c>
      <c r="F615" s="241" t="s">
        <v>188</v>
      </c>
      <c r="G615" s="63">
        <v>1370</v>
      </c>
      <c r="H615" s="21" t="s">
        <v>198</v>
      </c>
      <c r="I615" s="20"/>
      <c r="T615" s="27"/>
      <c r="U615" s="27"/>
      <c r="V615" s="27"/>
    </row>
    <row r="616" spans="1:22" ht="15" hidden="1" customHeight="1" x14ac:dyDescent="0.25">
      <c r="A616" s="22">
        <v>44274</v>
      </c>
      <c r="B616" s="63" t="s">
        <v>31</v>
      </c>
      <c r="C616" s="63" t="s">
        <v>654</v>
      </c>
      <c r="D616" s="74">
        <v>0.63263888888888886</v>
      </c>
      <c r="E616" s="74">
        <v>0.86736111111111114</v>
      </c>
      <c r="F616" s="249" t="s">
        <v>173</v>
      </c>
      <c r="G616" s="63">
        <v>26500</v>
      </c>
      <c r="H616" s="21" t="s">
        <v>664</v>
      </c>
      <c r="I616" s="20"/>
      <c r="T616" s="27"/>
      <c r="U616" s="27"/>
      <c r="V616" s="27"/>
    </row>
    <row r="617" spans="1:22" ht="15" hidden="1" customHeight="1" x14ac:dyDescent="0.25">
      <c r="A617" s="22">
        <v>44274</v>
      </c>
      <c r="B617" s="63" t="s">
        <v>31</v>
      </c>
      <c r="C617" s="63" t="s">
        <v>593</v>
      </c>
      <c r="D617" s="74">
        <v>0.69305555555555554</v>
      </c>
      <c r="E617" s="74">
        <v>0.7055555555555556</v>
      </c>
      <c r="F617" s="241" t="s">
        <v>188</v>
      </c>
      <c r="G617" s="63">
        <v>1430</v>
      </c>
      <c r="H617" s="21" t="s">
        <v>450</v>
      </c>
      <c r="I617" s="20"/>
      <c r="T617" s="27"/>
      <c r="U617" s="27"/>
      <c r="V617" s="27"/>
    </row>
    <row r="618" spans="1:22" ht="15" hidden="1" customHeight="1" x14ac:dyDescent="0.25">
      <c r="A618" s="22">
        <v>44274</v>
      </c>
      <c r="B618" s="63" t="s">
        <v>307</v>
      </c>
      <c r="C618" s="63" t="s">
        <v>144</v>
      </c>
      <c r="D618" s="74">
        <v>0.76944444444444438</v>
      </c>
      <c r="E618" s="74">
        <v>0.38472222222222219</v>
      </c>
      <c r="F618" s="236" t="s">
        <v>317</v>
      </c>
      <c r="G618" s="63">
        <v>24460</v>
      </c>
      <c r="H618" s="21" t="s">
        <v>147</v>
      </c>
      <c r="I618" s="20"/>
      <c r="T618" s="27"/>
      <c r="U618" s="27"/>
      <c r="V618" s="27"/>
    </row>
    <row r="619" spans="1:22" ht="15" hidden="1" customHeight="1" x14ac:dyDescent="0.25">
      <c r="A619" s="22">
        <v>44274</v>
      </c>
      <c r="B619" s="63" t="s">
        <v>31</v>
      </c>
      <c r="C619" s="63" t="s">
        <v>649</v>
      </c>
      <c r="D619" s="74">
        <v>0.8340277777777777</v>
      </c>
      <c r="E619" s="74">
        <v>0.85625000000000007</v>
      </c>
      <c r="F619" s="241" t="s">
        <v>189</v>
      </c>
      <c r="G619" s="63">
        <v>6230</v>
      </c>
      <c r="H619" s="21" t="s">
        <v>460</v>
      </c>
      <c r="I619" s="20"/>
      <c r="T619" s="27"/>
      <c r="U619" s="27"/>
      <c r="V619" s="27"/>
    </row>
    <row r="620" spans="1:22" ht="15" hidden="1" customHeight="1" x14ac:dyDescent="0.25">
      <c r="A620" s="22">
        <v>44274</v>
      </c>
      <c r="B620" s="63" t="s">
        <v>31</v>
      </c>
      <c r="C620" s="63" t="s">
        <v>238</v>
      </c>
      <c r="D620" s="74">
        <v>0.89374999999999993</v>
      </c>
      <c r="E620" s="74">
        <v>0.3743055555555555</v>
      </c>
      <c r="F620" s="246" t="s">
        <v>177</v>
      </c>
      <c r="G620" s="63">
        <v>21980</v>
      </c>
      <c r="H620" s="21" t="s">
        <v>665</v>
      </c>
      <c r="I620" s="20"/>
      <c r="T620" s="27"/>
      <c r="U620" s="27"/>
      <c r="V620" s="27"/>
    </row>
    <row r="621" spans="1:22" ht="15" hidden="1" customHeight="1" x14ac:dyDescent="0.25">
      <c r="A621" s="22">
        <v>44274</v>
      </c>
      <c r="B621" s="63" t="s">
        <v>31</v>
      </c>
      <c r="C621" s="63" t="s">
        <v>96</v>
      </c>
      <c r="D621" s="74">
        <v>0.98125000000000007</v>
      </c>
      <c r="E621" s="74">
        <v>3.1944444444444449E-2</v>
      </c>
      <c r="F621" s="241" t="s">
        <v>666</v>
      </c>
      <c r="G621" s="63">
        <v>14025</v>
      </c>
      <c r="H621" s="21" t="s">
        <v>346</v>
      </c>
      <c r="I621" s="20"/>
      <c r="T621" s="27"/>
      <c r="U621" s="27"/>
      <c r="V621" s="27"/>
    </row>
    <row r="622" spans="1:22" ht="15" hidden="1" customHeight="1" x14ac:dyDescent="0.25">
      <c r="A622" s="22">
        <v>44274</v>
      </c>
      <c r="B622" s="63" t="s">
        <v>181</v>
      </c>
      <c r="C622" s="63" t="s">
        <v>149</v>
      </c>
      <c r="D622" s="74">
        <v>0.98819444444444438</v>
      </c>
      <c r="E622" s="74">
        <v>8.8888888888888892E-2</v>
      </c>
      <c r="F622" s="241" t="s">
        <v>667</v>
      </c>
      <c r="G622" s="63">
        <v>12520</v>
      </c>
      <c r="H622" s="21" t="s">
        <v>211</v>
      </c>
      <c r="I622" s="20"/>
      <c r="T622" s="27"/>
      <c r="U622" s="27"/>
      <c r="V622" s="27"/>
    </row>
    <row r="623" spans="1:22" ht="15" hidden="1" customHeight="1" x14ac:dyDescent="0.25">
      <c r="A623" s="22">
        <v>44275</v>
      </c>
      <c r="B623" s="63" t="s">
        <v>300</v>
      </c>
      <c r="C623" s="63" t="s">
        <v>668</v>
      </c>
      <c r="D623" s="74">
        <v>0.10902777777777778</v>
      </c>
      <c r="E623" s="74">
        <v>0.19652777777777777</v>
      </c>
      <c r="F623" s="241" t="s">
        <v>669</v>
      </c>
      <c r="G623" s="63">
        <v>11710</v>
      </c>
      <c r="H623" s="21" t="s">
        <v>299</v>
      </c>
      <c r="I623" s="20"/>
      <c r="T623" s="27"/>
      <c r="U623" s="27"/>
      <c r="V623" s="27"/>
    </row>
    <row r="624" spans="1:22" ht="15" hidden="1" customHeight="1" x14ac:dyDescent="0.25">
      <c r="A624" s="22">
        <v>44275</v>
      </c>
      <c r="B624" s="63" t="s">
        <v>58</v>
      </c>
      <c r="C624" s="63" t="s">
        <v>312</v>
      </c>
      <c r="D624" s="74">
        <v>0.17916666666666667</v>
      </c>
      <c r="E624" s="74">
        <v>0.19097222222222221</v>
      </c>
      <c r="F624" s="241" t="s">
        <v>670</v>
      </c>
      <c r="G624" s="63">
        <v>24850</v>
      </c>
      <c r="H624" s="21" t="s">
        <v>313</v>
      </c>
      <c r="I624" s="20"/>
      <c r="T624" s="27"/>
      <c r="U624" s="27"/>
      <c r="V624" s="27"/>
    </row>
    <row r="625" spans="1:22" ht="15" hidden="1" customHeight="1" x14ac:dyDescent="0.25">
      <c r="A625" s="22">
        <v>44275</v>
      </c>
      <c r="B625" s="63" t="s">
        <v>31</v>
      </c>
      <c r="C625" s="63" t="s">
        <v>671</v>
      </c>
      <c r="D625" s="74">
        <v>0.36041666666666666</v>
      </c>
      <c r="E625" s="74">
        <v>0.57847222222222217</v>
      </c>
      <c r="F625" s="249" t="s">
        <v>173</v>
      </c>
      <c r="G625" s="63">
        <v>26500</v>
      </c>
      <c r="H625" s="21" t="s">
        <v>672</v>
      </c>
      <c r="I625" s="20"/>
      <c r="T625" s="27"/>
      <c r="U625" s="27"/>
      <c r="V625" s="27"/>
    </row>
    <row r="626" spans="1:22" ht="15" hidden="1" customHeight="1" x14ac:dyDescent="0.25">
      <c r="A626" s="22">
        <v>44275</v>
      </c>
      <c r="B626" s="63" t="s">
        <v>31</v>
      </c>
      <c r="C626" s="63" t="s">
        <v>671</v>
      </c>
      <c r="D626" s="74">
        <v>0.36180555555555555</v>
      </c>
      <c r="E626" s="74">
        <v>0.58402777777777781</v>
      </c>
      <c r="F626" s="249" t="s">
        <v>173</v>
      </c>
      <c r="G626" s="63">
        <v>26500</v>
      </c>
      <c r="H626" s="21" t="s">
        <v>655</v>
      </c>
      <c r="I626" s="20"/>
      <c r="T626" s="27"/>
      <c r="U626" s="27"/>
      <c r="V626" s="27"/>
    </row>
    <row r="627" spans="1:22" ht="15" hidden="1" customHeight="1" x14ac:dyDescent="0.25">
      <c r="A627" s="22">
        <v>44275</v>
      </c>
      <c r="B627" s="63" t="s">
        <v>31</v>
      </c>
      <c r="C627" s="63" t="s">
        <v>671</v>
      </c>
      <c r="D627" s="74">
        <v>0.36388888888888887</v>
      </c>
      <c r="E627" s="74">
        <v>0.58611111111111114</v>
      </c>
      <c r="F627" s="249" t="s">
        <v>173</v>
      </c>
      <c r="G627" s="63">
        <v>26500</v>
      </c>
      <c r="H627" s="21" t="s">
        <v>673</v>
      </c>
      <c r="I627" s="20"/>
      <c r="T627" s="27"/>
      <c r="U627" s="27"/>
      <c r="V627" s="27"/>
    </row>
    <row r="628" spans="1:22" ht="15" hidden="1" customHeight="1" x14ac:dyDescent="0.25">
      <c r="A628" s="22">
        <v>44275</v>
      </c>
      <c r="B628" s="63" t="s">
        <v>31</v>
      </c>
      <c r="C628" s="63" t="s">
        <v>671</v>
      </c>
      <c r="D628" s="74">
        <v>0.41250000000000003</v>
      </c>
      <c r="E628" s="74">
        <v>0.52500000000000002</v>
      </c>
      <c r="F628" s="249" t="s">
        <v>173</v>
      </c>
      <c r="G628" s="63">
        <v>26500</v>
      </c>
      <c r="H628" s="21" t="s">
        <v>515</v>
      </c>
      <c r="I628" s="20"/>
      <c r="T628" s="27"/>
      <c r="U628" s="27"/>
      <c r="V628" s="27"/>
    </row>
    <row r="629" spans="1:22" ht="15" hidden="1" customHeight="1" x14ac:dyDescent="0.25">
      <c r="A629" s="22">
        <v>44275</v>
      </c>
      <c r="B629" s="63" t="s">
        <v>31</v>
      </c>
      <c r="C629" s="63" t="s">
        <v>671</v>
      </c>
      <c r="D629" s="74">
        <v>0.4145833333333333</v>
      </c>
      <c r="E629" s="74">
        <v>0.5180555555555556</v>
      </c>
      <c r="F629" s="249" t="s">
        <v>173</v>
      </c>
      <c r="G629" s="63">
        <v>26500</v>
      </c>
      <c r="H629" s="21" t="s">
        <v>674</v>
      </c>
      <c r="I629" s="20"/>
      <c r="T629" s="27"/>
      <c r="U629" s="27"/>
      <c r="V629" s="27"/>
    </row>
    <row r="630" spans="1:22" ht="15" hidden="1" customHeight="1" x14ac:dyDescent="0.25">
      <c r="A630" s="22">
        <v>44275</v>
      </c>
      <c r="B630" s="63" t="s">
        <v>31</v>
      </c>
      <c r="C630" s="63" t="s">
        <v>671</v>
      </c>
      <c r="D630" s="74">
        <v>0.44722222222222219</v>
      </c>
      <c r="E630" s="74">
        <v>0.52222222222222225</v>
      </c>
      <c r="F630" s="249" t="s">
        <v>173</v>
      </c>
      <c r="G630" s="63">
        <v>26500</v>
      </c>
      <c r="H630" s="21" t="s">
        <v>675</v>
      </c>
      <c r="I630" s="20"/>
      <c r="T630" s="27"/>
      <c r="U630" s="27"/>
      <c r="V630" s="27"/>
    </row>
    <row r="631" spans="1:22" ht="15" hidden="1" customHeight="1" x14ac:dyDescent="0.25">
      <c r="A631" s="22">
        <v>44275</v>
      </c>
      <c r="B631" s="63" t="s">
        <v>31</v>
      </c>
      <c r="C631" s="63" t="s">
        <v>676</v>
      </c>
      <c r="D631" s="74">
        <v>0.45694444444444443</v>
      </c>
      <c r="E631" s="74">
        <v>0.60972222222222217</v>
      </c>
      <c r="F631" s="240" t="s">
        <v>228</v>
      </c>
      <c r="G631" s="63">
        <v>25000</v>
      </c>
      <c r="H631" s="21" t="s">
        <v>660</v>
      </c>
      <c r="I631" s="20"/>
      <c r="T631" s="27"/>
      <c r="U631" s="27"/>
      <c r="V631" s="27"/>
    </row>
    <row r="632" spans="1:22" ht="15" hidden="1" customHeight="1" x14ac:dyDescent="0.25">
      <c r="A632" s="22">
        <v>44275</v>
      </c>
      <c r="B632" s="63" t="s">
        <v>229</v>
      </c>
      <c r="C632" s="63" t="s">
        <v>194</v>
      </c>
      <c r="D632" s="74">
        <v>0.45902777777777781</v>
      </c>
      <c r="E632" s="74">
        <v>0.46666666666666662</v>
      </c>
      <c r="F632" s="241" t="s">
        <v>677</v>
      </c>
      <c r="G632" s="63">
        <v>11740</v>
      </c>
      <c r="H632" s="21" t="s">
        <v>176</v>
      </c>
      <c r="I632" s="20"/>
      <c r="T632" s="27"/>
      <c r="U632" s="27"/>
      <c r="V632" s="27"/>
    </row>
    <row r="633" spans="1:22" ht="15" hidden="1" customHeight="1" x14ac:dyDescent="0.25">
      <c r="A633" s="22">
        <v>44275</v>
      </c>
      <c r="B633" s="63" t="s">
        <v>31</v>
      </c>
      <c r="C633" s="63" t="s">
        <v>676</v>
      </c>
      <c r="D633" s="74">
        <v>0.48680555555555555</v>
      </c>
      <c r="E633" s="74">
        <v>0.62291666666666667</v>
      </c>
      <c r="F633" s="240" t="s">
        <v>228</v>
      </c>
      <c r="G633" s="63">
        <v>25000</v>
      </c>
      <c r="H633" s="21" t="s">
        <v>662</v>
      </c>
      <c r="I633" s="20"/>
      <c r="T633" s="27"/>
      <c r="U633" s="27"/>
      <c r="V633" s="27"/>
    </row>
    <row r="634" spans="1:22" ht="15" hidden="1" customHeight="1" x14ac:dyDescent="0.25">
      <c r="A634" s="22">
        <v>44275</v>
      </c>
      <c r="B634" s="63" t="s">
        <v>307</v>
      </c>
      <c r="C634" s="63" t="s">
        <v>678</v>
      </c>
      <c r="D634" s="74">
        <v>0.49722222222222223</v>
      </c>
      <c r="E634" s="74">
        <v>0.50277777777777777</v>
      </c>
      <c r="F634" s="241" t="s">
        <v>197</v>
      </c>
      <c r="G634" s="63">
        <v>16600</v>
      </c>
      <c r="H634" s="21" t="s">
        <v>147</v>
      </c>
      <c r="I634" s="20"/>
      <c r="T634" s="27"/>
      <c r="U634" s="27"/>
      <c r="V634" s="27"/>
    </row>
    <row r="635" spans="1:22" ht="15" hidden="1" customHeight="1" x14ac:dyDescent="0.25">
      <c r="A635" s="22">
        <v>44275</v>
      </c>
      <c r="B635" s="63" t="s">
        <v>400</v>
      </c>
      <c r="C635" s="63" t="s">
        <v>220</v>
      </c>
      <c r="D635" s="74">
        <v>0.4993055555555555</v>
      </c>
      <c r="E635" s="74">
        <v>0.50486111111111109</v>
      </c>
      <c r="F635" s="241" t="s">
        <v>197</v>
      </c>
      <c r="G635" s="63">
        <v>5010</v>
      </c>
      <c r="H635" s="21" t="s">
        <v>324</v>
      </c>
      <c r="I635" s="20"/>
      <c r="T635" s="27"/>
      <c r="U635" s="27"/>
      <c r="V635" s="27"/>
    </row>
    <row r="636" spans="1:22" ht="15" hidden="1" customHeight="1" x14ac:dyDescent="0.25">
      <c r="A636" s="22">
        <v>44275</v>
      </c>
      <c r="B636" s="63" t="s">
        <v>78</v>
      </c>
      <c r="C636" s="63" t="s">
        <v>355</v>
      </c>
      <c r="D636" s="74">
        <v>0.58124999999999993</v>
      </c>
      <c r="E636" s="74">
        <v>0.59236111111111112</v>
      </c>
      <c r="F636" s="241" t="s">
        <v>679</v>
      </c>
      <c r="G636" s="63">
        <v>10210</v>
      </c>
      <c r="H636" s="21" t="s">
        <v>178</v>
      </c>
      <c r="I636" s="20"/>
      <c r="T636" s="27"/>
      <c r="U636" s="27"/>
      <c r="V636" s="27"/>
    </row>
    <row r="637" spans="1:22" ht="15" hidden="1" customHeight="1" x14ac:dyDescent="0.25">
      <c r="A637" s="22">
        <v>44275</v>
      </c>
      <c r="B637" s="63" t="s">
        <v>400</v>
      </c>
      <c r="C637" s="63" t="s">
        <v>194</v>
      </c>
      <c r="D637" s="74">
        <v>0.59861111111111109</v>
      </c>
      <c r="E637" s="74">
        <v>0.6118055555555556</v>
      </c>
      <c r="F637" s="241" t="s">
        <v>252</v>
      </c>
      <c r="G637" s="63">
        <v>750</v>
      </c>
      <c r="H637" s="21" t="s">
        <v>324</v>
      </c>
      <c r="I637" s="20"/>
      <c r="T637" s="27"/>
      <c r="U637" s="27"/>
      <c r="V637" s="27"/>
    </row>
    <row r="638" spans="1:22" ht="15" hidden="1" customHeight="1" x14ac:dyDescent="0.25">
      <c r="A638" s="22">
        <v>44275</v>
      </c>
      <c r="B638" s="63" t="s">
        <v>400</v>
      </c>
      <c r="C638" s="63" t="s">
        <v>216</v>
      </c>
      <c r="D638" s="74">
        <v>0.65555555555555556</v>
      </c>
      <c r="E638" s="74">
        <v>0.66041666666666665</v>
      </c>
      <c r="F638" s="241" t="s">
        <v>252</v>
      </c>
      <c r="G638" s="63">
        <v>530</v>
      </c>
      <c r="H638" s="21" t="s">
        <v>324</v>
      </c>
      <c r="I638" s="20"/>
      <c r="T638" s="27"/>
      <c r="U638" s="27"/>
      <c r="V638" s="27"/>
    </row>
    <row r="639" spans="1:22" ht="15" hidden="1" customHeight="1" x14ac:dyDescent="0.25">
      <c r="A639" s="22">
        <v>44275</v>
      </c>
      <c r="B639" s="63" t="s">
        <v>97</v>
      </c>
      <c r="C639" s="63" t="s">
        <v>263</v>
      </c>
      <c r="D639" s="74">
        <v>0.6972222222222223</v>
      </c>
      <c r="E639" s="74">
        <v>0.69930555555555562</v>
      </c>
      <c r="F639" s="241" t="s">
        <v>680</v>
      </c>
      <c r="G639" s="63">
        <v>450</v>
      </c>
      <c r="H639" s="21" t="s">
        <v>184</v>
      </c>
      <c r="I639" s="20"/>
      <c r="T639" s="27"/>
      <c r="U639" s="27"/>
      <c r="V639" s="27"/>
    </row>
    <row r="640" spans="1:22" ht="15" hidden="1" customHeight="1" x14ac:dyDescent="0.25">
      <c r="A640" s="22">
        <v>44275</v>
      </c>
      <c r="B640" s="63" t="s">
        <v>31</v>
      </c>
      <c r="C640" s="63" t="s">
        <v>312</v>
      </c>
      <c r="D640" s="74">
        <v>0.73888888888888893</v>
      </c>
      <c r="E640" s="74">
        <v>0.78680555555555554</v>
      </c>
      <c r="F640" s="241" t="s">
        <v>236</v>
      </c>
      <c r="G640" s="63">
        <v>6940</v>
      </c>
      <c r="H640" s="21" t="s">
        <v>230</v>
      </c>
      <c r="I640" s="20"/>
      <c r="T640" s="27"/>
      <c r="U640" s="27"/>
      <c r="V640" s="27"/>
    </row>
    <row r="641" spans="1:22" ht="15" hidden="1" customHeight="1" x14ac:dyDescent="0.25">
      <c r="A641" s="22">
        <v>44275</v>
      </c>
      <c r="B641" s="63" t="s">
        <v>400</v>
      </c>
      <c r="C641" s="63" t="s">
        <v>554</v>
      </c>
      <c r="D641" s="74">
        <v>0.78888888888888886</v>
      </c>
      <c r="E641" s="74">
        <v>0.79791666666666661</v>
      </c>
      <c r="F641" s="241" t="s">
        <v>248</v>
      </c>
      <c r="G641" s="63">
        <v>930</v>
      </c>
      <c r="H641" s="21" t="s">
        <v>324</v>
      </c>
      <c r="I641" s="20"/>
      <c r="T641" s="27"/>
      <c r="U641" s="27"/>
      <c r="V641" s="27"/>
    </row>
    <row r="642" spans="1:22" ht="15" hidden="1" customHeight="1" x14ac:dyDescent="0.25">
      <c r="A642" s="22">
        <v>44275</v>
      </c>
      <c r="B642" s="63" t="s">
        <v>31</v>
      </c>
      <c r="C642" s="63" t="s">
        <v>649</v>
      </c>
      <c r="D642" s="74">
        <v>0.82291666666666663</v>
      </c>
      <c r="E642" s="74">
        <v>0.86458333333333337</v>
      </c>
      <c r="F642" s="241" t="s">
        <v>199</v>
      </c>
      <c r="G642" s="63">
        <v>1520</v>
      </c>
      <c r="H642" s="21" t="s">
        <v>333</v>
      </c>
      <c r="I642" s="20"/>
      <c r="T642" s="27"/>
      <c r="U642" s="27"/>
      <c r="V642" s="27"/>
    </row>
    <row r="643" spans="1:22" ht="15" hidden="1" customHeight="1" x14ac:dyDescent="0.25">
      <c r="A643" s="22">
        <v>44275</v>
      </c>
      <c r="B643" s="63" t="s">
        <v>31</v>
      </c>
      <c r="C643" s="63" t="s">
        <v>96</v>
      </c>
      <c r="D643" s="74">
        <v>0.90555555555555556</v>
      </c>
      <c r="E643" s="74">
        <v>0.95972222222222225</v>
      </c>
      <c r="F643" s="241" t="s">
        <v>681</v>
      </c>
      <c r="G643" s="63">
        <v>6155</v>
      </c>
      <c r="H643" s="21" t="s">
        <v>409</v>
      </c>
      <c r="I643" s="20"/>
      <c r="T643" s="27"/>
      <c r="U643" s="27"/>
      <c r="V643" s="27"/>
    </row>
    <row r="644" spans="1:22" ht="15" hidden="1" customHeight="1" x14ac:dyDescent="0.25">
      <c r="A644" s="22">
        <v>44275</v>
      </c>
      <c r="B644" s="63" t="s">
        <v>83</v>
      </c>
      <c r="C644" s="63" t="s">
        <v>96</v>
      </c>
      <c r="D644" s="74">
        <v>0.99444444444444446</v>
      </c>
      <c r="E644" s="74">
        <v>4.3055555555555562E-2</v>
      </c>
      <c r="F644" s="241" t="s">
        <v>681</v>
      </c>
      <c r="G644" s="63">
        <v>16095</v>
      </c>
      <c r="H644" s="21" t="s">
        <v>346</v>
      </c>
      <c r="I644" s="20"/>
      <c r="T644" s="27"/>
      <c r="U644" s="27"/>
      <c r="V644" s="27"/>
    </row>
    <row r="645" spans="1:22" ht="15" hidden="1" customHeight="1" x14ac:dyDescent="0.25">
      <c r="A645" s="22">
        <v>44276</v>
      </c>
      <c r="B645" s="63" t="s">
        <v>412</v>
      </c>
      <c r="C645" s="63" t="s">
        <v>682</v>
      </c>
      <c r="D645" s="74">
        <v>0.46527777777777773</v>
      </c>
      <c r="E645" s="74">
        <v>0.47569444444444442</v>
      </c>
      <c r="F645" s="241" t="s">
        <v>617</v>
      </c>
      <c r="G645" s="63">
        <v>11860</v>
      </c>
      <c r="H645" s="21" t="s">
        <v>415</v>
      </c>
      <c r="I645" s="20"/>
      <c r="T645" s="27"/>
      <c r="U645" s="27"/>
      <c r="V645" s="27"/>
    </row>
    <row r="646" spans="1:22" ht="15" hidden="1" customHeight="1" x14ac:dyDescent="0.25">
      <c r="A646" s="22">
        <v>44276</v>
      </c>
      <c r="B646" s="63" t="s">
        <v>685</v>
      </c>
      <c r="C646" s="63" t="s">
        <v>683</v>
      </c>
      <c r="D646" s="74">
        <v>0.47152777777777777</v>
      </c>
      <c r="E646" s="74">
        <v>0.50486111111111109</v>
      </c>
      <c r="F646" s="241" t="s">
        <v>204</v>
      </c>
      <c r="G646" s="63">
        <v>2780</v>
      </c>
      <c r="H646" s="21" t="s">
        <v>684</v>
      </c>
      <c r="I646" s="20"/>
      <c r="T646" s="27"/>
      <c r="U646" s="27"/>
      <c r="V646" s="27"/>
    </row>
    <row r="647" spans="1:22" ht="15" hidden="1" customHeight="1" x14ac:dyDescent="0.25">
      <c r="A647" s="22">
        <v>44276</v>
      </c>
      <c r="B647" s="63" t="s">
        <v>229</v>
      </c>
      <c r="C647" s="63" t="s">
        <v>212</v>
      </c>
      <c r="D647" s="74">
        <v>0.4826388888888889</v>
      </c>
      <c r="E647" s="74">
        <v>0.49374999999999997</v>
      </c>
      <c r="F647" s="241" t="s">
        <v>686</v>
      </c>
      <c r="G647" s="63">
        <v>18510</v>
      </c>
      <c r="H647" s="21" t="s">
        <v>587</v>
      </c>
      <c r="I647" s="20"/>
      <c r="T647" s="27"/>
      <c r="U647" s="27"/>
      <c r="V647" s="27"/>
    </row>
    <row r="648" spans="1:22" ht="15" hidden="1" customHeight="1" x14ac:dyDescent="0.25">
      <c r="A648" s="22">
        <v>44276</v>
      </c>
      <c r="B648" s="63" t="s">
        <v>157</v>
      </c>
      <c r="C648" s="63" t="s">
        <v>212</v>
      </c>
      <c r="D648" s="74">
        <v>0.49652777777777773</v>
      </c>
      <c r="E648" s="74">
        <v>0.51666666666666672</v>
      </c>
      <c r="F648" s="241" t="s">
        <v>443</v>
      </c>
      <c r="G648" s="63">
        <v>25720</v>
      </c>
      <c r="H648" s="21" t="s">
        <v>47</v>
      </c>
      <c r="I648" s="20"/>
      <c r="T648" s="27"/>
      <c r="U648" s="27"/>
      <c r="V648" s="27"/>
    </row>
    <row r="649" spans="1:22" ht="15" customHeight="1" x14ac:dyDescent="0.25">
      <c r="A649" s="22">
        <v>44276</v>
      </c>
      <c r="B649" s="63" t="s">
        <v>15</v>
      </c>
      <c r="C649" s="63" t="s">
        <v>687</v>
      </c>
      <c r="D649" s="74">
        <v>0.52013888888888882</v>
      </c>
      <c r="E649" s="74">
        <v>0.52638888888888891</v>
      </c>
      <c r="F649" s="241" t="s">
        <v>688</v>
      </c>
      <c r="G649" s="63">
        <v>22890</v>
      </c>
      <c r="H649" s="21" t="s">
        <v>456</v>
      </c>
      <c r="I649" s="20"/>
      <c r="T649" s="27"/>
      <c r="U649" s="27"/>
      <c r="V649" s="27"/>
    </row>
    <row r="650" spans="1:22" ht="15" hidden="1" customHeight="1" x14ac:dyDescent="0.25">
      <c r="A650" s="22">
        <v>44276</v>
      </c>
      <c r="B650" s="63" t="s">
        <v>412</v>
      </c>
      <c r="C650" s="63" t="s">
        <v>207</v>
      </c>
      <c r="D650" s="74">
        <v>0.53888888888888886</v>
      </c>
      <c r="E650" s="74">
        <v>0.54652777777777783</v>
      </c>
      <c r="F650" s="241" t="s">
        <v>406</v>
      </c>
      <c r="G650" s="63">
        <v>9240</v>
      </c>
      <c r="H650" s="21" t="s">
        <v>415</v>
      </c>
      <c r="I650" s="20"/>
      <c r="T650" s="27"/>
      <c r="U650" s="27"/>
      <c r="V650" s="27"/>
    </row>
    <row r="651" spans="1:22" ht="15" hidden="1" customHeight="1" x14ac:dyDescent="0.25">
      <c r="A651" s="22">
        <v>44276</v>
      </c>
      <c r="B651" s="63" t="s">
        <v>412</v>
      </c>
      <c r="C651" s="63" t="s">
        <v>191</v>
      </c>
      <c r="D651" s="74">
        <v>0.60277777777777775</v>
      </c>
      <c r="E651" s="74">
        <v>0.60763888888888895</v>
      </c>
      <c r="F651" s="241" t="s">
        <v>252</v>
      </c>
      <c r="G651" s="63">
        <v>1260</v>
      </c>
      <c r="H651" s="21" t="s">
        <v>415</v>
      </c>
      <c r="I651" s="20"/>
      <c r="T651" s="27"/>
      <c r="U651" s="27"/>
      <c r="V651" s="27"/>
    </row>
    <row r="652" spans="1:22" ht="15" hidden="1" customHeight="1" x14ac:dyDescent="0.25">
      <c r="A652" s="22">
        <v>44276</v>
      </c>
      <c r="B652" s="63" t="s">
        <v>229</v>
      </c>
      <c r="C652" s="63" t="s">
        <v>234</v>
      </c>
      <c r="D652" s="74">
        <v>0.60625000000000007</v>
      </c>
      <c r="E652" s="74">
        <v>0.61041666666666672</v>
      </c>
      <c r="F652" s="241" t="s">
        <v>689</v>
      </c>
      <c r="G652" s="63">
        <v>8640</v>
      </c>
      <c r="H652" s="21" t="s">
        <v>587</v>
      </c>
      <c r="I652" s="20"/>
      <c r="T652" s="27"/>
      <c r="U652" s="27"/>
      <c r="V652" s="27"/>
    </row>
    <row r="653" spans="1:22" ht="15" hidden="1" customHeight="1" x14ac:dyDescent="0.25">
      <c r="A653" s="22">
        <v>44276</v>
      </c>
      <c r="B653" s="63" t="s">
        <v>157</v>
      </c>
      <c r="C653" s="63" t="s">
        <v>208</v>
      </c>
      <c r="D653" s="74">
        <v>0.74236111111111114</v>
      </c>
      <c r="E653" s="74">
        <v>0.75624999999999998</v>
      </c>
      <c r="F653" s="241" t="s">
        <v>204</v>
      </c>
      <c r="G653" s="63">
        <v>23740</v>
      </c>
      <c r="H653" s="21" t="s">
        <v>47</v>
      </c>
      <c r="I653" s="20"/>
      <c r="T653" s="27"/>
      <c r="U653" s="27"/>
      <c r="V653" s="27"/>
    </row>
    <row r="654" spans="1:22" ht="15" customHeight="1" x14ac:dyDescent="0.25">
      <c r="A654" s="22">
        <v>44276</v>
      </c>
      <c r="B654" s="63" t="s">
        <v>15</v>
      </c>
      <c r="C654" s="63" t="s">
        <v>208</v>
      </c>
      <c r="D654" s="74">
        <v>0.74930555555555556</v>
      </c>
      <c r="E654" s="74">
        <v>0.75486111111111109</v>
      </c>
      <c r="F654" s="241" t="s">
        <v>204</v>
      </c>
      <c r="G654" s="63">
        <v>23940</v>
      </c>
      <c r="H654" s="21" t="s">
        <v>456</v>
      </c>
      <c r="I654" s="20"/>
      <c r="T654" s="27"/>
      <c r="U654" s="27"/>
      <c r="V654" s="27"/>
    </row>
    <row r="655" spans="1:22" ht="15" hidden="1" customHeight="1" x14ac:dyDescent="0.25">
      <c r="A655" s="22">
        <v>44276</v>
      </c>
      <c r="B655" s="63" t="s">
        <v>412</v>
      </c>
      <c r="C655" s="63" t="s">
        <v>208</v>
      </c>
      <c r="D655" s="74">
        <v>0.75277777777777777</v>
      </c>
      <c r="E655" s="74">
        <v>0.7597222222222223</v>
      </c>
      <c r="F655" s="241" t="s">
        <v>204</v>
      </c>
      <c r="G655" s="63">
        <v>7360</v>
      </c>
      <c r="H655" s="21" t="s">
        <v>415</v>
      </c>
      <c r="I655" s="20"/>
      <c r="T655" s="27"/>
      <c r="U655" s="27"/>
      <c r="V655" s="27"/>
    </row>
    <row r="656" spans="1:22" ht="15" hidden="1" customHeight="1" x14ac:dyDescent="0.25">
      <c r="A656" s="22">
        <v>44276</v>
      </c>
      <c r="B656" s="63" t="s">
        <v>300</v>
      </c>
      <c r="C656" s="63" t="s">
        <v>690</v>
      </c>
      <c r="D656" s="74">
        <v>0.7583333333333333</v>
      </c>
      <c r="E656" s="74">
        <v>0.79375000000000007</v>
      </c>
      <c r="F656" s="241" t="s">
        <v>75</v>
      </c>
      <c r="G656" s="63">
        <v>4680</v>
      </c>
      <c r="H656" s="21" t="s">
        <v>299</v>
      </c>
      <c r="I656" s="20"/>
      <c r="T656" s="27"/>
      <c r="U656" s="27"/>
      <c r="V656" s="27"/>
    </row>
    <row r="657" spans="1:22" ht="15" hidden="1" customHeight="1" x14ac:dyDescent="0.25">
      <c r="A657" s="22">
        <v>44276</v>
      </c>
      <c r="B657" s="63" t="s">
        <v>412</v>
      </c>
      <c r="C657" s="63" t="s">
        <v>691</v>
      </c>
      <c r="D657" s="74">
        <v>0.79722222222222217</v>
      </c>
      <c r="E657" s="74">
        <v>0.80555555555555547</v>
      </c>
      <c r="F657" s="241" t="s">
        <v>249</v>
      </c>
      <c r="G657" s="63">
        <v>1350</v>
      </c>
      <c r="H657" s="21" t="s">
        <v>415</v>
      </c>
      <c r="I657" s="20"/>
      <c r="T657" s="27"/>
      <c r="U657" s="27"/>
      <c r="V657" s="27"/>
    </row>
    <row r="658" spans="1:22" ht="15" hidden="1" customHeight="1" x14ac:dyDescent="0.25">
      <c r="A658" s="22">
        <v>44276</v>
      </c>
      <c r="B658" s="63" t="s">
        <v>229</v>
      </c>
      <c r="C658" s="63" t="s">
        <v>208</v>
      </c>
      <c r="D658" s="74">
        <v>0.80347222222222225</v>
      </c>
      <c r="E658" s="74">
        <v>0.8256944444444444</v>
      </c>
      <c r="F658" s="241" t="s">
        <v>204</v>
      </c>
      <c r="G658" s="63">
        <v>20775</v>
      </c>
      <c r="H658" s="21" t="s">
        <v>692</v>
      </c>
      <c r="I658" s="20"/>
      <c r="T658" s="27"/>
      <c r="U658" s="27"/>
      <c r="V658" s="27"/>
    </row>
    <row r="659" spans="1:22" ht="15" hidden="1" customHeight="1" x14ac:dyDescent="0.25">
      <c r="A659" s="22">
        <v>44276</v>
      </c>
      <c r="B659" s="63" t="s">
        <v>31</v>
      </c>
      <c r="C659" s="63" t="s">
        <v>329</v>
      </c>
      <c r="D659" s="74">
        <v>0.8222222222222223</v>
      </c>
      <c r="E659" s="74">
        <v>0.85277777777777775</v>
      </c>
      <c r="F659" s="241" t="s">
        <v>693</v>
      </c>
      <c r="G659" s="63">
        <v>650</v>
      </c>
      <c r="H659" s="21" t="s">
        <v>333</v>
      </c>
      <c r="I659" s="20"/>
      <c r="T659" s="27"/>
      <c r="U659" s="27"/>
      <c r="V659" s="27"/>
    </row>
    <row r="660" spans="1:22" ht="15" hidden="1" customHeight="1" x14ac:dyDescent="0.25">
      <c r="A660" s="22">
        <v>44276</v>
      </c>
      <c r="B660" s="63" t="s">
        <v>31</v>
      </c>
      <c r="C660" s="63" t="s">
        <v>96</v>
      </c>
      <c r="D660" s="74">
        <v>0.85416666666666663</v>
      </c>
      <c r="E660" s="74">
        <v>0.95624999999999993</v>
      </c>
      <c r="F660" s="241" t="s">
        <v>694</v>
      </c>
      <c r="G660" s="63">
        <v>12280</v>
      </c>
      <c r="H660" s="21" t="s">
        <v>201</v>
      </c>
      <c r="I660" s="20"/>
      <c r="T660" s="27"/>
      <c r="U660" s="27"/>
      <c r="V660" s="27"/>
    </row>
    <row r="661" spans="1:22" ht="15" hidden="1" customHeight="1" x14ac:dyDescent="0.25">
      <c r="A661" s="22">
        <v>44277</v>
      </c>
      <c r="B661" s="63" t="s">
        <v>31</v>
      </c>
      <c r="C661" s="63" t="s">
        <v>329</v>
      </c>
      <c r="D661" s="74">
        <v>0.13125000000000001</v>
      </c>
      <c r="E661" s="74">
        <v>0.17708333333333334</v>
      </c>
      <c r="F661" s="241" t="s">
        <v>188</v>
      </c>
      <c r="G661" s="63">
        <v>4390</v>
      </c>
      <c r="H661" s="21" t="s">
        <v>454</v>
      </c>
      <c r="I661" s="20"/>
      <c r="T661" s="27"/>
      <c r="U661" s="27"/>
      <c r="V661" s="27"/>
    </row>
    <row r="662" spans="1:22" ht="15" hidden="1" customHeight="1" x14ac:dyDescent="0.25">
      <c r="A662" s="22">
        <v>44277</v>
      </c>
      <c r="B662" s="63" t="s">
        <v>31</v>
      </c>
      <c r="C662" s="63" t="s">
        <v>649</v>
      </c>
      <c r="D662" s="74">
        <v>0.16250000000000001</v>
      </c>
      <c r="E662" s="74">
        <v>0.20833333333333334</v>
      </c>
      <c r="F662" s="241" t="s">
        <v>188</v>
      </c>
      <c r="G662" s="63">
        <v>3420</v>
      </c>
      <c r="H662" s="21" t="s">
        <v>333</v>
      </c>
      <c r="I662" s="20"/>
      <c r="T662" s="27"/>
      <c r="U662" s="27"/>
      <c r="V662" s="27"/>
    </row>
    <row r="663" spans="1:22" ht="15" hidden="1" customHeight="1" x14ac:dyDescent="0.25">
      <c r="A663" s="22">
        <v>44277</v>
      </c>
      <c r="B663" s="63" t="s">
        <v>31</v>
      </c>
      <c r="C663" s="63" t="s">
        <v>649</v>
      </c>
      <c r="D663" s="74">
        <v>0.30555555555555552</v>
      </c>
      <c r="E663" s="74">
        <v>0.31875000000000003</v>
      </c>
      <c r="F663" s="241" t="s">
        <v>188</v>
      </c>
      <c r="G663" s="63">
        <v>2060</v>
      </c>
      <c r="H663" s="21" t="s">
        <v>200</v>
      </c>
      <c r="I663" s="20"/>
      <c r="T663" s="27"/>
      <c r="U663" s="27"/>
      <c r="V663" s="27"/>
    </row>
    <row r="664" spans="1:22" ht="15" hidden="1" customHeight="1" x14ac:dyDescent="0.25">
      <c r="A664" s="22">
        <v>44277</v>
      </c>
      <c r="B664" s="63" t="s">
        <v>157</v>
      </c>
      <c r="C664" s="63" t="s">
        <v>695</v>
      </c>
      <c r="D664" s="74">
        <v>0.4465277777777778</v>
      </c>
      <c r="E664" s="74">
        <v>0.45624999999999999</v>
      </c>
      <c r="F664" s="241" t="s">
        <v>696</v>
      </c>
      <c r="G664" s="63">
        <v>13020</v>
      </c>
      <c r="H664" s="21" t="s">
        <v>47</v>
      </c>
      <c r="I664" s="20"/>
      <c r="T664" s="27"/>
      <c r="U664" s="27"/>
      <c r="V664" s="27"/>
    </row>
    <row r="665" spans="1:22" ht="15" hidden="1" customHeight="1" x14ac:dyDescent="0.25">
      <c r="A665" s="22">
        <v>44277</v>
      </c>
      <c r="B665" s="63" t="s">
        <v>400</v>
      </c>
      <c r="C665" s="63" t="s">
        <v>235</v>
      </c>
      <c r="D665" s="74">
        <v>0.44861111111111113</v>
      </c>
      <c r="E665" s="74">
        <v>0.4548611111111111</v>
      </c>
      <c r="F665" s="241" t="s">
        <v>406</v>
      </c>
      <c r="G665" s="63">
        <v>4920</v>
      </c>
      <c r="H665" s="21" t="s">
        <v>324</v>
      </c>
      <c r="I665" s="20"/>
      <c r="T665" s="27"/>
      <c r="U665" s="27"/>
      <c r="V665" s="27"/>
    </row>
    <row r="666" spans="1:22" ht="15" hidden="1" customHeight="1" x14ac:dyDescent="0.25">
      <c r="A666" s="22">
        <v>44277</v>
      </c>
      <c r="B666" s="63" t="s">
        <v>697</v>
      </c>
      <c r="C666" s="63" t="s">
        <v>451</v>
      </c>
      <c r="D666" s="74">
        <v>0.53888888888888886</v>
      </c>
      <c r="E666" s="74">
        <v>0.55902777777777779</v>
      </c>
      <c r="F666" s="237" t="s">
        <v>698</v>
      </c>
      <c r="G666" s="63">
        <v>570</v>
      </c>
      <c r="H666" s="21" t="s">
        <v>213</v>
      </c>
      <c r="I666" s="20"/>
      <c r="T666" s="27"/>
      <c r="U666" s="27"/>
      <c r="V666" s="27"/>
    </row>
    <row r="667" spans="1:22" ht="15" hidden="1" customHeight="1" x14ac:dyDescent="0.25">
      <c r="A667" s="22">
        <v>44277</v>
      </c>
      <c r="B667" s="63" t="s">
        <v>72</v>
      </c>
      <c r="C667" s="63" t="s">
        <v>259</v>
      </c>
      <c r="D667" s="74">
        <v>0.54375000000000007</v>
      </c>
      <c r="E667" s="74">
        <v>0.6069444444444444</v>
      </c>
      <c r="F667" s="243" t="s">
        <v>52</v>
      </c>
      <c r="G667" s="63">
        <v>35370</v>
      </c>
      <c r="H667" s="21" t="s">
        <v>699</v>
      </c>
      <c r="I667" s="20"/>
      <c r="T667" s="27"/>
      <c r="U667" s="27"/>
      <c r="V667" s="27"/>
    </row>
    <row r="668" spans="1:22" ht="15" hidden="1" customHeight="1" x14ac:dyDescent="0.25">
      <c r="A668" s="22">
        <v>44277</v>
      </c>
      <c r="B668" s="63" t="s">
        <v>412</v>
      </c>
      <c r="C668" s="63" t="s">
        <v>700</v>
      </c>
      <c r="D668" s="74">
        <v>0.54791666666666672</v>
      </c>
      <c r="E668" s="74">
        <v>0.56597222222222221</v>
      </c>
      <c r="F668" s="241" t="s">
        <v>252</v>
      </c>
      <c r="G668" s="63">
        <v>570</v>
      </c>
      <c r="H668" s="21" t="s">
        <v>415</v>
      </c>
      <c r="I668" s="20"/>
      <c r="T668" s="27"/>
      <c r="U668" s="27"/>
      <c r="V668" s="27"/>
    </row>
    <row r="669" spans="1:22" ht="15" hidden="1" customHeight="1" x14ac:dyDescent="0.25">
      <c r="A669" s="22">
        <v>44277</v>
      </c>
      <c r="B669" s="63" t="s">
        <v>17</v>
      </c>
      <c r="C669" s="63" t="s">
        <v>16</v>
      </c>
      <c r="D669" s="74">
        <v>0.55069444444444449</v>
      </c>
      <c r="E669" s="74">
        <v>0.57986111111111105</v>
      </c>
      <c r="F669" s="252" t="s">
        <v>219</v>
      </c>
      <c r="G669" s="63">
        <v>21880</v>
      </c>
      <c r="H669" s="21" t="s">
        <v>51</v>
      </c>
      <c r="I669" s="20"/>
      <c r="T669" s="27"/>
      <c r="U669" s="27"/>
      <c r="V669" s="27"/>
    </row>
    <row r="670" spans="1:22" ht="15" hidden="1" customHeight="1" x14ac:dyDescent="0.25">
      <c r="A670" s="22">
        <v>44277</v>
      </c>
      <c r="B670" s="63" t="s">
        <v>300</v>
      </c>
      <c r="C670" s="63" t="s">
        <v>701</v>
      </c>
      <c r="D670" s="74">
        <v>0.55208333333333337</v>
      </c>
      <c r="E670" s="74">
        <v>0.57013888888888886</v>
      </c>
      <c r="F670" s="237" t="s">
        <v>505</v>
      </c>
      <c r="G670" s="63">
        <v>4700</v>
      </c>
      <c r="H670" s="21" t="s">
        <v>299</v>
      </c>
      <c r="I670" s="20"/>
      <c r="T670" s="27"/>
      <c r="U670" s="27"/>
      <c r="V670" s="27"/>
    </row>
    <row r="671" spans="1:22" ht="15" hidden="1" customHeight="1" x14ac:dyDescent="0.25">
      <c r="A671" s="22">
        <v>44277</v>
      </c>
      <c r="B671" s="63" t="s">
        <v>14</v>
      </c>
      <c r="C671" s="63" t="s">
        <v>702</v>
      </c>
      <c r="D671" s="74">
        <v>0.57222222222222219</v>
      </c>
      <c r="E671" s="74">
        <v>0.58124999999999993</v>
      </c>
      <c r="F671" s="241" t="s">
        <v>703</v>
      </c>
      <c r="G671" s="63">
        <v>13970</v>
      </c>
      <c r="H671" s="21" t="s">
        <v>174</v>
      </c>
      <c r="I671" s="20"/>
      <c r="T671" s="27"/>
      <c r="U671" s="27"/>
      <c r="V671" s="27"/>
    </row>
    <row r="672" spans="1:22" ht="15" hidden="1" customHeight="1" x14ac:dyDescent="0.25">
      <c r="A672" s="22">
        <v>44277</v>
      </c>
      <c r="B672" s="63" t="s">
        <v>31</v>
      </c>
      <c r="C672" s="63" t="s">
        <v>649</v>
      </c>
      <c r="D672" s="74">
        <v>0.6</v>
      </c>
      <c r="E672" s="74">
        <v>0.61249999999999993</v>
      </c>
      <c r="F672" s="241" t="s">
        <v>188</v>
      </c>
      <c r="G672" s="63">
        <v>2720</v>
      </c>
      <c r="H672" s="21" t="s">
        <v>200</v>
      </c>
      <c r="I672" s="20"/>
      <c r="T672" s="27"/>
      <c r="U672" s="27"/>
      <c r="V672" s="27"/>
    </row>
    <row r="673" spans="1:22" ht="15" hidden="1" customHeight="1" x14ac:dyDescent="0.25">
      <c r="A673" s="22">
        <v>44277</v>
      </c>
      <c r="B673" s="63" t="s">
        <v>150</v>
      </c>
      <c r="C673" s="63" t="s">
        <v>704</v>
      </c>
      <c r="D673" s="74">
        <v>0.60486111111111118</v>
      </c>
      <c r="E673" s="74">
        <v>0.68333333333333324</v>
      </c>
      <c r="F673" s="249" t="s">
        <v>173</v>
      </c>
      <c r="G673" s="63">
        <v>35150</v>
      </c>
      <c r="H673" s="21" t="s">
        <v>232</v>
      </c>
      <c r="I673" s="20"/>
      <c r="T673" s="27"/>
      <c r="U673" s="27"/>
      <c r="V673" s="27"/>
    </row>
    <row r="674" spans="1:22" ht="15" hidden="1" customHeight="1" x14ac:dyDescent="0.25">
      <c r="A674" s="22">
        <v>44277</v>
      </c>
      <c r="B674" s="63" t="s">
        <v>400</v>
      </c>
      <c r="C674" s="63" t="s">
        <v>258</v>
      </c>
      <c r="D674" s="74">
        <v>0.625</v>
      </c>
      <c r="E674" s="74">
        <v>0.63055555555555554</v>
      </c>
      <c r="F674" s="241" t="s">
        <v>406</v>
      </c>
      <c r="G674" s="63">
        <v>9350</v>
      </c>
      <c r="H674" s="21" t="s">
        <v>324</v>
      </c>
      <c r="I674" s="20"/>
      <c r="T674" s="27"/>
      <c r="U674" s="27"/>
      <c r="V674" s="27"/>
    </row>
    <row r="675" spans="1:22" ht="15" hidden="1" customHeight="1" x14ac:dyDescent="0.25">
      <c r="A675" s="22">
        <v>44277</v>
      </c>
      <c r="B675" s="63" t="s">
        <v>307</v>
      </c>
      <c r="C675" s="63" t="s">
        <v>704</v>
      </c>
      <c r="D675" s="74">
        <v>0.62638888888888888</v>
      </c>
      <c r="E675" s="74">
        <v>0.69305555555555554</v>
      </c>
      <c r="F675" s="249" t="s">
        <v>173</v>
      </c>
      <c r="G675" s="63">
        <v>35140</v>
      </c>
      <c r="H675" s="21" t="s">
        <v>147</v>
      </c>
      <c r="I675" s="20"/>
      <c r="T675" s="27"/>
      <c r="U675" s="27"/>
      <c r="V675" s="27"/>
    </row>
    <row r="676" spans="1:22" ht="15" hidden="1" customHeight="1" x14ac:dyDescent="0.25">
      <c r="A676" s="22">
        <v>44277</v>
      </c>
      <c r="B676" s="63" t="s">
        <v>78</v>
      </c>
      <c r="C676" s="63" t="s">
        <v>144</v>
      </c>
      <c r="D676" s="74">
        <v>0.6333333333333333</v>
      </c>
      <c r="E676" s="74">
        <v>0.65555555555555556</v>
      </c>
      <c r="F676" s="241" t="s">
        <v>705</v>
      </c>
      <c r="G676" s="63">
        <v>24860</v>
      </c>
      <c r="H676" s="21" t="s">
        <v>178</v>
      </c>
      <c r="I676" s="20"/>
      <c r="T676" s="27"/>
      <c r="U676" s="27"/>
      <c r="V676" s="27"/>
    </row>
    <row r="677" spans="1:22" ht="15" hidden="1" customHeight="1" x14ac:dyDescent="0.25">
      <c r="A677" s="22">
        <v>44277</v>
      </c>
      <c r="B677" s="63" t="s">
        <v>31</v>
      </c>
      <c r="C677" s="63" t="s">
        <v>593</v>
      </c>
      <c r="D677" s="74">
        <v>0.64236111111111105</v>
      </c>
      <c r="E677" s="74">
        <v>0.65763888888888888</v>
      </c>
      <c r="F677" s="241" t="s">
        <v>188</v>
      </c>
      <c r="G677" s="63">
        <v>5290</v>
      </c>
      <c r="H677" s="21" t="s">
        <v>198</v>
      </c>
      <c r="I677" s="20"/>
      <c r="T677" s="27"/>
      <c r="U677" s="27"/>
      <c r="V677" s="27"/>
    </row>
    <row r="678" spans="1:22" ht="15" hidden="1" customHeight="1" x14ac:dyDescent="0.25">
      <c r="A678" s="22">
        <v>44277</v>
      </c>
      <c r="B678" s="63" t="s">
        <v>412</v>
      </c>
      <c r="C678" s="63" t="s">
        <v>258</v>
      </c>
      <c r="D678" s="74">
        <v>0.66597222222222219</v>
      </c>
      <c r="E678" s="74">
        <v>0.67222222222222217</v>
      </c>
      <c r="F678" s="241" t="s">
        <v>406</v>
      </c>
      <c r="G678" s="63">
        <v>6350</v>
      </c>
      <c r="H678" s="21" t="s">
        <v>415</v>
      </c>
      <c r="I678" s="20"/>
      <c r="T678" s="27"/>
      <c r="U678" s="27"/>
      <c r="V678" s="27"/>
    </row>
    <row r="679" spans="1:22" ht="15" hidden="1" customHeight="1" x14ac:dyDescent="0.25">
      <c r="A679" s="22">
        <v>44277</v>
      </c>
      <c r="B679" s="63" t="s">
        <v>17</v>
      </c>
      <c r="C679" s="63" t="s">
        <v>16</v>
      </c>
      <c r="D679" s="74">
        <v>0.68125000000000002</v>
      </c>
      <c r="E679" s="74">
        <v>0.69513888888888886</v>
      </c>
      <c r="F679" s="252" t="s">
        <v>219</v>
      </c>
      <c r="G679" s="63">
        <v>13850</v>
      </c>
      <c r="H679" s="21" t="s">
        <v>51</v>
      </c>
      <c r="I679" s="20"/>
      <c r="T679" s="27"/>
      <c r="U679" s="27"/>
      <c r="V679" s="27"/>
    </row>
    <row r="680" spans="1:22" ht="15" hidden="1" customHeight="1" x14ac:dyDescent="0.25">
      <c r="A680" s="22">
        <v>44277</v>
      </c>
      <c r="B680" s="63" t="s">
        <v>697</v>
      </c>
      <c r="C680" s="63" t="s">
        <v>451</v>
      </c>
      <c r="D680" s="74">
        <v>0.6875</v>
      </c>
      <c r="E680" s="74">
        <v>0.69166666666666676</v>
      </c>
      <c r="F680" s="241" t="s">
        <v>382</v>
      </c>
      <c r="G680" s="63">
        <v>400</v>
      </c>
      <c r="H680" s="21" t="s">
        <v>213</v>
      </c>
      <c r="I680" s="20"/>
      <c r="T680" s="27"/>
      <c r="U680" s="27"/>
      <c r="V680" s="27"/>
    </row>
    <row r="681" spans="1:22" ht="15" hidden="1" customHeight="1" x14ac:dyDescent="0.25">
      <c r="A681" s="22">
        <v>44277</v>
      </c>
      <c r="B681" s="63" t="s">
        <v>14</v>
      </c>
      <c r="C681" s="63" t="s">
        <v>704</v>
      </c>
      <c r="D681" s="74">
        <v>0.68888888888888899</v>
      </c>
      <c r="E681" s="74">
        <v>0.7284722222222223</v>
      </c>
      <c r="F681" s="249" t="s">
        <v>173</v>
      </c>
      <c r="G681" s="63">
        <v>30110</v>
      </c>
      <c r="H681" s="21" t="s">
        <v>174</v>
      </c>
      <c r="I681" s="20"/>
      <c r="T681" s="27"/>
      <c r="U681" s="27"/>
      <c r="V681" s="27"/>
    </row>
    <row r="682" spans="1:22" ht="15" hidden="1" customHeight="1" x14ac:dyDescent="0.25">
      <c r="A682" s="22">
        <v>44277</v>
      </c>
      <c r="B682" s="63" t="s">
        <v>400</v>
      </c>
      <c r="C682" s="63" t="s">
        <v>203</v>
      </c>
      <c r="D682" s="74">
        <v>0.69791666666666663</v>
      </c>
      <c r="E682" s="74">
        <v>0.70624999999999993</v>
      </c>
      <c r="F682" s="241" t="s">
        <v>252</v>
      </c>
      <c r="G682" s="63">
        <v>870</v>
      </c>
      <c r="H682" s="21" t="s">
        <v>324</v>
      </c>
      <c r="I682" s="20"/>
      <c r="T682" s="27"/>
      <c r="U682" s="27"/>
      <c r="V682" s="27"/>
    </row>
    <row r="683" spans="1:22" ht="15" hidden="1" customHeight="1" x14ac:dyDescent="0.25">
      <c r="A683" s="22">
        <v>44277</v>
      </c>
      <c r="B683" s="63" t="s">
        <v>31</v>
      </c>
      <c r="C683" s="63" t="s">
        <v>593</v>
      </c>
      <c r="D683" s="74">
        <v>0.70138888888888884</v>
      </c>
      <c r="E683" s="74">
        <v>0.71875</v>
      </c>
      <c r="F683" s="241" t="s">
        <v>188</v>
      </c>
      <c r="G683" s="63">
        <v>4130</v>
      </c>
      <c r="H683" s="21" t="s">
        <v>454</v>
      </c>
      <c r="I683" s="20"/>
      <c r="T683" s="27"/>
      <c r="U683" s="27"/>
      <c r="V683" s="27"/>
    </row>
    <row r="684" spans="1:22" ht="15" hidden="1" customHeight="1" x14ac:dyDescent="0.25">
      <c r="A684" s="22">
        <v>44277</v>
      </c>
      <c r="B684" s="63" t="s">
        <v>31</v>
      </c>
      <c r="C684" s="63" t="s">
        <v>649</v>
      </c>
      <c r="D684" s="74">
        <v>0.70208333333333339</v>
      </c>
      <c r="E684" s="74">
        <v>0.71666666666666667</v>
      </c>
      <c r="F684" s="241" t="s">
        <v>188</v>
      </c>
      <c r="G684" s="63">
        <v>3340</v>
      </c>
      <c r="H684" s="21" t="s">
        <v>333</v>
      </c>
      <c r="I684" s="20"/>
      <c r="T684" s="27"/>
      <c r="U684" s="27"/>
      <c r="V684" s="27"/>
    </row>
    <row r="685" spans="1:22" ht="15" hidden="1" customHeight="1" x14ac:dyDescent="0.25">
      <c r="A685" s="22">
        <v>44277</v>
      </c>
      <c r="B685" s="63" t="s">
        <v>31</v>
      </c>
      <c r="C685" s="63" t="s">
        <v>649</v>
      </c>
      <c r="D685" s="74">
        <v>0.7416666666666667</v>
      </c>
      <c r="E685" s="74">
        <v>0.78263888888888899</v>
      </c>
      <c r="F685" s="241" t="s">
        <v>188</v>
      </c>
      <c r="G685" s="63">
        <v>10180</v>
      </c>
      <c r="H685" s="21" t="s">
        <v>650</v>
      </c>
      <c r="I685" s="20"/>
      <c r="T685" s="27"/>
      <c r="U685" s="27"/>
      <c r="V685" s="27"/>
    </row>
    <row r="686" spans="1:22" ht="15" hidden="1" customHeight="1" x14ac:dyDescent="0.25">
      <c r="A686" s="22">
        <v>44277</v>
      </c>
      <c r="B686" s="63" t="s">
        <v>78</v>
      </c>
      <c r="C686" s="63" t="s">
        <v>144</v>
      </c>
      <c r="D686" s="74">
        <v>0.76388888888888884</v>
      </c>
      <c r="E686" s="74">
        <v>0.77430555555555547</v>
      </c>
      <c r="F686" s="241" t="s">
        <v>670</v>
      </c>
      <c r="G686" s="63">
        <v>17710</v>
      </c>
      <c r="H686" s="21" t="s">
        <v>178</v>
      </c>
      <c r="I686" s="20"/>
      <c r="T686" s="27"/>
      <c r="U686" s="27"/>
      <c r="V686" s="27"/>
    </row>
    <row r="687" spans="1:22" ht="15" hidden="1" customHeight="1" x14ac:dyDescent="0.25">
      <c r="A687" s="22">
        <v>44277</v>
      </c>
      <c r="B687" s="63" t="s">
        <v>31</v>
      </c>
      <c r="C687" s="63" t="s">
        <v>649</v>
      </c>
      <c r="D687" s="74">
        <v>0.7729166666666667</v>
      </c>
      <c r="E687" s="74">
        <v>0.8340277777777777</v>
      </c>
      <c r="F687" s="241" t="s">
        <v>188</v>
      </c>
      <c r="G687" s="63">
        <v>4470</v>
      </c>
      <c r="H687" s="21" t="s">
        <v>706</v>
      </c>
      <c r="I687" s="20"/>
      <c r="T687" s="27"/>
      <c r="U687" s="27"/>
      <c r="V687" s="27"/>
    </row>
    <row r="688" spans="1:22" ht="15" hidden="1" customHeight="1" x14ac:dyDescent="0.25">
      <c r="A688" s="22">
        <v>44277</v>
      </c>
      <c r="B688" s="63" t="s">
        <v>400</v>
      </c>
      <c r="C688" s="63" t="s">
        <v>574</v>
      </c>
      <c r="D688" s="74">
        <v>0.77847222222222223</v>
      </c>
      <c r="E688" s="74">
        <v>0.78888888888888886</v>
      </c>
      <c r="F688" s="241" t="s">
        <v>249</v>
      </c>
      <c r="G688" s="63">
        <v>570</v>
      </c>
      <c r="H688" s="21" t="s">
        <v>324</v>
      </c>
      <c r="I688" s="20"/>
      <c r="T688" s="27"/>
      <c r="U688" s="27"/>
      <c r="V688" s="27"/>
    </row>
    <row r="689" spans="1:22" ht="15" hidden="1" customHeight="1" x14ac:dyDescent="0.25">
      <c r="A689" s="22">
        <v>44277</v>
      </c>
      <c r="B689" s="63" t="s">
        <v>31</v>
      </c>
      <c r="C689" s="63" t="s">
        <v>649</v>
      </c>
      <c r="D689" s="74">
        <v>0.78194444444444444</v>
      </c>
      <c r="E689" s="74">
        <v>0.79305555555555562</v>
      </c>
      <c r="F689" s="241" t="s">
        <v>188</v>
      </c>
      <c r="G689" s="63">
        <v>1160</v>
      </c>
      <c r="H689" s="21" t="s">
        <v>332</v>
      </c>
      <c r="I689" s="20"/>
      <c r="T689" s="27"/>
      <c r="U689" s="27"/>
      <c r="V689" s="27"/>
    </row>
    <row r="690" spans="1:22" ht="15" hidden="1" customHeight="1" x14ac:dyDescent="0.25">
      <c r="A690" s="22">
        <v>44277</v>
      </c>
      <c r="B690" s="63" t="s">
        <v>31</v>
      </c>
      <c r="C690" s="63" t="s">
        <v>649</v>
      </c>
      <c r="D690" s="74">
        <v>0.78541666666666676</v>
      </c>
      <c r="E690" s="74">
        <v>0.83888888888888891</v>
      </c>
      <c r="F690" s="241" t="s">
        <v>188</v>
      </c>
      <c r="G690" s="63">
        <v>4850</v>
      </c>
      <c r="H690" s="21" t="s">
        <v>198</v>
      </c>
      <c r="I690" s="20"/>
      <c r="T690" s="27"/>
      <c r="U690" s="27"/>
      <c r="V690" s="27"/>
    </row>
    <row r="691" spans="1:22" ht="15" hidden="1" customHeight="1" x14ac:dyDescent="0.25">
      <c r="A691" s="22">
        <v>44277</v>
      </c>
      <c r="B691" s="63" t="s">
        <v>31</v>
      </c>
      <c r="C691" s="63" t="s">
        <v>649</v>
      </c>
      <c r="D691" s="74">
        <v>0.78749999999999998</v>
      </c>
      <c r="E691" s="74">
        <v>0.80625000000000002</v>
      </c>
      <c r="F691" s="241" t="s">
        <v>188</v>
      </c>
      <c r="G691" s="63">
        <v>2730</v>
      </c>
      <c r="H691" s="21" t="s">
        <v>200</v>
      </c>
      <c r="I691" s="20"/>
      <c r="T691" s="27"/>
      <c r="U691" s="27"/>
      <c r="V691" s="27"/>
    </row>
    <row r="692" spans="1:22" ht="15" hidden="1" customHeight="1" x14ac:dyDescent="0.25">
      <c r="A692" s="22">
        <v>44277</v>
      </c>
      <c r="B692" s="63" t="s">
        <v>31</v>
      </c>
      <c r="C692" s="63" t="s">
        <v>649</v>
      </c>
      <c r="D692" s="74">
        <v>0.7909722222222223</v>
      </c>
      <c r="E692" s="74">
        <v>0.86388888888888893</v>
      </c>
      <c r="F692" s="241" t="s">
        <v>188</v>
      </c>
      <c r="G692" s="63">
        <v>3030</v>
      </c>
      <c r="H692" s="21" t="s">
        <v>707</v>
      </c>
      <c r="I692" s="20"/>
      <c r="T692" s="27"/>
      <c r="U692" s="27"/>
      <c r="V692" s="27"/>
    </row>
    <row r="693" spans="1:22" ht="15" hidden="1" customHeight="1" x14ac:dyDescent="0.25">
      <c r="A693" s="22">
        <v>44277</v>
      </c>
      <c r="B693" s="63" t="s">
        <v>17</v>
      </c>
      <c r="C693" s="63" t="s">
        <v>144</v>
      </c>
      <c r="D693" s="74">
        <v>0.7993055555555556</v>
      </c>
      <c r="E693" s="74">
        <v>0.37916666666666665</v>
      </c>
      <c r="F693" s="236" t="s">
        <v>317</v>
      </c>
      <c r="G693" s="63">
        <v>17260</v>
      </c>
      <c r="H693" s="21" t="s">
        <v>51</v>
      </c>
      <c r="I693" s="20"/>
      <c r="T693" s="27"/>
      <c r="U693" s="27"/>
      <c r="V693" s="27"/>
    </row>
    <row r="694" spans="1:22" ht="15" hidden="1" customHeight="1" x14ac:dyDescent="0.25">
      <c r="A694" s="22">
        <v>44277</v>
      </c>
      <c r="B694" s="63" t="s">
        <v>31</v>
      </c>
      <c r="C694" s="63" t="s">
        <v>649</v>
      </c>
      <c r="D694" s="74">
        <v>0.80208333333333337</v>
      </c>
      <c r="E694" s="74">
        <v>0.8354166666666667</v>
      </c>
      <c r="F694" s="241" t="s">
        <v>249</v>
      </c>
      <c r="G694" s="63">
        <v>5080</v>
      </c>
      <c r="H694" s="21" t="s">
        <v>460</v>
      </c>
      <c r="I694" s="20"/>
      <c r="T694" s="27"/>
      <c r="U694" s="27"/>
      <c r="V694" s="27"/>
    </row>
    <row r="695" spans="1:22" ht="15" hidden="1" customHeight="1" x14ac:dyDescent="0.25">
      <c r="A695" s="22">
        <v>44277</v>
      </c>
      <c r="B695" s="63" t="s">
        <v>31</v>
      </c>
      <c r="C695" s="63" t="s">
        <v>649</v>
      </c>
      <c r="D695" s="74">
        <v>0.84444444444444444</v>
      </c>
      <c r="E695" s="74">
        <v>0.86875000000000002</v>
      </c>
      <c r="F695" s="241" t="s">
        <v>188</v>
      </c>
      <c r="G695" s="63">
        <v>3440</v>
      </c>
      <c r="H695" s="21" t="s">
        <v>581</v>
      </c>
      <c r="I695" s="20"/>
      <c r="T695" s="27"/>
      <c r="U695" s="27"/>
      <c r="V695" s="27"/>
    </row>
    <row r="696" spans="1:22" ht="15" hidden="1" customHeight="1" x14ac:dyDescent="0.25">
      <c r="A696" s="22">
        <v>44277</v>
      </c>
      <c r="B696" s="63" t="s">
        <v>31</v>
      </c>
      <c r="C696" s="63" t="s">
        <v>649</v>
      </c>
      <c r="D696" s="74">
        <v>0.84722222222222221</v>
      </c>
      <c r="E696" s="74">
        <v>0.87083333333333324</v>
      </c>
      <c r="F696" s="241" t="s">
        <v>188</v>
      </c>
      <c r="G696" s="63">
        <v>1660</v>
      </c>
      <c r="H696" s="21" t="s">
        <v>454</v>
      </c>
      <c r="I696" s="20"/>
      <c r="T696" s="27"/>
      <c r="U696" s="27"/>
      <c r="V696" s="27"/>
    </row>
    <row r="697" spans="1:22" ht="15" hidden="1" customHeight="1" x14ac:dyDescent="0.25">
      <c r="A697" s="22">
        <v>44277</v>
      </c>
      <c r="B697" s="63" t="s">
        <v>31</v>
      </c>
      <c r="C697" s="63" t="s">
        <v>649</v>
      </c>
      <c r="D697" s="74">
        <v>0.85069444444444453</v>
      </c>
      <c r="E697" s="74">
        <v>0.89097222222222217</v>
      </c>
      <c r="F697" s="241" t="s">
        <v>188</v>
      </c>
      <c r="G697" s="63">
        <v>2830</v>
      </c>
      <c r="H697" s="21" t="s">
        <v>708</v>
      </c>
      <c r="I697" s="20"/>
      <c r="T697" s="27"/>
      <c r="U697" s="27"/>
      <c r="V697" s="27"/>
    </row>
    <row r="698" spans="1:22" ht="15" hidden="1" customHeight="1" x14ac:dyDescent="0.25">
      <c r="A698" s="22">
        <v>44277</v>
      </c>
      <c r="B698" s="63" t="s">
        <v>31</v>
      </c>
      <c r="C698" s="63" t="s">
        <v>649</v>
      </c>
      <c r="D698" s="74">
        <v>0.87430555555555556</v>
      </c>
      <c r="E698" s="74">
        <v>0.8833333333333333</v>
      </c>
      <c r="F698" s="241" t="s">
        <v>188</v>
      </c>
      <c r="G698" s="63">
        <v>510</v>
      </c>
      <c r="H698" s="21" t="s">
        <v>200</v>
      </c>
      <c r="I698" s="20"/>
      <c r="T698" s="27"/>
      <c r="U698" s="27"/>
      <c r="V698" s="27"/>
    </row>
    <row r="699" spans="1:22" ht="15" hidden="1" customHeight="1" x14ac:dyDescent="0.25">
      <c r="A699" s="22">
        <v>44277</v>
      </c>
      <c r="B699" s="63" t="s">
        <v>31</v>
      </c>
      <c r="C699" s="63" t="s">
        <v>649</v>
      </c>
      <c r="D699" s="74">
        <v>0.88124999999999998</v>
      </c>
      <c r="E699" s="74">
        <v>0.91736111111111107</v>
      </c>
      <c r="F699" s="241" t="s">
        <v>188</v>
      </c>
      <c r="G699" s="63">
        <v>3360</v>
      </c>
      <c r="H699" s="21" t="s">
        <v>333</v>
      </c>
      <c r="I699" s="20"/>
      <c r="T699" s="27"/>
      <c r="U699" s="27"/>
      <c r="V699" s="27"/>
    </row>
    <row r="700" spans="1:22" ht="15" hidden="1" customHeight="1" x14ac:dyDescent="0.25">
      <c r="A700" s="22">
        <v>44277</v>
      </c>
      <c r="B700" s="63" t="s">
        <v>157</v>
      </c>
      <c r="C700" s="63" t="s">
        <v>633</v>
      </c>
      <c r="D700" s="74">
        <v>0.90763888888888899</v>
      </c>
      <c r="E700" s="74">
        <v>0.9194444444444444</v>
      </c>
      <c r="F700" s="241" t="s">
        <v>233</v>
      </c>
      <c r="G700" s="63">
        <v>36540</v>
      </c>
      <c r="H700" s="21" t="s">
        <v>47</v>
      </c>
      <c r="I700" s="20"/>
      <c r="T700" s="27"/>
      <c r="U700" s="27"/>
      <c r="V700" s="27"/>
    </row>
    <row r="701" spans="1:22" ht="15" hidden="1" customHeight="1" x14ac:dyDescent="0.25">
      <c r="A701" s="22">
        <v>44277</v>
      </c>
      <c r="B701" s="63" t="s">
        <v>31</v>
      </c>
      <c r="C701" s="63" t="s">
        <v>96</v>
      </c>
      <c r="D701" s="74">
        <v>0.92569444444444438</v>
      </c>
      <c r="E701" s="74">
        <v>2.7083333333333334E-2</v>
      </c>
      <c r="F701" s="241" t="s">
        <v>709</v>
      </c>
      <c r="G701" s="63">
        <v>10135</v>
      </c>
      <c r="H701" s="21" t="s">
        <v>206</v>
      </c>
      <c r="I701" s="20"/>
      <c r="T701" s="27"/>
      <c r="U701" s="27"/>
      <c r="V701" s="27"/>
    </row>
    <row r="702" spans="1:22" ht="15" hidden="1" customHeight="1" x14ac:dyDescent="0.25">
      <c r="A702" s="22">
        <v>44277</v>
      </c>
      <c r="B702" s="63" t="s">
        <v>181</v>
      </c>
      <c r="C702" s="63" t="s">
        <v>149</v>
      </c>
      <c r="D702" s="74">
        <v>0.99305555555555547</v>
      </c>
      <c r="E702" s="74">
        <v>0.41666666666666669</v>
      </c>
      <c r="F702" s="241" t="s">
        <v>710</v>
      </c>
      <c r="G702" s="63">
        <v>12540</v>
      </c>
      <c r="H702" s="21" t="s">
        <v>211</v>
      </c>
      <c r="I702" s="20"/>
      <c r="T702" s="27"/>
      <c r="U702" s="27"/>
      <c r="V702" s="27"/>
    </row>
    <row r="703" spans="1:22" ht="15" hidden="1" customHeight="1" x14ac:dyDescent="0.25">
      <c r="A703" s="22">
        <v>44278</v>
      </c>
      <c r="B703" s="63" t="s">
        <v>300</v>
      </c>
      <c r="C703" s="63" t="s">
        <v>711</v>
      </c>
      <c r="D703" s="74">
        <v>0.11041666666666666</v>
      </c>
      <c r="E703" s="74">
        <v>0.34375</v>
      </c>
      <c r="F703" s="241" t="s">
        <v>75</v>
      </c>
      <c r="G703" s="63">
        <v>10290</v>
      </c>
      <c r="H703" s="21" t="s">
        <v>299</v>
      </c>
      <c r="I703" s="20"/>
      <c r="T703" s="27"/>
      <c r="U703" s="27"/>
      <c r="V703" s="27"/>
    </row>
    <row r="704" spans="1:22" ht="15" hidden="1" customHeight="1" x14ac:dyDescent="0.25">
      <c r="A704" s="22">
        <v>44278</v>
      </c>
      <c r="B704" s="63" t="s">
        <v>58</v>
      </c>
      <c r="C704" s="63" t="s">
        <v>312</v>
      </c>
      <c r="D704" s="74">
        <v>0.11527777777777777</v>
      </c>
      <c r="E704" s="74">
        <v>0.12152777777777778</v>
      </c>
      <c r="F704" s="241" t="s">
        <v>670</v>
      </c>
      <c r="G704" s="63">
        <v>15010</v>
      </c>
      <c r="H704" s="21" t="s">
        <v>313</v>
      </c>
      <c r="I704" s="20"/>
      <c r="T704" s="27"/>
      <c r="U704" s="27"/>
      <c r="V704" s="27"/>
    </row>
    <row r="705" spans="1:22" ht="15" hidden="1" customHeight="1" x14ac:dyDescent="0.25">
      <c r="A705" s="22">
        <v>44278</v>
      </c>
      <c r="B705" s="63" t="s">
        <v>31</v>
      </c>
      <c r="C705" s="63" t="s">
        <v>712</v>
      </c>
      <c r="D705" s="74">
        <v>0.33055555555555555</v>
      </c>
      <c r="E705" s="74">
        <v>0.33263888888888887</v>
      </c>
      <c r="F705" s="239" t="s">
        <v>714</v>
      </c>
      <c r="G705" s="63">
        <v>6130</v>
      </c>
      <c r="H705" s="21" t="s">
        <v>713</v>
      </c>
      <c r="I705" s="20"/>
      <c r="T705" s="27"/>
      <c r="U705" s="27"/>
      <c r="V705" s="27"/>
    </row>
    <row r="706" spans="1:22" ht="15" hidden="1" customHeight="1" x14ac:dyDescent="0.25">
      <c r="A706" s="22">
        <v>44278</v>
      </c>
      <c r="B706" s="63" t="s">
        <v>78</v>
      </c>
      <c r="C706" s="63" t="s">
        <v>144</v>
      </c>
      <c r="D706" s="74">
        <v>0.33819444444444446</v>
      </c>
      <c r="E706" s="74">
        <v>0.35972222222222222</v>
      </c>
      <c r="F706" s="241" t="s">
        <v>670</v>
      </c>
      <c r="G706" s="63">
        <v>21620</v>
      </c>
      <c r="H706" s="21" t="s">
        <v>178</v>
      </c>
      <c r="I706" s="20"/>
      <c r="T706" s="27"/>
      <c r="U706" s="27"/>
      <c r="V706" s="27"/>
    </row>
    <row r="707" spans="1:22" ht="15" hidden="1" customHeight="1" x14ac:dyDescent="0.25">
      <c r="A707" s="22">
        <v>44278</v>
      </c>
      <c r="B707" s="63" t="s">
        <v>31</v>
      </c>
      <c r="C707" s="63" t="s">
        <v>715</v>
      </c>
      <c r="D707" s="74">
        <v>0.35000000000000003</v>
      </c>
      <c r="E707" s="74">
        <v>0.48541666666666666</v>
      </c>
      <c r="F707" s="249" t="s">
        <v>173</v>
      </c>
      <c r="G707" s="63">
        <v>26500</v>
      </c>
      <c r="H707" s="21" t="s">
        <v>716</v>
      </c>
      <c r="I707" s="20"/>
      <c r="T707" s="27"/>
      <c r="U707" s="27"/>
      <c r="V707" s="27"/>
    </row>
    <row r="708" spans="1:22" ht="15" hidden="1" customHeight="1" x14ac:dyDescent="0.25">
      <c r="A708" s="22">
        <v>44278</v>
      </c>
      <c r="B708" s="63" t="s">
        <v>31</v>
      </c>
      <c r="C708" s="63" t="s">
        <v>715</v>
      </c>
      <c r="D708" s="74">
        <v>0.3527777777777778</v>
      </c>
      <c r="E708" s="74">
        <v>0.48194444444444445</v>
      </c>
      <c r="F708" s="249" t="s">
        <v>173</v>
      </c>
      <c r="G708" s="63">
        <v>26500</v>
      </c>
      <c r="H708" s="21" t="s">
        <v>717</v>
      </c>
      <c r="I708" s="20"/>
      <c r="T708" s="27"/>
      <c r="U708" s="27"/>
      <c r="V708" s="27"/>
    </row>
    <row r="709" spans="1:22" ht="15" hidden="1" customHeight="1" x14ac:dyDescent="0.25">
      <c r="A709" s="22">
        <v>44278</v>
      </c>
      <c r="B709" s="63" t="s">
        <v>31</v>
      </c>
      <c r="C709" s="63" t="s">
        <v>715</v>
      </c>
      <c r="D709" s="74">
        <v>0.35416666666666669</v>
      </c>
      <c r="E709" s="74">
        <v>0.54513888888888895</v>
      </c>
      <c r="F709" s="249" t="s">
        <v>173</v>
      </c>
      <c r="G709" s="63">
        <v>26500</v>
      </c>
      <c r="H709" s="21" t="s">
        <v>718</v>
      </c>
      <c r="I709" s="20"/>
      <c r="T709" s="27"/>
      <c r="U709" s="27"/>
      <c r="V709" s="27"/>
    </row>
    <row r="710" spans="1:22" ht="15" hidden="1" customHeight="1" x14ac:dyDescent="0.25">
      <c r="A710" s="22">
        <v>44278</v>
      </c>
      <c r="B710" s="63" t="s">
        <v>31</v>
      </c>
      <c r="C710" s="63" t="s">
        <v>715</v>
      </c>
      <c r="D710" s="74">
        <v>0.35625000000000001</v>
      </c>
      <c r="E710" s="74">
        <v>0.5493055555555556</v>
      </c>
      <c r="F710" s="249" t="s">
        <v>173</v>
      </c>
      <c r="G710" s="63">
        <v>26500</v>
      </c>
      <c r="H710" s="21" t="s">
        <v>719</v>
      </c>
      <c r="I710" s="20"/>
      <c r="T710" s="27"/>
      <c r="U710" s="27"/>
      <c r="V710" s="27"/>
    </row>
    <row r="711" spans="1:22" ht="15" hidden="1" customHeight="1" x14ac:dyDescent="0.25">
      <c r="A711" s="22">
        <v>44278</v>
      </c>
      <c r="B711" s="63" t="s">
        <v>400</v>
      </c>
      <c r="C711" s="63" t="s">
        <v>622</v>
      </c>
      <c r="D711" s="74">
        <v>0.43611111111111112</v>
      </c>
      <c r="E711" s="74">
        <v>0.44791666666666669</v>
      </c>
      <c r="F711" s="241" t="s">
        <v>720</v>
      </c>
      <c r="G711" s="63">
        <v>1630</v>
      </c>
      <c r="H711" s="21" t="s">
        <v>324</v>
      </c>
      <c r="I711" s="20"/>
      <c r="T711" s="27"/>
      <c r="U711" s="27"/>
      <c r="V711" s="27"/>
    </row>
    <row r="712" spans="1:22" ht="15" hidden="1" customHeight="1" x14ac:dyDescent="0.25">
      <c r="A712" s="22">
        <v>44278</v>
      </c>
      <c r="B712" s="63" t="s">
        <v>31</v>
      </c>
      <c r="C712" s="63" t="s">
        <v>715</v>
      </c>
      <c r="D712" s="74">
        <v>0.4375</v>
      </c>
      <c r="E712" s="74">
        <v>0.7006944444444444</v>
      </c>
      <c r="F712" s="249" t="s">
        <v>173</v>
      </c>
      <c r="G712" s="63">
        <v>26500</v>
      </c>
      <c r="H712" s="21" t="s">
        <v>721</v>
      </c>
      <c r="I712" s="20"/>
      <c r="T712" s="27"/>
      <c r="U712" s="27"/>
      <c r="V712" s="27"/>
    </row>
    <row r="713" spans="1:22" ht="15" hidden="1" customHeight="1" x14ac:dyDescent="0.25">
      <c r="A713" s="22">
        <v>44278</v>
      </c>
      <c r="B713" s="63" t="s">
        <v>457</v>
      </c>
      <c r="C713" s="63" t="s">
        <v>16</v>
      </c>
      <c r="D713" s="74">
        <v>0.4465277777777778</v>
      </c>
      <c r="E713" s="74">
        <v>0.46527777777777773</v>
      </c>
      <c r="F713" s="252" t="s">
        <v>225</v>
      </c>
      <c r="G713" s="63">
        <v>12420</v>
      </c>
      <c r="H713" s="21" t="s">
        <v>328</v>
      </c>
      <c r="I713" s="20"/>
      <c r="T713" s="27"/>
      <c r="U713" s="27"/>
      <c r="V713" s="27"/>
    </row>
    <row r="714" spans="1:22" ht="15" hidden="1" customHeight="1" x14ac:dyDescent="0.25">
      <c r="A714" s="22">
        <v>44278</v>
      </c>
      <c r="B714" s="63" t="s">
        <v>229</v>
      </c>
      <c r="C714" s="63" t="s">
        <v>722</v>
      </c>
      <c r="D714" s="74">
        <v>0.47847222222222219</v>
      </c>
      <c r="E714" s="74">
        <v>0.48819444444444443</v>
      </c>
      <c r="F714" s="241" t="s">
        <v>204</v>
      </c>
      <c r="G714" s="63">
        <v>7750</v>
      </c>
      <c r="H714" s="21" t="s">
        <v>54</v>
      </c>
      <c r="I714" s="20"/>
      <c r="T714" s="27"/>
      <c r="U714" s="27"/>
      <c r="V714" s="27"/>
    </row>
    <row r="715" spans="1:22" ht="15" hidden="1" customHeight="1" x14ac:dyDescent="0.25">
      <c r="A715" s="22">
        <v>44278</v>
      </c>
      <c r="B715" s="63" t="s">
        <v>31</v>
      </c>
      <c r="C715" s="63" t="s">
        <v>723</v>
      </c>
      <c r="D715" s="74">
        <v>0.53749999999999998</v>
      </c>
      <c r="E715" s="74">
        <v>0.56180555555555556</v>
      </c>
      <c r="F715" s="237" t="s">
        <v>725</v>
      </c>
      <c r="G715" s="63">
        <v>560</v>
      </c>
      <c r="H715" s="21" t="s">
        <v>724</v>
      </c>
      <c r="I715" s="20"/>
      <c r="T715" s="27"/>
      <c r="U715" s="27"/>
      <c r="V715" s="27"/>
    </row>
    <row r="716" spans="1:22" ht="15" hidden="1" customHeight="1" x14ac:dyDescent="0.25">
      <c r="A716" s="22">
        <v>44278</v>
      </c>
      <c r="B716" s="63" t="s">
        <v>31</v>
      </c>
      <c r="C716" s="63" t="s">
        <v>715</v>
      </c>
      <c r="D716" s="74">
        <v>0.54722222222222217</v>
      </c>
      <c r="E716" s="74">
        <v>0.69791666666666663</v>
      </c>
      <c r="F716" s="249" t="s">
        <v>173</v>
      </c>
      <c r="G716" s="63">
        <v>26500</v>
      </c>
      <c r="H716" s="21" t="s">
        <v>726</v>
      </c>
      <c r="I716" s="20"/>
      <c r="T716" s="27"/>
      <c r="U716" s="27"/>
      <c r="V716" s="27"/>
    </row>
    <row r="717" spans="1:22" ht="15" hidden="1" customHeight="1" x14ac:dyDescent="0.25">
      <c r="A717" s="22">
        <v>44278</v>
      </c>
      <c r="B717" s="63" t="s">
        <v>31</v>
      </c>
      <c r="C717" s="63" t="s">
        <v>715</v>
      </c>
      <c r="D717" s="74">
        <v>0.54791666666666672</v>
      </c>
      <c r="E717" s="74">
        <v>0.83124999999999993</v>
      </c>
      <c r="F717" s="249" t="s">
        <v>173</v>
      </c>
      <c r="G717" s="63">
        <v>26500</v>
      </c>
      <c r="H717" s="21" t="s">
        <v>727</v>
      </c>
      <c r="I717" s="20"/>
      <c r="T717" s="27"/>
      <c r="U717" s="27"/>
      <c r="V717" s="27"/>
    </row>
    <row r="718" spans="1:22" ht="15" hidden="1" customHeight="1" x14ac:dyDescent="0.25">
      <c r="A718" s="22">
        <v>44278</v>
      </c>
      <c r="B718" s="63" t="s">
        <v>31</v>
      </c>
      <c r="C718" s="63" t="s">
        <v>715</v>
      </c>
      <c r="D718" s="74">
        <v>0.55625000000000002</v>
      </c>
      <c r="E718" s="74">
        <v>0.83333333333333337</v>
      </c>
      <c r="F718" s="249" t="s">
        <v>173</v>
      </c>
      <c r="G718" s="63">
        <v>26500</v>
      </c>
      <c r="H718" s="21" t="s">
        <v>728</v>
      </c>
      <c r="I718" s="20"/>
      <c r="T718" s="27"/>
      <c r="U718" s="27"/>
      <c r="V718" s="27"/>
    </row>
    <row r="719" spans="1:22" ht="15" hidden="1" customHeight="1" x14ac:dyDescent="0.25">
      <c r="A719" s="22">
        <v>44278</v>
      </c>
      <c r="B719" s="63" t="s">
        <v>31</v>
      </c>
      <c r="C719" s="63" t="s">
        <v>253</v>
      </c>
      <c r="D719" s="74">
        <v>0.56041666666666667</v>
      </c>
      <c r="E719" s="74">
        <v>0.62916666666666665</v>
      </c>
      <c r="F719" s="243" t="s">
        <v>52</v>
      </c>
      <c r="G719" s="63">
        <v>35240</v>
      </c>
      <c r="H719" s="21" t="s">
        <v>729</v>
      </c>
      <c r="I719" s="20"/>
      <c r="T719" s="27"/>
      <c r="U719" s="27"/>
      <c r="V719" s="27"/>
    </row>
    <row r="720" spans="1:22" ht="15" hidden="1" customHeight="1" x14ac:dyDescent="0.25">
      <c r="A720" s="22">
        <v>44278</v>
      </c>
      <c r="B720" s="63" t="s">
        <v>31</v>
      </c>
      <c r="C720" s="63" t="s">
        <v>649</v>
      </c>
      <c r="D720" s="74">
        <v>0.59583333333333333</v>
      </c>
      <c r="E720" s="74">
        <v>0.6118055555555556</v>
      </c>
      <c r="F720" s="241" t="s">
        <v>188</v>
      </c>
      <c r="G720" s="63">
        <v>1260</v>
      </c>
      <c r="H720" s="21" t="s">
        <v>332</v>
      </c>
      <c r="I720" s="20"/>
      <c r="T720" s="27"/>
      <c r="U720" s="27"/>
      <c r="V720" s="27"/>
    </row>
    <row r="721" spans="1:22" ht="15" hidden="1" customHeight="1" x14ac:dyDescent="0.25">
      <c r="A721" s="22">
        <v>44278</v>
      </c>
      <c r="B721" s="63" t="s">
        <v>31</v>
      </c>
      <c r="C721" s="63" t="s">
        <v>649</v>
      </c>
      <c r="D721" s="74">
        <v>0.59791666666666665</v>
      </c>
      <c r="E721" s="74">
        <v>0.61944444444444446</v>
      </c>
      <c r="F721" s="241" t="s">
        <v>188</v>
      </c>
      <c r="G721" s="63">
        <v>1330</v>
      </c>
      <c r="H721" s="21" t="s">
        <v>708</v>
      </c>
      <c r="I721" s="20"/>
      <c r="T721" s="27"/>
      <c r="U721" s="27"/>
      <c r="V721" s="27"/>
    </row>
    <row r="722" spans="1:22" ht="15" hidden="1" customHeight="1" x14ac:dyDescent="0.25">
      <c r="A722" s="22">
        <v>44278</v>
      </c>
      <c r="B722" s="63" t="s">
        <v>31</v>
      </c>
      <c r="C722" s="63" t="s">
        <v>649</v>
      </c>
      <c r="D722" s="74">
        <v>0.59861111111111109</v>
      </c>
      <c r="E722" s="74">
        <v>0.62430555555555556</v>
      </c>
      <c r="F722" s="241" t="s">
        <v>188</v>
      </c>
      <c r="G722" s="63">
        <v>3340</v>
      </c>
      <c r="H722" s="21" t="s">
        <v>333</v>
      </c>
      <c r="I722" s="20"/>
      <c r="T722" s="27"/>
      <c r="U722" s="27"/>
      <c r="V722" s="27"/>
    </row>
    <row r="723" spans="1:22" ht="15" hidden="1" customHeight="1" x14ac:dyDescent="0.25">
      <c r="A723" s="22">
        <v>44278</v>
      </c>
      <c r="B723" s="63" t="s">
        <v>78</v>
      </c>
      <c r="C723" s="63" t="s">
        <v>144</v>
      </c>
      <c r="D723" s="74">
        <v>0.61319444444444449</v>
      </c>
      <c r="E723" s="74">
        <v>0.63472222222222219</v>
      </c>
      <c r="F723" s="241" t="s">
        <v>705</v>
      </c>
      <c r="G723" s="63">
        <v>24780</v>
      </c>
      <c r="H723" s="21" t="s">
        <v>178</v>
      </c>
      <c r="I723" s="20"/>
      <c r="T723" s="27"/>
      <c r="U723" s="27"/>
      <c r="V723" s="27"/>
    </row>
    <row r="724" spans="1:22" ht="15" hidden="1" customHeight="1" x14ac:dyDescent="0.25">
      <c r="A724" s="22">
        <v>44278</v>
      </c>
      <c r="B724" s="63" t="s">
        <v>307</v>
      </c>
      <c r="C724" s="63" t="s">
        <v>704</v>
      </c>
      <c r="D724" s="74">
        <v>0.62777777777777777</v>
      </c>
      <c r="E724" s="74">
        <v>0.69166666666666676</v>
      </c>
      <c r="F724" s="249" t="s">
        <v>173</v>
      </c>
      <c r="G724" s="63">
        <v>35150</v>
      </c>
      <c r="H724" s="21" t="s">
        <v>147</v>
      </c>
      <c r="I724" s="20"/>
      <c r="T724" s="27"/>
      <c r="U724" s="27"/>
      <c r="V724" s="27"/>
    </row>
    <row r="725" spans="1:22" ht="15" hidden="1" customHeight="1" x14ac:dyDescent="0.25">
      <c r="A725" s="22">
        <v>44278</v>
      </c>
      <c r="B725" s="63" t="s">
        <v>31</v>
      </c>
      <c r="C725" s="63" t="s">
        <v>305</v>
      </c>
      <c r="D725" s="74">
        <v>0.6381944444444444</v>
      </c>
      <c r="E725" s="74">
        <v>0.78541666666666676</v>
      </c>
      <c r="F725" s="247" t="s">
        <v>731</v>
      </c>
      <c r="G725" s="63">
        <v>23440</v>
      </c>
      <c r="H725" s="21" t="s">
        <v>730</v>
      </c>
      <c r="I725" s="20"/>
      <c r="T725" s="27"/>
      <c r="U725" s="27"/>
      <c r="V725" s="27"/>
    </row>
    <row r="726" spans="1:22" ht="15" hidden="1" customHeight="1" x14ac:dyDescent="0.25">
      <c r="A726" s="22">
        <v>44278</v>
      </c>
      <c r="B726" s="63" t="s">
        <v>31</v>
      </c>
      <c r="C726" s="63" t="s">
        <v>649</v>
      </c>
      <c r="D726" s="74">
        <v>0.65</v>
      </c>
      <c r="E726" s="74">
        <v>0.65833333333333333</v>
      </c>
      <c r="F726" s="241" t="s">
        <v>188</v>
      </c>
      <c r="G726" s="63">
        <v>1180</v>
      </c>
      <c r="H726" s="21" t="s">
        <v>200</v>
      </c>
      <c r="I726" s="20"/>
      <c r="T726" s="27"/>
      <c r="U726" s="27"/>
      <c r="V726" s="27"/>
    </row>
    <row r="727" spans="1:22" ht="15" hidden="1" customHeight="1" x14ac:dyDescent="0.25">
      <c r="A727" s="22">
        <v>44278</v>
      </c>
      <c r="B727" s="63" t="s">
        <v>14</v>
      </c>
      <c r="C727" s="63" t="s">
        <v>704</v>
      </c>
      <c r="D727" s="74">
        <v>0.65347222222222223</v>
      </c>
      <c r="E727" s="74">
        <v>0.70208333333333339</v>
      </c>
      <c r="F727" s="249" t="s">
        <v>173</v>
      </c>
      <c r="G727" s="63">
        <v>35100</v>
      </c>
      <c r="H727" s="21" t="s">
        <v>174</v>
      </c>
      <c r="I727" s="20"/>
      <c r="T727" s="27"/>
      <c r="U727" s="27"/>
      <c r="V727" s="27"/>
    </row>
    <row r="728" spans="1:22" ht="15" hidden="1" customHeight="1" x14ac:dyDescent="0.25">
      <c r="A728" s="22">
        <v>44278</v>
      </c>
      <c r="B728" s="63" t="s">
        <v>412</v>
      </c>
      <c r="C728" s="63" t="s">
        <v>732</v>
      </c>
      <c r="D728" s="74">
        <v>0.68263888888888891</v>
      </c>
      <c r="E728" s="74">
        <v>0.68680555555555556</v>
      </c>
      <c r="F728" s="241" t="s">
        <v>733</v>
      </c>
      <c r="G728" s="63">
        <v>3340</v>
      </c>
      <c r="H728" s="21" t="s">
        <v>415</v>
      </c>
      <c r="I728" s="20"/>
      <c r="T728" s="27"/>
      <c r="U728" s="27"/>
      <c r="V728" s="27"/>
    </row>
    <row r="729" spans="1:22" ht="15" hidden="1" customHeight="1" x14ac:dyDescent="0.25">
      <c r="A729" s="22">
        <v>44278</v>
      </c>
      <c r="B729" s="63" t="s">
        <v>150</v>
      </c>
      <c r="C729" s="63" t="s">
        <v>704</v>
      </c>
      <c r="D729" s="74">
        <v>0.71111111111111114</v>
      </c>
      <c r="E729" s="74">
        <v>0.74375000000000002</v>
      </c>
      <c r="F729" s="249" t="s">
        <v>173</v>
      </c>
      <c r="G729" s="63">
        <v>30110</v>
      </c>
      <c r="H729" s="21" t="s">
        <v>232</v>
      </c>
      <c r="I729" s="20"/>
      <c r="T729" s="27"/>
      <c r="U729" s="27"/>
      <c r="V729" s="27"/>
    </row>
    <row r="730" spans="1:22" ht="15" customHeight="1" x14ac:dyDescent="0.25">
      <c r="A730" s="22">
        <v>44278</v>
      </c>
      <c r="B730" s="63" t="s">
        <v>15</v>
      </c>
      <c r="C730" s="63" t="s">
        <v>208</v>
      </c>
      <c r="D730" s="74">
        <v>0.71250000000000002</v>
      </c>
      <c r="E730" s="74">
        <v>0.71736111111111101</v>
      </c>
      <c r="F730" s="241" t="s">
        <v>204</v>
      </c>
      <c r="G730" s="63">
        <v>22720</v>
      </c>
      <c r="H730" s="21" t="s">
        <v>456</v>
      </c>
      <c r="I730" s="20"/>
      <c r="T730" s="27"/>
      <c r="U730" s="27"/>
      <c r="V730" s="27"/>
    </row>
    <row r="731" spans="1:22" ht="15" hidden="1" customHeight="1" x14ac:dyDescent="0.25">
      <c r="A731" s="22">
        <v>44278</v>
      </c>
      <c r="B731" s="63" t="s">
        <v>400</v>
      </c>
      <c r="C731" s="63" t="s">
        <v>208</v>
      </c>
      <c r="D731" s="74">
        <v>0.71875</v>
      </c>
      <c r="E731" s="74">
        <v>0.72291666666666676</v>
      </c>
      <c r="F731" s="241" t="s">
        <v>204</v>
      </c>
      <c r="G731" s="63">
        <v>10170</v>
      </c>
      <c r="H731" s="21" t="s">
        <v>324</v>
      </c>
      <c r="I731" s="20"/>
      <c r="T731" s="27"/>
      <c r="U731" s="27"/>
      <c r="V731" s="27"/>
    </row>
    <row r="732" spans="1:22" ht="15" hidden="1" customHeight="1" x14ac:dyDescent="0.25">
      <c r="A732" s="22">
        <v>44278</v>
      </c>
      <c r="B732" s="63" t="s">
        <v>17</v>
      </c>
      <c r="C732" s="63" t="s">
        <v>208</v>
      </c>
      <c r="D732" s="74">
        <v>0.73958333333333337</v>
      </c>
      <c r="E732" s="74">
        <v>0.74722222222222223</v>
      </c>
      <c r="F732" s="241" t="s">
        <v>204</v>
      </c>
      <c r="G732" s="63">
        <v>13150</v>
      </c>
      <c r="H732" s="21" t="s">
        <v>51</v>
      </c>
      <c r="I732" s="20"/>
      <c r="T732" s="27"/>
      <c r="U732" s="27"/>
      <c r="V732" s="27"/>
    </row>
    <row r="733" spans="1:22" ht="15" hidden="1" customHeight="1" x14ac:dyDescent="0.25">
      <c r="A733" s="22">
        <v>44278</v>
      </c>
      <c r="B733" s="63" t="s">
        <v>735</v>
      </c>
      <c r="C733" s="63" t="s">
        <v>208</v>
      </c>
      <c r="D733" s="74">
        <v>0.74930555555555556</v>
      </c>
      <c r="E733" s="74">
        <v>0.75416666666666676</v>
      </c>
      <c r="F733" s="241" t="s">
        <v>204</v>
      </c>
      <c r="G733" s="63">
        <v>17990</v>
      </c>
      <c r="H733" s="21" t="s">
        <v>734</v>
      </c>
      <c r="I733" s="20"/>
      <c r="T733" s="27"/>
      <c r="U733" s="27"/>
      <c r="V733" s="27"/>
    </row>
    <row r="734" spans="1:22" ht="15" hidden="1" customHeight="1" x14ac:dyDescent="0.25">
      <c r="A734" s="22">
        <v>44278</v>
      </c>
      <c r="B734" s="63" t="s">
        <v>157</v>
      </c>
      <c r="C734" s="63" t="s">
        <v>196</v>
      </c>
      <c r="D734" s="74">
        <v>0.75624999999999998</v>
      </c>
      <c r="E734" s="74">
        <v>0.76250000000000007</v>
      </c>
      <c r="F734" s="241" t="s">
        <v>204</v>
      </c>
      <c r="G734" s="63">
        <v>23190</v>
      </c>
      <c r="H734" s="21" t="s">
        <v>47</v>
      </c>
      <c r="I734" s="20"/>
      <c r="T734" s="27"/>
      <c r="U734" s="27"/>
      <c r="V734" s="27"/>
    </row>
    <row r="735" spans="1:22" ht="15" hidden="1" customHeight="1" x14ac:dyDescent="0.25">
      <c r="A735" s="22">
        <v>44278</v>
      </c>
      <c r="B735" s="63" t="s">
        <v>229</v>
      </c>
      <c r="C735" s="63" t="s">
        <v>196</v>
      </c>
      <c r="D735" s="74">
        <v>0.76458333333333339</v>
      </c>
      <c r="E735" s="74">
        <v>0.77013888888888893</v>
      </c>
      <c r="F735" s="241" t="s">
        <v>204</v>
      </c>
      <c r="G735" s="63">
        <v>23030</v>
      </c>
      <c r="H735" s="21" t="s">
        <v>54</v>
      </c>
      <c r="I735" s="20"/>
      <c r="T735" s="27"/>
      <c r="U735" s="27"/>
      <c r="V735" s="27"/>
    </row>
    <row r="736" spans="1:22" ht="15" hidden="1" customHeight="1" x14ac:dyDescent="0.25">
      <c r="A736" s="22">
        <v>44278</v>
      </c>
      <c r="B736" s="63" t="s">
        <v>53</v>
      </c>
      <c r="C736" s="63" t="s">
        <v>196</v>
      </c>
      <c r="D736" s="74">
        <v>0.78888888888888886</v>
      </c>
      <c r="E736" s="74">
        <v>0.79652777777777783</v>
      </c>
      <c r="F736" s="241" t="s">
        <v>247</v>
      </c>
      <c r="G736" s="63">
        <v>23190</v>
      </c>
      <c r="H736" s="21" t="s">
        <v>328</v>
      </c>
      <c r="I736" s="20"/>
      <c r="T736" s="27"/>
      <c r="U736" s="27"/>
      <c r="V736" s="27"/>
    </row>
    <row r="737" spans="1:22" ht="15" hidden="1" customHeight="1" x14ac:dyDescent="0.25">
      <c r="A737" s="22">
        <v>44278</v>
      </c>
      <c r="B737" s="63" t="s">
        <v>412</v>
      </c>
      <c r="C737" s="63" t="s">
        <v>196</v>
      </c>
      <c r="D737" s="74">
        <v>0.79513888888888884</v>
      </c>
      <c r="E737" s="74">
        <v>0.80069444444444438</v>
      </c>
      <c r="F737" s="241" t="s">
        <v>247</v>
      </c>
      <c r="G737" s="63">
        <v>12850</v>
      </c>
      <c r="H737" s="21" t="s">
        <v>415</v>
      </c>
      <c r="I737" s="20"/>
      <c r="T737" s="27"/>
      <c r="U737" s="27"/>
      <c r="V737" s="27"/>
    </row>
    <row r="738" spans="1:22" ht="15" customHeight="1" x14ac:dyDescent="0.25">
      <c r="A738" s="22">
        <v>44278</v>
      </c>
      <c r="B738" s="63" t="s">
        <v>15</v>
      </c>
      <c r="C738" s="63" t="s">
        <v>196</v>
      </c>
      <c r="D738" s="74">
        <v>0.79861111111111116</v>
      </c>
      <c r="E738" s="74">
        <v>0.80347222222222225</v>
      </c>
      <c r="F738" s="241" t="s">
        <v>247</v>
      </c>
      <c r="G738" s="63">
        <v>22440</v>
      </c>
      <c r="H738" s="21" t="s">
        <v>456</v>
      </c>
      <c r="I738" s="20"/>
      <c r="T738" s="27"/>
      <c r="U738" s="27"/>
      <c r="V738" s="27"/>
    </row>
    <row r="739" spans="1:22" ht="15" hidden="1" customHeight="1" x14ac:dyDescent="0.25">
      <c r="A739" s="22">
        <v>44278</v>
      </c>
      <c r="B739" s="63" t="s">
        <v>400</v>
      </c>
      <c r="C739" s="63" t="s">
        <v>196</v>
      </c>
      <c r="D739" s="74">
        <v>0.7993055555555556</v>
      </c>
      <c r="E739" s="74">
        <v>0.80486111111111114</v>
      </c>
      <c r="F739" s="241" t="s">
        <v>204</v>
      </c>
      <c r="G739" s="63">
        <v>10060</v>
      </c>
      <c r="H739" s="21" t="s">
        <v>324</v>
      </c>
      <c r="I739" s="20"/>
      <c r="T739" s="27"/>
      <c r="U739" s="27"/>
      <c r="V739" s="27"/>
    </row>
    <row r="740" spans="1:22" ht="15" hidden="1" customHeight="1" x14ac:dyDescent="0.25">
      <c r="A740" s="22">
        <v>44278</v>
      </c>
      <c r="B740" s="63" t="s">
        <v>31</v>
      </c>
      <c r="C740" s="63" t="s">
        <v>649</v>
      </c>
      <c r="D740" s="74">
        <v>0.82638888888888884</v>
      </c>
      <c r="E740" s="74">
        <v>0.85277777777777775</v>
      </c>
      <c r="F740" s="241" t="s">
        <v>224</v>
      </c>
      <c r="G740" s="63">
        <v>5910</v>
      </c>
      <c r="H740" s="21" t="s">
        <v>460</v>
      </c>
      <c r="I740" s="20"/>
      <c r="T740" s="27"/>
      <c r="U740" s="27"/>
      <c r="V740" s="27"/>
    </row>
    <row r="741" spans="1:22" ht="15" hidden="1" customHeight="1" x14ac:dyDescent="0.25">
      <c r="A741" s="22">
        <v>44278</v>
      </c>
      <c r="B741" s="63" t="s">
        <v>735</v>
      </c>
      <c r="C741" s="63" t="s">
        <v>196</v>
      </c>
      <c r="D741" s="74">
        <v>0.82916666666666661</v>
      </c>
      <c r="E741" s="74">
        <v>0.8354166666666667</v>
      </c>
      <c r="F741" s="241" t="s">
        <v>204</v>
      </c>
      <c r="G741" s="63">
        <v>22610</v>
      </c>
      <c r="H741" s="21" t="s">
        <v>734</v>
      </c>
      <c r="I741" s="20"/>
      <c r="T741" s="27"/>
      <c r="U741" s="27"/>
      <c r="V741" s="27"/>
    </row>
    <row r="742" spans="1:22" ht="15" hidden="1" customHeight="1" x14ac:dyDescent="0.25">
      <c r="A742" s="22">
        <v>44278</v>
      </c>
      <c r="B742" s="63" t="s">
        <v>157</v>
      </c>
      <c r="C742" s="63" t="s">
        <v>196</v>
      </c>
      <c r="D742" s="74">
        <v>0.83611111111111114</v>
      </c>
      <c r="E742" s="74">
        <v>0.85</v>
      </c>
      <c r="F742" s="241" t="s">
        <v>204</v>
      </c>
      <c r="G742" s="63">
        <v>22660</v>
      </c>
      <c r="H742" s="21" t="s">
        <v>47</v>
      </c>
      <c r="I742" s="20"/>
      <c r="T742" s="27"/>
      <c r="U742" s="27"/>
      <c r="V742" s="27"/>
    </row>
    <row r="743" spans="1:22" ht="15" hidden="1" customHeight="1" x14ac:dyDescent="0.25">
      <c r="A743" s="22">
        <v>44278</v>
      </c>
      <c r="B743" s="63" t="s">
        <v>78</v>
      </c>
      <c r="C743" s="63" t="s">
        <v>144</v>
      </c>
      <c r="D743" s="74">
        <v>0.84652777777777777</v>
      </c>
      <c r="E743" s="74">
        <v>0.85625000000000007</v>
      </c>
      <c r="F743" s="241" t="s">
        <v>670</v>
      </c>
      <c r="G743" s="63">
        <v>23840</v>
      </c>
      <c r="H743" s="21" t="s">
        <v>178</v>
      </c>
      <c r="I743" s="20"/>
      <c r="T743" s="27"/>
      <c r="U743" s="27"/>
      <c r="V743" s="27"/>
    </row>
    <row r="744" spans="1:22" ht="15" hidden="1" customHeight="1" x14ac:dyDescent="0.25">
      <c r="A744" s="22">
        <v>44278</v>
      </c>
      <c r="B744" s="63" t="s">
        <v>229</v>
      </c>
      <c r="C744" s="63" t="s">
        <v>194</v>
      </c>
      <c r="D744" s="74">
        <v>0.84791666666666676</v>
      </c>
      <c r="E744" s="74">
        <v>0.8618055555555556</v>
      </c>
      <c r="F744" s="241" t="s">
        <v>204</v>
      </c>
      <c r="G744" s="63">
        <v>20660</v>
      </c>
      <c r="H744" s="21" t="s">
        <v>54</v>
      </c>
      <c r="I744" s="20"/>
      <c r="T744" s="27"/>
      <c r="U744" s="27"/>
      <c r="V744" s="27"/>
    </row>
    <row r="745" spans="1:22" ht="15" hidden="1" customHeight="1" x14ac:dyDescent="0.25">
      <c r="A745" s="22">
        <v>44278</v>
      </c>
      <c r="B745" s="63" t="s">
        <v>17</v>
      </c>
      <c r="C745" s="63" t="s">
        <v>144</v>
      </c>
      <c r="D745" s="74">
        <v>0.84861111111111109</v>
      </c>
      <c r="E745" s="74">
        <v>0.8833333333333333</v>
      </c>
      <c r="F745" s="236" t="s">
        <v>317</v>
      </c>
      <c r="G745" s="63">
        <v>23800</v>
      </c>
      <c r="H745" s="21" t="s">
        <v>51</v>
      </c>
      <c r="I745" s="20"/>
      <c r="T745" s="27"/>
      <c r="U745" s="27"/>
      <c r="V745" s="27"/>
    </row>
    <row r="746" spans="1:22" ht="15" hidden="1" customHeight="1" x14ac:dyDescent="0.25">
      <c r="A746" s="22">
        <v>44278</v>
      </c>
      <c r="B746" s="63" t="s">
        <v>412</v>
      </c>
      <c r="C746" s="63" t="s">
        <v>194</v>
      </c>
      <c r="D746" s="74">
        <v>0.85555555555555562</v>
      </c>
      <c r="E746" s="74">
        <v>0.86319444444444438</v>
      </c>
      <c r="F746" s="241" t="s">
        <v>204</v>
      </c>
      <c r="G746" s="63">
        <v>5560</v>
      </c>
      <c r="H746" s="21" t="s">
        <v>415</v>
      </c>
      <c r="I746" s="20"/>
      <c r="T746" s="27"/>
      <c r="U746" s="27"/>
      <c r="V746" s="27"/>
    </row>
    <row r="747" spans="1:22" ht="15" hidden="1" customHeight="1" x14ac:dyDescent="0.25">
      <c r="A747" s="22">
        <v>44278</v>
      </c>
      <c r="B747" s="63" t="s">
        <v>550</v>
      </c>
      <c r="C747" s="63" t="s">
        <v>691</v>
      </c>
      <c r="D747" s="74">
        <v>0.86041666666666661</v>
      </c>
      <c r="E747" s="74">
        <v>0.88124999999999998</v>
      </c>
      <c r="F747" s="241" t="s">
        <v>214</v>
      </c>
      <c r="G747" s="63">
        <v>2670</v>
      </c>
      <c r="H747" s="21" t="s">
        <v>213</v>
      </c>
      <c r="I747" s="20"/>
      <c r="T747" s="27"/>
      <c r="U747" s="27"/>
      <c r="V747" s="27"/>
    </row>
    <row r="748" spans="1:22" ht="15" hidden="1" customHeight="1" x14ac:dyDescent="0.25">
      <c r="A748" s="22">
        <v>44278</v>
      </c>
      <c r="B748" s="63" t="s">
        <v>53</v>
      </c>
      <c r="C748" s="63" t="s">
        <v>196</v>
      </c>
      <c r="D748" s="74">
        <v>0.86111111111111116</v>
      </c>
      <c r="E748" s="74">
        <v>0.87222222222222223</v>
      </c>
      <c r="F748" s="241" t="s">
        <v>204</v>
      </c>
      <c r="G748" s="63">
        <v>18330</v>
      </c>
      <c r="H748" s="21" t="s">
        <v>328</v>
      </c>
      <c r="I748" s="20"/>
      <c r="T748" s="27"/>
      <c r="U748" s="27"/>
      <c r="V748" s="27"/>
    </row>
    <row r="749" spans="1:22" ht="15" customHeight="1" x14ac:dyDescent="0.25">
      <c r="A749" s="22">
        <v>44278</v>
      </c>
      <c r="B749" s="63" t="s">
        <v>15</v>
      </c>
      <c r="C749" s="63" t="s">
        <v>194</v>
      </c>
      <c r="D749" s="74">
        <v>0.8652777777777777</v>
      </c>
      <c r="E749" s="74">
        <v>0.87916666666666676</v>
      </c>
      <c r="F749" s="241" t="s">
        <v>204</v>
      </c>
      <c r="G749" s="63">
        <v>20520</v>
      </c>
      <c r="H749" s="21" t="s">
        <v>456</v>
      </c>
      <c r="I749" s="20"/>
      <c r="T749" s="27"/>
      <c r="U749" s="27"/>
      <c r="V749" s="27"/>
    </row>
    <row r="750" spans="1:22" ht="15" hidden="1" customHeight="1" x14ac:dyDescent="0.25">
      <c r="A750" s="22">
        <v>44278</v>
      </c>
      <c r="B750" s="63" t="s">
        <v>400</v>
      </c>
      <c r="C750" s="63" t="s">
        <v>194</v>
      </c>
      <c r="D750" s="74">
        <v>0.86736111111111114</v>
      </c>
      <c r="E750" s="74">
        <v>0.89236111111111116</v>
      </c>
      <c r="F750" s="241" t="s">
        <v>204</v>
      </c>
      <c r="G750" s="63">
        <v>9340</v>
      </c>
      <c r="H750" s="21" t="s">
        <v>324</v>
      </c>
      <c r="I750" s="20"/>
      <c r="T750" s="27"/>
      <c r="U750" s="27"/>
      <c r="V750" s="27"/>
    </row>
    <row r="751" spans="1:22" ht="15" hidden="1" customHeight="1" x14ac:dyDescent="0.25">
      <c r="A751" s="22">
        <v>44278</v>
      </c>
      <c r="B751" s="63" t="s">
        <v>735</v>
      </c>
      <c r="C751" s="63" t="s">
        <v>194</v>
      </c>
      <c r="D751" s="74">
        <v>0.8965277777777777</v>
      </c>
      <c r="E751" s="74">
        <v>0.90694444444444444</v>
      </c>
      <c r="F751" s="241" t="s">
        <v>204</v>
      </c>
      <c r="G751" s="63">
        <v>21050</v>
      </c>
      <c r="H751" s="21" t="s">
        <v>734</v>
      </c>
      <c r="I751" s="20"/>
      <c r="T751" s="27"/>
      <c r="U751" s="27"/>
      <c r="V751" s="27"/>
    </row>
    <row r="752" spans="1:22" ht="15" hidden="1" customHeight="1" x14ac:dyDescent="0.25">
      <c r="A752" s="22">
        <v>44278</v>
      </c>
      <c r="B752" s="63" t="s">
        <v>157</v>
      </c>
      <c r="C752" s="63" t="s">
        <v>194</v>
      </c>
      <c r="D752" s="74">
        <v>0.91249999999999998</v>
      </c>
      <c r="E752" s="74">
        <v>0.92986111111111114</v>
      </c>
      <c r="F752" s="241" t="s">
        <v>204</v>
      </c>
      <c r="G752" s="63">
        <v>23310</v>
      </c>
      <c r="H752" s="21" t="s">
        <v>47</v>
      </c>
      <c r="I752" s="20"/>
      <c r="T752" s="27"/>
      <c r="U752" s="27"/>
      <c r="V752" s="27"/>
    </row>
    <row r="753" spans="1:22" ht="15" hidden="1" customHeight="1" x14ac:dyDescent="0.25">
      <c r="A753" s="22">
        <v>44278</v>
      </c>
      <c r="B753" s="63" t="s">
        <v>412</v>
      </c>
      <c r="C753" s="63" t="s">
        <v>194</v>
      </c>
      <c r="D753" s="74">
        <v>0.92569444444444438</v>
      </c>
      <c r="E753" s="74">
        <v>0.94513888888888886</v>
      </c>
      <c r="F753" s="241" t="s">
        <v>204</v>
      </c>
      <c r="G753" s="63">
        <v>11750</v>
      </c>
      <c r="H753" s="21" t="s">
        <v>415</v>
      </c>
      <c r="I753" s="20"/>
      <c r="T753" s="27"/>
      <c r="U753" s="27"/>
      <c r="V753" s="27"/>
    </row>
    <row r="754" spans="1:22" ht="15" hidden="1" customHeight="1" x14ac:dyDescent="0.25">
      <c r="A754" s="22">
        <v>44278</v>
      </c>
      <c r="B754" s="63" t="s">
        <v>53</v>
      </c>
      <c r="C754" s="63" t="s">
        <v>194</v>
      </c>
      <c r="D754" s="74">
        <v>0.93541666666666667</v>
      </c>
      <c r="E754" s="74">
        <v>0.94097222222222221</v>
      </c>
      <c r="F754" s="241" t="s">
        <v>204</v>
      </c>
      <c r="G754" s="63">
        <v>3710</v>
      </c>
      <c r="H754" s="21" t="s">
        <v>328</v>
      </c>
      <c r="I754" s="20"/>
      <c r="T754" s="27"/>
      <c r="U754" s="27"/>
      <c r="V754" s="27"/>
    </row>
    <row r="755" spans="1:22" ht="15" hidden="1" customHeight="1" x14ac:dyDescent="0.25">
      <c r="A755" s="22">
        <v>44278</v>
      </c>
      <c r="B755" s="63" t="s">
        <v>31</v>
      </c>
      <c r="C755" s="63" t="s">
        <v>262</v>
      </c>
      <c r="D755" s="74">
        <v>0.94374999999999998</v>
      </c>
      <c r="E755" s="74">
        <v>0.9868055555555556</v>
      </c>
      <c r="F755" s="241" t="s">
        <v>736</v>
      </c>
      <c r="G755" s="63">
        <v>11150</v>
      </c>
      <c r="H755" s="21" t="s">
        <v>206</v>
      </c>
      <c r="I755" s="20"/>
      <c r="T755" s="27"/>
      <c r="U755" s="27"/>
      <c r="V755" s="27"/>
    </row>
    <row r="756" spans="1:22" ht="15" hidden="1" customHeight="1" x14ac:dyDescent="0.25">
      <c r="A756" s="22">
        <v>44278</v>
      </c>
      <c r="B756" s="63" t="s">
        <v>400</v>
      </c>
      <c r="C756" s="63" t="s">
        <v>245</v>
      </c>
      <c r="D756" s="74">
        <v>0.9506944444444444</v>
      </c>
      <c r="E756" s="74">
        <v>0.96736111111111101</v>
      </c>
      <c r="F756" s="241" t="s">
        <v>204</v>
      </c>
      <c r="G756" s="63">
        <v>2720</v>
      </c>
      <c r="H756" s="21" t="s">
        <v>324</v>
      </c>
      <c r="I756" s="20"/>
      <c r="T756" s="27"/>
      <c r="U756" s="27"/>
      <c r="V756" s="27"/>
    </row>
    <row r="757" spans="1:22" ht="15" hidden="1" customHeight="1" x14ac:dyDescent="0.25">
      <c r="A757" s="22">
        <v>44278</v>
      </c>
      <c r="B757" s="63" t="s">
        <v>400</v>
      </c>
      <c r="C757" s="63" t="s">
        <v>691</v>
      </c>
      <c r="D757" s="74">
        <v>0.99930555555555556</v>
      </c>
      <c r="E757" s="74">
        <v>6.9444444444444441E-3</v>
      </c>
      <c r="F757" s="241" t="s">
        <v>204</v>
      </c>
      <c r="G757" s="63">
        <v>1150</v>
      </c>
      <c r="H757" s="21" t="s">
        <v>324</v>
      </c>
      <c r="I757" s="20"/>
      <c r="T757" s="27"/>
      <c r="U757" s="27"/>
      <c r="V757" s="27"/>
    </row>
    <row r="758" spans="1:22" ht="15" hidden="1" customHeight="1" x14ac:dyDescent="0.25">
      <c r="A758" s="22">
        <v>44279</v>
      </c>
      <c r="B758" s="219" t="s">
        <v>31</v>
      </c>
      <c r="C758" s="222" t="s">
        <v>190</v>
      </c>
      <c r="D758" s="223">
        <v>0.17291666666666669</v>
      </c>
      <c r="E758" s="223">
        <v>0.22430555555555556</v>
      </c>
      <c r="F758" s="242" t="s">
        <v>301</v>
      </c>
      <c r="G758" s="21">
        <v>4460</v>
      </c>
      <c r="H758" s="222" t="s">
        <v>739</v>
      </c>
      <c r="I758" s="20"/>
      <c r="T758" s="27"/>
      <c r="U758" s="27"/>
      <c r="V758" s="27"/>
    </row>
    <row r="759" spans="1:22" ht="15" hidden="1" customHeight="1" x14ac:dyDescent="0.25">
      <c r="A759" s="22">
        <v>44279</v>
      </c>
      <c r="B759" s="219" t="s">
        <v>31</v>
      </c>
      <c r="C759" s="222" t="s">
        <v>410</v>
      </c>
      <c r="D759" s="223">
        <v>0.27430555555555552</v>
      </c>
      <c r="E759" s="223">
        <v>0.27986111111111112</v>
      </c>
      <c r="F759" s="242" t="s">
        <v>188</v>
      </c>
      <c r="G759" s="21">
        <v>290</v>
      </c>
      <c r="H759" s="222" t="s">
        <v>200</v>
      </c>
      <c r="I759" s="20"/>
      <c r="T759" s="27"/>
      <c r="U759" s="27"/>
      <c r="V759" s="27"/>
    </row>
    <row r="760" spans="1:22" ht="15" hidden="1" customHeight="1" x14ac:dyDescent="0.25">
      <c r="A760" s="22">
        <v>44279</v>
      </c>
      <c r="B760" s="20" t="s">
        <v>58</v>
      </c>
      <c r="C760" s="222" t="s">
        <v>312</v>
      </c>
      <c r="D760" s="223">
        <v>0.27499999999999997</v>
      </c>
      <c r="E760" s="223">
        <v>0.28750000000000003</v>
      </c>
      <c r="F760" s="241" t="s">
        <v>670</v>
      </c>
      <c r="G760" s="21">
        <v>26440</v>
      </c>
      <c r="H760" s="222" t="s">
        <v>313</v>
      </c>
      <c r="I760" s="20"/>
      <c r="T760" s="27"/>
      <c r="U760" s="27"/>
      <c r="V760" s="27"/>
    </row>
    <row r="761" spans="1:22" ht="15" hidden="1" customHeight="1" x14ac:dyDescent="0.25">
      <c r="A761" s="22">
        <v>44279</v>
      </c>
      <c r="B761" s="219" t="s">
        <v>31</v>
      </c>
      <c r="C761" s="222" t="s">
        <v>740</v>
      </c>
      <c r="D761" s="223">
        <v>0.37638888888888888</v>
      </c>
      <c r="E761" s="223">
        <v>0.56111111111111112</v>
      </c>
      <c r="F761" s="250" t="s">
        <v>173</v>
      </c>
      <c r="G761" s="21">
        <v>26500</v>
      </c>
      <c r="H761" s="222" t="s">
        <v>741</v>
      </c>
      <c r="I761" s="20"/>
      <c r="T761" s="27"/>
      <c r="U761" s="27"/>
      <c r="V761" s="27"/>
    </row>
    <row r="762" spans="1:22" ht="15" hidden="1" customHeight="1" x14ac:dyDescent="0.25">
      <c r="A762" s="22">
        <v>44279</v>
      </c>
      <c r="B762" s="219" t="s">
        <v>31</v>
      </c>
      <c r="C762" s="222" t="s">
        <v>740</v>
      </c>
      <c r="D762" s="223">
        <v>0.38680555555555557</v>
      </c>
      <c r="E762" s="223">
        <v>0.56319444444444444</v>
      </c>
      <c r="F762" s="250" t="s">
        <v>173</v>
      </c>
      <c r="G762" s="21">
        <v>26500</v>
      </c>
      <c r="H762" s="222" t="s">
        <v>718</v>
      </c>
      <c r="I762" s="20"/>
      <c r="T762" s="27"/>
      <c r="U762" s="27"/>
      <c r="V762" s="27"/>
    </row>
    <row r="763" spans="1:22" ht="15" hidden="1" customHeight="1" x14ac:dyDescent="0.25">
      <c r="A763" s="22">
        <v>44279</v>
      </c>
      <c r="B763" s="20" t="s">
        <v>78</v>
      </c>
      <c r="C763" s="222" t="s">
        <v>144</v>
      </c>
      <c r="D763" s="223">
        <v>0.42499999999999999</v>
      </c>
      <c r="E763" s="223">
        <v>0.44236111111111115</v>
      </c>
      <c r="F763" s="242" t="s">
        <v>742</v>
      </c>
      <c r="G763" s="21">
        <v>20030</v>
      </c>
      <c r="H763" s="222" t="s">
        <v>178</v>
      </c>
      <c r="I763" s="20"/>
      <c r="T763" s="27"/>
      <c r="U763" s="27"/>
      <c r="V763" s="27"/>
    </row>
    <row r="764" spans="1:22" ht="15" hidden="1" customHeight="1" x14ac:dyDescent="0.25">
      <c r="A764" s="22">
        <v>44279</v>
      </c>
      <c r="B764" s="20" t="s">
        <v>697</v>
      </c>
      <c r="C764" s="222" t="s">
        <v>451</v>
      </c>
      <c r="D764" s="223">
        <v>0.46527777777777773</v>
      </c>
      <c r="E764" s="223">
        <v>0.47291666666666665</v>
      </c>
      <c r="F764" s="241" t="s">
        <v>382</v>
      </c>
      <c r="G764" s="21">
        <v>560</v>
      </c>
      <c r="H764" s="222" t="s">
        <v>213</v>
      </c>
      <c r="I764" s="20"/>
      <c r="T764" s="27"/>
      <c r="U764" s="27"/>
      <c r="V764" s="27"/>
    </row>
    <row r="765" spans="1:22" ht="15" hidden="1" customHeight="1" x14ac:dyDescent="0.25">
      <c r="A765" s="22">
        <v>44279</v>
      </c>
      <c r="B765" s="219" t="s">
        <v>31</v>
      </c>
      <c r="C765" s="222" t="s">
        <v>740</v>
      </c>
      <c r="D765" s="223">
        <v>0.46736111111111112</v>
      </c>
      <c r="E765" s="223">
        <v>0.61249999999999993</v>
      </c>
      <c r="F765" s="250" t="s">
        <v>173</v>
      </c>
      <c r="G765" s="21">
        <v>26500</v>
      </c>
      <c r="H765" s="222" t="s">
        <v>743</v>
      </c>
      <c r="I765" s="20"/>
      <c r="T765" s="27"/>
      <c r="U765" s="27"/>
      <c r="V765" s="27"/>
    </row>
    <row r="766" spans="1:22" ht="15" hidden="1" customHeight="1" x14ac:dyDescent="0.25">
      <c r="A766" s="22">
        <v>44279</v>
      </c>
      <c r="B766" s="219" t="s">
        <v>31</v>
      </c>
      <c r="C766" s="222" t="s">
        <v>740</v>
      </c>
      <c r="D766" s="223">
        <v>0.47152777777777777</v>
      </c>
      <c r="E766" s="223">
        <v>0.59861111111111109</v>
      </c>
      <c r="F766" s="250" t="s">
        <v>173</v>
      </c>
      <c r="G766" s="21">
        <v>26500</v>
      </c>
      <c r="H766" s="222" t="s">
        <v>719</v>
      </c>
      <c r="I766" s="20"/>
      <c r="T766" s="27"/>
      <c r="U766" s="27"/>
      <c r="V766" s="27"/>
    </row>
    <row r="767" spans="1:22" ht="15" hidden="1" customHeight="1" x14ac:dyDescent="0.25">
      <c r="A767" s="22">
        <v>44279</v>
      </c>
      <c r="B767" s="219" t="s">
        <v>31</v>
      </c>
      <c r="C767" s="222" t="s">
        <v>740</v>
      </c>
      <c r="D767" s="223">
        <v>0.47361111111111115</v>
      </c>
      <c r="E767" s="223">
        <v>0.6743055555555556</v>
      </c>
      <c r="F767" s="250" t="s">
        <v>173</v>
      </c>
      <c r="G767" s="21">
        <v>26500</v>
      </c>
      <c r="H767" s="222" t="s">
        <v>728</v>
      </c>
      <c r="I767" s="20"/>
      <c r="T767" s="27"/>
      <c r="U767" s="27"/>
      <c r="V767" s="27"/>
    </row>
    <row r="768" spans="1:22" ht="15" hidden="1" customHeight="1" x14ac:dyDescent="0.25">
      <c r="A768" s="22">
        <v>44279</v>
      </c>
      <c r="B768" s="219" t="s">
        <v>31</v>
      </c>
      <c r="C768" s="222" t="s">
        <v>740</v>
      </c>
      <c r="D768" s="223">
        <v>0.48125000000000001</v>
      </c>
      <c r="E768" s="223">
        <v>0.67708333333333337</v>
      </c>
      <c r="F768" s="250" t="s">
        <v>173</v>
      </c>
      <c r="G768" s="21">
        <v>26500</v>
      </c>
      <c r="H768" s="222" t="s">
        <v>744</v>
      </c>
      <c r="I768" s="20"/>
      <c r="T768" s="27"/>
      <c r="U768" s="27"/>
      <c r="V768" s="27"/>
    </row>
    <row r="769" spans="1:22" ht="15" hidden="1" customHeight="1" x14ac:dyDescent="0.25">
      <c r="A769" s="22">
        <v>44279</v>
      </c>
      <c r="B769" s="20" t="s">
        <v>412</v>
      </c>
      <c r="C769" s="222" t="s">
        <v>745</v>
      </c>
      <c r="D769" s="223">
        <v>0.55763888888888891</v>
      </c>
      <c r="E769" s="223">
        <v>0.56527777777777777</v>
      </c>
      <c r="F769" s="242" t="s">
        <v>746</v>
      </c>
      <c r="G769" s="21">
        <v>3220</v>
      </c>
      <c r="H769" s="222" t="s">
        <v>415</v>
      </c>
      <c r="I769" s="20"/>
      <c r="T769" s="27"/>
      <c r="U769" s="27"/>
      <c r="V769" s="27"/>
    </row>
    <row r="770" spans="1:22" ht="15" hidden="1" customHeight="1" x14ac:dyDescent="0.25">
      <c r="A770" s="22">
        <v>44279</v>
      </c>
      <c r="B770" s="20" t="s">
        <v>400</v>
      </c>
      <c r="C770" s="222" t="s">
        <v>212</v>
      </c>
      <c r="D770" s="223">
        <v>0.5756944444444444</v>
      </c>
      <c r="E770" s="223">
        <v>0.58472222222222225</v>
      </c>
      <c r="F770" s="242" t="s">
        <v>204</v>
      </c>
      <c r="G770" s="21">
        <v>6215</v>
      </c>
      <c r="H770" s="222" t="s">
        <v>324</v>
      </c>
      <c r="I770" s="20"/>
      <c r="T770" s="27"/>
      <c r="U770" s="27"/>
      <c r="V770" s="27"/>
    </row>
    <row r="771" spans="1:22" ht="15" hidden="1" customHeight="1" x14ac:dyDescent="0.25">
      <c r="A771" s="22">
        <v>44279</v>
      </c>
      <c r="B771" s="219" t="s">
        <v>31</v>
      </c>
      <c r="C771" s="222" t="s">
        <v>747</v>
      </c>
      <c r="D771" s="223">
        <v>0.61388888888888882</v>
      </c>
      <c r="E771" s="223">
        <v>0.63194444444444442</v>
      </c>
      <c r="F771" s="242" t="s">
        <v>188</v>
      </c>
      <c r="G771" s="21">
        <v>2190</v>
      </c>
      <c r="H771" s="222" t="s">
        <v>748</v>
      </c>
      <c r="I771" s="20"/>
      <c r="T771" s="27"/>
      <c r="U771" s="27"/>
      <c r="V771" s="27"/>
    </row>
    <row r="772" spans="1:22" ht="15" hidden="1" customHeight="1" x14ac:dyDescent="0.25">
      <c r="A772" s="22">
        <v>44279</v>
      </c>
      <c r="B772" s="219" t="s">
        <v>31</v>
      </c>
      <c r="C772" s="22" t="s">
        <v>749</v>
      </c>
      <c r="D772" s="223">
        <v>0.61597222222222225</v>
      </c>
      <c r="E772" s="223">
        <v>0.64513888888888882</v>
      </c>
      <c r="F772" s="235" t="s">
        <v>439</v>
      </c>
      <c r="G772" s="21">
        <v>3610</v>
      </c>
      <c r="H772" s="222" t="s">
        <v>750</v>
      </c>
      <c r="I772" s="20"/>
      <c r="T772" s="27"/>
      <c r="U772" s="27"/>
      <c r="V772" s="27"/>
    </row>
    <row r="773" spans="1:22" ht="15" hidden="1" customHeight="1" x14ac:dyDescent="0.25">
      <c r="A773" s="22">
        <v>44279</v>
      </c>
      <c r="B773" s="219" t="s">
        <v>31</v>
      </c>
      <c r="C773" s="22" t="s">
        <v>751</v>
      </c>
      <c r="D773" s="223">
        <v>0.62916666666666665</v>
      </c>
      <c r="E773" s="223">
        <v>0.65416666666666667</v>
      </c>
      <c r="F773" s="242" t="s">
        <v>188</v>
      </c>
      <c r="G773" s="21">
        <v>1020</v>
      </c>
      <c r="H773" s="222" t="s">
        <v>752</v>
      </c>
      <c r="I773" s="20"/>
      <c r="T773" s="27"/>
      <c r="U773" s="27"/>
      <c r="V773" s="27"/>
    </row>
    <row r="774" spans="1:22" ht="15" hidden="1" customHeight="1" x14ac:dyDescent="0.25">
      <c r="A774" s="22">
        <v>44279</v>
      </c>
      <c r="B774" s="20" t="s">
        <v>307</v>
      </c>
      <c r="C774" s="222" t="s">
        <v>704</v>
      </c>
      <c r="D774" s="223">
        <v>0.63402777777777775</v>
      </c>
      <c r="E774" s="223">
        <v>0.7055555555555556</v>
      </c>
      <c r="F774" s="250" t="s">
        <v>173</v>
      </c>
      <c r="G774" s="21">
        <v>35100</v>
      </c>
      <c r="H774" s="222" t="s">
        <v>147</v>
      </c>
      <c r="I774" s="20"/>
      <c r="T774" s="27"/>
      <c r="U774" s="27"/>
      <c r="V774" s="27"/>
    </row>
    <row r="775" spans="1:22" ht="15" hidden="1" customHeight="1" x14ac:dyDescent="0.25">
      <c r="A775" s="22">
        <v>44279</v>
      </c>
      <c r="B775" s="219" t="s">
        <v>31</v>
      </c>
      <c r="C775" s="22" t="s">
        <v>753</v>
      </c>
      <c r="D775" s="223">
        <v>0.64652777777777781</v>
      </c>
      <c r="E775" s="223">
        <v>0.68888888888888899</v>
      </c>
      <c r="F775" s="242" t="s">
        <v>75</v>
      </c>
      <c r="G775" s="21">
        <v>5200</v>
      </c>
      <c r="H775" s="222" t="s">
        <v>754</v>
      </c>
      <c r="I775" s="20"/>
      <c r="T775" s="27"/>
      <c r="U775" s="27"/>
      <c r="V775" s="27"/>
    </row>
    <row r="776" spans="1:22" ht="15" hidden="1" customHeight="1" x14ac:dyDescent="0.25">
      <c r="A776" s="22">
        <v>44279</v>
      </c>
      <c r="B776" s="20" t="s">
        <v>78</v>
      </c>
      <c r="C776" s="222" t="s">
        <v>144</v>
      </c>
      <c r="D776" s="223">
        <v>0.64930555555555558</v>
      </c>
      <c r="E776" s="223">
        <v>0.67847222222222225</v>
      </c>
      <c r="F776" s="241" t="s">
        <v>705</v>
      </c>
      <c r="G776" s="21">
        <v>24860</v>
      </c>
      <c r="H776" s="222" t="s">
        <v>178</v>
      </c>
      <c r="I776" s="20"/>
      <c r="T776" s="27"/>
      <c r="U776" s="27"/>
      <c r="V776" s="27"/>
    </row>
    <row r="777" spans="1:22" ht="15" hidden="1" customHeight="1" x14ac:dyDescent="0.25">
      <c r="A777" s="22">
        <v>44279</v>
      </c>
      <c r="B777" s="20" t="s">
        <v>14</v>
      </c>
      <c r="C777" s="222" t="s">
        <v>704</v>
      </c>
      <c r="D777" s="223">
        <v>0.65833333333333333</v>
      </c>
      <c r="E777" s="223">
        <v>0.71944444444444444</v>
      </c>
      <c r="F777" s="250" t="s">
        <v>173</v>
      </c>
      <c r="G777" s="21">
        <v>35100</v>
      </c>
      <c r="H777" s="222" t="s">
        <v>174</v>
      </c>
      <c r="I777" s="20"/>
      <c r="T777" s="27"/>
      <c r="U777" s="27"/>
      <c r="V777" s="27"/>
    </row>
    <row r="778" spans="1:22" ht="15" customHeight="1" x14ac:dyDescent="0.25">
      <c r="A778" s="22">
        <v>44279</v>
      </c>
      <c r="B778" s="20" t="s">
        <v>15</v>
      </c>
      <c r="C778" s="22" t="s">
        <v>755</v>
      </c>
      <c r="D778" s="223">
        <v>0.68125000000000002</v>
      </c>
      <c r="E778" s="223">
        <v>0.69097222222222221</v>
      </c>
      <c r="F778" s="242" t="s">
        <v>252</v>
      </c>
      <c r="G778" s="21">
        <v>17670</v>
      </c>
      <c r="H778" s="222" t="s">
        <v>456</v>
      </c>
      <c r="I778" s="20"/>
      <c r="T778" s="27"/>
      <c r="U778" s="27"/>
      <c r="V778" s="27"/>
    </row>
    <row r="779" spans="1:22" ht="15" hidden="1" customHeight="1" x14ac:dyDescent="0.25">
      <c r="A779" s="22">
        <v>44279</v>
      </c>
      <c r="B779" s="219" t="s">
        <v>31</v>
      </c>
      <c r="C779" s="222" t="s">
        <v>649</v>
      </c>
      <c r="D779" s="223">
        <v>0.68680555555555556</v>
      </c>
      <c r="E779" s="223">
        <v>0.70763888888888893</v>
      </c>
      <c r="F779" s="242" t="s">
        <v>188</v>
      </c>
      <c r="G779" s="21">
        <v>4020</v>
      </c>
      <c r="H779" s="222" t="s">
        <v>198</v>
      </c>
      <c r="I779" s="20"/>
      <c r="T779" s="27"/>
      <c r="U779" s="27"/>
      <c r="V779" s="27"/>
    </row>
    <row r="780" spans="1:22" ht="15" hidden="1" customHeight="1" x14ac:dyDescent="0.25">
      <c r="A780" s="22">
        <v>44279</v>
      </c>
      <c r="B780" s="20" t="s">
        <v>412</v>
      </c>
      <c r="C780" s="22" t="s">
        <v>756</v>
      </c>
      <c r="D780" s="223">
        <v>0.6875</v>
      </c>
      <c r="E780" s="223">
        <v>0.69444444444444453</v>
      </c>
      <c r="F780" s="242" t="s">
        <v>193</v>
      </c>
      <c r="G780" s="21">
        <v>6820</v>
      </c>
      <c r="H780" s="222" t="s">
        <v>415</v>
      </c>
      <c r="I780" s="20"/>
      <c r="T780" s="27"/>
      <c r="U780" s="27"/>
      <c r="V780" s="27"/>
    </row>
    <row r="781" spans="1:22" ht="15" hidden="1" customHeight="1" x14ac:dyDescent="0.25">
      <c r="A781" s="22">
        <v>44279</v>
      </c>
      <c r="B781" s="20" t="s">
        <v>150</v>
      </c>
      <c r="C781" s="222" t="s">
        <v>704</v>
      </c>
      <c r="D781" s="223">
        <v>0.69027777777777777</v>
      </c>
      <c r="E781" s="223">
        <v>0.73749999999999993</v>
      </c>
      <c r="F781" s="250" t="s">
        <v>173</v>
      </c>
      <c r="G781" s="21">
        <v>30070</v>
      </c>
      <c r="H781" s="222" t="s">
        <v>232</v>
      </c>
      <c r="I781" s="20"/>
      <c r="T781" s="27"/>
      <c r="U781" s="27"/>
      <c r="V781" s="27"/>
    </row>
    <row r="782" spans="1:22" ht="15" hidden="1" customHeight="1" x14ac:dyDescent="0.25">
      <c r="A782" s="22">
        <v>44279</v>
      </c>
      <c r="B782" s="219" t="s">
        <v>31</v>
      </c>
      <c r="C782" s="222" t="s">
        <v>649</v>
      </c>
      <c r="D782" s="223">
        <v>0.69305555555555554</v>
      </c>
      <c r="E782" s="223">
        <v>0.71111111111111114</v>
      </c>
      <c r="F782" s="242" t="s">
        <v>188</v>
      </c>
      <c r="G782" s="21">
        <v>1230</v>
      </c>
      <c r="H782" s="222" t="s">
        <v>333</v>
      </c>
      <c r="I782" s="20"/>
      <c r="T782" s="27"/>
      <c r="U782" s="27"/>
      <c r="V782" s="27"/>
    </row>
    <row r="783" spans="1:22" ht="15" customHeight="1" x14ac:dyDescent="0.25">
      <c r="A783" s="22">
        <v>44279</v>
      </c>
      <c r="B783" s="20" t="s">
        <v>15</v>
      </c>
      <c r="C783" s="63" t="s">
        <v>305</v>
      </c>
      <c r="D783" s="223">
        <v>0.71527777777777779</v>
      </c>
      <c r="E783" s="223">
        <v>0.7729166666666667</v>
      </c>
      <c r="F783" s="244" t="s">
        <v>320</v>
      </c>
      <c r="G783" s="21">
        <v>19860</v>
      </c>
      <c r="H783" s="222" t="s">
        <v>456</v>
      </c>
      <c r="I783" s="20"/>
      <c r="T783" s="27"/>
      <c r="U783" s="27"/>
      <c r="V783" s="27"/>
    </row>
    <row r="784" spans="1:22" ht="15" hidden="1" customHeight="1" x14ac:dyDescent="0.25">
      <c r="A784" s="22">
        <v>44279</v>
      </c>
      <c r="B784" s="20" t="s">
        <v>78</v>
      </c>
      <c r="C784" s="222" t="s">
        <v>144</v>
      </c>
      <c r="D784" s="223">
        <v>0.75624999999999998</v>
      </c>
      <c r="E784" s="223">
        <v>0.76250000000000007</v>
      </c>
      <c r="F784" s="241" t="s">
        <v>705</v>
      </c>
      <c r="G784" s="21">
        <v>22330</v>
      </c>
      <c r="H784" s="222" t="s">
        <v>178</v>
      </c>
      <c r="I784" s="20"/>
      <c r="T784" s="27"/>
      <c r="U784" s="27"/>
      <c r="V784" s="27"/>
    </row>
    <row r="785" spans="1:22" ht="15" hidden="1" customHeight="1" x14ac:dyDescent="0.25">
      <c r="A785" s="22">
        <v>44279</v>
      </c>
      <c r="B785" s="219" t="s">
        <v>31</v>
      </c>
      <c r="C785" s="222" t="s">
        <v>649</v>
      </c>
      <c r="D785" s="223">
        <v>0.75763888888888886</v>
      </c>
      <c r="E785" s="223">
        <v>0.78472222222222221</v>
      </c>
      <c r="F785" s="242" t="s">
        <v>188</v>
      </c>
      <c r="G785" s="21">
        <v>4200</v>
      </c>
      <c r="H785" s="222" t="s">
        <v>330</v>
      </c>
      <c r="I785" s="20"/>
      <c r="T785" s="27"/>
      <c r="U785" s="27"/>
      <c r="V785" s="27"/>
    </row>
    <row r="786" spans="1:22" ht="15" hidden="1" customHeight="1" x14ac:dyDescent="0.25">
      <c r="A786" s="22">
        <v>44279</v>
      </c>
      <c r="B786" s="219" t="s">
        <v>31</v>
      </c>
      <c r="C786" s="222" t="s">
        <v>649</v>
      </c>
      <c r="D786" s="223">
        <v>0.75902777777777775</v>
      </c>
      <c r="E786" s="223">
        <v>0.78263888888888899</v>
      </c>
      <c r="F786" s="242" t="s">
        <v>188</v>
      </c>
      <c r="G786" s="21">
        <v>880</v>
      </c>
      <c r="H786" s="222" t="s">
        <v>757</v>
      </c>
      <c r="I786" s="20"/>
      <c r="T786" s="27"/>
      <c r="U786" s="27"/>
      <c r="V786" s="27"/>
    </row>
    <row r="787" spans="1:22" ht="15" hidden="1" customHeight="1" x14ac:dyDescent="0.25">
      <c r="A787" s="22">
        <v>44279</v>
      </c>
      <c r="B787" s="219" t="s">
        <v>31</v>
      </c>
      <c r="C787" s="222" t="s">
        <v>649</v>
      </c>
      <c r="D787" s="223">
        <v>0.78125</v>
      </c>
      <c r="E787" s="223">
        <v>0.79375000000000007</v>
      </c>
      <c r="F787" s="242" t="s">
        <v>188</v>
      </c>
      <c r="G787" s="21">
        <v>1830</v>
      </c>
      <c r="H787" s="222" t="s">
        <v>758</v>
      </c>
      <c r="I787" s="20"/>
      <c r="T787" s="27"/>
      <c r="U787" s="27"/>
      <c r="V787" s="27"/>
    </row>
    <row r="788" spans="1:22" ht="15" hidden="1" customHeight="1" x14ac:dyDescent="0.25">
      <c r="A788" s="22">
        <v>44279</v>
      </c>
      <c r="B788" s="20" t="s">
        <v>412</v>
      </c>
      <c r="C788" s="222" t="s">
        <v>191</v>
      </c>
      <c r="D788" s="223">
        <v>0.79583333333333339</v>
      </c>
      <c r="E788" s="223">
        <v>0.80069444444444438</v>
      </c>
      <c r="F788" s="242" t="s">
        <v>252</v>
      </c>
      <c r="G788" s="21">
        <v>7980</v>
      </c>
      <c r="H788" s="222" t="s">
        <v>415</v>
      </c>
      <c r="I788" s="20"/>
      <c r="T788" s="27"/>
      <c r="U788" s="27"/>
      <c r="V788" s="27"/>
    </row>
    <row r="789" spans="1:22" ht="15" hidden="1" customHeight="1" x14ac:dyDescent="0.25">
      <c r="A789" s="22">
        <v>44279</v>
      </c>
      <c r="B789" s="20" t="s">
        <v>229</v>
      </c>
      <c r="C789" s="222" t="s">
        <v>144</v>
      </c>
      <c r="D789" s="223">
        <v>0.79999999999999993</v>
      </c>
      <c r="E789" s="223">
        <v>0.82291666666666663</v>
      </c>
      <c r="F789" s="236" t="s">
        <v>317</v>
      </c>
      <c r="G789" s="21">
        <v>20700</v>
      </c>
      <c r="H789" s="222" t="s">
        <v>54</v>
      </c>
      <c r="I789" s="20"/>
      <c r="T789" s="27"/>
      <c r="U789" s="27"/>
      <c r="V789" s="27"/>
    </row>
    <row r="790" spans="1:22" ht="15" hidden="1" customHeight="1" x14ac:dyDescent="0.25">
      <c r="A790" s="22">
        <v>44279</v>
      </c>
      <c r="B790" s="219" t="s">
        <v>31</v>
      </c>
      <c r="C790" s="222" t="s">
        <v>649</v>
      </c>
      <c r="D790" s="223">
        <v>0.81944444444444453</v>
      </c>
      <c r="E790" s="223">
        <v>0.83819444444444446</v>
      </c>
      <c r="F790" s="242" t="s">
        <v>188</v>
      </c>
      <c r="G790" s="21">
        <v>4100</v>
      </c>
      <c r="H790" s="222" t="s">
        <v>454</v>
      </c>
      <c r="I790" s="20"/>
      <c r="T790" s="27"/>
      <c r="U790" s="27"/>
      <c r="V790" s="27"/>
    </row>
    <row r="791" spans="1:22" ht="15" hidden="1" customHeight="1" x14ac:dyDescent="0.25">
      <c r="A791" s="22">
        <v>44279</v>
      </c>
      <c r="B791" s="219" t="s">
        <v>31</v>
      </c>
      <c r="C791" s="222" t="s">
        <v>649</v>
      </c>
      <c r="D791" s="223">
        <v>0.8305555555555556</v>
      </c>
      <c r="E791" s="223">
        <v>0.86249999999999993</v>
      </c>
      <c r="F791" s="242" t="s">
        <v>188</v>
      </c>
      <c r="G791" s="21">
        <v>5010</v>
      </c>
      <c r="H791" s="222" t="s">
        <v>652</v>
      </c>
      <c r="I791" s="20"/>
      <c r="T791" s="27"/>
      <c r="U791" s="27"/>
      <c r="V791" s="27"/>
    </row>
    <row r="792" spans="1:22" ht="15" hidden="1" customHeight="1" x14ac:dyDescent="0.25">
      <c r="A792" s="22">
        <v>44279</v>
      </c>
      <c r="B792" s="20" t="s">
        <v>400</v>
      </c>
      <c r="C792" s="222" t="s">
        <v>203</v>
      </c>
      <c r="D792" s="223">
        <v>0.83194444444444438</v>
      </c>
      <c r="E792" s="223">
        <v>0.84305555555555556</v>
      </c>
      <c r="F792" s="242" t="s">
        <v>759</v>
      </c>
      <c r="G792" s="21">
        <v>2330</v>
      </c>
      <c r="H792" s="222" t="s">
        <v>324</v>
      </c>
      <c r="I792" s="20"/>
      <c r="T792" s="27"/>
      <c r="U792" s="27"/>
      <c r="V792" s="27"/>
    </row>
    <row r="793" spans="1:22" ht="15" hidden="1" customHeight="1" x14ac:dyDescent="0.25">
      <c r="A793" s="22">
        <v>44279</v>
      </c>
      <c r="B793" s="219" t="s">
        <v>31</v>
      </c>
      <c r="C793" s="222" t="s">
        <v>329</v>
      </c>
      <c r="D793" s="223">
        <v>0.86111111111111116</v>
      </c>
      <c r="E793" s="223">
        <v>0.88055555555555554</v>
      </c>
      <c r="F793" s="242" t="s">
        <v>188</v>
      </c>
      <c r="G793" s="21">
        <v>1600</v>
      </c>
      <c r="H793" s="222" t="s">
        <v>760</v>
      </c>
      <c r="I793" s="20"/>
      <c r="T793" s="27"/>
      <c r="U793" s="27"/>
      <c r="V793" s="27"/>
    </row>
    <row r="794" spans="1:22" ht="15" hidden="1" customHeight="1" x14ac:dyDescent="0.25">
      <c r="A794" s="22">
        <v>44279</v>
      </c>
      <c r="B794" s="219" t="s">
        <v>31</v>
      </c>
      <c r="C794" s="222" t="s">
        <v>649</v>
      </c>
      <c r="D794" s="223">
        <v>0.86875000000000002</v>
      </c>
      <c r="E794" s="223">
        <v>0.90486111111111101</v>
      </c>
      <c r="F794" s="242" t="s">
        <v>188</v>
      </c>
      <c r="G794" s="21">
        <v>3500</v>
      </c>
      <c r="H794" s="222" t="s">
        <v>333</v>
      </c>
      <c r="I794" s="20"/>
      <c r="T794" s="27"/>
      <c r="U794" s="27"/>
      <c r="V794" s="27"/>
    </row>
    <row r="795" spans="1:22" ht="15" hidden="1" customHeight="1" x14ac:dyDescent="0.25">
      <c r="A795" s="22">
        <v>44279</v>
      </c>
      <c r="B795" s="219" t="s">
        <v>31</v>
      </c>
      <c r="C795" s="222" t="s">
        <v>649</v>
      </c>
      <c r="D795" s="223">
        <v>0.88680555555555562</v>
      </c>
      <c r="E795" s="223">
        <v>0.91805555555555562</v>
      </c>
      <c r="F795" s="242" t="s">
        <v>188</v>
      </c>
      <c r="G795" s="21">
        <v>910</v>
      </c>
      <c r="H795" s="222" t="s">
        <v>198</v>
      </c>
      <c r="I795" s="20"/>
      <c r="T795" s="27"/>
      <c r="U795" s="27"/>
      <c r="V795" s="27"/>
    </row>
    <row r="796" spans="1:22" ht="15" hidden="1" customHeight="1" x14ac:dyDescent="0.25">
      <c r="A796" s="22">
        <v>44279</v>
      </c>
      <c r="B796" s="20" t="s">
        <v>400</v>
      </c>
      <c r="C796" s="222" t="s">
        <v>761</v>
      </c>
      <c r="D796" s="223">
        <v>0.89374999999999993</v>
      </c>
      <c r="E796" s="223">
        <v>0.89930555555555547</v>
      </c>
      <c r="F796" s="242" t="s">
        <v>204</v>
      </c>
      <c r="G796" s="21">
        <v>2320</v>
      </c>
      <c r="H796" s="222" t="s">
        <v>324</v>
      </c>
      <c r="I796" s="20"/>
      <c r="T796" s="27"/>
      <c r="U796" s="27"/>
      <c r="V796" s="27"/>
    </row>
    <row r="797" spans="1:22" ht="15" hidden="1" customHeight="1" x14ac:dyDescent="0.25">
      <c r="A797" s="22">
        <v>44279</v>
      </c>
      <c r="B797" s="219" t="s">
        <v>31</v>
      </c>
      <c r="C797" s="222" t="s">
        <v>262</v>
      </c>
      <c r="D797" s="223">
        <v>0.9277777777777777</v>
      </c>
      <c r="E797" s="223">
        <v>0.95624999999999993</v>
      </c>
      <c r="F797" s="242" t="s">
        <v>762</v>
      </c>
      <c r="G797" s="21">
        <v>13595</v>
      </c>
      <c r="H797" s="222" t="s">
        <v>206</v>
      </c>
      <c r="I797" s="20"/>
      <c r="T797" s="27"/>
      <c r="U797" s="27"/>
      <c r="V797" s="27"/>
    </row>
    <row r="798" spans="1:22" ht="15" hidden="1" customHeight="1" x14ac:dyDescent="0.25">
      <c r="A798" s="22">
        <v>44279</v>
      </c>
      <c r="B798" s="20" t="s">
        <v>181</v>
      </c>
      <c r="C798" s="222" t="s">
        <v>149</v>
      </c>
      <c r="D798" s="223">
        <v>0.98958333333333337</v>
      </c>
      <c r="E798" s="223">
        <v>0.14444444444444446</v>
      </c>
      <c r="F798" s="242" t="s">
        <v>667</v>
      </c>
      <c r="G798" s="21">
        <v>12600</v>
      </c>
      <c r="H798" s="222" t="s">
        <v>211</v>
      </c>
      <c r="I798" s="20"/>
      <c r="T798" s="27"/>
      <c r="U798" s="27"/>
      <c r="V798" s="27"/>
    </row>
    <row r="799" spans="1:22" ht="15" hidden="1" customHeight="1" x14ac:dyDescent="0.25">
      <c r="A799" s="22">
        <v>44280</v>
      </c>
      <c r="B799" s="20" t="s">
        <v>97</v>
      </c>
      <c r="C799" s="222" t="s">
        <v>149</v>
      </c>
      <c r="D799" s="223">
        <v>1.5972222222222224E-2</v>
      </c>
      <c r="E799" s="223">
        <v>6.6666666666666666E-2</v>
      </c>
      <c r="F799" s="242" t="s">
        <v>763</v>
      </c>
      <c r="G799" s="21">
        <v>10040</v>
      </c>
      <c r="H799" s="222" t="s">
        <v>93</v>
      </c>
      <c r="I799" s="20"/>
      <c r="T799" s="27"/>
      <c r="U799" s="27"/>
      <c r="V799" s="27"/>
    </row>
    <row r="800" spans="1:22" ht="15" hidden="1" customHeight="1" x14ac:dyDescent="0.25">
      <c r="A800" s="22">
        <v>44280</v>
      </c>
      <c r="B800" s="20" t="s">
        <v>97</v>
      </c>
      <c r="C800" s="222" t="s">
        <v>149</v>
      </c>
      <c r="D800" s="223">
        <v>3.0555555555555555E-2</v>
      </c>
      <c r="E800" s="223">
        <v>5.5555555555555552E-2</v>
      </c>
      <c r="F800" s="241" t="s">
        <v>670</v>
      </c>
      <c r="G800" s="21">
        <v>2490</v>
      </c>
      <c r="H800" s="222" t="s">
        <v>93</v>
      </c>
      <c r="I800" s="20"/>
      <c r="T800" s="27"/>
      <c r="U800" s="27"/>
      <c r="V800" s="27"/>
    </row>
    <row r="801" spans="1:22" ht="15" hidden="1" customHeight="1" x14ac:dyDescent="0.25">
      <c r="A801" s="22">
        <v>44280</v>
      </c>
      <c r="B801" s="63" t="s">
        <v>300</v>
      </c>
      <c r="C801" s="222" t="s">
        <v>764</v>
      </c>
      <c r="D801" s="223">
        <v>4.8611111111111112E-2</v>
      </c>
      <c r="E801" s="223">
        <v>8.6111111111111124E-2</v>
      </c>
      <c r="F801" s="241" t="s">
        <v>88</v>
      </c>
      <c r="G801" s="21">
        <v>4020</v>
      </c>
      <c r="H801" s="222" t="s">
        <v>299</v>
      </c>
      <c r="I801" s="20"/>
      <c r="T801" s="27"/>
      <c r="U801" s="27"/>
      <c r="V801" s="27"/>
    </row>
    <row r="802" spans="1:22" ht="15" hidden="1" customHeight="1" x14ac:dyDescent="0.25">
      <c r="A802" s="22">
        <v>44280</v>
      </c>
      <c r="B802" s="20" t="s">
        <v>58</v>
      </c>
      <c r="C802" s="222" t="s">
        <v>312</v>
      </c>
      <c r="D802" s="223">
        <v>0.15</v>
      </c>
      <c r="E802" s="223">
        <v>0.16458333333333333</v>
      </c>
      <c r="F802" s="241" t="s">
        <v>670</v>
      </c>
      <c r="G802" s="21">
        <v>25690</v>
      </c>
      <c r="H802" s="222" t="s">
        <v>313</v>
      </c>
      <c r="I802" s="20"/>
      <c r="T802" s="27"/>
      <c r="U802" s="27"/>
      <c r="V802" s="27"/>
    </row>
    <row r="803" spans="1:22" ht="15" hidden="1" customHeight="1" x14ac:dyDescent="0.25">
      <c r="A803" s="22">
        <v>44280</v>
      </c>
      <c r="B803" s="20" t="s">
        <v>78</v>
      </c>
      <c r="C803" s="222" t="s">
        <v>144</v>
      </c>
      <c r="D803" s="223">
        <v>0.3347222222222222</v>
      </c>
      <c r="E803" s="223">
        <v>0.35347222222222219</v>
      </c>
      <c r="F803" s="241" t="s">
        <v>670</v>
      </c>
      <c r="G803" s="21">
        <v>23320</v>
      </c>
      <c r="H803" s="222" t="s">
        <v>178</v>
      </c>
      <c r="I803" s="20"/>
      <c r="T803" s="27"/>
      <c r="U803" s="27"/>
      <c r="V803" s="27"/>
    </row>
    <row r="804" spans="1:22" ht="15" hidden="1" customHeight="1" x14ac:dyDescent="0.25">
      <c r="A804" s="22">
        <v>44280</v>
      </c>
      <c r="B804" s="20" t="s">
        <v>765</v>
      </c>
      <c r="C804" s="222" t="s">
        <v>16</v>
      </c>
      <c r="D804" s="223">
        <v>0.3756944444444445</v>
      </c>
      <c r="E804" s="223">
        <v>0.4236111111111111</v>
      </c>
      <c r="F804" s="253" t="s">
        <v>225</v>
      </c>
      <c r="G804" s="21">
        <v>12660</v>
      </c>
      <c r="H804" s="222" t="s">
        <v>311</v>
      </c>
      <c r="I804" s="20"/>
      <c r="T804" s="27"/>
      <c r="U804" s="27"/>
      <c r="V804" s="27"/>
    </row>
    <row r="805" spans="1:22" ht="15" hidden="1" customHeight="1" x14ac:dyDescent="0.25">
      <c r="A805" s="22">
        <v>44280</v>
      </c>
      <c r="B805" s="219" t="s">
        <v>31</v>
      </c>
      <c r="C805" s="222" t="s">
        <v>417</v>
      </c>
      <c r="D805" s="223">
        <v>0.41319444444444442</v>
      </c>
      <c r="E805" s="223">
        <v>0.42777777777777781</v>
      </c>
      <c r="F805" s="235" t="s">
        <v>766</v>
      </c>
      <c r="G805" s="21">
        <v>1940</v>
      </c>
      <c r="H805" s="222" t="s">
        <v>148</v>
      </c>
      <c r="I805" s="20"/>
      <c r="T805" s="27"/>
      <c r="U805" s="27"/>
      <c r="V805" s="27"/>
    </row>
    <row r="806" spans="1:22" ht="15" hidden="1" customHeight="1" x14ac:dyDescent="0.25">
      <c r="A806" s="22">
        <v>44280</v>
      </c>
      <c r="B806" s="20" t="s">
        <v>229</v>
      </c>
      <c r="C806" s="222" t="s">
        <v>16</v>
      </c>
      <c r="D806" s="223">
        <v>0.41875000000000001</v>
      </c>
      <c r="E806" s="223">
        <v>0.44722222222222219</v>
      </c>
      <c r="F806" s="253" t="s">
        <v>225</v>
      </c>
      <c r="G806" s="21">
        <v>21130</v>
      </c>
      <c r="H806" s="222" t="s">
        <v>54</v>
      </c>
      <c r="I806" s="20"/>
      <c r="T806" s="27"/>
      <c r="U806" s="27"/>
      <c r="V806" s="27"/>
    </row>
    <row r="807" spans="1:22" ht="15" hidden="1" customHeight="1" x14ac:dyDescent="0.25">
      <c r="A807" s="22">
        <v>44280</v>
      </c>
      <c r="B807" s="20" t="s">
        <v>765</v>
      </c>
      <c r="C807" s="222" t="s">
        <v>16</v>
      </c>
      <c r="D807" s="223">
        <v>0.48819444444444443</v>
      </c>
      <c r="E807" s="223">
        <v>0.50277777777777777</v>
      </c>
      <c r="F807" s="253" t="s">
        <v>225</v>
      </c>
      <c r="G807" s="21">
        <v>12650</v>
      </c>
      <c r="H807" s="222" t="s">
        <v>311</v>
      </c>
      <c r="I807" s="20"/>
      <c r="T807" s="27"/>
      <c r="U807" s="27"/>
      <c r="V807" s="27"/>
    </row>
    <row r="808" spans="1:22" ht="15" hidden="1" customHeight="1" x14ac:dyDescent="0.25">
      <c r="A808" s="22">
        <v>44280</v>
      </c>
      <c r="B808" s="20" t="s">
        <v>229</v>
      </c>
      <c r="C808" s="222" t="s">
        <v>16</v>
      </c>
      <c r="D808" s="223">
        <v>0.54652777777777783</v>
      </c>
      <c r="E808" s="223">
        <v>0.59305555555555556</v>
      </c>
      <c r="F808" s="253" t="s">
        <v>225</v>
      </c>
      <c r="G808" s="21">
        <v>21110</v>
      </c>
      <c r="H808" s="222" t="s">
        <v>54</v>
      </c>
      <c r="I808" s="20"/>
      <c r="T808" s="27"/>
      <c r="U808" s="27"/>
      <c r="V808" s="27"/>
    </row>
    <row r="809" spans="1:22" ht="15" hidden="1" customHeight="1" x14ac:dyDescent="0.25">
      <c r="A809" s="22">
        <v>44280</v>
      </c>
      <c r="B809" s="20" t="s">
        <v>14</v>
      </c>
      <c r="C809" s="222" t="s">
        <v>704</v>
      </c>
      <c r="D809" s="223">
        <v>0.57500000000000007</v>
      </c>
      <c r="E809" s="223">
        <v>0.69513888888888886</v>
      </c>
      <c r="F809" s="250" t="s">
        <v>173</v>
      </c>
      <c r="G809" s="21">
        <v>30110</v>
      </c>
      <c r="H809" s="222" t="s">
        <v>174</v>
      </c>
      <c r="I809" s="20"/>
      <c r="T809" s="27"/>
      <c r="U809" s="27"/>
      <c r="V809" s="27"/>
    </row>
    <row r="810" spans="1:22" ht="15" hidden="1" customHeight="1" x14ac:dyDescent="0.25">
      <c r="A810" s="22">
        <v>44280</v>
      </c>
      <c r="B810" s="20" t="s">
        <v>765</v>
      </c>
      <c r="C810" s="222" t="s">
        <v>16</v>
      </c>
      <c r="D810" s="223">
        <v>0.59166666666666667</v>
      </c>
      <c r="E810" s="223">
        <v>0.6381944444444444</v>
      </c>
      <c r="F810" s="253" t="s">
        <v>225</v>
      </c>
      <c r="G810" s="21">
        <v>12700</v>
      </c>
      <c r="H810" s="222" t="s">
        <v>311</v>
      </c>
      <c r="I810" s="20"/>
      <c r="T810" s="27"/>
      <c r="U810" s="27"/>
      <c r="V810" s="27"/>
    </row>
    <row r="811" spans="1:22" ht="15" hidden="1" customHeight="1" x14ac:dyDescent="0.25">
      <c r="A811" s="22">
        <v>44280</v>
      </c>
      <c r="B811" s="20" t="s">
        <v>78</v>
      </c>
      <c r="C811" s="222" t="s">
        <v>144</v>
      </c>
      <c r="D811" s="223">
        <v>0.60902777777777783</v>
      </c>
      <c r="E811" s="223">
        <v>0.6166666666666667</v>
      </c>
      <c r="F811" s="242" t="s">
        <v>767</v>
      </c>
      <c r="G811" s="21">
        <v>23730</v>
      </c>
      <c r="H811" s="222" t="s">
        <v>178</v>
      </c>
      <c r="I811" s="20"/>
      <c r="T811" s="27"/>
      <c r="U811" s="27"/>
      <c r="V811" s="27"/>
    </row>
    <row r="812" spans="1:22" ht="15" hidden="1" customHeight="1" x14ac:dyDescent="0.25">
      <c r="A812" s="22">
        <v>44280</v>
      </c>
      <c r="B812" s="20" t="s">
        <v>307</v>
      </c>
      <c r="C812" s="222" t="s">
        <v>704</v>
      </c>
      <c r="D812" s="223">
        <v>0.62638888888888888</v>
      </c>
      <c r="E812" s="223">
        <v>0.67638888888888893</v>
      </c>
      <c r="F812" s="250" t="s">
        <v>173</v>
      </c>
      <c r="G812" s="21">
        <v>35140</v>
      </c>
      <c r="H812" s="222" t="s">
        <v>147</v>
      </c>
      <c r="I812" s="20"/>
      <c r="T812" s="27"/>
      <c r="U812" s="27"/>
      <c r="V812" s="27"/>
    </row>
    <row r="813" spans="1:22" ht="15" hidden="1" customHeight="1" x14ac:dyDescent="0.25">
      <c r="A813" s="22">
        <v>44280</v>
      </c>
      <c r="B813" s="219" t="s">
        <v>31</v>
      </c>
      <c r="C813" s="63" t="s">
        <v>305</v>
      </c>
      <c r="D813" s="223">
        <v>0.67222222222222217</v>
      </c>
      <c r="E813" s="223">
        <v>0.73263888888888884</v>
      </c>
      <c r="F813" s="248" t="s">
        <v>586</v>
      </c>
      <c r="G813" s="21">
        <v>23270</v>
      </c>
      <c r="H813" s="222" t="s">
        <v>730</v>
      </c>
      <c r="I813" s="20"/>
      <c r="T813" s="27"/>
      <c r="U813" s="27"/>
      <c r="V813" s="27"/>
    </row>
    <row r="814" spans="1:22" ht="15" hidden="1" customHeight="1" x14ac:dyDescent="0.25">
      <c r="A814" s="22">
        <v>44280</v>
      </c>
      <c r="B814" s="20" t="s">
        <v>97</v>
      </c>
      <c r="C814" s="222" t="s">
        <v>263</v>
      </c>
      <c r="D814" s="223">
        <v>0.6777777777777777</v>
      </c>
      <c r="E814" s="223">
        <v>0.68055555555555547</v>
      </c>
      <c r="F814" s="242" t="s">
        <v>768</v>
      </c>
      <c r="G814" s="21">
        <v>190</v>
      </c>
      <c r="H814" s="222" t="s">
        <v>184</v>
      </c>
      <c r="I814" s="20"/>
      <c r="T814" s="27"/>
      <c r="U814" s="27"/>
      <c r="V814" s="27"/>
    </row>
    <row r="815" spans="1:22" ht="15" hidden="1" customHeight="1" x14ac:dyDescent="0.25">
      <c r="A815" s="22">
        <v>44280</v>
      </c>
      <c r="B815" s="20" t="s">
        <v>150</v>
      </c>
      <c r="C815" s="222" t="s">
        <v>704</v>
      </c>
      <c r="D815" s="223">
        <v>0.69791666666666663</v>
      </c>
      <c r="E815" s="223">
        <v>0.74375000000000002</v>
      </c>
      <c r="F815" s="250" t="s">
        <v>173</v>
      </c>
      <c r="G815" s="21">
        <v>35110</v>
      </c>
      <c r="H815" s="222" t="s">
        <v>232</v>
      </c>
      <c r="I815" s="20"/>
      <c r="T815" s="27"/>
      <c r="U815" s="27"/>
      <c r="V815" s="27"/>
    </row>
    <row r="816" spans="1:22" ht="15" hidden="1" customHeight="1" x14ac:dyDescent="0.25">
      <c r="A816" s="22">
        <v>44280</v>
      </c>
      <c r="B816" s="20" t="s">
        <v>765</v>
      </c>
      <c r="C816" s="222" t="s">
        <v>16</v>
      </c>
      <c r="D816" s="223">
        <v>0.7055555555555556</v>
      </c>
      <c r="E816" s="223">
        <v>0.71597222222222223</v>
      </c>
      <c r="F816" s="235" t="s">
        <v>769</v>
      </c>
      <c r="G816" s="21">
        <v>3700</v>
      </c>
      <c r="H816" s="222" t="s">
        <v>311</v>
      </c>
      <c r="I816" s="20"/>
      <c r="T816" s="27"/>
      <c r="U816" s="27"/>
      <c r="V816" s="27"/>
    </row>
    <row r="817" spans="1:22" ht="15" customHeight="1" x14ac:dyDescent="0.25">
      <c r="A817" s="22">
        <v>44280</v>
      </c>
      <c r="B817" s="20" t="s">
        <v>15</v>
      </c>
      <c r="C817" s="63" t="s">
        <v>305</v>
      </c>
      <c r="D817" s="223">
        <v>0.76041666666666663</v>
      </c>
      <c r="E817" s="223">
        <v>0.43124999999999997</v>
      </c>
      <c r="F817" s="244" t="s">
        <v>320</v>
      </c>
      <c r="G817" s="21">
        <v>20650</v>
      </c>
      <c r="H817" s="222" t="s">
        <v>456</v>
      </c>
      <c r="I817" s="20"/>
      <c r="T817" s="27"/>
      <c r="U817" s="27"/>
      <c r="V817" s="27"/>
    </row>
    <row r="818" spans="1:22" ht="15" hidden="1" customHeight="1" x14ac:dyDescent="0.25">
      <c r="A818" s="22">
        <v>44280</v>
      </c>
      <c r="B818" s="20" t="s">
        <v>78</v>
      </c>
      <c r="C818" s="222" t="s">
        <v>144</v>
      </c>
      <c r="D818" s="223">
        <v>0.76250000000000007</v>
      </c>
      <c r="E818" s="223">
        <v>0.7729166666666667</v>
      </c>
      <c r="F818" s="242" t="s">
        <v>146</v>
      </c>
      <c r="G818" s="21">
        <v>19780</v>
      </c>
      <c r="H818" s="222" t="s">
        <v>178</v>
      </c>
      <c r="I818" s="20"/>
      <c r="T818" s="27"/>
      <c r="U818" s="27"/>
      <c r="V818" s="27"/>
    </row>
    <row r="819" spans="1:22" ht="15" hidden="1" customHeight="1" x14ac:dyDescent="0.25">
      <c r="A819" s="22">
        <v>44280</v>
      </c>
      <c r="B819" s="219" t="s">
        <v>31</v>
      </c>
      <c r="C819" s="222" t="s">
        <v>312</v>
      </c>
      <c r="D819" s="223">
        <v>0.79513888888888884</v>
      </c>
      <c r="E819" s="223">
        <v>0.82916666666666661</v>
      </c>
      <c r="F819" s="242" t="s">
        <v>771</v>
      </c>
      <c r="G819" s="21">
        <v>9270</v>
      </c>
      <c r="H819" s="222" t="s">
        <v>770</v>
      </c>
      <c r="I819" s="20"/>
      <c r="T819" s="27"/>
      <c r="U819" s="27"/>
      <c r="V819" s="27"/>
    </row>
    <row r="820" spans="1:22" ht="15" hidden="1" customHeight="1" x14ac:dyDescent="0.25">
      <c r="A820" s="22">
        <v>44280</v>
      </c>
      <c r="B820" s="20" t="s">
        <v>229</v>
      </c>
      <c r="C820" s="222" t="s">
        <v>144</v>
      </c>
      <c r="D820" s="223">
        <v>0.8256944444444444</v>
      </c>
      <c r="E820" s="223">
        <v>0.36041666666666666</v>
      </c>
      <c r="F820" s="236" t="s">
        <v>317</v>
      </c>
      <c r="G820" s="21">
        <v>23460</v>
      </c>
      <c r="H820" s="222" t="s">
        <v>176</v>
      </c>
      <c r="I820" s="20"/>
      <c r="T820" s="27"/>
      <c r="U820" s="27"/>
      <c r="V820" s="27"/>
    </row>
    <row r="821" spans="1:22" ht="15" hidden="1" customHeight="1" x14ac:dyDescent="0.25">
      <c r="A821" s="22">
        <v>44280</v>
      </c>
      <c r="B821" s="219" t="s">
        <v>31</v>
      </c>
      <c r="C821" s="222" t="s">
        <v>410</v>
      </c>
      <c r="D821" s="223">
        <v>0.84583333333333333</v>
      </c>
      <c r="E821" s="223">
        <v>0.87430555555555556</v>
      </c>
      <c r="F821" s="242" t="s">
        <v>344</v>
      </c>
      <c r="G821" s="21">
        <v>3180</v>
      </c>
      <c r="H821" s="222" t="s">
        <v>772</v>
      </c>
      <c r="I821" s="20"/>
      <c r="T821" s="27"/>
      <c r="U821" s="27"/>
      <c r="V821" s="27"/>
    </row>
    <row r="822" spans="1:22" ht="15" hidden="1" customHeight="1" x14ac:dyDescent="0.25">
      <c r="A822" s="22">
        <v>44280</v>
      </c>
      <c r="B822" s="219" t="s">
        <v>31</v>
      </c>
      <c r="C822" s="222" t="s">
        <v>410</v>
      </c>
      <c r="D822" s="223">
        <v>0.84791666666666676</v>
      </c>
      <c r="E822" s="223">
        <v>0.86736111111111114</v>
      </c>
      <c r="F822" s="242" t="s">
        <v>344</v>
      </c>
      <c r="G822" s="21">
        <v>2480</v>
      </c>
      <c r="H822" s="222" t="s">
        <v>773</v>
      </c>
      <c r="I822" s="20"/>
      <c r="T822" s="27"/>
      <c r="U822" s="27"/>
      <c r="V822" s="27"/>
    </row>
    <row r="823" spans="1:22" ht="15" hidden="1" customHeight="1" x14ac:dyDescent="0.25">
      <c r="A823" s="22">
        <v>44280</v>
      </c>
      <c r="B823" s="219" t="s">
        <v>31</v>
      </c>
      <c r="C823" s="222" t="s">
        <v>329</v>
      </c>
      <c r="D823" s="223">
        <v>0.84861111111111109</v>
      </c>
      <c r="E823" s="223">
        <v>0.85416666666666663</v>
      </c>
      <c r="F823" s="242" t="s">
        <v>231</v>
      </c>
      <c r="G823" s="21">
        <v>2580</v>
      </c>
      <c r="H823" s="222" t="s">
        <v>334</v>
      </c>
      <c r="I823" s="20"/>
      <c r="T823" s="27"/>
      <c r="U823" s="27"/>
      <c r="V823" s="27"/>
    </row>
    <row r="824" spans="1:22" ht="15" hidden="1" customHeight="1" x14ac:dyDescent="0.25">
      <c r="A824" s="22">
        <v>44280</v>
      </c>
      <c r="B824" s="219" t="s">
        <v>31</v>
      </c>
      <c r="C824" s="222" t="s">
        <v>410</v>
      </c>
      <c r="D824" s="223">
        <v>0.86944444444444446</v>
      </c>
      <c r="E824" s="223">
        <v>0.88750000000000007</v>
      </c>
      <c r="F824" s="242" t="s">
        <v>344</v>
      </c>
      <c r="G824" s="21">
        <v>1190</v>
      </c>
      <c r="H824" s="222" t="s">
        <v>332</v>
      </c>
      <c r="I824" s="20"/>
      <c r="T824" s="27"/>
      <c r="U824" s="27"/>
      <c r="V824" s="27"/>
    </row>
    <row r="825" spans="1:22" ht="15" hidden="1" customHeight="1" x14ac:dyDescent="0.25">
      <c r="A825" s="22">
        <v>44280</v>
      </c>
      <c r="B825" s="219" t="s">
        <v>31</v>
      </c>
      <c r="C825" s="222" t="s">
        <v>329</v>
      </c>
      <c r="D825" s="223">
        <v>0.87013888888888891</v>
      </c>
      <c r="E825" s="223">
        <v>0.90138888888888891</v>
      </c>
      <c r="F825" s="242" t="s">
        <v>344</v>
      </c>
      <c r="G825" s="21">
        <v>3320</v>
      </c>
      <c r="H825" s="222" t="s">
        <v>454</v>
      </c>
      <c r="I825" s="20"/>
      <c r="T825" s="27"/>
      <c r="U825" s="27"/>
      <c r="V825" s="27"/>
    </row>
    <row r="826" spans="1:22" ht="15" hidden="1" customHeight="1" x14ac:dyDescent="0.25">
      <c r="A826" s="22">
        <v>44280</v>
      </c>
      <c r="B826" s="219" t="s">
        <v>31</v>
      </c>
      <c r="C826" s="222" t="s">
        <v>410</v>
      </c>
      <c r="D826" s="223">
        <v>0.89930555555555547</v>
      </c>
      <c r="E826" s="223">
        <v>0.92499999999999993</v>
      </c>
      <c r="F826" s="242" t="s">
        <v>344</v>
      </c>
      <c r="G826" s="21">
        <v>1120</v>
      </c>
      <c r="H826" s="222" t="s">
        <v>752</v>
      </c>
      <c r="I826" s="20"/>
      <c r="T826" s="27"/>
      <c r="U826" s="27"/>
      <c r="V826" s="27"/>
    </row>
    <row r="827" spans="1:22" ht="15" hidden="1" customHeight="1" x14ac:dyDescent="0.25">
      <c r="A827" s="22">
        <v>44280</v>
      </c>
      <c r="B827" s="219" t="s">
        <v>31</v>
      </c>
      <c r="C827" s="222" t="s">
        <v>410</v>
      </c>
      <c r="D827" s="223">
        <v>0.93402777777777779</v>
      </c>
      <c r="E827" s="223">
        <v>0.95347222222222217</v>
      </c>
      <c r="F827" s="242" t="s">
        <v>231</v>
      </c>
      <c r="G827" s="21">
        <v>2210</v>
      </c>
      <c r="H827" s="222" t="s">
        <v>330</v>
      </c>
      <c r="I827" s="20"/>
      <c r="T827" s="27"/>
      <c r="U827" s="27"/>
      <c r="V827" s="27"/>
    </row>
    <row r="828" spans="1:22" ht="15" hidden="1" customHeight="1" x14ac:dyDescent="0.25">
      <c r="A828" s="22">
        <v>44280</v>
      </c>
      <c r="B828" s="219" t="s">
        <v>31</v>
      </c>
      <c r="C828" s="222" t="s">
        <v>96</v>
      </c>
      <c r="D828" s="223">
        <v>0.94513888888888886</v>
      </c>
      <c r="E828" s="223">
        <v>0.97986111111111107</v>
      </c>
      <c r="F828" s="242" t="s">
        <v>774</v>
      </c>
      <c r="G828" s="21">
        <v>12690</v>
      </c>
      <c r="H828" s="222" t="s">
        <v>206</v>
      </c>
      <c r="I828" s="20"/>
      <c r="T828" s="27"/>
      <c r="U828" s="27"/>
      <c r="V828" s="27"/>
    </row>
    <row r="829" spans="1:22" ht="15" hidden="1" customHeight="1" x14ac:dyDescent="0.25">
      <c r="A829" s="22">
        <v>44281</v>
      </c>
      <c r="B829" s="20" t="s">
        <v>58</v>
      </c>
      <c r="C829" s="222" t="s">
        <v>312</v>
      </c>
      <c r="D829" s="223">
        <v>0.10347222222222223</v>
      </c>
      <c r="E829" s="223">
        <v>0.12083333333333333</v>
      </c>
      <c r="F829" s="242" t="s">
        <v>146</v>
      </c>
      <c r="G829" s="21">
        <v>27510</v>
      </c>
      <c r="H829" s="222" t="s">
        <v>313</v>
      </c>
      <c r="I829" s="20"/>
      <c r="T829" s="27"/>
      <c r="U829" s="27"/>
      <c r="V829" s="27"/>
    </row>
    <row r="830" spans="1:22" ht="15" hidden="1" customHeight="1" x14ac:dyDescent="0.25">
      <c r="A830" s="22">
        <v>44281</v>
      </c>
      <c r="B830" s="20" t="s">
        <v>78</v>
      </c>
      <c r="C830" s="222" t="s">
        <v>144</v>
      </c>
      <c r="D830" s="223">
        <v>0.35069444444444442</v>
      </c>
      <c r="E830" s="223">
        <v>0.38750000000000001</v>
      </c>
      <c r="F830" s="242" t="s">
        <v>146</v>
      </c>
      <c r="G830" s="21">
        <v>21200</v>
      </c>
      <c r="H830" s="222" t="s">
        <v>178</v>
      </c>
      <c r="I830" s="20"/>
      <c r="T830" s="27"/>
      <c r="U830" s="27"/>
      <c r="V830" s="27"/>
    </row>
    <row r="831" spans="1:22" ht="15" hidden="1" customHeight="1" x14ac:dyDescent="0.25">
      <c r="A831" s="22">
        <v>44281</v>
      </c>
      <c r="B831" s="20" t="s">
        <v>229</v>
      </c>
      <c r="C831" s="222" t="s">
        <v>16</v>
      </c>
      <c r="D831" s="223">
        <v>0.38680555555555557</v>
      </c>
      <c r="E831" s="223">
        <v>0.41944444444444445</v>
      </c>
      <c r="F831" s="253" t="s">
        <v>225</v>
      </c>
      <c r="G831" s="21">
        <v>21100</v>
      </c>
      <c r="H831" s="222" t="s">
        <v>54</v>
      </c>
      <c r="I831" s="20"/>
      <c r="T831" s="27"/>
      <c r="U831" s="27"/>
      <c r="V831" s="27"/>
    </row>
    <row r="832" spans="1:22" ht="15" hidden="1" customHeight="1" x14ac:dyDescent="0.25">
      <c r="A832" s="22">
        <v>44281</v>
      </c>
      <c r="B832" s="20" t="s">
        <v>157</v>
      </c>
      <c r="C832" s="222" t="s">
        <v>16</v>
      </c>
      <c r="D832" s="223">
        <v>0.3888888888888889</v>
      </c>
      <c r="E832" s="223">
        <v>0.4513888888888889</v>
      </c>
      <c r="F832" s="253" t="s">
        <v>225</v>
      </c>
      <c r="G832" s="21">
        <v>24960</v>
      </c>
      <c r="H832" s="222" t="s">
        <v>47</v>
      </c>
      <c r="I832" s="20"/>
      <c r="T832" s="27"/>
      <c r="U832" s="27"/>
      <c r="V832" s="27"/>
    </row>
    <row r="833" spans="1:22" ht="15" hidden="1" customHeight="1" x14ac:dyDescent="0.25">
      <c r="A833" s="22">
        <v>44281</v>
      </c>
      <c r="B833" s="20" t="s">
        <v>697</v>
      </c>
      <c r="C833" s="222" t="s">
        <v>451</v>
      </c>
      <c r="D833" s="223">
        <v>0.49027777777777781</v>
      </c>
      <c r="E833" s="223">
        <v>0.5083333333333333</v>
      </c>
      <c r="F833" s="235" t="s">
        <v>775</v>
      </c>
      <c r="G833" s="21">
        <v>1280</v>
      </c>
      <c r="H833" s="222" t="s">
        <v>213</v>
      </c>
      <c r="I833" s="20"/>
      <c r="T833" s="27"/>
      <c r="U833" s="27"/>
      <c r="V833" s="27"/>
    </row>
    <row r="834" spans="1:22" ht="15" hidden="1" customHeight="1" x14ac:dyDescent="0.25">
      <c r="A834" s="22">
        <v>44281</v>
      </c>
      <c r="B834" s="20" t="s">
        <v>229</v>
      </c>
      <c r="C834" s="222" t="s">
        <v>16</v>
      </c>
      <c r="D834" s="223">
        <v>0.51458333333333328</v>
      </c>
      <c r="E834" s="223">
        <v>0.59513888888888888</v>
      </c>
      <c r="F834" s="253" t="s">
        <v>219</v>
      </c>
      <c r="G834" s="21">
        <v>20790</v>
      </c>
      <c r="H834" s="222" t="s">
        <v>54</v>
      </c>
      <c r="I834" s="20"/>
      <c r="T834" s="27"/>
      <c r="U834" s="27"/>
      <c r="V834" s="27"/>
    </row>
    <row r="835" spans="1:22" ht="15" hidden="1" customHeight="1" x14ac:dyDescent="0.25">
      <c r="A835" s="22">
        <v>44281</v>
      </c>
      <c r="B835" s="20" t="s">
        <v>157</v>
      </c>
      <c r="C835" s="222" t="s">
        <v>16</v>
      </c>
      <c r="D835" s="223">
        <v>0.54861111111111105</v>
      </c>
      <c r="E835" s="223">
        <v>0.57777777777777783</v>
      </c>
      <c r="F835" s="253" t="s">
        <v>219</v>
      </c>
      <c r="G835" s="21">
        <v>11350</v>
      </c>
      <c r="H835" s="222" t="s">
        <v>47</v>
      </c>
      <c r="I835" s="20"/>
      <c r="T835" s="27"/>
      <c r="U835" s="27"/>
      <c r="V835" s="27"/>
    </row>
    <row r="836" spans="1:22" ht="15" hidden="1" customHeight="1" x14ac:dyDescent="0.25">
      <c r="A836" s="22">
        <v>44281</v>
      </c>
      <c r="B836" s="20" t="s">
        <v>78</v>
      </c>
      <c r="C836" s="222" t="s">
        <v>144</v>
      </c>
      <c r="D836" s="223">
        <v>0.61458333333333337</v>
      </c>
      <c r="E836" s="223">
        <v>0.64374999999999993</v>
      </c>
      <c r="F836" s="242" t="s">
        <v>767</v>
      </c>
      <c r="G836" s="21">
        <v>27140</v>
      </c>
      <c r="H836" s="222" t="s">
        <v>178</v>
      </c>
      <c r="I836" s="20"/>
      <c r="T836" s="27"/>
      <c r="U836" s="27"/>
      <c r="V836" s="27"/>
    </row>
    <row r="837" spans="1:22" ht="15" hidden="1" customHeight="1" x14ac:dyDescent="0.25">
      <c r="A837" s="22">
        <v>44281</v>
      </c>
      <c r="B837" s="20" t="s">
        <v>307</v>
      </c>
      <c r="C837" s="222" t="s">
        <v>704</v>
      </c>
      <c r="D837" s="223">
        <v>0.62847222222222221</v>
      </c>
      <c r="E837" s="223">
        <v>0.70486111111111116</v>
      </c>
      <c r="F837" s="250" t="s">
        <v>173</v>
      </c>
      <c r="G837" s="21">
        <v>35110</v>
      </c>
      <c r="H837" s="222" t="s">
        <v>147</v>
      </c>
      <c r="I837" s="20"/>
      <c r="T837" s="27"/>
      <c r="U837" s="27"/>
      <c r="V837" s="27"/>
    </row>
    <row r="838" spans="1:22" ht="15" hidden="1" customHeight="1" x14ac:dyDescent="0.25">
      <c r="A838" s="22">
        <v>44281</v>
      </c>
      <c r="B838" s="20" t="s">
        <v>14</v>
      </c>
      <c r="C838" s="222" t="s">
        <v>704</v>
      </c>
      <c r="D838" s="223">
        <v>0.65486111111111112</v>
      </c>
      <c r="E838" s="223">
        <v>0.70347222222222217</v>
      </c>
      <c r="F838" s="250" t="s">
        <v>173</v>
      </c>
      <c r="G838" s="21">
        <v>35070</v>
      </c>
      <c r="H838" s="222" t="s">
        <v>174</v>
      </c>
      <c r="I838" s="20"/>
      <c r="T838" s="27"/>
      <c r="U838" s="27"/>
      <c r="V838" s="27"/>
    </row>
    <row r="839" spans="1:22" ht="15" hidden="1" customHeight="1" x14ac:dyDescent="0.25">
      <c r="A839" s="22">
        <v>44281</v>
      </c>
      <c r="B839" s="20" t="s">
        <v>150</v>
      </c>
      <c r="C839" s="222" t="s">
        <v>704</v>
      </c>
      <c r="D839" s="223">
        <v>0.68611111111111101</v>
      </c>
      <c r="E839" s="223">
        <v>0.76527777777777783</v>
      </c>
      <c r="F839" s="250" t="s">
        <v>173</v>
      </c>
      <c r="G839" s="21">
        <v>30090</v>
      </c>
      <c r="H839" s="222" t="s">
        <v>232</v>
      </c>
      <c r="I839" s="20"/>
      <c r="T839" s="27"/>
      <c r="U839" s="27"/>
      <c r="V839" s="27"/>
    </row>
    <row r="840" spans="1:22" ht="15" hidden="1" customHeight="1" x14ac:dyDescent="0.25">
      <c r="A840" s="22">
        <v>44281</v>
      </c>
      <c r="B840" s="20" t="s">
        <v>78</v>
      </c>
      <c r="C840" s="222" t="s">
        <v>144</v>
      </c>
      <c r="D840" s="223">
        <v>18.25</v>
      </c>
      <c r="E840" s="223">
        <v>0.77638888888888891</v>
      </c>
      <c r="F840" s="241" t="s">
        <v>670</v>
      </c>
      <c r="G840" s="21">
        <v>21160</v>
      </c>
      <c r="H840" s="222" t="s">
        <v>776</v>
      </c>
      <c r="I840" s="20"/>
      <c r="T840" s="27"/>
      <c r="U840" s="27"/>
      <c r="V840" s="27"/>
    </row>
    <row r="841" spans="1:22" ht="15" hidden="1" customHeight="1" x14ac:dyDescent="0.25">
      <c r="A841" s="22">
        <v>44281</v>
      </c>
      <c r="B841" s="20" t="s">
        <v>229</v>
      </c>
      <c r="C841" s="222" t="s">
        <v>144</v>
      </c>
      <c r="D841" s="223">
        <v>0.7680555555555556</v>
      </c>
      <c r="E841" s="223">
        <v>0.35694444444444445</v>
      </c>
      <c r="F841" s="236" t="s">
        <v>317</v>
      </c>
      <c r="G841" s="21">
        <v>24050</v>
      </c>
      <c r="H841" s="222" t="s">
        <v>176</v>
      </c>
      <c r="I841" s="20"/>
      <c r="T841" s="27"/>
      <c r="U841" s="27"/>
      <c r="V841" s="27"/>
    </row>
    <row r="842" spans="1:22" ht="15" hidden="1" customHeight="1" x14ac:dyDescent="0.25">
      <c r="A842" s="22">
        <v>44281</v>
      </c>
      <c r="B842" s="219" t="s">
        <v>31</v>
      </c>
      <c r="C842" s="222" t="s">
        <v>312</v>
      </c>
      <c r="D842" s="223">
        <v>0.8208333333333333</v>
      </c>
      <c r="E842" s="223">
        <v>0.87361111111111101</v>
      </c>
      <c r="F842" s="242" t="s">
        <v>771</v>
      </c>
      <c r="G842" s="21">
        <v>11300</v>
      </c>
      <c r="H842" s="222" t="s">
        <v>770</v>
      </c>
      <c r="I842" s="20"/>
      <c r="T842" s="27"/>
      <c r="U842" s="27"/>
      <c r="V842" s="27"/>
    </row>
    <row r="843" spans="1:22" ht="15" hidden="1" customHeight="1" x14ac:dyDescent="0.25">
      <c r="A843" s="22">
        <v>44281</v>
      </c>
      <c r="B843" s="219" t="s">
        <v>31</v>
      </c>
      <c r="C843" s="222" t="s">
        <v>410</v>
      </c>
      <c r="D843" s="223">
        <v>0.87013888888888891</v>
      </c>
      <c r="E843" s="223">
        <v>0.90625</v>
      </c>
      <c r="F843" s="242" t="s">
        <v>344</v>
      </c>
      <c r="G843" s="21">
        <v>4930</v>
      </c>
      <c r="H843" s="222" t="s">
        <v>198</v>
      </c>
      <c r="I843" s="20"/>
      <c r="T843" s="27"/>
      <c r="U843" s="27"/>
      <c r="V843" s="27"/>
    </row>
    <row r="844" spans="1:22" ht="15" customHeight="1" x14ac:dyDescent="0.25">
      <c r="A844" s="22">
        <v>44281</v>
      </c>
      <c r="B844" s="20" t="s">
        <v>15</v>
      </c>
      <c r="C844" s="63" t="s">
        <v>305</v>
      </c>
      <c r="D844" s="223">
        <v>0.89444444444444438</v>
      </c>
      <c r="E844" s="223">
        <v>0.48472222222222222</v>
      </c>
      <c r="F844" s="244" t="s">
        <v>320</v>
      </c>
      <c r="G844" s="21">
        <v>20230</v>
      </c>
      <c r="H844" s="222" t="s">
        <v>456</v>
      </c>
      <c r="I844" s="20"/>
      <c r="T844" s="27"/>
      <c r="U844" s="27"/>
      <c r="V844" s="27"/>
    </row>
    <row r="845" spans="1:22" ht="15" hidden="1" customHeight="1" x14ac:dyDescent="0.25">
      <c r="A845" s="22">
        <v>44281</v>
      </c>
      <c r="B845" s="219" t="s">
        <v>31</v>
      </c>
      <c r="C845" s="222" t="s">
        <v>410</v>
      </c>
      <c r="D845" s="223">
        <v>0.90902777777777777</v>
      </c>
      <c r="E845" s="223">
        <v>0.93055555555555547</v>
      </c>
      <c r="F845" s="242" t="s">
        <v>344</v>
      </c>
      <c r="G845" s="21">
        <v>4720</v>
      </c>
      <c r="H845" s="222" t="s">
        <v>706</v>
      </c>
      <c r="I845" s="20"/>
      <c r="T845" s="27"/>
      <c r="U845" s="27"/>
      <c r="V845" s="27"/>
    </row>
    <row r="846" spans="1:22" ht="15" hidden="1" customHeight="1" x14ac:dyDescent="0.25">
      <c r="A846" s="22">
        <v>44281</v>
      </c>
      <c r="B846" s="219" t="s">
        <v>31</v>
      </c>
      <c r="C846" s="222" t="s">
        <v>410</v>
      </c>
      <c r="D846" s="223">
        <v>0.91041666666666676</v>
      </c>
      <c r="E846" s="223">
        <v>0.92569444444444438</v>
      </c>
      <c r="F846" s="242" t="s">
        <v>344</v>
      </c>
      <c r="G846" s="21">
        <v>2200</v>
      </c>
      <c r="H846" s="222" t="s">
        <v>773</v>
      </c>
      <c r="I846" s="20"/>
      <c r="T846" s="27"/>
      <c r="U846" s="27"/>
      <c r="V846" s="27"/>
    </row>
    <row r="847" spans="1:22" ht="15" hidden="1" customHeight="1" x14ac:dyDescent="0.25">
      <c r="A847" s="22">
        <v>44281</v>
      </c>
      <c r="B847" s="219" t="s">
        <v>31</v>
      </c>
      <c r="C847" s="222" t="s">
        <v>410</v>
      </c>
      <c r="D847" s="223">
        <v>0.91249999999999998</v>
      </c>
      <c r="E847" s="223">
        <v>0.95277777777777783</v>
      </c>
      <c r="F847" s="242" t="s">
        <v>344</v>
      </c>
      <c r="G847" s="21">
        <v>780</v>
      </c>
      <c r="H847" s="222" t="s">
        <v>332</v>
      </c>
      <c r="I847" s="20"/>
      <c r="T847" s="27"/>
      <c r="U847" s="27"/>
      <c r="V847" s="27"/>
    </row>
    <row r="848" spans="1:22" ht="15" hidden="1" customHeight="1" x14ac:dyDescent="0.25">
      <c r="A848" s="22">
        <v>44281</v>
      </c>
      <c r="B848" s="219" t="s">
        <v>31</v>
      </c>
      <c r="C848" s="222" t="s">
        <v>410</v>
      </c>
      <c r="D848" s="223">
        <v>0.91388888888888886</v>
      </c>
      <c r="E848" s="223">
        <v>0.93680555555555556</v>
      </c>
      <c r="F848" s="242" t="s">
        <v>344</v>
      </c>
      <c r="G848" s="21">
        <v>3750</v>
      </c>
      <c r="H848" s="222" t="s">
        <v>777</v>
      </c>
      <c r="I848" s="20"/>
      <c r="T848" s="27"/>
      <c r="U848" s="27"/>
      <c r="V848" s="27"/>
    </row>
    <row r="849" spans="1:22" ht="15" hidden="1" customHeight="1" x14ac:dyDescent="0.25">
      <c r="A849" s="22">
        <v>44281</v>
      </c>
      <c r="B849" s="219" t="s">
        <v>31</v>
      </c>
      <c r="C849" s="222" t="s">
        <v>410</v>
      </c>
      <c r="D849" s="223">
        <v>0.91527777777777775</v>
      </c>
      <c r="E849" s="223">
        <v>0.96111111111111114</v>
      </c>
      <c r="F849" s="242" t="s">
        <v>344</v>
      </c>
      <c r="G849" s="21">
        <v>3560</v>
      </c>
      <c r="H849" s="222" t="s">
        <v>708</v>
      </c>
      <c r="I849" s="20"/>
      <c r="T849" s="27"/>
      <c r="U849" s="27"/>
      <c r="V849" s="27"/>
    </row>
    <row r="850" spans="1:22" ht="15" hidden="1" customHeight="1" x14ac:dyDescent="0.25">
      <c r="A850" s="22">
        <v>44281</v>
      </c>
      <c r="B850" s="219" t="s">
        <v>31</v>
      </c>
      <c r="C850" s="222" t="s">
        <v>96</v>
      </c>
      <c r="D850" s="223">
        <v>0.9194444444444444</v>
      </c>
      <c r="E850" s="223">
        <v>0.94513888888888886</v>
      </c>
      <c r="F850" s="242" t="s">
        <v>778</v>
      </c>
      <c r="G850" s="21">
        <v>9485</v>
      </c>
      <c r="H850" s="222" t="s">
        <v>206</v>
      </c>
      <c r="I850" s="20"/>
      <c r="T850" s="27"/>
      <c r="U850" s="27"/>
      <c r="V850" s="27"/>
    </row>
    <row r="851" spans="1:22" ht="15" hidden="1" customHeight="1" x14ac:dyDescent="0.25">
      <c r="A851" s="22">
        <v>44281</v>
      </c>
      <c r="B851" s="219" t="s">
        <v>31</v>
      </c>
      <c r="C851" s="222" t="s">
        <v>410</v>
      </c>
      <c r="D851" s="223">
        <v>0.92847222222222225</v>
      </c>
      <c r="E851" s="223">
        <v>0.96875</v>
      </c>
      <c r="F851" s="242" t="s">
        <v>344</v>
      </c>
      <c r="G851" s="21">
        <v>1200</v>
      </c>
      <c r="H851" s="222" t="s">
        <v>752</v>
      </c>
      <c r="I851" s="20"/>
      <c r="T851" s="27"/>
      <c r="U851" s="27"/>
      <c r="V851" s="27"/>
    </row>
    <row r="852" spans="1:22" ht="15" hidden="1" customHeight="1" x14ac:dyDescent="0.25">
      <c r="A852" s="22">
        <v>44281</v>
      </c>
      <c r="B852" s="219" t="s">
        <v>31</v>
      </c>
      <c r="C852" s="222" t="s">
        <v>779</v>
      </c>
      <c r="D852" s="223">
        <v>0.93958333333333333</v>
      </c>
      <c r="E852" s="223">
        <v>0.9506944444444444</v>
      </c>
      <c r="F852" s="242" t="s">
        <v>344</v>
      </c>
      <c r="G852" s="21">
        <v>1060</v>
      </c>
      <c r="H852" s="222" t="s">
        <v>780</v>
      </c>
      <c r="I852" s="20"/>
      <c r="T852" s="27"/>
      <c r="U852" s="27"/>
      <c r="V852" s="27"/>
    </row>
    <row r="853" spans="1:22" ht="15" hidden="1" customHeight="1" x14ac:dyDescent="0.25">
      <c r="A853" s="22">
        <v>44281</v>
      </c>
      <c r="B853" s="219" t="s">
        <v>31</v>
      </c>
      <c r="C853" s="222" t="s">
        <v>410</v>
      </c>
      <c r="D853" s="223">
        <v>0.94444444444444453</v>
      </c>
      <c r="E853" s="223">
        <v>0.99652777777777779</v>
      </c>
      <c r="F853" s="242" t="s">
        <v>344</v>
      </c>
      <c r="G853" s="21">
        <v>5620</v>
      </c>
      <c r="H853" s="222" t="s">
        <v>582</v>
      </c>
      <c r="I853" s="20"/>
      <c r="T853" s="27"/>
      <c r="U853" s="27"/>
      <c r="V853" s="27"/>
    </row>
    <row r="854" spans="1:22" ht="15" hidden="1" customHeight="1" x14ac:dyDescent="0.25">
      <c r="A854" s="22">
        <v>44281</v>
      </c>
      <c r="B854" s="219" t="s">
        <v>31</v>
      </c>
      <c r="C854" s="222" t="s">
        <v>410</v>
      </c>
      <c r="D854" s="223">
        <v>0.95833333333333337</v>
      </c>
      <c r="E854" s="223">
        <v>0.97986111111111107</v>
      </c>
      <c r="F854" s="242" t="s">
        <v>344</v>
      </c>
      <c r="G854" s="21">
        <v>3290</v>
      </c>
      <c r="H854" s="222" t="s">
        <v>581</v>
      </c>
      <c r="I854" s="20"/>
      <c r="T854" s="27"/>
      <c r="U854" s="27"/>
      <c r="V854" s="27"/>
    </row>
    <row r="855" spans="1:22" ht="15" hidden="1" customHeight="1" x14ac:dyDescent="0.25">
      <c r="A855" s="22">
        <v>44281</v>
      </c>
      <c r="B855" s="20" t="s">
        <v>181</v>
      </c>
      <c r="C855" s="222" t="s">
        <v>149</v>
      </c>
      <c r="D855" s="223">
        <v>0.95972222222222225</v>
      </c>
      <c r="E855" s="223">
        <v>0.12083333333333333</v>
      </c>
      <c r="F855" s="242" t="s">
        <v>667</v>
      </c>
      <c r="G855" s="21">
        <v>12810</v>
      </c>
      <c r="H855" s="222" t="s">
        <v>211</v>
      </c>
      <c r="I855" s="20"/>
      <c r="T855" s="27"/>
      <c r="U855" s="27"/>
      <c r="V855" s="27"/>
    </row>
    <row r="856" spans="1:22" ht="15" hidden="1" customHeight="1" x14ac:dyDescent="0.25">
      <c r="A856" s="22">
        <v>44281</v>
      </c>
      <c r="B856" s="219" t="s">
        <v>31</v>
      </c>
      <c r="C856" s="222" t="s">
        <v>410</v>
      </c>
      <c r="D856" s="223">
        <v>0.96319444444444446</v>
      </c>
      <c r="E856" s="223">
        <v>0.99861111111111101</v>
      </c>
      <c r="F856" s="242" t="s">
        <v>344</v>
      </c>
      <c r="G856" s="21">
        <v>3420</v>
      </c>
      <c r="H856" s="222" t="s">
        <v>772</v>
      </c>
      <c r="I856" s="20"/>
      <c r="T856" s="27"/>
      <c r="U856" s="27"/>
      <c r="V856" s="27"/>
    </row>
    <row r="857" spans="1:22" ht="15" hidden="1" customHeight="1" x14ac:dyDescent="0.25">
      <c r="A857" s="22">
        <v>44281</v>
      </c>
      <c r="B857" s="219" t="s">
        <v>31</v>
      </c>
      <c r="C857" s="222" t="s">
        <v>410</v>
      </c>
      <c r="D857" s="223">
        <v>0.96527777777777779</v>
      </c>
      <c r="E857" s="223">
        <v>5.5555555555555558E-3</v>
      </c>
      <c r="F857" s="242" t="s">
        <v>344</v>
      </c>
      <c r="G857" s="21">
        <v>3150</v>
      </c>
      <c r="H857" s="222" t="s">
        <v>652</v>
      </c>
      <c r="I857" s="20"/>
      <c r="T857" s="27"/>
      <c r="U857" s="27"/>
      <c r="V857" s="27"/>
    </row>
    <row r="858" spans="1:22" ht="15" hidden="1" customHeight="1" x14ac:dyDescent="0.25">
      <c r="A858" s="22">
        <v>44282</v>
      </c>
      <c r="B858" s="63" t="s">
        <v>300</v>
      </c>
      <c r="C858" s="63" t="s">
        <v>690</v>
      </c>
      <c r="D858" s="223">
        <v>8.1250000000000003E-2</v>
      </c>
      <c r="E858" s="223">
        <v>0.10833333333333334</v>
      </c>
      <c r="F858" s="241" t="s">
        <v>88</v>
      </c>
      <c r="G858" s="21">
        <v>10620</v>
      </c>
      <c r="H858" s="222" t="s">
        <v>299</v>
      </c>
      <c r="I858" s="20"/>
      <c r="T858" s="27"/>
      <c r="U858" s="27"/>
      <c r="V858" s="27"/>
    </row>
    <row r="859" spans="1:22" ht="15" hidden="1" customHeight="1" x14ac:dyDescent="0.25">
      <c r="A859" s="22">
        <v>44282</v>
      </c>
      <c r="B859" s="20" t="s">
        <v>58</v>
      </c>
      <c r="C859" s="222" t="s">
        <v>312</v>
      </c>
      <c r="D859" s="223">
        <v>0.10972222222222222</v>
      </c>
      <c r="E859" s="223">
        <v>0.12847222222222224</v>
      </c>
      <c r="F859" s="242" t="s">
        <v>781</v>
      </c>
      <c r="G859" s="21">
        <v>23960</v>
      </c>
      <c r="H859" s="222" t="s">
        <v>313</v>
      </c>
      <c r="I859" s="20"/>
      <c r="T859" s="27"/>
      <c r="U859" s="27"/>
      <c r="V859" s="27"/>
    </row>
    <row r="860" spans="1:22" ht="15" hidden="1" customHeight="1" x14ac:dyDescent="0.25">
      <c r="A860" s="22">
        <v>44282</v>
      </c>
      <c r="B860" s="20" t="s">
        <v>78</v>
      </c>
      <c r="C860" s="222" t="s">
        <v>144</v>
      </c>
      <c r="D860" s="223">
        <v>0.3354166666666667</v>
      </c>
      <c r="E860" s="223">
        <v>0.35347222222222219</v>
      </c>
      <c r="F860" s="242" t="s">
        <v>781</v>
      </c>
      <c r="G860" s="21">
        <v>26310</v>
      </c>
      <c r="H860" s="222" t="s">
        <v>776</v>
      </c>
      <c r="I860" s="20"/>
      <c r="T860" s="27"/>
      <c r="U860" s="27"/>
      <c r="V860" s="27"/>
    </row>
    <row r="861" spans="1:22" ht="15" hidden="1" customHeight="1" x14ac:dyDescent="0.25">
      <c r="A861" s="22">
        <v>44282</v>
      </c>
      <c r="B861" s="20" t="s">
        <v>97</v>
      </c>
      <c r="C861" s="222" t="s">
        <v>263</v>
      </c>
      <c r="D861" s="223">
        <v>0.37986111111111115</v>
      </c>
      <c r="E861" s="223">
        <v>0.41597222222222219</v>
      </c>
      <c r="F861" s="242" t="s">
        <v>782</v>
      </c>
      <c r="G861" s="21">
        <v>370</v>
      </c>
      <c r="H861" s="222" t="s">
        <v>92</v>
      </c>
      <c r="I861" s="20"/>
      <c r="T861" s="27"/>
      <c r="U861" s="27"/>
      <c r="V861" s="27"/>
    </row>
    <row r="862" spans="1:22" ht="15" hidden="1" customHeight="1" x14ac:dyDescent="0.25">
      <c r="A862" s="22">
        <v>44282</v>
      </c>
      <c r="B862" s="20" t="s">
        <v>78</v>
      </c>
      <c r="C862" s="222" t="s">
        <v>704</v>
      </c>
      <c r="D862" s="223">
        <v>0.57986111111111105</v>
      </c>
      <c r="E862" s="223">
        <v>0.71388888888888891</v>
      </c>
      <c r="F862" s="250" t="s">
        <v>173</v>
      </c>
      <c r="G862" s="21">
        <v>35140</v>
      </c>
      <c r="H862" s="222" t="s">
        <v>776</v>
      </c>
      <c r="I862" s="20"/>
      <c r="T862" s="27"/>
      <c r="U862" s="27"/>
      <c r="V862" s="27"/>
    </row>
    <row r="863" spans="1:22" ht="15" hidden="1" customHeight="1" x14ac:dyDescent="0.25">
      <c r="A863" s="22">
        <v>44282</v>
      </c>
      <c r="B863" s="20" t="s">
        <v>150</v>
      </c>
      <c r="C863" s="222" t="s">
        <v>704</v>
      </c>
      <c r="D863" s="223">
        <v>0.60486111111111118</v>
      </c>
      <c r="E863" s="223">
        <v>0.72152777777777777</v>
      </c>
      <c r="F863" s="250" t="s">
        <v>173</v>
      </c>
      <c r="G863" s="21">
        <v>35060</v>
      </c>
      <c r="H863" s="222" t="s">
        <v>232</v>
      </c>
      <c r="I863" s="20"/>
      <c r="T863" s="27"/>
      <c r="U863" s="27"/>
      <c r="V863" s="27"/>
    </row>
    <row r="864" spans="1:22" ht="15" hidden="1" customHeight="1" x14ac:dyDescent="0.25">
      <c r="A864" s="22">
        <v>44282</v>
      </c>
      <c r="B864" s="20" t="s">
        <v>14</v>
      </c>
      <c r="C864" s="222" t="s">
        <v>704</v>
      </c>
      <c r="D864" s="223">
        <v>0.60555555555555551</v>
      </c>
      <c r="E864" s="223">
        <v>0.72013888888888899</v>
      </c>
      <c r="F864" s="250" t="s">
        <v>173</v>
      </c>
      <c r="G864" s="21">
        <v>30090</v>
      </c>
      <c r="H864" s="222" t="s">
        <v>174</v>
      </c>
      <c r="I864" s="20"/>
      <c r="T864" s="27"/>
      <c r="U864" s="27"/>
      <c r="V864" s="27"/>
    </row>
    <row r="865" spans="1:22" ht="15" hidden="1" customHeight="1" x14ac:dyDescent="0.25">
      <c r="A865" s="22">
        <v>44282</v>
      </c>
      <c r="B865" s="20" t="s">
        <v>17</v>
      </c>
      <c r="C865" s="222" t="s">
        <v>238</v>
      </c>
      <c r="D865" s="223">
        <v>0.89513888888888893</v>
      </c>
      <c r="E865" s="223">
        <v>0.37986111111111115</v>
      </c>
      <c r="F865" s="237" t="s">
        <v>551</v>
      </c>
      <c r="G865" s="21">
        <v>9460</v>
      </c>
      <c r="H865" s="222" t="s">
        <v>51</v>
      </c>
      <c r="I865" s="20"/>
      <c r="T865" s="27"/>
      <c r="U865" s="27"/>
      <c r="V865" s="27"/>
    </row>
    <row r="866" spans="1:22" ht="15" hidden="1" customHeight="1" x14ac:dyDescent="0.25">
      <c r="A866" s="22">
        <v>44284</v>
      </c>
      <c r="B866" s="20" t="s">
        <v>229</v>
      </c>
      <c r="C866" s="222" t="s">
        <v>16</v>
      </c>
      <c r="D866" s="223">
        <v>0.3833333333333333</v>
      </c>
      <c r="E866" s="223">
        <v>0.4284722222222222</v>
      </c>
      <c r="F866" s="253" t="s">
        <v>225</v>
      </c>
      <c r="G866" s="21">
        <v>21130</v>
      </c>
      <c r="H866" s="222" t="s">
        <v>54</v>
      </c>
      <c r="I866" s="20"/>
      <c r="T866" s="27"/>
      <c r="U866" s="27"/>
      <c r="V866" s="27"/>
    </row>
    <row r="867" spans="1:22" ht="15" hidden="1" customHeight="1" x14ac:dyDescent="0.25">
      <c r="A867" s="22">
        <v>44284</v>
      </c>
      <c r="B867" s="20" t="s">
        <v>17</v>
      </c>
      <c r="C867" s="222" t="s">
        <v>16</v>
      </c>
      <c r="D867" s="223">
        <v>0.39444444444444443</v>
      </c>
      <c r="E867" s="223">
        <v>0.43611111111111112</v>
      </c>
      <c r="F867" s="253" t="s">
        <v>225</v>
      </c>
      <c r="G867" s="21">
        <v>23640</v>
      </c>
      <c r="H867" s="222" t="s">
        <v>51</v>
      </c>
      <c r="I867" s="20"/>
      <c r="T867" s="27"/>
      <c r="U867" s="27"/>
      <c r="V867" s="27"/>
    </row>
    <row r="868" spans="1:22" ht="15" hidden="1" customHeight="1" x14ac:dyDescent="0.25">
      <c r="A868" s="22">
        <v>44284</v>
      </c>
      <c r="B868" s="20" t="s">
        <v>735</v>
      </c>
      <c r="C868" s="222" t="s">
        <v>16</v>
      </c>
      <c r="D868" s="223">
        <v>0.40208333333333335</v>
      </c>
      <c r="E868" s="223">
        <v>0.45555555555555555</v>
      </c>
      <c r="F868" s="253" t="s">
        <v>225</v>
      </c>
      <c r="G868" s="21">
        <v>20900</v>
      </c>
      <c r="H868" s="222" t="s">
        <v>734</v>
      </c>
      <c r="I868" s="20"/>
      <c r="T868" s="27"/>
      <c r="U868" s="27"/>
      <c r="V868" s="27"/>
    </row>
    <row r="869" spans="1:22" ht="15" hidden="1" customHeight="1" x14ac:dyDescent="0.25">
      <c r="A869" s="22">
        <v>44284</v>
      </c>
      <c r="B869" s="20" t="s">
        <v>17</v>
      </c>
      <c r="C869" s="222" t="s">
        <v>16</v>
      </c>
      <c r="D869" s="223">
        <v>0.51458333333333328</v>
      </c>
      <c r="E869" s="223">
        <v>0.58333333333333337</v>
      </c>
      <c r="F869" s="253" t="s">
        <v>225</v>
      </c>
      <c r="G869" s="21">
        <v>24570</v>
      </c>
      <c r="H869" s="222" t="s">
        <v>51</v>
      </c>
      <c r="I869" s="20"/>
      <c r="T869" s="27"/>
      <c r="U869" s="27"/>
      <c r="V869" s="27"/>
    </row>
    <row r="870" spans="1:22" ht="15" hidden="1" customHeight="1" x14ac:dyDescent="0.25">
      <c r="A870" s="22">
        <v>44284</v>
      </c>
      <c r="B870" s="20" t="s">
        <v>735</v>
      </c>
      <c r="C870" s="222" t="s">
        <v>16</v>
      </c>
      <c r="D870" s="223">
        <v>0.57222222222222219</v>
      </c>
      <c r="E870" s="223">
        <v>0.60138888888888886</v>
      </c>
      <c r="F870" s="253" t="s">
        <v>225</v>
      </c>
      <c r="G870" s="21">
        <v>20830</v>
      </c>
      <c r="H870" s="222" t="s">
        <v>734</v>
      </c>
      <c r="I870" s="20"/>
      <c r="T870" s="27"/>
      <c r="U870" s="27"/>
      <c r="V870" s="27"/>
    </row>
    <row r="871" spans="1:22" ht="15" hidden="1" customHeight="1" x14ac:dyDescent="0.25">
      <c r="A871" s="22">
        <v>44284</v>
      </c>
      <c r="B871" s="20" t="s">
        <v>14</v>
      </c>
      <c r="C871" s="222" t="s">
        <v>786</v>
      </c>
      <c r="D871" s="223">
        <v>0.58888888888888891</v>
      </c>
      <c r="E871" s="223">
        <v>0.71597222222222223</v>
      </c>
      <c r="F871" s="250" t="s">
        <v>173</v>
      </c>
      <c r="G871" s="21">
        <v>35140</v>
      </c>
      <c r="H871" s="222" t="s">
        <v>174</v>
      </c>
      <c r="I871" s="20"/>
      <c r="T871" s="27"/>
      <c r="U871" s="27"/>
      <c r="V871" s="27"/>
    </row>
    <row r="872" spans="1:22" ht="15" hidden="1" customHeight="1" x14ac:dyDescent="0.25">
      <c r="A872" s="22">
        <v>44284</v>
      </c>
      <c r="B872" s="20" t="s">
        <v>78</v>
      </c>
      <c r="C872" s="222" t="s">
        <v>786</v>
      </c>
      <c r="D872" s="223">
        <v>0.6</v>
      </c>
      <c r="E872" s="223">
        <v>0.71805555555555556</v>
      </c>
      <c r="F872" s="250" t="s">
        <v>173</v>
      </c>
      <c r="G872" s="21">
        <v>35140</v>
      </c>
      <c r="H872" s="222" t="s">
        <v>776</v>
      </c>
      <c r="I872" s="20"/>
      <c r="T872" s="27"/>
      <c r="U872" s="27"/>
      <c r="V872" s="27"/>
    </row>
    <row r="873" spans="1:22" ht="15" hidden="1" customHeight="1" x14ac:dyDescent="0.25">
      <c r="A873" s="22">
        <v>44284</v>
      </c>
      <c r="B873" s="20" t="s">
        <v>765</v>
      </c>
      <c r="C873" s="222" t="s">
        <v>16</v>
      </c>
      <c r="D873" s="223">
        <v>0.60416666666666663</v>
      </c>
      <c r="E873" s="223">
        <v>0.62569444444444444</v>
      </c>
      <c r="F873" s="253" t="s">
        <v>225</v>
      </c>
      <c r="G873" s="21">
        <v>11800</v>
      </c>
      <c r="H873" s="222" t="s">
        <v>311</v>
      </c>
      <c r="I873" s="20"/>
      <c r="T873" s="27"/>
      <c r="U873" s="27"/>
      <c r="V873" s="27"/>
    </row>
    <row r="874" spans="1:22" ht="15" hidden="1" customHeight="1" x14ac:dyDescent="0.25">
      <c r="A874" s="22">
        <v>44284</v>
      </c>
      <c r="B874" s="20" t="s">
        <v>229</v>
      </c>
      <c r="C874" s="222" t="s">
        <v>144</v>
      </c>
      <c r="D874" s="223">
        <v>0.61944444444444446</v>
      </c>
      <c r="E874" s="223">
        <v>0.63472222222222219</v>
      </c>
      <c r="F874" s="241" t="s">
        <v>705</v>
      </c>
      <c r="G874" s="21">
        <v>22410</v>
      </c>
      <c r="H874" s="222" t="s">
        <v>54</v>
      </c>
      <c r="I874" s="20"/>
      <c r="T874" s="27"/>
      <c r="U874" s="27"/>
      <c r="V874" s="27"/>
    </row>
    <row r="875" spans="1:22" ht="15" hidden="1" customHeight="1" x14ac:dyDescent="0.25">
      <c r="A875" s="22">
        <v>44284</v>
      </c>
      <c r="B875" s="20" t="s">
        <v>17</v>
      </c>
      <c r="C875" s="222" t="s">
        <v>141</v>
      </c>
      <c r="D875" s="223">
        <v>0.67083333333333339</v>
      </c>
      <c r="E875" s="223">
        <v>0.70694444444444438</v>
      </c>
      <c r="F875" s="248" t="s">
        <v>586</v>
      </c>
      <c r="G875" s="21">
        <v>23350</v>
      </c>
      <c r="H875" s="222" t="s">
        <v>51</v>
      </c>
      <c r="I875" s="20"/>
      <c r="T875" s="27"/>
      <c r="U875" s="27"/>
      <c r="V875" s="27"/>
    </row>
    <row r="876" spans="1:22" ht="15" hidden="1" customHeight="1" x14ac:dyDescent="0.25">
      <c r="A876" s="22">
        <v>44284</v>
      </c>
      <c r="B876" s="20" t="s">
        <v>150</v>
      </c>
      <c r="C876" s="222" t="s">
        <v>786</v>
      </c>
      <c r="D876" s="223">
        <v>0.67499999999999993</v>
      </c>
      <c r="E876" s="223">
        <v>0.76388888888888884</v>
      </c>
      <c r="F876" s="250" t="s">
        <v>173</v>
      </c>
      <c r="G876" s="21">
        <v>30110</v>
      </c>
      <c r="H876" s="222" t="s">
        <v>232</v>
      </c>
      <c r="I876" s="20"/>
      <c r="T876" s="27"/>
      <c r="U876" s="27"/>
      <c r="V876" s="27"/>
    </row>
    <row r="877" spans="1:22" ht="15" hidden="1" customHeight="1" x14ac:dyDescent="0.25">
      <c r="A877" s="22">
        <v>44284</v>
      </c>
      <c r="B877" s="20" t="s">
        <v>31</v>
      </c>
      <c r="C877" s="222" t="s">
        <v>239</v>
      </c>
      <c r="D877" s="223">
        <v>0.74236111111111114</v>
      </c>
      <c r="E877" s="223">
        <v>0.7680555555555556</v>
      </c>
      <c r="F877" s="248" t="s">
        <v>586</v>
      </c>
      <c r="G877" s="21">
        <v>22950</v>
      </c>
      <c r="H877" s="222" t="s">
        <v>730</v>
      </c>
      <c r="I877" s="20"/>
      <c r="T877" s="27"/>
      <c r="U877" s="27"/>
      <c r="V877" s="27"/>
    </row>
    <row r="878" spans="1:22" ht="15" hidden="1" customHeight="1" x14ac:dyDescent="0.25">
      <c r="A878" s="22">
        <v>44284</v>
      </c>
      <c r="B878" s="20" t="s">
        <v>229</v>
      </c>
      <c r="C878" s="222" t="s">
        <v>144</v>
      </c>
      <c r="D878" s="223">
        <v>0.76527777777777783</v>
      </c>
      <c r="E878" s="223">
        <v>0.77986111111111101</v>
      </c>
      <c r="F878" s="241" t="s">
        <v>670</v>
      </c>
      <c r="G878" s="21">
        <v>19250</v>
      </c>
      <c r="H878" s="222" t="s">
        <v>54</v>
      </c>
      <c r="I878" s="20"/>
      <c r="T878" s="27"/>
      <c r="U878" s="27"/>
      <c r="V878" s="27"/>
    </row>
    <row r="879" spans="1:22" ht="15" hidden="1" customHeight="1" x14ac:dyDescent="0.25">
      <c r="A879" s="22">
        <v>44284</v>
      </c>
      <c r="B879" s="20" t="s">
        <v>31</v>
      </c>
      <c r="C879" s="222" t="s">
        <v>227</v>
      </c>
      <c r="D879" s="223">
        <v>0.7729166666666667</v>
      </c>
      <c r="E879" s="223">
        <v>0.79999999999999993</v>
      </c>
      <c r="F879" s="235" t="s">
        <v>505</v>
      </c>
      <c r="G879" s="21">
        <v>6310</v>
      </c>
      <c r="H879" s="222" t="s">
        <v>506</v>
      </c>
      <c r="I879" s="20"/>
      <c r="T879" s="27"/>
      <c r="U879" s="27"/>
      <c r="V879" s="27"/>
    </row>
    <row r="880" spans="1:22" ht="15" hidden="1" customHeight="1" x14ac:dyDescent="0.25">
      <c r="A880" s="22">
        <v>44284</v>
      </c>
      <c r="B880" s="20" t="s">
        <v>735</v>
      </c>
      <c r="C880" s="222" t="s">
        <v>144</v>
      </c>
      <c r="D880" s="223">
        <v>0.79652777777777783</v>
      </c>
      <c r="E880" s="223">
        <v>0.41736111111111113</v>
      </c>
      <c r="F880" s="236" t="s">
        <v>317</v>
      </c>
      <c r="G880" s="21">
        <v>18320</v>
      </c>
      <c r="H880" s="222" t="s">
        <v>734</v>
      </c>
      <c r="I880" s="20"/>
      <c r="T880" s="27"/>
      <c r="U880" s="27"/>
      <c r="V880" s="27"/>
    </row>
    <row r="881" spans="1:22" ht="15" hidden="1" customHeight="1" x14ac:dyDescent="0.25">
      <c r="A881" s="22">
        <v>44284</v>
      </c>
      <c r="B881" s="20" t="s">
        <v>31</v>
      </c>
      <c r="C881" s="222" t="s">
        <v>787</v>
      </c>
      <c r="D881" s="223">
        <v>0.8881944444444444</v>
      </c>
      <c r="E881" s="223">
        <v>0.91736111111111107</v>
      </c>
      <c r="F881" s="242" t="s">
        <v>788</v>
      </c>
      <c r="G881" s="21">
        <v>5280</v>
      </c>
      <c r="H881" s="222" t="s">
        <v>748</v>
      </c>
      <c r="I881" s="20"/>
      <c r="T881" s="27"/>
      <c r="U881" s="27"/>
      <c r="V881" s="27"/>
    </row>
    <row r="882" spans="1:22" ht="15" hidden="1" customHeight="1" x14ac:dyDescent="0.25">
      <c r="A882" s="22">
        <v>44284</v>
      </c>
      <c r="B882" s="20" t="s">
        <v>31</v>
      </c>
      <c r="C882" s="222" t="s">
        <v>410</v>
      </c>
      <c r="D882" s="223">
        <v>0.90208333333333324</v>
      </c>
      <c r="E882" s="223">
        <v>0.93680555555555556</v>
      </c>
      <c r="F882" s="242" t="s">
        <v>788</v>
      </c>
      <c r="G882" s="21">
        <v>2410</v>
      </c>
      <c r="H882" s="222" t="s">
        <v>198</v>
      </c>
      <c r="I882" s="20"/>
      <c r="T882" s="27"/>
      <c r="U882" s="27"/>
      <c r="V882" s="27"/>
    </row>
    <row r="883" spans="1:22" ht="15" hidden="1" customHeight="1" x14ac:dyDescent="0.25">
      <c r="A883" s="22">
        <v>44284</v>
      </c>
      <c r="B883" s="20" t="s">
        <v>83</v>
      </c>
      <c r="C883" s="222" t="s">
        <v>410</v>
      </c>
      <c r="D883" s="223">
        <v>0.93194444444444446</v>
      </c>
      <c r="E883" s="223">
        <v>0.9458333333333333</v>
      </c>
      <c r="F883" s="242" t="s">
        <v>788</v>
      </c>
      <c r="G883" s="21">
        <v>1600</v>
      </c>
      <c r="H883" s="222" t="s">
        <v>772</v>
      </c>
      <c r="I883" s="20"/>
      <c r="T883" s="27"/>
      <c r="U883" s="27"/>
      <c r="V883" s="27"/>
    </row>
    <row r="884" spans="1:22" ht="15" hidden="1" customHeight="1" x14ac:dyDescent="0.25">
      <c r="A884" s="22">
        <v>44284</v>
      </c>
      <c r="B884" s="20" t="s">
        <v>83</v>
      </c>
      <c r="C884" s="222" t="s">
        <v>591</v>
      </c>
      <c r="D884" s="223">
        <v>0.93333333333333324</v>
      </c>
      <c r="E884" s="223">
        <v>0.98263888888888884</v>
      </c>
      <c r="F884" s="242" t="s">
        <v>788</v>
      </c>
      <c r="G884" s="21">
        <v>7060</v>
      </c>
      <c r="H884" s="222" t="s">
        <v>789</v>
      </c>
      <c r="I884" s="20"/>
      <c r="T884" s="27"/>
      <c r="U884" s="27"/>
      <c r="V884" s="27"/>
    </row>
    <row r="885" spans="1:22" ht="15" hidden="1" customHeight="1" x14ac:dyDescent="0.25">
      <c r="A885" s="22">
        <v>44284</v>
      </c>
      <c r="B885" s="20" t="s">
        <v>31</v>
      </c>
      <c r="C885" s="222" t="s">
        <v>787</v>
      </c>
      <c r="D885" s="223">
        <v>0.95000000000000007</v>
      </c>
      <c r="E885" s="223">
        <v>0.97291666666666676</v>
      </c>
      <c r="F885" s="242" t="s">
        <v>788</v>
      </c>
      <c r="G885" s="21">
        <v>5180</v>
      </c>
      <c r="H885" s="222" t="s">
        <v>748</v>
      </c>
      <c r="I885" s="20"/>
      <c r="T885" s="27"/>
      <c r="U885" s="27"/>
      <c r="V885" s="27"/>
    </row>
    <row r="886" spans="1:22" ht="15" hidden="1" customHeight="1" x14ac:dyDescent="0.25">
      <c r="A886" s="22">
        <v>44284</v>
      </c>
      <c r="B886" s="20" t="s">
        <v>181</v>
      </c>
      <c r="C886" s="222" t="s">
        <v>149</v>
      </c>
      <c r="D886" s="223">
        <v>0.96458333333333324</v>
      </c>
      <c r="E886" s="223">
        <v>0.10833333333333334</v>
      </c>
      <c r="F886" s="241" t="s">
        <v>710</v>
      </c>
      <c r="G886" s="21">
        <v>12120</v>
      </c>
      <c r="H886" s="222" t="s">
        <v>211</v>
      </c>
      <c r="I886" s="20"/>
      <c r="T886" s="27"/>
      <c r="U886" s="27"/>
      <c r="V886" s="27"/>
    </row>
    <row r="887" spans="1:22" ht="15" hidden="1" customHeight="1" x14ac:dyDescent="0.25">
      <c r="A887" s="22">
        <v>44284</v>
      </c>
      <c r="B887" s="20" t="s">
        <v>31</v>
      </c>
      <c r="C887" s="222" t="s">
        <v>790</v>
      </c>
      <c r="D887" s="223">
        <v>0.99722222222222223</v>
      </c>
      <c r="E887" s="223">
        <v>1.3194444444444444E-2</v>
      </c>
      <c r="F887" s="242" t="s">
        <v>788</v>
      </c>
      <c r="G887" s="21">
        <v>470</v>
      </c>
      <c r="H887" s="222" t="s">
        <v>790</v>
      </c>
      <c r="I887" s="20"/>
      <c r="T887" s="27"/>
      <c r="U887" s="27"/>
      <c r="V887" s="27"/>
    </row>
    <row r="888" spans="1:22" ht="15" hidden="1" customHeight="1" x14ac:dyDescent="0.25">
      <c r="A888" s="22">
        <v>44285</v>
      </c>
      <c r="B888" s="20" t="s">
        <v>300</v>
      </c>
      <c r="C888" s="222" t="s">
        <v>791</v>
      </c>
      <c r="D888" s="223">
        <v>0.21597222222222223</v>
      </c>
      <c r="E888" s="223">
        <v>0.26527777777777778</v>
      </c>
      <c r="F888" s="241" t="s">
        <v>88</v>
      </c>
      <c r="G888" s="21">
        <v>14730</v>
      </c>
      <c r="H888" s="222" t="s">
        <v>299</v>
      </c>
      <c r="I888" s="20"/>
      <c r="T888" s="27"/>
      <c r="U888" s="27"/>
      <c r="V888" s="27"/>
    </row>
    <row r="889" spans="1:22" ht="15" hidden="1" customHeight="1" x14ac:dyDescent="0.25">
      <c r="A889" s="22">
        <v>44285</v>
      </c>
      <c r="B889" s="20" t="s">
        <v>58</v>
      </c>
      <c r="C889" s="222" t="s">
        <v>312</v>
      </c>
      <c r="D889" s="223">
        <v>0.2673611111111111</v>
      </c>
      <c r="E889" s="223">
        <v>0.28125</v>
      </c>
      <c r="F889" s="242" t="s">
        <v>792</v>
      </c>
      <c r="G889" s="21">
        <v>18000</v>
      </c>
      <c r="H889" s="222" t="s">
        <v>313</v>
      </c>
      <c r="I889" s="20"/>
      <c r="T889" s="27"/>
      <c r="U889" s="27"/>
      <c r="V889" s="27"/>
    </row>
    <row r="890" spans="1:22" ht="15" hidden="1" customHeight="1" x14ac:dyDescent="0.25">
      <c r="A890" s="22">
        <v>44285</v>
      </c>
      <c r="B890" s="20" t="s">
        <v>31</v>
      </c>
      <c r="C890" s="222" t="s">
        <v>793</v>
      </c>
      <c r="D890" s="223">
        <v>0.33749999999999997</v>
      </c>
      <c r="E890" s="223">
        <v>0.60763888888888895</v>
      </c>
      <c r="F890" s="250" t="s">
        <v>173</v>
      </c>
      <c r="G890" s="21">
        <v>26500</v>
      </c>
      <c r="H890" s="222" t="s">
        <v>673</v>
      </c>
      <c r="I890" s="20"/>
      <c r="T890" s="27"/>
      <c r="U890" s="27"/>
      <c r="V890" s="27"/>
    </row>
    <row r="891" spans="1:22" ht="15" hidden="1" customHeight="1" x14ac:dyDescent="0.25">
      <c r="A891" s="22">
        <v>44285</v>
      </c>
      <c r="B891" s="20" t="s">
        <v>31</v>
      </c>
      <c r="C891" s="222" t="s">
        <v>793</v>
      </c>
      <c r="D891" s="223">
        <v>0.33888888888888885</v>
      </c>
      <c r="E891" s="223">
        <v>0.60486111111111118</v>
      </c>
      <c r="F891" s="250" t="s">
        <v>173</v>
      </c>
      <c r="G891" s="21">
        <v>26500</v>
      </c>
      <c r="H891" s="222" t="s">
        <v>717</v>
      </c>
      <c r="I891" s="20"/>
      <c r="T891" s="27"/>
      <c r="U891" s="27"/>
      <c r="V891" s="27"/>
    </row>
    <row r="892" spans="1:22" ht="15" hidden="1" customHeight="1" x14ac:dyDescent="0.25">
      <c r="A892" s="22">
        <v>44285</v>
      </c>
      <c r="B892" s="20" t="s">
        <v>31</v>
      </c>
      <c r="C892" s="222" t="s">
        <v>793</v>
      </c>
      <c r="D892" s="223">
        <v>0.34027777777777773</v>
      </c>
      <c r="E892" s="223">
        <v>0.61041666666666672</v>
      </c>
      <c r="F892" s="250" t="s">
        <v>173</v>
      </c>
      <c r="G892" s="21">
        <v>26500</v>
      </c>
      <c r="H892" s="222" t="s">
        <v>295</v>
      </c>
      <c r="I892" s="20"/>
      <c r="T892" s="27"/>
      <c r="U892" s="27"/>
      <c r="V892" s="27"/>
    </row>
    <row r="893" spans="1:22" ht="15" hidden="1" customHeight="1" x14ac:dyDescent="0.25">
      <c r="A893" s="22">
        <v>44285</v>
      </c>
      <c r="B893" s="20" t="s">
        <v>229</v>
      </c>
      <c r="C893" s="222" t="s">
        <v>144</v>
      </c>
      <c r="D893" s="223">
        <v>0.34722222222222227</v>
      </c>
      <c r="E893" s="223">
        <v>0.36527777777777781</v>
      </c>
      <c r="F893" s="242" t="s">
        <v>792</v>
      </c>
      <c r="G893" s="21">
        <v>24500</v>
      </c>
      <c r="H893" s="222" t="s">
        <v>54</v>
      </c>
      <c r="I893" s="20"/>
      <c r="T893" s="27"/>
      <c r="U893" s="27"/>
      <c r="V893" s="27"/>
    </row>
    <row r="894" spans="1:22" ht="15" hidden="1" customHeight="1" x14ac:dyDescent="0.25">
      <c r="A894" s="22">
        <v>44285</v>
      </c>
      <c r="B894" s="20" t="s">
        <v>412</v>
      </c>
      <c r="C894" s="222" t="s">
        <v>794</v>
      </c>
      <c r="D894" s="223">
        <v>0.36388888888888887</v>
      </c>
      <c r="E894" s="223">
        <v>0.43333333333333335</v>
      </c>
      <c r="F894" s="238" t="s">
        <v>795</v>
      </c>
      <c r="G894" s="21">
        <v>10540</v>
      </c>
      <c r="H894" s="222" t="s">
        <v>415</v>
      </c>
      <c r="I894" s="20"/>
      <c r="T894" s="27"/>
      <c r="U894" s="27"/>
      <c r="V894" s="27"/>
    </row>
    <row r="895" spans="1:22" ht="15" hidden="1" customHeight="1" x14ac:dyDescent="0.25">
      <c r="A895" s="22">
        <v>44285</v>
      </c>
      <c r="B895" s="20" t="s">
        <v>31</v>
      </c>
      <c r="C895" s="222" t="s">
        <v>793</v>
      </c>
      <c r="D895" s="223">
        <v>0.39930555555555558</v>
      </c>
      <c r="E895" s="223">
        <v>0.67708333333333337</v>
      </c>
      <c r="F895" s="250" t="s">
        <v>173</v>
      </c>
      <c r="G895" s="21">
        <v>26500</v>
      </c>
      <c r="H895" s="222" t="s">
        <v>719</v>
      </c>
      <c r="I895" s="20"/>
      <c r="T895" s="27"/>
      <c r="U895" s="27"/>
      <c r="V895" s="27"/>
    </row>
    <row r="896" spans="1:22" ht="15" hidden="1" customHeight="1" x14ac:dyDescent="0.25">
      <c r="A896" s="22">
        <v>44285</v>
      </c>
      <c r="B896" s="20" t="s">
        <v>31</v>
      </c>
      <c r="C896" s="222" t="s">
        <v>793</v>
      </c>
      <c r="D896" s="223">
        <v>0.46597222222222223</v>
      </c>
      <c r="E896" s="223">
        <v>0.81458333333333333</v>
      </c>
      <c r="F896" s="250" t="s">
        <v>173</v>
      </c>
      <c r="G896" s="21">
        <v>26500</v>
      </c>
      <c r="H896" s="222" t="s">
        <v>796</v>
      </c>
      <c r="I896" s="20"/>
      <c r="T896" s="27"/>
      <c r="U896" s="27"/>
      <c r="V896" s="27"/>
    </row>
    <row r="897" spans="1:22" ht="15" hidden="1" customHeight="1" x14ac:dyDescent="0.25">
      <c r="A897" s="22">
        <v>44285</v>
      </c>
      <c r="B897" s="20" t="s">
        <v>97</v>
      </c>
      <c r="C897" s="222" t="s">
        <v>263</v>
      </c>
      <c r="D897" s="223">
        <v>0.47152777777777777</v>
      </c>
      <c r="E897" s="223">
        <v>0.47430555555555554</v>
      </c>
      <c r="F897" s="242" t="s">
        <v>782</v>
      </c>
      <c r="G897" s="21">
        <v>300</v>
      </c>
      <c r="H897" s="222" t="s">
        <v>184</v>
      </c>
      <c r="I897" s="20"/>
      <c r="T897" s="27"/>
      <c r="U897" s="27"/>
      <c r="V897" s="27"/>
    </row>
    <row r="898" spans="1:22" ht="15" hidden="1" customHeight="1" x14ac:dyDescent="0.25">
      <c r="A898" s="22">
        <v>44285</v>
      </c>
      <c r="B898" s="20" t="s">
        <v>31</v>
      </c>
      <c r="C898" s="222" t="s">
        <v>793</v>
      </c>
      <c r="D898" s="223">
        <v>0.47569444444444442</v>
      </c>
      <c r="E898" s="223">
        <v>0.69027777777777777</v>
      </c>
      <c r="F898" s="250" t="s">
        <v>173</v>
      </c>
      <c r="G898" s="21">
        <v>26500</v>
      </c>
      <c r="H898" s="222" t="s">
        <v>518</v>
      </c>
      <c r="I898" s="20"/>
      <c r="T898" s="27"/>
      <c r="U898" s="27"/>
      <c r="V898" s="27"/>
    </row>
    <row r="899" spans="1:22" ht="15" hidden="1" customHeight="1" x14ac:dyDescent="0.25">
      <c r="A899" s="22">
        <v>44285</v>
      </c>
      <c r="B899" s="20" t="s">
        <v>31</v>
      </c>
      <c r="C899" s="222" t="s">
        <v>797</v>
      </c>
      <c r="D899" s="223">
        <v>0.49513888888888885</v>
      </c>
      <c r="E899" s="223">
        <v>0.61249999999999993</v>
      </c>
      <c r="F899" s="235" t="s">
        <v>799</v>
      </c>
      <c r="G899" s="21">
        <v>5460</v>
      </c>
      <c r="H899" s="222" t="s">
        <v>798</v>
      </c>
      <c r="I899" s="20"/>
      <c r="T899" s="27"/>
      <c r="U899" s="27"/>
      <c r="V899" s="27"/>
    </row>
    <row r="900" spans="1:22" ht="15" hidden="1" customHeight="1" x14ac:dyDescent="0.25">
      <c r="A900" s="22">
        <v>44285</v>
      </c>
      <c r="B900" s="20" t="s">
        <v>412</v>
      </c>
      <c r="C900" s="222" t="s">
        <v>794</v>
      </c>
      <c r="D900" s="223">
        <v>0.50486111111111109</v>
      </c>
      <c r="E900" s="223">
        <v>0.52708333333333335</v>
      </c>
      <c r="F900" s="238" t="s">
        <v>795</v>
      </c>
      <c r="G900" s="21">
        <v>10320</v>
      </c>
      <c r="H900" s="222" t="s">
        <v>415</v>
      </c>
      <c r="I900" s="20"/>
      <c r="T900" s="27"/>
      <c r="U900" s="27"/>
      <c r="V900" s="27"/>
    </row>
    <row r="901" spans="1:22" ht="15" hidden="1" customHeight="1" x14ac:dyDescent="0.25">
      <c r="A901" s="22">
        <v>44285</v>
      </c>
      <c r="B901" s="20" t="s">
        <v>229</v>
      </c>
      <c r="C901" s="222" t="s">
        <v>144</v>
      </c>
      <c r="D901" s="223">
        <v>0.54375000000000007</v>
      </c>
      <c r="E901" s="223">
        <v>0.56041666666666667</v>
      </c>
      <c r="F901" s="242" t="s">
        <v>792</v>
      </c>
      <c r="G901" s="21">
        <v>22590</v>
      </c>
      <c r="H901" s="222" t="s">
        <v>54</v>
      </c>
      <c r="I901" s="20"/>
      <c r="T901" s="27"/>
      <c r="U901" s="27"/>
      <c r="V901" s="27"/>
    </row>
    <row r="902" spans="1:22" ht="15" hidden="1" customHeight="1" x14ac:dyDescent="0.25">
      <c r="A902" s="22">
        <v>44285</v>
      </c>
      <c r="B902" s="20" t="s">
        <v>14</v>
      </c>
      <c r="C902" s="63" t="s">
        <v>305</v>
      </c>
      <c r="D902" s="223">
        <v>0.54513888888888895</v>
      </c>
      <c r="E902" s="223">
        <v>0.15625</v>
      </c>
      <c r="F902" s="250" t="s">
        <v>173</v>
      </c>
      <c r="G902" s="21">
        <v>35110</v>
      </c>
      <c r="H902" s="222" t="s">
        <v>174</v>
      </c>
      <c r="I902" s="20"/>
      <c r="T902" s="27"/>
      <c r="U902" s="27"/>
      <c r="V902" s="27"/>
    </row>
    <row r="903" spans="1:22" ht="15" hidden="1" customHeight="1" x14ac:dyDescent="0.25">
      <c r="A903" s="22">
        <v>44285</v>
      </c>
      <c r="B903" s="20" t="s">
        <v>412</v>
      </c>
      <c r="C903" s="222" t="s">
        <v>794</v>
      </c>
      <c r="D903" s="223">
        <v>0.55208333333333337</v>
      </c>
      <c r="E903" s="223">
        <v>0.58819444444444446</v>
      </c>
      <c r="F903" s="238" t="s">
        <v>795</v>
      </c>
      <c r="G903" s="21">
        <v>9640</v>
      </c>
      <c r="H903" s="222" t="s">
        <v>415</v>
      </c>
      <c r="I903" s="20"/>
      <c r="T903" s="27"/>
      <c r="U903" s="27"/>
      <c r="V903" s="27"/>
    </row>
    <row r="904" spans="1:22" ht="15" hidden="1" customHeight="1" x14ac:dyDescent="0.25">
      <c r="A904" s="22">
        <v>44285</v>
      </c>
      <c r="B904" s="20" t="s">
        <v>31</v>
      </c>
      <c r="C904" s="222" t="s">
        <v>797</v>
      </c>
      <c r="D904" s="223">
        <v>0.59444444444444444</v>
      </c>
      <c r="E904" s="223">
        <v>0.65625</v>
      </c>
      <c r="F904" s="251" t="s">
        <v>600</v>
      </c>
      <c r="G904" s="21">
        <v>1670</v>
      </c>
      <c r="H904" s="222" t="s">
        <v>798</v>
      </c>
      <c r="I904" s="20"/>
      <c r="T904" s="27"/>
      <c r="U904" s="27"/>
      <c r="V904" s="27"/>
    </row>
    <row r="905" spans="1:22" ht="15" hidden="1" customHeight="1" x14ac:dyDescent="0.25">
      <c r="A905" s="22">
        <v>44285</v>
      </c>
      <c r="B905" s="20" t="s">
        <v>17</v>
      </c>
      <c r="C905" s="222" t="s">
        <v>141</v>
      </c>
      <c r="D905" s="223">
        <v>0.72569444444444453</v>
      </c>
      <c r="E905" s="223">
        <v>0.4284722222222222</v>
      </c>
      <c r="F905" s="235" t="s">
        <v>800</v>
      </c>
      <c r="G905" s="21">
        <v>1260</v>
      </c>
      <c r="H905" s="222" t="s">
        <v>51</v>
      </c>
      <c r="I905" s="20"/>
      <c r="T905" s="27"/>
      <c r="U905" s="27"/>
      <c r="V905" s="27"/>
    </row>
    <row r="906" spans="1:22" ht="15" hidden="1" customHeight="1" x14ac:dyDescent="0.25">
      <c r="A906" s="22">
        <v>44285</v>
      </c>
      <c r="B906" s="20" t="s">
        <v>31</v>
      </c>
      <c r="C906" s="222" t="s">
        <v>239</v>
      </c>
      <c r="D906" s="223">
        <v>0.76458333333333339</v>
      </c>
      <c r="E906" s="223">
        <v>0.80625000000000002</v>
      </c>
      <c r="F906" s="235" t="s">
        <v>800</v>
      </c>
      <c r="G906" s="21">
        <v>2580</v>
      </c>
      <c r="H906" s="222" t="s">
        <v>730</v>
      </c>
      <c r="I906" s="20"/>
      <c r="T906" s="27"/>
      <c r="U906" s="27"/>
      <c r="V906" s="27"/>
    </row>
    <row r="907" spans="1:22" ht="15" hidden="1" customHeight="1" x14ac:dyDescent="0.25">
      <c r="A907" s="22">
        <v>44285</v>
      </c>
      <c r="B907" s="20" t="s">
        <v>229</v>
      </c>
      <c r="C907" s="222" t="s">
        <v>144</v>
      </c>
      <c r="D907" s="223">
        <v>0.76597222222222217</v>
      </c>
      <c r="E907" s="223">
        <v>0.77777777777777779</v>
      </c>
      <c r="F907" s="242" t="s">
        <v>792</v>
      </c>
      <c r="G907" s="21">
        <v>22610</v>
      </c>
      <c r="H907" s="222" t="s">
        <v>54</v>
      </c>
      <c r="I907" s="20"/>
      <c r="T907" s="27"/>
      <c r="U907" s="27"/>
      <c r="V907" s="27"/>
    </row>
    <row r="908" spans="1:22" ht="15" hidden="1" customHeight="1" x14ac:dyDescent="0.25">
      <c r="A908" s="22">
        <v>44285</v>
      </c>
      <c r="B908" s="20" t="s">
        <v>735</v>
      </c>
      <c r="C908" s="222" t="s">
        <v>144</v>
      </c>
      <c r="D908" s="223">
        <v>0.77569444444444446</v>
      </c>
      <c r="E908" s="223">
        <v>0.37152777777777773</v>
      </c>
      <c r="F908" s="236" t="s">
        <v>317</v>
      </c>
      <c r="G908" s="21">
        <v>20280</v>
      </c>
      <c r="H908" s="222" t="s">
        <v>734</v>
      </c>
      <c r="I908" s="20"/>
      <c r="T908" s="27"/>
      <c r="U908" s="27"/>
      <c r="V908" s="27"/>
    </row>
    <row r="909" spans="1:22" ht="15" hidden="1" customHeight="1" x14ac:dyDescent="0.25">
      <c r="A909" s="22">
        <v>44285</v>
      </c>
      <c r="B909" s="20" t="s">
        <v>83</v>
      </c>
      <c r="C909" s="222" t="s">
        <v>410</v>
      </c>
      <c r="D909" s="223">
        <v>0.89444444444444438</v>
      </c>
      <c r="E909" s="223">
        <v>0.90625</v>
      </c>
      <c r="F909" s="242" t="s">
        <v>801</v>
      </c>
      <c r="G909" s="21">
        <v>460</v>
      </c>
      <c r="H909" s="222" t="s">
        <v>330</v>
      </c>
      <c r="I909" s="20"/>
      <c r="T909" s="27"/>
      <c r="U909" s="27"/>
      <c r="V909" s="27"/>
    </row>
    <row r="910" spans="1:22" ht="15" hidden="1" customHeight="1" x14ac:dyDescent="0.25">
      <c r="A910" s="22">
        <v>44285</v>
      </c>
      <c r="B910" s="20" t="s">
        <v>83</v>
      </c>
      <c r="C910" s="222" t="s">
        <v>591</v>
      </c>
      <c r="D910" s="223">
        <v>0.93888888888888899</v>
      </c>
      <c r="E910" s="223">
        <v>0.99652777777777779</v>
      </c>
      <c r="F910" s="242" t="s">
        <v>802</v>
      </c>
      <c r="G910" s="21">
        <v>6125</v>
      </c>
      <c r="H910" s="222" t="s">
        <v>789</v>
      </c>
      <c r="I910" s="20"/>
      <c r="T910" s="27"/>
      <c r="U910" s="27"/>
      <c r="V910" s="27"/>
    </row>
    <row r="911" spans="1:22" ht="15" hidden="1" customHeight="1" x14ac:dyDescent="0.25">
      <c r="A911" s="22">
        <v>44286</v>
      </c>
      <c r="B911" s="20" t="s">
        <v>58</v>
      </c>
      <c r="C911" s="222" t="s">
        <v>312</v>
      </c>
      <c r="D911" s="223">
        <v>0.14861111111111111</v>
      </c>
      <c r="E911" s="223">
        <v>0.16527777777777777</v>
      </c>
      <c r="F911" s="242" t="s">
        <v>803</v>
      </c>
      <c r="G911" s="21">
        <v>19380</v>
      </c>
      <c r="H911" s="222" t="s">
        <v>313</v>
      </c>
      <c r="I911" s="20"/>
      <c r="T911" s="27"/>
      <c r="U911" s="27"/>
      <c r="V911" s="27"/>
    </row>
    <row r="912" spans="1:22" ht="15" hidden="1" customHeight="1" x14ac:dyDescent="0.25">
      <c r="A912" s="22">
        <v>44286</v>
      </c>
      <c r="B912" s="20" t="s">
        <v>229</v>
      </c>
      <c r="C912" s="222" t="s">
        <v>144</v>
      </c>
      <c r="D912" s="223">
        <v>0.34583333333333338</v>
      </c>
      <c r="E912" s="223">
        <v>0.36736111111111108</v>
      </c>
      <c r="F912" s="242" t="s">
        <v>792</v>
      </c>
      <c r="G912" s="21">
        <v>25380</v>
      </c>
      <c r="H912" s="222" t="s">
        <v>54</v>
      </c>
      <c r="I912" s="20"/>
      <c r="T912" s="27"/>
      <c r="U912" s="27"/>
      <c r="V912" s="27"/>
    </row>
    <row r="913" spans="1:22" ht="15" hidden="1" customHeight="1" x14ac:dyDescent="0.25">
      <c r="A913" s="22">
        <v>44286</v>
      </c>
      <c r="B913" s="20" t="s">
        <v>229</v>
      </c>
      <c r="C913" s="222" t="s">
        <v>144</v>
      </c>
      <c r="D913" s="223">
        <v>0.54305555555555551</v>
      </c>
      <c r="E913" s="223">
        <v>0.55833333333333335</v>
      </c>
      <c r="F913" s="242" t="s">
        <v>767</v>
      </c>
      <c r="G913" s="21">
        <v>23270</v>
      </c>
      <c r="H913" s="222" t="s">
        <v>54</v>
      </c>
      <c r="I913" s="20"/>
      <c r="T913" s="27"/>
      <c r="U913" s="27"/>
      <c r="V913" s="27"/>
    </row>
    <row r="914" spans="1:22" ht="15" customHeight="1" x14ac:dyDescent="0.25">
      <c r="A914" s="22">
        <v>44286</v>
      </c>
      <c r="B914" s="20" t="s">
        <v>15</v>
      </c>
      <c r="C914" s="63" t="s">
        <v>305</v>
      </c>
      <c r="D914" s="223">
        <v>0.6479166666666667</v>
      </c>
      <c r="E914" s="223">
        <v>0.72013888888888899</v>
      </c>
      <c r="F914" s="250" t="s">
        <v>173</v>
      </c>
      <c r="G914" s="21">
        <v>35100</v>
      </c>
      <c r="H914" s="222" t="s">
        <v>456</v>
      </c>
      <c r="I914" s="20"/>
      <c r="T914" s="27"/>
      <c r="U914" s="27"/>
      <c r="V914" s="27"/>
    </row>
    <row r="915" spans="1:22" ht="15" hidden="1" customHeight="1" x14ac:dyDescent="0.25">
      <c r="A915" s="22">
        <v>44286</v>
      </c>
      <c r="B915" s="20" t="s">
        <v>157</v>
      </c>
      <c r="C915" s="222" t="s">
        <v>804</v>
      </c>
      <c r="D915" s="223">
        <v>0.70000000000000007</v>
      </c>
      <c r="E915" s="223">
        <v>0.72777777777777775</v>
      </c>
      <c r="F915" s="248" t="s">
        <v>586</v>
      </c>
      <c r="G915" s="21">
        <v>23330</v>
      </c>
      <c r="H915" s="222" t="s">
        <v>805</v>
      </c>
      <c r="I915" s="20"/>
      <c r="T915" s="27"/>
      <c r="U915" s="27"/>
      <c r="V915" s="27"/>
    </row>
    <row r="916" spans="1:22" ht="15" hidden="1" customHeight="1" x14ac:dyDescent="0.25">
      <c r="A916" s="22">
        <v>44286</v>
      </c>
      <c r="B916" s="20" t="s">
        <v>229</v>
      </c>
      <c r="C916" s="222" t="s">
        <v>144</v>
      </c>
      <c r="D916" s="223">
        <v>0.77500000000000002</v>
      </c>
      <c r="E916" s="223">
        <v>0.7895833333333333</v>
      </c>
      <c r="F916" s="242" t="s">
        <v>806</v>
      </c>
      <c r="G916" s="21">
        <v>19180</v>
      </c>
      <c r="H916" s="222" t="s">
        <v>54</v>
      </c>
      <c r="I916" s="20"/>
      <c r="T916" s="27"/>
      <c r="U916" s="27"/>
      <c r="V916" s="27"/>
    </row>
    <row r="917" spans="1:22" ht="15" hidden="1" customHeight="1" x14ac:dyDescent="0.25">
      <c r="A917" s="22">
        <v>44286</v>
      </c>
      <c r="B917" s="20" t="s">
        <v>735</v>
      </c>
      <c r="C917" s="222" t="s">
        <v>144</v>
      </c>
      <c r="D917" s="223">
        <v>0.78819444444444453</v>
      </c>
      <c r="E917" s="223">
        <v>0.375</v>
      </c>
      <c r="F917" s="236" t="s">
        <v>317</v>
      </c>
      <c r="G917" s="21">
        <v>17650</v>
      </c>
      <c r="H917" s="222" t="s">
        <v>734</v>
      </c>
      <c r="I917" s="20"/>
      <c r="T917" s="27"/>
      <c r="U917" s="27"/>
      <c r="V917" s="27"/>
    </row>
    <row r="918" spans="1:22" ht="15" hidden="1" customHeight="1" x14ac:dyDescent="0.25">
      <c r="A918" s="22">
        <v>44286</v>
      </c>
      <c r="B918" s="20" t="s">
        <v>83</v>
      </c>
      <c r="C918" s="222" t="s">
        <v>591</v>
      </c>
      <c r="D918" s="223">
        <v>0.94444444444444453</v>
      </c>
      <c r="E918" s="223">
        <v>0.9916666666666667</v>
      </c>
      <c r="F918" s="242" t="s">
        <v>802</v>
      </c>
      <c r="G918" s="21">
        <v>11200</v>
      </c>
      <c r="H918" s="222" t="s">
        <v>789</v>
      </c>
      <c r="I918" s="20"/>
      <c r="T918" s="27"/>
      <c r="U918" s="27"/>
      <c r="V918" s="27"/>
    </row>
    <row r="919" spans="1:22" ht="15" hidden="1" customHeight="1" x14ac:dyDescent="0.25">
      <c r="A919" s="22">
        <v>44286</v>
      </c>
      <c r="B919" s="20" t="s">
        <v>300</v>
      </c>
      <c r="C919" s="222" t="s">
        <v>807</v>
      </c>
      <c r="D919" s="223">
        <v>0.94652777777777775</v>
      </c>
      <c r="E919" s="223">
        <v>0.9902777777777777</v>
      </c>
      <c r="F919" s="241" t="s">
        <v>88</v>
      </c>
      <c r="G919" s="21">
        <v>3940</v>
      </c>
      <c r="H919" s="222" t="s">
        <v>299</v>
      </c>
      <c r="I919" s="20"/>
      <c r="T919" s="27"/>
      <c r="U919" s="27"/>
      <c r="V919" s="27"/>
    </row>
    <row r="920" spans="1:22" ht="15" hidden="1" customHeight="1" x14ac:dyDescent="0.25">
      <c r="D920" s="28"/>
      <c r="F920" s="50" t="s">
        <v>32</v>
      </c>
      <c r="G920" s="79">
        <f>SUM(G4:G919)/1000</f>
        <v>12684.959000000001</v>
      </c>
      <c r="H920" s="82"/>
      <c r="J920" s="27"/>
      <c r="K920" s="27"/>
      <c r="L920" s="27"/>
    </row>
    <row r="921" spans="1:22" ht="12" hidden="1" customHeight="1" x14ac:dyDescent="0.25">
      <c r="D921" s="28"/>
      <c r="F921" s="50"/>
      <c r="G921" s="29"/>
      <c r="I921" s="40"/>
      <c r="J921" s="30"/>
      <c r="K921" s="27"/>
      <c r="L921" s="27"/>
    </row>
    <row r="922" spans="1:22" x14ac:dyDescent="0.25">
      <c r="D922" s="28"/>
      <c r="F922" s="50"/>
      <c r="G922" s="29"/>
      <c r="J922" s="27"/>
      <c r="K922" s="27"/>
      <c r="L922" s="27"/>
    </row>
    <row r="923" spans="1:22" x14ac:dyDescent="0.25">
      <c r="A923" s="25" t="s">
        <v>32</v>
      </c>
      <c r="B923" s="75">
        <f>SUBTOTAL(9,B924:B939)</f>
        <v>12684.959000000001</v>
      </c>
      <c r="C923" s="47">
        <f>SUM(C924:C939)</f>
        <v>1</v>
      </c>
      <c r="D923" s="28"/>
      <c r="G923" s="29"/>
      <c r="J923" s="27"/>
      <c r="K923" s="27"/>
      <c r="L923" s="27"/>
    </row>
    <row r="924" spans="1:22" x14ac:dyDescent="0.25">
      <c r="A924" s="25" t="s">
        <v>59</v>
      </c>
      <c r="B924" s="46">
        <f>+E924/D924</f>
        <v>7118.5349999999999</v>
      </c>
      <c r="C924" s="48">
        <f>+B924/B923</f>
        <v>0.56117918867534378</v>
      </c>
      <c r="D924" s="28">
        <v>1000</v>
      </c>
      <c r="E924" s="31">
        <f>+((G8+G15+G16+G17+G22+G23+G24+G27+G31+G32+G33+G34+G35+G37+G38+G40+G41+G42+G43+G44+G45+G46+G48+G49+G51+G52+G54+G55+G56+G58+G59+G60+G61+G62+G63+G64+G66+G68+G70+G71+G72+G73+G74+G76+G77+G78+G79+G80+G81+G83+G84+G85+G86+G87+G89+G90+G91+G92+G93+G94+G95+G96+G97+G99+G101+G102+G104+G105+G106+G107+G108+G109+G110+G111+G112+G113+G114+G115+G116+G117+G118+G119+G120+G121+G122+G123+G124+G125+G126+G127+G128+G129+G130+G131+G132+G134+G133+G135+G136+G137+G138+G139+G140+G144+G145+G146+G147+G150+G152+G153+G154+G158+G159+G160+G161+G162+G163+G164+G165+G166+G167+G168+G170+G171+G172+G173+G174+G175+G176+G177+G179+G180+G181+G182+G183+G184+G185+G186+G187+G189+G190+G191+G192+G193+G194+G195+G197+G198+G199+G200+G201+G202+G203+G204+G205+G206+G207+G208+G210+G211+G212+G214+G215+G216+G217+G218+G219+G220+G221+G222+G223+G224+G225+G226+G227+G229+G231+G233+G234+G235+G236+G237+G238+G239+G240+G242+G243+G244+G247+G246+G248+G250+G251+G252+G253+G254+G255+G256+G257+G258+G259+G260+G261+G262+G263+G264+G265+G266+G275+G276+G277+G278+G279+G280+G281+G283+G284+G285+G286+G287+G288+G289+G290+G291+G292+G293+G294+G296+G297+G299+G302+G303+G304+G305+G306+G307+G308+G309+G310+G311+G318+G323+G324+G327+G328+G329+G331+G333+G334+G335+G336+G337+G338+G339+G340+G341+G342+G343+G344+G348+G349+G351+G354+G355+G358+G359+G360+G361+G362+G363+G364+G365+G366+G368+G369+G370+G371+G372+G373+G374+G376+G377+G378+G379+G380+G381+G382+G383+G384+G385+G386+G387+G389+G390+G391)+(+G392+G393+G394+G395+G396+G397+G398+G399+G400+G401+G402+G403+G404+G405+G406+G407+G408+G409+G410+G411+G412+G413+G414+G415+G416+G417+G418+G419+G421+G422+G423+G424+G425+G426+G427+G428+G429+G430+G431+G432+G433+G434+G435+G436+G437+G438+G439+G444+G446+G448+G449+G450+G451+G452+G453+G455+G458+G461+G462+G463+G466+G467+G469+G470+G471+G472+G473+G474+G475+G476+G477+G479+G481+G483+G484+G485+G487+G488+G489+G492+G494+G495+G496+G500+G503+G504+G505+G508+G509+G510+G511+G512+G513+G515+G516+G518+G519+G520+G521+G522+G523+G526+G527+G528+G529+G530+G532+G535+G540+G541+G542+G543+G544+G545+G546+G547+G548+G549+G550+G552+G556+G557+G559+G560+G562+G564+G565+G566+G567+G568+G569+G570+G571+G572+G575+G576+G577+G579+G580+G581+G582+G583+G584+G585+G586+G587+G588+G589+G590+G591+G600+G601+G602+G603+G604+G608+G609+G611+G612+G615+G617+G619+G621+G622+G623+G624+G632+G634+G635+G636+G637+G638+G639+G640+G641+G642+G643+G644+G645+G646+G647+G648+G649+G650+G651+G652+G653+G654+G655+G656+G657+G658+G659+G660+G661+G662+G663+G664+G665+G668+G671+G672+G674+G676+G677+G678+G680+G682+G683+G684+G685+G686+G687+G688+G689+G690+G691+G692+G694+G695+G696+G697+G698+G699+G700+G701+G702+G703+G704+G706+G711+G714+G720+G721+G722+G723+G726+G728+G730+G731+G732+G733+G734+G735+G736+G737+G738+G739+G740+G741+G742+G743+G744+G746+G747+G748+G749+G750+G751+G752+G753+G754+G755+G756+G757+G758+G759+G760+G763+G764+G769+G770+G771+G773+G775+G776+G778+G779+G780+G782+G784+G785+G786+G787+G788+G790+G791+G792+G793+G794+G795+G796+G797+G798+G799+G800+G801+G802+G803+G811+G814+G818+G819+G821+G822+G823+G824+G825+G826+G827+G828+G829+G830+G836+G840+G842+G843+G845+G846+G847+G848+G849+G850+G851+G852+G853+G854+G855+G856+G857+G858+G859+G860+G861+G874+G878+G881+G882+G883+G884+G885+G886+G887+G888+G889+G893+G897+G901+G907+G909+G910+G911+G912+G913+G916+G918+G919+G460))</f>
        <v>7118535</v>
      </c>
      <c r="J924" s="27"/>
      <c r="K924" s="27"/>
      <c r="L924" s="27"/>
    </row>
    <row r="925" spans="1:22" x14ac:dyDescent="0.25">
      <c r="A925" s="25" t="s">
        <v>33</v>
      </c>
      <c r="B925" s="46">
        <f t="shared" ref="B925:B939" si="0">+E925/D925</f>
        <v>132.69</v>
      </c>
      <c r="C925" s="48">
        <f>+B925/B923</f>
        <v>1.0460420092804398E-2</v>
      </c>
      <c r="D925" s="28">
        <v>1000</v>
      </c>
      <c r="E925" s="32">
        <f>+G28+G36+G156+G157+G267+G480</f>
        <v>132690</v>
      </c>
      <c r="J925" s="27"/>
      <c r="K925" s="27"/>
      <c r="L925" s="27"/>
    </row>
    <row r="926" spans="1:22" x14ac:dyDescent="0.25">
      <c r="A926" s="25" t="s">
        <v>152</v>
      </c>
      <c r="B926" s="46">
        <f t="shared" ref="B926" si="1">+E926/D926</f>
        <v>930.42</v>
      </c>
      <c r="C926" s="48">
        <f>+B926/B923</f>
        <v>7.3348285950313272E-2</v>
      </c>
      <c r="D926" s="28">
        <v>1000</v>
      </c>
      <c r="E926" s="32">
        <f>+G142+G143+G295+G531+G574+G673+G675+G681+G724+G727+G729+G774+G777+G781+G809+G812+G815+G837+G838+G839+G862+G863+G864+G871+G872+G876+G902+G914</f>
        <v>930420</v>
      </c>
      <c r="J926" s="27"/>
      <c r="K926" s="27"/>
      <c r="L926" s="27"/>
    </row>
    <row r="927" spans="1:22" x14ac:dyDescent="0.25">
      <c r="A927" s="25" t="s">
        <v>810</v>
      </c>
      <c r="B927" s="46">
        <f t="shared" ref="B927" si="2">+E927/D927</f>
        <v>1325</v>
      </c>
      <c r="C927" s="48">
        <f>+B927/B923</f>
        <v>0.10445441723540454</v>
      </c>
      <c r="D927" s="28">
        <v>1000</v>
      </c>
      <c r="E927" s="32">
        <f>+G313+G314+G315+G317+G321+G322+G345+G346+G347+G352+G356+G357+G592+G593+G594+G596+G597+G599+G605+G606+G610+G613+G614+G616+G625+G626+G627+G628+G629+G630+G707+G708+G709+G710+G712+G716+G717+G718+G761+G762+G765+G766+G767+G768+G890+G891+G892+G895+G896+G898</f>
        <v>1325000</v>
      </c>
      <c r="J927" s="27"/>
      <c r="K927" s="27"/>
      <c r="L927" s="27"/>
    </row>
    <row r="928" spans="1:22" x14ac:dyDescent="0.25">
      <c r="A928" s="25" t="s">
        <v>153</v>
      </c>
      <c r="B928" s="46">
        <f t="shared" ref="B928" si="3">+E928/D928</f>
        <v>100</v>
      </c>
      <c r="C928" s="48">
        <f>+B928/B923</f>
        <v>7.8833522441814751E-3</v>
      </c>
      <c r="D928" s="28">
        <v>1000</v>
      </c>
      <c r="E928" s="32">
        <f>+G4+G5+G631+G633</f>
        <v>100000</v>
      </c>
      <c r="J928" s="27"/>
      <c r="K928" s="27"/>
      <c r="L928" s="27"/>
    </row>
    <row r="929" spans="1:16" x14ac:dyDescent="0.25">
      <c r="A929" s="25" t="s">
        <v>60</v>
      </c>
      <c r="B929" s="46">
        <f t="shared" si="0"/>
        <v>1301.76</v>
      </c>
      <c r="C929" s="48">
        <f>+B929/B923</f>
        <v>0.10262232617385676</v>
      </c>
      <c r="D929" s="28">
        <v>1000</v>
      </c>
      <c r="E929" s="25">
        <f>+G98+G100+G148+G151+G196+G209+G230+G232+G245+G271+G274+G312+G316+G319+G320+G325+G350+G353+G367+G375+G440+G441+G442+G443+G447+G454+G456+G459+G478+G482+G498+G514+G524+G553+G554+G555+G558+G561+G563+G573+G669+G679+G713+G804+G806+G807+G808+G810+G831+G832+G834+G835+G866+G867+G868+G869+G870+G873</f>
        <v>1301760</v>
      </c>
      <c r="J929" s="27"/>
      <c r="K929" s="27"/>
      <c r="L929" s="27"/>
      <c r="M929" s="27"/>
      <c r="N929" s="27"/>
      <c r="O929" s="27"/>
      <c r="P929" s="27"/>
    </row>
    <row r="930" spans="1:16" x14ac:dyDescent="0.25">
      <c r="A930" s="25" t="s">
        <v>264</v>
      </c>
      <c r="B930" s="46">
        <f t="shared" ref="B930" si="4">+E930/D930</f>
        <v>194.46</v>
      </c>
      <c r="C930" s="48">
        <f>+B930/B923</f>
        <v>1.5329966774035296E-2</v>
      </c>
      <c r="D930" s="28">
        <v>1000</v>
      </c>
      <c r="E930" s="25">
        <f>+G490+G499+G502+G534+G536+G537+G539+G595+G620</f>
        <v>194460</v>
      </c>
      <c r="J930" s="27"/>
      <c r="K930" s="27"/>
      <c r="L930" s="27"/>
      <c r="M930" s="27"/>
      <c r="N930" s="27"/>
      <c r="O930" s="27"/>
      <c r="P930" s="27"/>
    </row>
    <row r="931" spans="1:16" x14ac:dyDescent="0.25">
      <c r="A931" s="25" t="s">
        <v>82</v>
      </c>
      <c r="B931" s="46">
        <f t="shared" ref="B931" si="5">+E931/D931</f>
        <v>84.44</v>
      </c>
      <c r="C931" s="48">
        <f>+B931/B923</f>
        <v>6.656702634986837E-3</v>
      </c>
      <c r="D931" s="28">
        <v>1000</v>
      </c>
      <c r="E931" s="25">
        <f>+G10+G13+G14+G19</f>
        <v>84440</v>
      </c>
      <c r="J931" s="27"/>
      <c r="K931" s="27"/>
      <c r="L931" s="27"/>
      <c r="M931" s="27"/>
      <c r="N931" s="27"/>
      <c r="O931" s="27"/>
      <c r="P931" s="27"/>
    </row>
    <row r="932" spans="1:16" x14ac:dyDescent="0.25">
      <c r="A932" s="25" t="s">
        <v>809</v>
      </c>
      <c r="B932" s="46">
        <f t="shared" ref="B932" si="6">+E932/D932</f>
        <v>141.93</v>
      </c>
      <c r="C932" s="48">
        <f>+B932/B923</f>
        <v>1.1188841840166767E-2</v>
      </c>
      <c r="D932" s="28">
        <v>1000</v>
      </c>
      <c r="E932" s="25">
        <f>+G25+G47+G75+G141+G783+G817+G844</f>
        <v>141930</v>
      </c>
      <c r="J932" s="27"/>
      <c r="K932" s="27"/>
      <c r="L932" s="27"/>
      <c r="M932" s="27"/>
      <c r="N932" s="27"/>
      <c r="O932" s="27"/>
      <c r="P932" s="27"/>
    </row>
    <row r="933" spans="1:16" x14ac:dyDescent="0.25">
      <c r="A933" s="25" t="s">
        <v>80</v>
      </c>
      <c r="B933" s="46">
        <f t="shared" ref="B933" si="7">+E933/D933</f>
        <v>0.4</v>
      </c>
      <c r="C933" s="48">
        <f>+B933/B923</f>
        <v>3.1533408976725903E-5</v>
      </c>
      <c r="D933" s="28">
        <v>1000</v>
      </c>
      <c r="E933" s="32">
        <f>+G57</f>
        <v>400</v>
      </c>
      <c r="J933" s="27"/>
      <c r="K933" s="27"/>
      <c r="L933" s="27"/>
      <c r="M933" s="27"/>
      <c r="N933" s="27"/>
      <c r="O933" s="27"/>
      <c r="P933" s="27"/>
    </row>
    <row r="934" spans="1:16" x14ac:dyDescent="0.25">
      <c r="A934" s="25" t="s">
        <v>81</v>
      </c>
      <c r="B934" s="46">
        <f t="shared" si="0"/>
        <v>258.68</v>
      </c>
      <c r="C934" s="48">
        <f>+B934/B923</f>
        <v>2.039265558524864E-2</v>
      </c>
      <c r="D934" s="28">
        <v>1000</v>
      </c>
      <c r="E934" s="32">
        <f>+G12+G29+G30+G241+G465+G501+G525+G725+G813+G875+G877+G915</f>
        <v>258680</v>
      </c>
      <c r="J934" s="27"/>
      <c r="K934" s="27"/>
      <c r="L934" s="27"/>
      <c r="M934" s="27"/>
      <c r="N934" s="27"/>
      <c r="O934" s="27"/>
      <c r="P934" s="27"/>
    </row>
    <row r="935" spans="1:16" x14ac:dyDescent="0.25">
      <c r="A935" s="25" t="s">
        <v>73</v>
      </c>
      <c r="B935" s="46">
        <f t="shared" si="0"/>
        <v>388.56</v>
      </c>
      <c r="C935" s="48">
        <f>+B935/B923</f>
        <v>3.0631553479991538E-2</v>
      </c>
      <c r="D935" s="28">
        <v>1000</v>
      </c>
      <c r="E935" s="32">
        <f>+G7+G9+G188+G228+G326+G457+G464+G491+G607+G667+G719</f>
        <v>388560</v>
      </c>
      <c r="J935" s="27"/>
      <c r="K935" s="27"/>
      <c r="L935" s="27"/>
      <c r="M935" s="27"/>
      <c r="N935" s="27"/>
      <c r="O935" s="27"/>
      <c r="P935" s="27"/>
    </row>
    <row r="936" spans="1:16" x14ac:dyDescent="0.25">
      <c r="A936" s="25" t="s">
        <v>79</v>
      </c>
      <c r="B936" s="46">
        <f t="shared" ref="B936" si="8">+E936/D936</f>
        <v>36.630000000000003</v>
      </c>
      <c r="C936" s="48">
        <f>+B936/B923</f>
        <v>2.8876719270436745E-3</v>
      </c>
      <c r="D936" s="28">
        <v>1000</v>
      </c>
      <c r="E936" s="32">
        <f>+G705+G894+G900+G903</f>
        <v>36630</v>
      </c>
      <c r="J936" s="27"/>
      <c r="K936" s="27"/>
      <c r="L936" s="27"/>
      <c r="M936" s="27"/>
      <c r="N936" s="27"/>
      <c r="O936" s="27"/>
      <c r="P936" s="27"/>
    </row>
    <row r="937" spans="1:16" x14ac:dyDescent="0.25">
      <c r="A937" s="25" t="s">
        <v>34</v>
      </c>
      <c r="B937" s="46">
        <f t="shared" si="0"/>
        <v>525.07399999999996</v>
      </c>
      <c r="C937" s="48">
        <f>+B937/B923</f>
        <v>4.1393432962613434E-2</v>
      </c>
      <c r="D937" s="28">
        <v>1000</v>
      </c>
      <c r="E937" s="25">
        <f>+G18+G21+G39+G69+G103+G169+G213+G249+G301+G332+G468+G507+G538+G578+G618+G693+G745+G789+G820+G841+G880+G908+G917</f>
        <v>525074</v>
      </c>
      <c r="J937" s="27"/>
      <c r="K937" s="27"/>
      <c r="L937" s="27"/>
      <c r="M937" s="27"/>
      <c r="N937" s="27"/>
      <c r="O937" s="27"/>
      <c r="P937" s="27"/>
    </row>
    <row r="938" spans="1:16" x14ac:dyDescent="0.25">
      <c r="A938" s="25" t="s">
        <v>811</v>
      </c>
      <c r="B938" s="46">
        <f t="shared" si="0"/>
        <v>11.6</v>
      </c>
      <c r="C938" s="48">
        <f>+B938/B923</f>
        <v>9.1446886032505099E-4</v>
      </c>
      <c r="D938" s="28">
        <v>1000</v>
      </c>
      <c r="E938" s="32">
        <f>+G268+G273+G486+G517+G904</f>
        <v>11600</v>
      </c>
      <c r="J938" s="27"/>
      <c r="K938" s="27"/>
      <c r="L938" s="27"/>
      <c r="M938" s="27"/>
      <c r="N938" s="27"/>
      <c r="O938" s="27"/>
      <c r="P938" s="27"/>
    </row>
    <row r="939" spans="1:16" x14ac:dyDescent="0.25">
      <c r="A939" s="25" t="s">
        <v>808</v>
      </c>
      <c r="B939" s="46">
        <f t="shared" si="0"/>
        <v>134.78</v>
      </c>
      <c r="C939" s="48">
        <f>+B939/B923</f>
        <v>1.0625182154707792E-2</v>
      </c>
      <c r="D939" s="28">
        <v>1000</v>
      </c>
      <c r="E939" s="31">
        <f>+G6+G11+G20+G26+G50+G53+G65+G67+G82+G88+G149+G155+G178+G269+G270+G272+G282+G298+G300+G330+G388+G420+G445+G493+G497+G506+G533+G598+G666+G670+G715+G772+G805+G816+G833+G865+G879+G899+G905+G906+G551</f>
        <v>134780</v>
      </c>
      <c r="J939" s="27"/>
      <c r="K939" s="27"/>
      <c r="L939" s="27"/>
      <c r="M939" s="27"/>
      <c r="N939" s="27"/>
      <c r="O939" s="27"/>
      <c r="P939" s="27"/>
    </row>
    <row r="940" spans="1:16" x14ac:dyDescent="0.25">
      <c r="D940" s="33"/>
      <c r="E940" s="25"/>
      <c r="J940" s="27"/>
      <c r="K940" s="27"/>
      <c r="L940" s="27"/>
      <c r="M940" s="27"/>
      <c r="N940" s="27"/>
      <c r="O940" s="27"/>
      <c r="P940" s="27"/>
    </row>
    <row r="941" spans="1:16" x14ac:dyDescent="0.25">
      <c r="D941" s="33"/>
      <c r="J941" s="27"/>
      <c r="K941" s="27"/>
      <c r="L941" s="27"/>
      <c r="M941" s="27"/>
      <c r="N941" s="27"/>
      <c r="O941" s="27"/>
      <c r="P941" s="27"/>
    </row>
    <row r="942" spans="1:16" x14ac:dyDescent="0.25">
      <c r="D942" s="33"/>
      <c r="J942" s="27"/>
      <c r="K942" s="27"/>
      <c r="L942" s="27"/>
      <c r="M942" s="27"/>
      <c r="N942" s="27"/>
      <c r="O942" s="27"/>
      <c r="P942" s="27"/>
    </row>
    <row r="943" spans="1:16" x14ac:dyDescent="0.25">
      <c r="D943" s="33"/>
      <c r="J943" s="27"/>
      <c r="K943" s="27"/>
      <c r="L943" s="27"/>
      <c r="M943" s="27"/>
      <c r="N943" s="27"/>
      <c r="O943" s="27"/>
      <c r="P943" s="27"/>
    </row>
    <row r="944" spans="1:16" x14ac:dyDescent="0.25">
      <c r="D944" s="33"/>
      <c r="J944" s="27"/>
      <c r="K944" s="27"/>
      <c r="L944" s="27"/>
      <c r="M944" s="27"/>
      <c r="N944" s="27"/>
      <c r="O944" s="27"/>
      <c r="P944" s="27"/>
    </row>
    <row r="945" spans="1:16" x14ac:dyDescent="0.25">
      <c r="D945" s="33"/>
      <c r="J945" s="27"/>
      <c r="K945" s="27"/>
      <c r="L945" s="27"/>
      <c r="M945" s="27"/>
      <c r="N945" s="27"/>
      <c r="O945" s="27"/>
      <c r="P945" s="27"/>
    </row>
    <row r="946" spans="1:16" x14ac:dyDescent="0.25">
      <c r="D946" s="33"/>
      <c r="J946" s="27"/>
      <c r="K946" s="27"/>
      <c r="L946" s="27"/>
      <c r="M946" s="27"/>
      <c r="N946" s="27"/>
      <c r="O946" s="27"/>
      <c r="P946" s="27"/>
    </row>
    <row r="947" spans="1:16" x14ac:dyDescent="0.25">
      <c r="D947" s="33"/>
      <c r="J947" s="27"/>
      <c r="K947" s="27"/>
      <c r="L947" s="27"/>
      <c r="M947" s="27"/>
      <c r="N947" s="27"/>
      <c r="O947" s="27"/>
      <c r="P947" s="27"/>
    </row>
    <row r="948" spans="1:16" x14ac:dyDescent="0.25">
      <c r="D948" s="33"/>
      <c r="J948" s="27"/>
      <c r="K948" s="27"/>
      <c r="L948" s="27"/>
      <c r="M948" s="27"/>
      <c r="N948" s="27"/>
      <c r="O948" s="27"/>
      <c r="P948" s="27"/>
    </row>
    <row r="949" spans="1:16" x14ac:dyDescent="0.25">
      <c r="A949" s="81"/>
      <c r="B949" s="76"/>
      <c r="D949" s="33"/>
      <c r="J949" s="27"/>
      <c r="K949" s="27"/>
      <c r="L949" s="27"/>
      <c r="M949" s="27"/>
      <c r="N949" s="27"/>
      <c r="O949" s="27"/>
    </row>
    <row r="950" spans="1:16" x14ac:dyDescent="0.25">
      <c r="B950" s="76" t="s">
        <v>65</v>
      </c>
      <c r="D950" s="33"/>
      <c r="J950" s="27"/>
      <c r="K950" s="27"/>
      <c r="L950" s="27"/>
      <c r="M950" s="27"/>
      <c r="N950" s="27"/>
      <c r="O950" s="27"/>
    </row>
    <row r="951" spans="1:16" x14ac:dyDescent="0.25">
      <c r="B951" s="76" t="s">
        <v>95</v>
      </c>
      <c r="D951" s="33"/>
      <c r="J951" s="27"/>
      <c r="K951" s="27"/>
      <c r="L951" s="27"/>
      <c r="M951" s="27"/>
      <c r="N951" s="27"/>
      <c r="O951" s="27"/>
    </row>
    <row r="952" spans="1:16" x14ac:dyDescent="0.25">
      <c r="B952" s="76" t="s">
        <v>56</v>
      </c>
      <c r="D952" s="33"/>
      <c r="J952" s="27"/>
      <c r="K952" s="27"/>
      <c r="L952" s="27"/>
      <c r="M952" s="27"/>
      <c r="N952" s="27"/>
      <c r="O952" s="27"/>
    </row>
    <row r="953" spans="1:16" x14ac:dyDescent="0.25">
      <c r="B953" s="76" t="s">
        <v>57</v>
      </c>
      <c r="D953" s="33"/>
      <c r="J953" s="27"/>
      <c r="K953" s="27"/>
      <c r="L953" s="27"/>
      <c r="M953" s="27"/>
      <c r="N953" s="27"/>
      <c r="O953" s="27"/>
    </row>
    <row r="954" spans="1:16" x14ac:dyDescent="0.25">
      <c r="D954" s="33"/>
      <c r="J954" s="27"/>
      <c r="K954" s="27"/>
      <c r="L954" s="27"/>
      <c r="M954" s="27"/>
      <c r="N954" s="27"/>
      <c r="O954" s="27"/>
    </row>
    <row r="955" spans="1:16" x14ac:dyDescent="0.25">
      <c r="D955" s="33"/>
      <c r="J955" s="27"/>
      <c r="K955" s="27"/>
      <c r="L955" s="27"/>
      <c r="M955" s="27"/>
      <c r="N955" s="27"/>
      <c r="O955" s="27"/>
    </row>
    <row r="956" spans="1:16" x14ac:dyDescent="0.25">
      <c r="D956" s="33"/>
      <c r="L956" s="34"/>
    </row>
    <row r="957" spans="1:16" ht="15.75" x14ac:dyDescent="0.25">
      <c r="A957" s="284" t="s">
        <v>35</v>
      </c>
      <c r="B957" s="284"/>
      <c r="C957" s="284"/>
    </row>
    <row r="958" spans="1:16" ht="15.75" thickBot="1" x14ac:dyDescent="0.3"/>
    <row r="959" spans="1:16" ht="15" customHeight="1" x14ac:dyDescent="0.25">
      <c r="A959" s="277" t="s">
        <v>36</v>
      </c>
      <c r="B959" s="35" t="s">
        <v>265</v>
      </c>
      <c r="C959" s="52">
        <f>(+G417+G426+G431+G611+G732)/1000</f>
        <v>98.135000000000005</v>
      </c>
    </row>
    <row r="960" spans="1:16" ht="15" customHeight="1" x14ac:dyDescent="0.25">
      <c r="A960" s="285"/>
      <c r="B960" s="36" t="s">
        <v>155</v>
      </c>
      <c r="C960" s="53">
        <f>(+G875)/1000</f>
        <v>23.35</v>
      </c>
    </row>
    <row r="961" spans="1:8" ht="15" customHeight="1" x14ac:dyDescent="0.25">
      <c r="A961" s="278"/>
      <c r="B961" s="36" t="s">
        <v>158</v>
      </c>
      <c r="C961" s="53">
        <f>(+G196+G441+G447+G459+G478+G482+G498+G514+G524+G553+G558+G573+G669+G679+G867+G869)/1000</f>
        <v>387.26</v>
      </c>
    </row>
    <row r="962" spans="1:8" ht="15" customHeight="1" x14ac:dyDescent="0.25">
      <c r="A962" s="279"/>
      <c r="B962" s="36" t="s">
        <v>154</v>
      </c>
      <c r="C962" s="53">
        <f>(+G865+G905)/1000</f>
        <v>10.72</v>
      </c>
    </row>
    <row r="963" spans="1:8" ht="15" customHeight="1" thickBot="1" x14ac:dyDescent="0.3">
      <c r="A963" s="279"/>
      <c r="B963" s="39" t="s">
        <v>61</v>
      </c>
      <c r="C963" s="54">
        <f>(+G693+G745)/1000</f>
        <v>41.06</v>
      </c>
    </row>
    <row r="964" spans="1:8" ht="15" customHeight="1" x14ac:dyDescent="0.25">
      <c r="A964" s="277" t="s">
        <v>37</v>
      </c>
      <c r="B964" s="35" t="s">
        <v>265</v>
      </c>
      <c r="C964" s="52">
        <f>(+G58+G84+G93+G131+G150+G161+G187+G199+G229+G360+G371+G382+G410+G422+G433+G446+G458+G484+G520+G543+G636)/1000</f>
        <v>409.27</v>
      </c>
    </row>
    <row r="965" spans="1:8" ht="15" customHeight="1" x14ac:dyDescent="0.25">
      <c r="A965" s="278"/>
      <c r="B965" s="36" t="s">
        <v>64</v>
      </c>
      <c r="C965" s="53">
        <f>(+G676+G686+G706+G723+G743+G763+G776+G784+G803+G811+G818+G830+G836+G840+G860)/1000</f>
        <v>342.67</v>
      </c>
    </row>
    <row r="966" spans="1:8" ht="15" customHeight="1" x14ac:dyDescent="0.25">
      <c r="A966" s="278"/>
      <c r="B966" s="37" t="s">
        <v>85</v>
      </c>
      <c r="C966" s="53">
        <f>(+G862+G872)/1000</f>
        <v>70.28</v>
      </c>
    </row>
    <row r="967" spans="1:8" ht="15" customHeight="1" x14ac:dyDescent="0.25">
      <c r="A967" s="278"/>
      <c r="B967" s="36" t="s">
        <v>158</v>
      </c>
      <c r="C967" s="53">
        <f>(+G100+G232+G245+G271+G274+G316+G320)/1000</f>
        <v>175.42</v>
      </c>
      <c r="D967" s="23"/>
      <c r="E967" s="23"/>
      <c r="F967" s="33"/>
      <c r="G967" s="23"/>
      <c r="H967" s="23"/>
    </row>
    <row r="968" spans="1:8" ht="15" customHeight="1" x14ac:dyDescent="0.25">
      <c r="A968" s="278"/>
      <c r="B968" s="36" t="s">
        <v>818</v>
      </c>
      <c r="C968" s="53">
        <f>(+G14)/1000</f>
        <v>21.09</v>
      </c>
      <c r="D968" s="23"/>
      <c r="E968" s="23"/>
      <c r="F968" s="33"/>
      <c r="G968" s="23"/>
      <c r="H968" s="23"/>
    </row>
    <row r="969" spans="1:8" ht="15" customHeight="1" thickBot="1" x14ac:dyDescent="0.3">
      <c r="A969" s="279"/>
      <c r="B969" s="39" t="s">
        <v>61</v>
      </c>
      <c r="C969" s="54">
        <f>(+G169+G213)/1000</f>
        <v>61.16</v>
      </c>
      <c r="D969" s="23"/>
      <c r="E969" s="23"/>
      <c r="F969" s="33"/>
      <c r="G969" s="23"/>
      <c r="H969" s="23"/>
    </row>
    <row r="970" spans="1:8" ht="15" customHeight="1" x14ac:dyDescent="0.25">
      <c r="A970" s="289" t="s">
        <v>48</v>
      </c>
      <c r="B970" s="35" t="s">
        <v>265</v>
      </c>
      <c r="C970" s="52">
        <f>(+G87+G96+G118+G119+G144+G153+G180+G192+G203+G227+G239+G259+G283+G293+G310+G327+G341+G349+G361+G374+G385+G391+G403+G466+G481+G496+G545+G556+G590+G601+G632+G647+G652+G658+G714+G735+G744)/1000</f>
        <v>649.87</v>
      </c>
      <c r="D970" s="23"/>
      <c r="E970" s="23"/>
      <c r="F970" s="33"/>
      <c r="G970" s="23"/>
      <c r="H970" s="23"/>
    </row>
    <row r="971" spans="1:8" ht="15" customHeight="1" x14ac:dyDescent="0.25">
      <c r="A971" s="292"/>
      <c r="B971" s="36" t="s">
        <v>64</v>
      </c>
      <c r="C971" s="53">
        <f>(+G874+G878+G893+G901+G907+G912+G913+G916)/1000</f>
        <v>179.19</v>
      </c>
      <c r="D971" s="23"/>
      <c r="E971" s="23"/>
      <c r="F971" s="33"/>
      <c r="G971" s="23"/>
      <c r="H971" s="23"/>
    </row>
    <row r="972" spans="1:8" ht="15" customHeight="1" x14ac:dyDescent="0.25">
      <c r="A972" s="292"/>
      <c r="B972" s="36" t="s">
        <v>158</v>
      </c>
      <c r="C972" s="53">
        <f>(+G806+G808+G831+G834+G866)/1000</f>
        <v>105.26</v>
      </c>
      <c r="D972" s="23"/>
      <c r="E972" s="23"/>
      <c r="F972" s="33"/>
      <c r="G972" s="23"/>
      <c r="H972" s="23"/>
    </row>
    <row r="973" spans="1:8" ht="15" customHeight="1" thickBot="1" x14ac:dyDescent="0.3">
      <c r="A973" s="282"/>
      <c r="B973" s="38" t="s">
        <v>61</v>
      </c>
      <c r="C973" s="56">
        <f>(+G21+G39+G69+G103+G789+G820+G841)/1000</f>
        <v>141.39400000000001</v>
      </c>
      <c r="D973" s="23"/>
      <c r="E973" s="23"/>
      <c r="F973" s="33"/>
      <c r="G973" s="23"/>
      <c r="H973" s="23"/>
    </row>
    <row r="974" spans="1:8" ht="15" customHeight="1" x14ac:dyDescent="0.25">
      <c r="A974" s="280" t="s">
        <v>50</v>
      </c>
      <c r="B974" s="37" t="s">
        <v>265</v>
      </c>
      <c r="C974" s="57">
        <f>(+G116+G147+G159+G165+G181+G193+G204+G224+G236+G253+G261+G278+G288+G299+G328+G334+G404+G408+G419+G430+G453+G495+G519+G542+G736+G748+G754)/1000</f>
        <v>518.26</v>
      </c>
      <c r="D974" s="23"/>
      <c r="E974" s="23"/>
      <c r="F974" s="33"/>
      <c r="G974" s="23"/>
      <c r="H974" s="23"/>
    </row>
    <row r="975" spans="1:8" ht="15" customHeight="1" x14ac:dyDescent="0.25">
      <c r="A975" s="281"/>
      <c r="B975" s="36" t="s">
        <v>158</v>
      </c>
      <c r="C975" s="53">
        <f>(+G98+G350+G353+G367+G555+G561)/1000</f>
        <v>127.23</v>
      </c>
      <c r="D975" s="23"/>
      <c r="E975" s="23"/>
      <c r="F975" s="33"/>
      <c r="G975" s="23"/>
      <c r="H975" s="23"/>
    </row>
    <row r="976" spans="1:8" ht="15" customHeight="1" x14ac:dyDescent="0.25">
      <c r="A976" s="281"/>
      <c r="B976" s="36" t="s">
        <v>154</v>
      </c>
      <c r="C976" s="53">
        <f>(+G67)/1000</f>
        <v>0.31</v>
      </c>
      <c r="D976" s="23"/>
      <c r="E976" s="23"/>
      <c r="F976" s="33"/>
      <c r="G976" s="23"/>
      <c r="H976" s="23"/>
    </row>
    <row r="977" spans="1:8" ht="15" customHeight="1" thickBot="1" x14ac:dyDescent="0.3">
      <c r="A977" s="290"/>
      <c r="B977" s="36" t="s">
        <v>155</v>
      </c>
      <c r="C977" s="53">
        <f>(+G30)/1000</f>
        <v>22.97</v>
      </c>
      <c r="D977" s="23"/>
      <c r="E977" s="23"/>
      <c r="F977" s="33"/>
      <c r="G977" s="23"/>
      <c r="H977" s="23"/>
    </row>
    <row r="978" spans="1:8" ht="15" customHeight="1" x14ac:dyDescent="0.25">
      <c r="A978" s="291" t="s">
        <v>38</v>
      </c>
      <c r="B978" s="35" t="s">
        <v>265</v>
      </c>
      <c r="C978" s="52">
        <f>(+G38+G56+G61+G81+G90+G132+G182+G206+G226+G237+G276+G286+G355+G366+G376+G386+G418+G429+G449+G461+G557+G603+G648+G653+G664+G700+G734+G742+G752)/1000</f>
        <v>609.17999999999995</v>
      </c>
      <c r="D978" s="23"/>
      <c r="E978" s="23"/>
      <c r="F978" s="33"/>
      <c r="G978" s="23"/>
      <c r="H978" s="23"/>
    </row>
    <row r="979" spans="1:8" ht="15" customHeight="1" x14ac:dyDescent="0.25">
      <c r="A979" s="292"/>
      <c r="B979" s="37" t="s">
        <v>85</v>
      </c>
      <c r="C979" s="53">
        <f>(+G142)/1000</f>
        <v>25.36</v>
      </c>
      <c r="D979" s="23"/>
      <c r="E979" s="23"/>
      <c r="F979" s="33"/>
      <c r="G979" s="23"/>
      <c r="H979" s="23"/>
    </row>
    <row r="980" spans="1:8" ht="15" customHeight="1" x14ac:dyDescent="0.25">
      <c r="A980" s="292"/>
      <c r="B980" s="36" t="s">
        <v>155</v>
      </c>
      <c r="C980" s="53">
        <f>(+G915)/1000</f>
        <v>23.33</v>
      </c>
      <c r="D980" s="23"/>
      <c r="E980" s="23"/>
      <c r="F980" s="33"/>
      <c r="G980" s="23"/>
      <c r="H980" s="23"/>
    </row>
    <row r="981" spans="1:8" ht="15" customHeight="1" x14ac:dyDescent="0.25">
      <c r="A981" s="292"/>
      <c r="B981" s="36" t="s">
        <v>158</v>
      </c>
      <c r="C981" s="53">
        <f>(+G148+G312+G319+G325+G832+G835)/1000</f>
        <v>137.51</v>
      </c>
      <c r="D981" s="23"/>
      <c r="E981" s="23"/>
      <c r="F981" s="33"/>
      <c r="G981" s="23"/>
      <c r="H981" s="23"/>
    </row>
    <row r="982" spans="1:8" ht="15" customHeight="1" thickBot="1" x14ac:dyDescent="0.3">
      <c r="A982" s="293"/>
      <c r="B982" s="38" t="s">
        <v>61</v>
      </c>
      <c r="C982" s="56">
        <f>(+G18)/1000</f>
        <v>24.43</v>
      </c>
      <c r="D982" s="23"/>
      <c r="E982" s="23"/>
      <c r="F982" s="33"/>
      <c r="G982" s="23"/>
      <c r="H982" s="23"/>
    </row>
    <row r="983" spans="1:8" ht="15" customHeight="1" x14ac:dyDescent="0.25">
      <c r="A983" s="285" t="s">
        <v>39</v>
      </c>
      <c r="B983" s="35" t="s">
        <v>265</v>
      </c>
      <c r="C983" s="57">
        <f>(+G133+G189+G200+G225+G238+G260+G281+G291+G323+G348+G364+G372+G381+G406+G412+G424+G434+G518+G671)/1000</f>
        <v>372.75</v>
      </c>
      <c r="D983" s="23"/>
      <c r="E983" s="23"/>
      <c r="F983" s="33"/>
      <c r="G983" s="23"/>
      <c r="H983" s="23"/>
    </row>
    <row r="984" spans="1:8" ht="15" customHeight="1" x14ac:dyDescent="0.25">
      <c r="A984" s="278"/>
      <c r="B984" s="37" t="s">
        <v>85</v>
      </c>
      <c r="C984" s="53">
        <f>(+G574+G681+G727+G777+G809+G838+G864+G871+G902)/1000</f>
        <v>300.91000000000003</v>
      </c>
      <c r="D984" s="23"/>
      <c r="E984" s="23"/>
      <c r="F984" s="33"/>
      <c r="G984" s="23"/>
      <c r="H984" s="23"/>
    </row>
    <row r="985" spans="1:8" ht="15" customHeight="1" x14ac:dyDescent="0.25">
      <c r="A985" s="279"/>
      <c r="B985" s="36" t="s">
        <v>158</v>
      </c>
      <c r="C985" s="53">
        <f>(+G554+G563)/1000</f>
        <v>50.9</v>
      </c>
      <c r="D985" s="23"/>
      <c r="E985" s="23"/>
      <c r="F985" s="33"/>
      <c r="G985" s="23"/>
      <c r="H985" s="23"/>
    </row>
    <row r="986" spans="1:8" ht="15" customHeight="1" x14ac:dyDescent="0.25">
      <c r="A986" s="279"/>
      <c r="B986" s="36" t="s">
        <v>154</v>
      </c>
      <c r="C986" s="53">
        <f>(+G493)/1000</f>
        <v>1.45</v>
      </c>
      <c r="D986" s="23"/>
      <c r="E986" s="23"/>
      <c r="F986" s="33"/>
      <c r="G986" s="23"/>
      <c r="H986" s="23"/>
    </row>
    <row r="987" spans="1:8" ht="15" customHeight="1" thickBot="1" x14ac:dyDescent="0.3">
      <c r="A987" s="286"/>
      <c r="B987" s="38" t="s">
        <v>819</v>
      </c>
      <c r="C987" s="56">
        <f>(+G141)/1000</f>
        <v>20.079999999999998</v>
      </c>
      <c r="D987" s="23"/>
      <c r="E987" s="23"/>
      <c r="F987" s="33"/>
      <c r="G987" s="23"/>
      <c r="H987" s="23"/>
    </row>
    <row r="988" spans="1:8" ht="15" customHeight="1" x14ac:dyDescent="0.25">
      <c r="A988" s="287" t="s">
        <v>40</v>
      </c>
      <c r="B988" s="35" t="s">
        <v>265</v>
      </c>
      <c r="C988" s="57">
        <f>(+G31+G54+G60+G80+G89+G115+G152+G162+G186+G197+G212+G231+G280+G290+G405+G409+G421+G432+G450+G463+G634)/1000</f>
        <v>424.62</v>
      </c>
      <c r="D988" s="23"/>
      <c r="E988" s="23"/>
      <c r="F988" s="33"/>
      <c r="G988" s="23"/>
      <c r="H988" s="23"/>
    </row>
    <row r="989" spans="1:8" ht="15" customHeight="1" x14ac:dyDescent="0.25">
      <c r="A989" s="288"/>
      <c r="B989" s="37" t="s">
        <v>85</v>
      </c>
      <c r="C989" s="53">
        <f>(+G675+G724+G774+G812+G837)/1000</f>
        <v>175.64</v>
      </c>
      <c r="D989" s="23"/>
      <c r="E989" s="23"/>
      <c r="F989" s="33"/>
      <c r="G989" s="23"/>
      <c r="H989" s="23"/>
    </row>
    <row r="990" spans="1:8" ht="15.75" customHeight="1" x14ac:dyDescent="0.25">
      <c r="A990" s="288"/>
      <c r="B990" s="36" t="s">
        <v>158</v>
      </c>
      <c r="C990" s="53">
        <f>(+G375)/1000</f>
        <v>25.37</v>
      </c>
      <c r="D990" s="23"/>
      <c r="E990" s="23"/>
      <c r="F990" s="33"/>
      <c r="G990" s="23"/>
      <c r="H990" s="23"/>
    </row>
    <row r="991" spans="1:8" ht="15.75" customHeight="1" x14ac:dyDescent="0.25">
      <c r="A991" s="288"/>
      <c r="B991" s="36" t="s">
        <v>155</v>
      </c>
      <c r="C991" s="53">
        <f>(+G12)/1000</f>
        <v>23.47</v>
      </c>
      <c r="D991" s="23"/>
      <c r="E991" s="23"/>
      <c r="F991" s="33"/>
      <c r="G991" s="23"/>
      <c r="H991" s="23"/>
    </row>
    <row r="992" spans="1:8" ht="15.75" customHeight="1" x14ac:dyDescent="0.25">
      <c r="A992" s="288"/>
      <c r="B992" s="36" t="s">
        <v>154</v>
      </c>
      <c r="C992" s="53">
        <f>(+G388)/1000</f>
        <v>7.63</v>
      </c>
      <c r="D992" s="23"/>
      <c r="E992" s="23"/>
      <c r="F992" s="33"/>
      <c r="G992" s="23"/>
      <c r="H992" s="23"/>
    </row>
    <row r="993" spans="1:8" ht="15.75" customHeight="1" thickBot="1" x14ac:dyDescent="0.3">
      <c r="A993" s="288"/>
      <c r="B993" s="39" t="s">
        <v>61</v>
      </c>
      <c r="C993" s="54">
        <f>(+G249+G301+G332+G468+G507+G538+G578+G618)/1000</f>
        <v>200.78</v>
      </c>
      <c r="D993" s="23"/>
      <c r="E993" s="23"/>
      <c r="F993" s="33"/>
      <c r="G993" s="23"/>
      <c r="H993" s="23"/>
    </row>
    <row r="994" spans="1:8" ht="15" customHeight="1" x14ac:dyDescent="0.25">
      <c r="A994" s="277" t="s">
        <v>41</v>
      </c>
      <c r="B994" s="35" t="s">
        <v>265</v>
      </c>
      <c r="C994" s="52">
        <f>(+G158+G329+G338+G359+G370+G379+G416+G428+G612+G649+G654+G730+G738+G749+G778)/1000</f>
        <v>300.27499999999998</v>
      </c>
      <c r="D994" s="23"/>
      <c r="E994" s="23"/>
      <c r="F994" s="33"/>
      <c r="G994" s="23"/>
      <c r="H994" s="23"/>
    </row>
    <row r="995" spans="1:8" ht="15" customHeight="1" x14ac:dyDescent="0.25">
      <c r="A995" s="278"/>
      <c r="B995" s="36" t="s">
        <v>266</v>
      </c>
      <c r="C995" s="53">
        <f>(+G531+G914)/1000</f>
        <v>70.2</v>
      </c>
      <c r="D995" s="23"/>
      <c r="E995" s="23"/>
      <c r="F995" s="33"/>
      <c r="G995" s="23"/>
      <c r="H995" s="23"/>
    </row>
    <row r="996" spans="1:8" ht="15" customHeight="1" x14ac:dyDescent="0.25">
      <c r="A996" s="278"/>
      <c r="B996" s="36" t="s">
        <v>155</v>
      </c>
      <c r="C996" s="53">
        <f>(+G241+G501)/1000</f>
        <v>46.5</v>
      </c>
      <c r="D996" s="23"/>
      <c r="E996" s="23"/>
      <c r="F996" s="33"/>
      <c r="G996" s="23"/>
      <c r="H996" s="23"/>
    </row>
    <row r="997" spans="1:8" ht="15" customHeight="1" x14ac:dyDescent="0.25">
      <c r="A997" s="278"/>
      <c r="B997" s="36" t="s">
        <v>818</v>
      </c>
      <c r="C997" s="53">
        <f>(+G13)/1000</f>
        <v>21.07</v>
      </c>
      <c r="D997" s="23"/>
      <c r="E997" s="23"/>
      <c r="F997" s="33"/>
      <c r="G997" s="23"/>
      <c r="H997" s="23"/>
    </row>
    <row r="998" spans="1:8" ht="15" customHeight="1" x14ac:dyDescent="0.25">
      <c r="A998" s="278"/>
      <c r="B998" s="36" t="s">
        <v>158</v>
      </c>
      <c r="C998" s="53">
        <f>(+G230+G442+G454)/1000</f>
        <v>75.77</v>
      </c>
      <c r="D998" s="23"/>
      <c r="E998" s="23"/>
      <c r="F998" s="33"/>
      <c r="G998" s="23"/>
      <c r="H998" s="23"/>
    </row>
    <row r="999" spans="1:8" ht="15" customHeight="1" x14ac:dyDescent="0.25">
      <c r="A999" s="278"/>
      <c r="B999" s="36" t="s">
        <v>154</v>
      </c>
      <c r="C999" s="53">
        <f>(+G300)/1000</f>
        <v>2.06</v>
      </c>
      <c r="D999" s="23"/>
      <c r="E999" s="23"/>
      <c r="F999" s="33"/>
      <c r="G999" s="23"/>
      <c r="H999" s="23"/>
    </row>
    <row r="1000" spans="1:8" ht="15" customHeight="1" thickBot="1" x14ac:dyDescent="0.3">
      <c r="A1000" s="279"/>
      <c r="B1000" s="39" t="s">
        <v>819</v>
      </c>
      <c r="C1000" s="54">
        <f>(+G25+G47+G75+G783+G817+G844)/1000</f>
        <v>121.85</v>
      </c>
      <c r="D1000" s="23"/>
      <c r="E1000" s="23"/>
      <c r="F1000" s="33"/>
      <c r="G1000" s="23"/>
      <c r="H1000" s="23"/>
    </row>
    <row r="1001" spans="1:8" ht="15" customHeight="1" x14ac:dyDescent="0.25">
      <c r="A1001" s="277" t="s">
        <v>820</v>
      </c>
      <c r="B1001" s="35" t="s">
        <v>265</v>
      </c>
      <c r="C1001" s="52">
        <f>(+G733+G741+G751)/1000</f>
        <v>61.65</v>
      </c>
      <c r="D1001" s="23"/>
      <c r="E1001" s="23"/>
      <c r="F1001" s="33"/>
      <c r="G1001" s="23"/>
      <c r="H1001" s="23"/>
    </row>
    <row r="1002" spans="1:8" ht="15" customHeight="1" x14ac:dyDescent="0.25">
      <c r="A1002" s="278"/>
      <c r="B1002" s="36" t="s">
        <v>158</v>
      </c>
      <c r="C1002" s="53">
        <f>(+G868+G870)/1000</f>
        <v>41.73</v>
      </c>
      <c r="D1002" s="23"/>
      <c r="E1002" s="23"/>
      <c r="F1002" s="33"/>
      <c r="G1002" s="23"/>
      <c r="H1002" s="23"/>
    </row>
    <row r="1003" spans="1:8" ht="15" customHeight="1" thickBot="1" x14ac:dyDescent="0.3">
      <c r="A1003" s="286"/>
      <c r="B1003" s="38" t="s">
        <v>61</v>
      </c>
      <c r="C1003" s="56">
        <f>(+G880+G908+G917)/1000</f>
        <v>56.25</v>
      </c>
      <c r="D1003" s="23"/>
      <c r="E1003" s="23"/>
      <c r="F1003" s="33"/>
      <c r="G1003" s="23"/>
      <c r="H1003" s="23"/>
    </row>
    <row r="1004" spans="1:8" ht="15" customHeight="1" x14ac:dyDescent="0.25">
      <c r="A1004" s="280" t="s">
        <v>267</v>
      </c>
      <c r="B1004" s="37" t="s">
        <v>265</v>
      </c>
      <c r="C1004" s="57">
        <f>(+G85+G92+G135+G184+G194+G208+G223+G234+G254+G262+G275+G284+G292+G354+G365+G373+G384+G415+G427+G437+G521+G559+G608)/1000</f>
        <v>424.98</v>
      </c>
      <c r="D1004" s="23"/>
      <c r="E1004" s="23"/>
      <c r="F1004" s="33"/>
      <c r="G1004" s="23"/>
      <c r="H1004" s="23"/>
    </row>
    <row r="1005" spans="1:8" ht="15" customHeight="1" x14ac:dyDescent="0.25">
      <c r="A1005" s="281"/>
      <c r="B1005" s="36" t="s">
        <v>62</v>
      </c>
      <c r="C1005" s="53">
        <f>(+G111)/1000</f>
        <v>19.11</v>
      </c>
      <c r="D1005" s="23"/>
      <c r="E1005" s="23"/>
      <c r="F1005" s="33"/>
      <c r="G1005" s="23"/>
      <c r="H1005" s="23"/>
    </row>
    <row r="1006" spans="1:8" ht="15" customHeight="1" x14ac:dyDescent="0.25">
      <c r="A1006" s="281"/>
      <c r="B1006" s="36" t="s">
        <v>266</v>
      </c>
      <c r="C1006" s="53">
        <f>(+G143+G295+G673+G729+G781+G815+G839+G863+G876)/1000</f>
        <v>288.02999999999997</v>
      </c>
      <c r="D1006" s="23"/>
      <c r="E1006" s="23"/>
      <c r="F1006" s="33"/>
      <c r="G1006" s="23"/>
      <c r="H1006" s="23"/>
    </row>
    <row r="1007" spans="1:8" ht="15" customHeight="1" x14ac:dyDescent="0.25">
      <c r="A1007" s="281"/>
      <c r="B1007" s="36" t="s">
        <v>155</v>
      </c>
      <c r="C1007" s="53">
        <f>(+G29+G465)/1000</f>
        <v>46.4</v>
      </c>
      <c r="D1007" s="23"/>
      <c r="E1007" s="23"/>
      <c r="F1007" s="33"/>
      <c r="G1007" s="23"/>
      <c r="H1007" s="23"/>
    </row>
    <row r="1008" spans="1:8" ht="15" customHeight="1" x14ac:dyDescent="0.25">
      <c r="A1008" s="281"/>
      <c r="B1008" s="36" t="s">
        <v>818</v>
      </c>
      <c r="C1008" s="53">
        <f>(+G10+G19)/1000</f>
        <v>42.28</v>
      </c>
      <c r="D1008" s="23"/>
      <c r="E1008" s="23"/>
      <c r="F1008" s="33"/>
      <c r="G1008" s="23"/>
      <c r="H1008" s="23"/>
    </row>
    <row r="1009" spans="1:8" ht="15" customHeight="1" x14ac:dyDescent="0.25">
      <c r="A1009" s="281"/>
      <c r="B1009" s="36" t="s">
        <v>158</v>
      </c>
      <c r="C1009" s="53">
        <f>(+G151+G440+G443+G456)/1000</f>
        <v>101.99</v>
      </c>
      <c r="D1009" s="23"/>
      <c r="E1009" s="23"/>
      <c r="F1009" s="33"/>
      <c r="G1009" s="23"/>
      <c r="H1009" s="23"/>
    </row>
    <row r="1010" spans="1:8" ht="15" customHeight="1" thickBot="1" x14ac:dyDescent="0.3">
      <c r="A1010" s="282"/>
      <c r="B1010" s="38" t="s">
        <v>154</v>
      </c>
      <c r="C1010" s="56">
        <f>(+G65+G506)/1000</f>
        <v>35.770000000000003</v>
      </c>
      <c r="D1010" s="23"/>
      <c r="E1010" s="23"/>
      <c r="F1010" s="33"/>
      <c r="G1010" s="23"/>
      <c r="H1010" s="23"/>
    </row>
    <row r="1011" spans="1:8" ht="15" customHeight="1" x14ac:dyDescent="0.25">
      <c r="A1011" s="289" t="s">
        <v>63</v>
      </c>
      <c r="B1011" s="35" t="s">
        <v>265</v>
      </c>
      <c r="C1011" s="52">
        <f>(+G191)/1000</f>
        <v>17.190000000000001</v>
      </c>
      <c r="D1011" s="23"/>
      <c r="E1011" s="23"/>
      <c r="F1011" s="33"/>
      <c r="G1011" s="23"/>
      <c r="H1011" s="23"/>
    </row>
    <row r="1012" spans="1:8" ht="15" customHeight="1" thickBot="1" x14ac:dyDescent="0.3">
      <c r="A1012" s="282"/>
      <c r="B1012" s="38" t="s">
        <v>62</v>
      </c>
      <c r="C1012" s="56">
        <f>(+G16+G23+G52+G78+G128+G176+G218+G265+G311+G344+G398+G477+G512+G549+G591+G624+G704+G760+G802+G829+G859+G889+G911)/1000</f>
        <v>483.03</v>
      </c>
      <c r="D1012" s="23"/>
      <c r="E1012" s="23"/>
      <c r="F1012" s="33"/>
      <c r="G1012" s="23"/>
      <c r="H1012" s="23"/>
    </row>
    <row r="1013" spans="1:8" ht="18.75" x14ac:dyDescent="0.25">
      <c r="A1013" s="60"/>
      <c r="B1013" s="61"/>
      <c r="C1013" s="62"/>
      <c r="D1013" s="23"/>
      <c r="E1013" s="23"/>
      <c r="F1013" s="33"/>
      <c r="G1013" s="23"/>
      <c r="H1013" s="23"/>
    </row>
    <row r="1014" spans="1:8" ht="18.75" x14ac:dyDescent="0.25">
      <c r="A1014" s="60"/>
      <c r="B1014" s="61"/>
      <c r="C1014" s="62"/>
      <c r="D1014" s="23"/>
      <c r="E1014" s="23"/>
      <c r="F1014" s="33"/>
      <c r="G1014" s="23"/>
      <c r="H1014" s="23"/>
    </row>
    <row r="1015" spans="1:8" ht="18.75" x14ac:dyDescent="0.25">
      <c r="A1015" s="60"/>
      <c r="B1015" s="83"/>
      <c r="C1015" s="62"/>
      <c r="D1015" s="23"/>
      <c r="E1015" s="23"/>
      <c r="F1015" s="33"/>
      <c r="G1015" s="23"/>
      <c r="H1015" s="23"/>
    </row>
    <row r="1016" spans="1:8" ht="19.5" thickBot="1" x14ac:dyDescent="0.3">
      <c r="A1016" s="60"/>
      <c r="B1016" s="61"/>
      <c r="C1016" s="62"/>
      <c r="D1016" s="23"/>
      <c r="E1016" s="23"/>
      <c r="F1016" s="33"/>
      <c r="G1016" s="23"/>
      <c r="H1016" s="23"/>
    </row>
    <row r="1017" spans="1:8" ht="15.75" customHeight="1" x14ac:dyDescent="0.25">
      <c r="A1017" s="273" t="s">
        <v>822</v>
      </c>
      <c r="B1017" s="35" t="s">
        <v>74</v>
      </c>
      <c r="C1017" s="52">
        <f>(+G804+G807+G810+G873)/1000</f>
        <v>49.81</v>
      </c>
      <c r="D1017" s="23"/>
      <c r="E1017" s="23"/>
      <c r="F1017" s="33"/>
      <c r="G1017" s="23"/>
      <c r="H1017" s="23"/>
    </row>
    <row r="1018" spans="1:8" ht="15.75" customHeight="1" thickBot="1" x14ac:dyDescent="0.3">
      <c r="A1018" s="274"/>
      <c r="B1018" s="38" t="s">
        <v>154</v>
      </c>
      <c r="C1018" s="56">
        <f>(+G816)/1000</f>
        <v>3.7</v>
      </c>
      <c r="D1018" s="23"/>
      <c r="E1018" s="23"/>
      <c r="F1018" s="33"/>
      <c r="G1018" s="23"/>
      <c r="H1018" s="23"/>
    </row>
    <row r="1019" spans="1:8" ht="15.75" customHeight="1" thickBot="1" x14ac:dyDescent="0.3">
      <c r="A1019" s="259" t="s">
        <v>821</v>
      </c>
      <c r="B1019" s="38" t="s">
        <v>154</v>
      </c>
      <c r="C1019" s="56">
        <f>(+G420)/1000</f>
        <v>5.9</v>
      </c>
      <c r="D1019" s="23"/>
      <c r="E1019" s="23"/>
      <c r="F1019" s="33"/>
      <c r="G1019" s="23"/>
      <c r="H1019" s="23"/>
    </row>
    <row r="1020" spans="1:8" ht="15.75" customHeight="1" thickBot="1" x14ac:dyDescent="0.3">
      <c r="A1020" s="259" t="s">
        <v>94</v>
      </c>
      <c r="B1020" s="35" t="s">
        <v>74</v>
      </c>
      <c r="C1020" s="56">
        <f>(+G209+G713)/1000</f>
        <v>23.51</v>
      </c>
      <c r="D1020" s="23"/>
      <c r="E1020" s="23"/>
      <c r="F1020" s="33"/>
      <c r="G1020" s="23"/>
      <c r="H1020" s="23"/>
    </row>
    <row r="1021" spans="1:8" ht="15.75" customHeight="1" thickBot="1" x14ac:dyDescent="0.3">
      <c r="A1021" s="64" t="s">
        <v>87</v>
      </c>
      <c r="B1021" s="77" t="s">
        <v>42</v>
      </c>
      <c r="C1021" s="78">
        <f>(+G15+G49+G177+G308)/1000</f>
        <v>19.82</v>
      </c>
      <c r="D1021" s="23"/>
      <c r="E1021" s="23"/>
      <c r="F1021" s="33"/>
      <c r="G1021" s="23"/>
      <c r="H1021" s="23"/>
    </row>
    <row r="1022" spans="1:8" ht="15.75" customHeight="1" x14ac:dyDescent="0.25">
      <c r="A1022" s="273" t="s">
        <v>43</v>
      </c>
      <c r="B1022" s="35" t="s">
        <v>42</v>
      </c>
      <c r="C1022" s="52">
        <f>(+G8+G22+G42+G72+G106+G129+G140+G172+G217+G264+G309+G343+G399+G438+G472+G504+G548+G623+G656+G703+G801+G858+G888+G919)/1000</f>
        <v>178.51499999999999</v>
      </c>
      <c r="D1022" s="23"/>
      <c r="E1022" s="23"/>
      <c r="F1022" s="33"/>
      <c r="G1022" s="23"/>
      <c r="H1022" s="23"/>
    </row>
    <row r="1023" spans="1:8" ht="15.75" customHeight="1" thickBot="1" x14ac:dyDescent="0.3">
      <c r="A1023" s="274"/>
      <c r="B1023" s="38" t="s">
        <v>154</v>
      </c>
      <c r="C1023" s="56">
        <f>(+G670)/1000</f>
        <v>4.7</v>
      </c>
      <c r="D1023" s="23"/>
      <c r="E1023" s="23"/>
      <c r="F1023" s="33"/>
      <c r="G1023" s="23"/>
      <c r="H1023" s="23"/>
    </row>
    <row r="1024" spans="1:8" ht="15.75" customHeight="1" x14ac:dyDescent="0.25">
      <c r="A1024" s="275" t="s">
        <v>44</v>
      </c>
      <c r="B1024" s="37" t="s">
        <v>268</v>
      </c>
      <c r="C1024" s="57">
        <f>(+G17+G51+G108+G174+G263+G340+G475+G547+G622+G702+G798+G855+G886)/1000</f>
        <v>158.38</v>
      </c>
      <c r="D1024" s="23"/>
      <c r="E1024" s="23"/>
      <c r="F1024" s="33"/>
      <c r="G1024" s="23"/>
      <c r="H1024" s="23"/>
    </row>
    <row r="1025" spans="1:16" ht="15" customHeight="1" thickBot="1" x14ac:dyDescent="0.3">
      <c r="A1025" s="276"/>
      <c r="B1025" s="38" t="s">
        <v>154</v>
      </c>
      <c r="C1025" s="56">
        <f>(+G50)/1000</f>
        <v>0.26</v>
      </c>
      <c r="D1025" s="23"/>
      <c r="E1025" s="23"/>
      <c r="F1025" s="33"/>
      <c r="G1025" s="23"/>
      <c r="H1025" s="23"/>
    </row>
    <row r="1026" spans="1:16" ht="15" customHeight="1" x14ac:dyDescent="0.25">
      <c r="A1026" s="275" t="s">
        <v>49</v>
      </c>
      <c r="B1026" s="35" t="s">
        <v>265</v>
      </c>
      <c r="C1026" s="57">
        <f>(+G37+G41+G64+G66+G70+G74+G83+G91+G97+G139+G146+G154+G163+G185+G195+G210+G222+G233+G246+G252+G279+G289+G324+G331+G358+G369+G378+G387+G392+G414+G425+G444+G455+G467+G488+G494+G500+G508+G516+G522+G527+G560+G567+G572+G577+G604+G645+G650+G651+G655+G657+G668+G678+G728+G737+G746+G753+G769+G780+G788)/1000</f>
        <v>440.30500000000001</v>
      </c>
      <c r="D1026" s="23"/>
      <c r="E1026" s="23"/>
      <c r="F1026" s="33"/>
      <c r="G1026" s="23"/>
      <c r="H1026" s="23"/>
    </row>
    <row r="1027" spans="1:16" ht="15" customHeight="1" thickBot="1" x14ac:dyDescent="0.3">
      <c r="A1027" s="276"/>
      <c r="B1027" s="38" t="s">
        <v>86</v>
      </c>
      <c r="C1027" s="56">
        <f>(+G894+G900+G903)/1000</f>
        <v>30.5</v>
      </c>
      <c r="D1027" s="23"/>
      <c r="E1027" s="23"/>
      <c r="F1027" s="33"/>
      <c r="G1027" s="23"/>
      <c r="H1027" s="23"/>
    </row>
    <row r="1028" spans="1:16" ht="15" customHeight="1" thickBot="1" x14ac:dyDescent="0.3">
      <c r="A1028" s="73" t="s">
        <v>45</v>
      </c>
      <c r="B1028" s="35" t="s">
        <v>265</v>
      </c>
      <c r="C1028" s="56">
        <f>(+G27+G48+G55+G62+G76+G86+G94+G107+G110+G113+G117+G120+G121+G123+G124+G130+G134+G136+G145+G160+G167+G173+G183+G190+G211+G220+G235+G248+G255+G277+G287+G296+G333+G362+G368+G377+G389+G401+G407+G411+G423+G439+G515+G523+G540+G552+G576+G582+G584+G602+G609+G635+G637+G638+G641+G665+G674+G682+G688+G711+G731+G739+G750+G756+G757+G770+G792+G796)/1000</f>
        <v>386.69499999999999</v>
      </c>
      <c r="D1028" s="23"/>
      <c r="E1028" s="23"/>
      <c r="F1028" s="33"/>
      <c r="G1028" s="23"/>
      <c r="H1028" s="23"/>
    </row>
    <row r="1032" spans="1:16" x14ac:dyDescent="0.25">
      <c r="O1032" s="23" t="s">
        <v>17</v>
      </c>
      <c r="P1032" s="23" t="s">
        <v>163</v>
      </c>
    </row>
    <row r="1033" spans="1:16" x14ac:dyDescent="0.25">
      <c r="O1033" s="23" t="s">
        <v>78</v>
      </c>
      <c r="P1033" s="23" t="s">
        <v>164</v>
      </c>
    </row>
    <row r="1034" spans="1:16" x14ac:dyDescent="0.25">
      <c r="O1034" s="23" t="s">
        <v>53</v>
      </c>
      <c r="P1034" s="23" t="s">
        <v>165</v>
      </c>
    </row>
    <row r="1035" spans="1:16" x14ac:dyDescent="0.25">
      <c r="O1035" s="23" t="s">
        <v>22</v>
      </c>
      <c r="P1035" s="23" t="s">
        <v>166</v>
      </c>
    </row>
    <row r="1036" spans="1:16" x14ac:dyDescent="0.25">
      <c r="O1036" s="23" t="s">
        <v>25</v>
      </c>
      <c r="P1036" s="23" t="s">
        <v>167</v>
      </c>
    </row>
    <row r="1037" spans="1:16" x14ac:dyDescent="0.25">
      <c r="B1037" s="23"/>
      <c r="C1037" s="23"/>
      <c r="D1037" s="23"/>
      <c r="E1037" s="23"/>
      <c r="F1037" s="23"/>
      <c r="G1037" s="23"/>
      <c r="O1037" s="23" t="s">
        <v>29</v>
      </c>
      <c r="P1037" s="23" t="s">
        <v>168</v>
      </c>
    </row>
    <row r="1039" spans="1:16" x14ac:dyDescent="0.25">
      <c r="B1039" s="23"/>
      <c r="C1039" s="23"/>
      <c r="D1039" s="23"/>
      <c r="E1039" s="23"/>
      <c r="F1039" s="23"/>
      <c r="G1039" s="23"/>
      <c r="O1039" s="23" t="s">
        <v>23</v>
      </c>
      <c r="P1039" s="23" t="s">
        <v>169</v>
      </c>
    </row>
    <row r="1040" spans="1:16" x14ac:dyDescent="0.25">
      <c r="B1040" s="23"/>
      <c r="C1040" s="23"/>
      <c r="D1040" s="23"/>
      <c r="E1040" s="23"/>
      <c r="F1040" s="23"/>
      <c r="G1040" s="23"/>
      <c r="O1040" s="23" t="s">
        <v>40</v>
      </c>
      <c r="P1040" s="23" t="s">
        <v>170</v>
      </c>
    </row>
    <row r="1041" spans="2:30" x14ac:dyDescent="0.25">
      <c r="B1041" s="23"/>
      <c r="C1041" s="23"/>
      <c r="D1041" s="23"/>
      <c r="E1041" s="23"/>
      <c r="F1041" s="23"/>
      <c r="G1041" s="23"/>
      <c r="O1041" s="23" t="s">
        <v>171</v>
      </c>
      <c r="P1041" s="23" t="s">
        <v>172</v>
      </c>
    </row>
    <row r="1045" spans="2:30" x14ac:dyDescent="0.25">
      <c r="B1045" s="23"/>
      <c r="C1045" s="23"/>
      <c r="D1045" s="23"/>
      <c r="E1045" s="23"/>
      <c r="F1045" s="23"/>
      <c r="G1045" s="23"/>
      <c r="AA1045" s="23">
        <v>1200</v>
      </c>
    </row>
    <row r="1046" spans="2:30" x14ac:dyDescent="0.25">
      <c r="B1046" s="23"/>
      <c r="C1046" s="23"/>
      <c r="D1046" s="23"/>
      <c r="E1046" s="23"/>
      <c r="F1046" s="23"/>
      <c r="G1046" s="23"/>
      <c r="AA1046" s="48">
        <f>+AC1046/AA1045/1000</f>
        <v>2.5000000000000001E-3</v>
      </c>
      <c r="AC1046" s="23">
        <v>3000</v>
      </c>
      <c r="AD1046" s="23" t="s">
        <v>812</v>
      </c>
    </row>
    <row r="1047" spans="2:30" x14ac:dyDescent="0.25">
      <c r="B1047" s="23"/>
      <c r="C1047" s="23"/>
      <c r="D1047" s="23"/>
      <c r="E1047" s="23"/>
      <c r="F1047" s="23"/>
      <c r="G1047" s="23"/>
      <c r="AA1047" s="255">
        <f>+AC1047/AA1045/1000</f>
        <v>1E-3</v>
      </c>
      <c r="AC1047" s="23">
        <v>1200</v>
      </c>
      <c r="AD1047" s="23" t="s">
        <v>813</v>
      </c>
    </row>
    <row r="1048" spans="2:30" x14ac:dyDescent="0.25">
      <c r="B1048" s="23"/>
      <c r="C1048" s="23"/>
      <c r="D1048" s="23"/>
      <c r="E1048" s="23"/>
      <c r="F1048" s="23"/>
      <c r="G1048" s="23"/>
      <c r="P1048" s="23" t="s">
        <v>159</v>
      </c>
      <c r="Q1048" s="23">
        <v>180</v>
      </c>
      <c r="R1048" s="23">
        <v>175.2</v>
      </c>
      <c r="AA1048" s="255">
        <f>+AC1048/AA1045/1000</f>
        <v>1E-3</v>
      </c>
      <c r="AC1048" s="23">
        <v>1200</v>
      </c>
      <c r="AD1048" s="23" t="s">
        <v>814</v>
      </c>
    </row>
    <row r="1049" spans="2:30" x14ac:dyDescent="0.25">
      <c r="B1049" s="23"/>
      <c r="C1049" s="23"/>
      <c r="D1049" s="23"/>
      <c r="E1049" s="23"/>
      <c r="F1049" s="23"/>
      <c r="G1049" s="23"/>
      <c r="H1049" s="68"/>
      <c r="P1049" s="23" t="s">
        <v>162</v>
      </c>
      <c r="Q1049" s="23">
        <v>170</v>
      </c>
      <c r="R1049" s="23">
        <v>88</v>
      </c>
      <c r="AA1049" s="80">
        <f>+AC1049/AA1045/1000</f>
        <v>6.6666666666666664E-4</v>
      </c>
      <c r="AC1049" s="23">
        <v>800</v>
      </c>
      <c r="AD1049" s="23" t="s">
        <v>815</v>
      </c>
    </row>
    <row r="1050" spans="2:30" x14ac:dyDescent="0.25">
      <c r="B1050" s="23"/>
      <c r="C1050" s="23"/>
      <c r="D1050" s="23"/>
      <c r="E1050" s="23"/>
      <c r="F1050" s="23"/>
      <c r="G1050" s="23"/>
      <c r="P1050" s="23" t="s">
        <v>160</v>
      </c>
      <c r="Q1050" s="23">
        <v>200</v>
      </c>
      <c r="AA1050" s="80">
        <f>+AC1050/AA1045/1000</f>
        <v>4.0000000000000002E-4</v>
      </c>
      <c r="AC1050" s="23">
        <v>480</v>
      </c>
      <c r="AD1050" s="23" t="s">
        <v>816</v>
      </c>
    </row>
    <row r="1051" spans="2:30" x14ac:dyDescent="0.25">
      <c r="B1051" s="23"/>
      <c r="C1051" s="23"/>
      <c r="D1051" s="23"/>
      <c r="E1051" s="23"/>
      <c r="F1051" s="23"/>
      <c r="G1051" s="23"/>
      <c r="P1051" s="23" t="s">
        <v>161</v>
      </c>
      <c r="Q1051" s="23">
        <v>0</v>
      </c>
      <c r="AA1051" s="80">
        <f>+AC1051/AA1045/1000</f>
        <v>3.3333333333333332E-4</v>
      </c>
      <c r="AC1051" s="23">
        <v>400</v>
      </c>
      <c r="AD1051" s="23" t="s">
        <v>817</v>
      </c>
    </row>
    <row r="1052" spans="2:30" x14ac:dyDescent="0.25">
      <c r="B1052" s="23"/>
      <c r="C1052" s="23"/>
      <c r="D1052" s="23"/>
      <c r="E1052" s="23"/>
      <c r="F1052" s="23"/>
      <c r="G1052" s="23"/>
      <c r="Q1052" s="23">
        <f>SUM(Q1048:Q1051)</f>
        <v>550</v>
      </c>
      <c r="R1052" s="23">
        <f>SUM(R1048:R1051)</f>
        <v>263.2</v>
      </c>
      <c r="S1052" s="23">
        <f>+Q1052-R1052</f>
        <v>286.8</v>
      </c>
    </row>
    <row r="1053" spans="2:30" x14ac:dyDescent="0.25">
      <c r="B1053" s="23"/>
      <c r="C1053" s="23"/>
      <c r="D1053" s="23"/>
      <c r="E1053" s="23"/>
      <c r="AA1053" s="254">
        <v>300</v>
      </c>
    </row>
    <row r="1054" spans="2:30" x14ac:dyDescent="0.25">
      <c r="B1054" s="23"/>
      <c r="C1054" s="23"/>
      <c r="D1054" s="23"/>
      <c r="E1054" s="23"/>
      <c r="AA1054" s="23">
        <v>225</v>
      </c>
    </row>
    <row r="1055" spans="2:30" x14ac:dyDescent="0.25">
      <c r="B1055" s="23"/>
      <c r="C1055" s="23"/>
      <c r="D1055" s="23"/>
      <c r="E1055" s="23"/>
      <c r="AA1055" s="23">
        <v>225</v>
      </c>
    </row>
    <row r="1056" spans="2:30" x14ac:dyDescent="0.25">
      <c r="B1056" s="23"/>
      <c r="C1056" s="23"/>
      <c r="D1056" s="23"/>
      <c r="E1056" s="23"/>
      <c r="AA1056" s="23">
        <v>175</v>
      </c>
    </row>
    <row r="1057" spans="2:27" x14ac:dyDescent="0.25">
      <c r="B1057" s="23"/>
      <c r="C1057" s="23"/>
      <c r="D1057" s="23"/>
      <c r="E1057" s="23"/>
      <c r="F1057" s="67"/>
      <c r="AA1057" s="23">
        <f>150-12.5</f>
        <v>137.5</v>
      </c>
    </row>
    <row r="1058" spans="2:27" x14ac:dyDescent="0.25">
      <c r="B1058" s="23"/>
      <c r="C1058" s="23"/>
      <c r="D1058" s="23"/>
      <c r="E1058" s="23"/>
      <c r="AA1058" s="23">
        <f>150-12.5</f>
        <v>137.5</v>
      </c>
    </row>
    <row r="1059" spans="2:27" x14ac:dyDescent="0.25">
      <c r="B1059" s="23"/>
      <c r="C1059" s="23"/>
      <c r="D1059" s="23"/>
      <c r="E1059" s="23"/>
      <c r="AA1059" s="254">
        <f>SUM(AA1053:AA1058)</f>
        <v>1200</v>
      </c>
    </row>
  </sheetData>
  <autoFilter ref="A3:I921">
    <filterColumn colId="7">
      <filters>
        <filter val="GALO TUAZA"/>
      </filters>
    </filterColumn>
  </autoFilter>
  <mergeCells count="17">
    <mergeCell ref="A1:I1"/>
    <mergeCell ref="A957:C957"/>
    <mergeCell ref="A1024:A1025"/>
    <mergeCell ref="A959:A963"/>
    <mergeCell ref="A983:A987"/>
    <mergeCell ref="A988:A993"/>
    <mergeCell ref="A1011:A1012"/>
    <mergeCell ref="A964:A969"/>
    <mergeCell ref="A974:A977"/>
    <mergeCell ref="A978:A982"/>
    <mergeCell ref="A970:A973"/>
    <mergeCell ref="A1001:A1003"/>
    <mergeCell ref="A1017:A1018"/>
    <mergeCell ref="A1022:A1023"/>
    <mergeCell ref="A1026:A1027"/>
    <mergeCell ref="A994:A1000"/>
    <mergeCell ref="A1004:A1010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opLeftCell="A34" workbookViewId="0">
      <selection activeCell="J50" sqref="J50"/>
    </sheetView>
  </sheetViews>
  <sheetFormatPr baseColWidth="10" defaultRowHeight="15" x14ac:dyDescent="0.25"/>
  <cols>
    <col min="2" max="2" width="25.85546875" bestFit="1" customWidth="1"/>
    <col min="4" max="4" width="11.42578125" style="14"/>
  </cols>
  <sheetData>
    <row r="1" spans="1:4" x14ac:dyDescent="0.25">
      <c r="D1"/>
    </row>
    <row r="2" spans="1:4" x14ac:dyDescent="0.25">
      <c r="A2" s="296" t="s">
        <v>822</v>
      </c>
      <c r="B2" s="44" t="str">
        <f>+BITACORA!B1017</f>
        <v>Traslado de Harina Jambeli</v>
      </c>
      <c r="C2" s="69">
        <f>+BITACORA!C1017</f>
        <v>49.81</v>
      </c>
      <c r="D2" s="58">
        <f>+C2/C4</f>
        <v>0.93085404597271537</v>
      </c>
    </row>
    <row r="3" spans="1:4" x14ac:dyDescent="0.25">
      <c r="A3" s="297"/>
      <c r="B3" s="44" t="str">
        <f>+BITACORA!B1018</f>
        <v>Ingreso Varios</v>
      </c>
      <c r="C3" s="69">
        <f>+BITACORA!C1018</f>
        <v>3.7</v>
      </c>
      <c r="D3" s="43">
        <f>+C3/C4</f>
        <v>6.9145954027284615E-2</v>
      </c>
    </row>
    <row r="4" spans="1:4" ht="15.75" x14ac:dyDescent="0.25">
      <c r="A4" s="15" t="s">
        <v>46</v>
      </c>
      <c r="B4" s="16"/>
      <c r="C4" s="13">
        <f>SUM(C2:C3)</f>
        <v>53.510000000000005</v>
      </c>
      <c r="D4" s="42">
        <f>SUM(D2:D3)</f>
        <v>1</v>
      </c>
    </row>
    <row r="5" spans="1:4" x14ac:dyDescent="0.25">
      <c r="D5"/>
    </row>
    <row r="6" spans="1:4" x14ac:dyDescent="0.25">
      <c r="D6"/>
    </row>
    <row r="7" spans="1:4" x14ac:dyDescent="0.25">
      <c r="D7"/>
    </row>
    <row r="8" spans="1:4" x14ac:dyDescent="0.25">
      <c r="D8"/>
    </row>
    <row r="9" spans="1:4" x14ac:dyDescent="0.25">
      <c r="A9" s="227" t="s">
        <v>821</v>
      </c>
      <c r="B9" s="44" t="str">
        <f>+BITACORA!B1019</f>
        <v>Ingreso Varios</v>
      </c>
      <c r="C9" s="69">
        <f>+BITACORA!C1019</f>
        <v>5.9</v>
      </c>
      <c r="D9" s="58">
        <f>+C9/C10</f>
        <v>1</v>
      </c>
    </row>
    <row r="10" spans="1:4" ht="15.75" x14ac:dyDescent="0.25">
      <c r="A10" s="15" t="s">
        <v>46</v>
      </c>
      <c r="B10" s="234"/>
      <c r="C10" s="13">
        <f>SUM(C9:C9)</f>
        <v>5.9</v>
      </c>
      <c r="D10" s="42">
        <f>SUM(D9:D9)</f>
        <v>1</v>
      </c>
    </row>
    <row r="11" spans="1:4" x14ac:dyDescent="0.25">
      <c r="D11"/>
    </row>
    <row r="12" spans="1:4" x14ac:dyDescent="0.25">
      <c r="D12"/>
    </row>
    <row r="13" spans="1:4" x14ac:dyDescent="0.25">
      <c r="D13"/>
    </row>
    <row r="14" spans="1:4" x14ac:dyDescent="0.25">
      <c r="D14"/>
    </row>
    <row r="15" spans="1:4" x14ac:dyDescent="0.25">
      <c r="D15"/>
    </row>
    <row r="16" spans="1:4" x14ac:dyDescent="0.25">
      <c r="A16" s="227" t="s">
        <v>94</v>
      </c>
      <c r="B16" s="44" t="str">
        <f>+BITACORA!B1020</f>
        <v>Traslado de Harina Jambeli</v>
      </c>
      <c r="C16" s="69">
        <f>+BITACORA!C1020</f>
        <v>23.51</v>
      </c>
      <c r="D16" s="58">
        <f>+C16/C17</f>
        <v>1</v>
      </c>
    </row>
    <row r="17" spans="1:4" ht="15.75" x14ac:dyDescent="0.25">
      <c r="A17" s="15" t="s">
        <v>46</v>
      </c>
      <c r="B17" s="234"/>
      <c r="C17" s="13">
        <f>SUM(C16:C16)</f>
        <v>23.51</v>
      </c>
      <c r="D17" s="42">
        <f>SUM(D16:D16)</f>
        <v>1</v>
      </c>
    </row>
    <row r="18" spans="1:4" x14ac:dyDescent="0.25">
      <c r="D18"/>
    </row>
    <row r="19" spans="1:4" x14ac:dyDescent="0.25">
      <c r="D19"/>
    </row>
    <row r="20" spans="1:4" x14ac:dyDescent="0.25">
      <c r="D20"/>
    </row>
    <row r="21" spans="1:4" x14ac:dyDescent="0.25">
      <c r="D21"/>
    </row>
    <row r="23" spans="1:4" ht="15" customHeight="1" x14ac:dyDescent="0.25">
      <c r="A23" s="65" t="s">
        <v>87</v>
      </c>
      <c r="B23" s="3" t="str">
        <f>+BITACORA!B1021</f>
        <v>Sub-Prod. Pelagicos</v>
      </c>
      <c r="C23" s="55">
        <f>+BITACORA!C1021</f>
        <v>19.82</v>
      </c>
      <c r="D23" s="43">
        <f>+C23/C24</f>
        <v>1</v>
      </c>
    </row>
    <row r="24" spans="1:4" ht="15.75" x14ac:dyDescent="0.25">
      <c r="A24" s="15" t="s">
        <v>46</v>
      </c>
      <c r="B24" s="16"/>
      <c r="C24" s="13">
        <f>SUM(C23:C23)</f>
        <v>19.82</v>
      </c>
      <c r="D24" s="42">
        <f>SUM(D23:D23)</f>
        <v>1</v>
      </c>
    </row>
    <row r="29" spans="1:4" ht="15" customHeight="1" x14ac:dyDescent="0.25">
      <c r="A29" s="294" t="s">
        <v>43</v>
      </c>
      <c r="B29" s="3" t="str">
        <f>+BITACORA!B1022</f>
        <v>Sub-Prod. Pelagicos</v>
      </c>
      <c r="C29" s="55">
        <f>+BITACORA!C1022</f>
        <v>178.51499999999999</v>
      </c>
      <c r="D29" s="43">
        <f>+C29/C31</f>
        <v>0.97434707856889458</v>
      </c>
    </row>
    <row r="30" spans="1:4" ht="15" customHeight="1" x14ac:dyDescent="0.25">
      <c r="A30" s="295"/>
      <c r="B30" s="3" t="str">
        <f>+BITACORA!B1023</f>
        <v>Ingreso Varios</v>
      </c>
      <c r="C30" s="55">
        <f>+BITACORA!C1023</f>
        <v>4.7</v>
      </c>
      <c r="D30" s="43">
        <f>+C30/C31</f>
        <v>2.5652921431105535E-2</v>
      </c>
    </row>
    <row r="31" spans="1:4" ht="15.75" x14ac:dyDescent="0.25">
      <c r="A31" s="15" t="s">
        <v>46</v>
      </c>
      <c r="B31" s="16"/>
      <c r="C31" s="59">
        <f>SUM(C29:C30)</f>
        <v>183.21499999999997</v>
      </c>
      <c r="D31" s="42">
        <f>SUM(D29:D30)</f>
        <v>1</v>
      </c>
    </row>
    <row r="35" spans="1:4" ht="15" customHeight="1" x14ac:dyDescent="0.25">
      <c r="A35" s="294" t="s">
        <v>44</v>
      </c>
      <c r="B35" s="3" t="str">
        <f>+BITACORA!B1024</f>
        <v>Sub-Prod. Pelagicos Seafman</v>
      </c>
      <c r="C35" s="55">
        <f>+BITACORA!C1024</f>
        <v>158.38</v>
      </c>
      <c r="D35" s="43">
        <f>+C35/C37</f>
        <v>0.99836106908724165</v>
      </c>
    </row>
    <row r="36" spans="1:4" ht="15" customHeight="1" x14ac:dyDescent="0.25">
      <c r="A36" s="295"/>
      <c r="B36" s="3" t="str">
        <f>+BITACORA!B1025</f>
        <v>Ingreso Varios</v>
      </c>
      <c r="C36" s="55">
        <f>+BITACORA!C1025</f>
        <v>0.26</v>
      </c>
      <c r="D36" s="43">
        <f>+C36/C37</f>
        <v>1.638930912758447E-3</v>
      </c>
    </row>
    <row r="37" spans="1:4" ht="15.75" x14ac:dyDescent="0.25">
      <c r="A37" s="15" t="s">
        <v>46</v>
      </c>
      <c r="B37" s="16"/>
      <c r="C37" s="59">
        <f>SUM(C35:C36)</f>
        <v>158.63999999999999</v>
      </c>
      <c r="D37" s="42">
        <f>SUM(D35:D36)</f>
        <v>1</v>
      </c>
    </row>
    <row r="42" spans="1:4" ht="15.75" customHeight="1" x14ac:dyDescent="0.25">
      <c r="A42" s="294" t="s">
        <v>49</v>
      </c>
      <c r="B42" s="3" t="str">
        <f>+BITACORA!B1026</f>
        <v>Materia Prima</v>
      </c>
      <c r="C42" s="55">
        <f>+BITACORA!C1026</f>
        <v>440.30500000000001</v>
      </c>
      <c r="D42" s="19">
        <f>+C42/C44</f>
        <v>0.93521734051252647</v>
      </c>
    </row>
    <row r="43" spans="1:4" ht="15.75" customHeight="1" x14ac:dyDescent="0.25">
      <c r="A43" s="295"/>
      <c r="B43" s="51" t="str">
        <f>+BITACORA!B1027</f>
        <v>Mat./Contruccion</v>
      </c>
      <c r="C43" s="70">
        <f>+BITACORA!C1027</f>
        <v>30.5</v>
      </c>
      <c r="D43" s="66">
        <f>+C43/C44</f>
        <v>6.4782659487473582E-2</v>
      </c>
    </row>
    <row r="44" spans="1:4" ht="15" customHeight="1" x14ac:dyDescent="0.25">
      <c r="A44" s="17" t="s">
        <v>46</v>
      </c>
      <c r="B44" s="18"/>
      <c r="C44" s="71">
        <f>SUM(C42:C43)</f>
        <v>470.80500000000001</v>
      </c>
      <c r="D44" s="42">
        <f>SUM(D42:D43)</f>
        <v>1</v>
      </c>
    </row>
    <row r="45" spans="1:4" ht="15" customHeight="1" x14ac:dyDescent="0.25"/>
    <row r="48" spans="1:4" ht="15" customHeight="1" x14ac:dyDescent="0.25">
      <c r="A48" s="45" t="s">
        <v>45</v>
      </c>
      <c r="B48" s="3" t="str">
        <f>+BITACORA!B1028</f>
        <v>Materia Prima</v>
      </c>
      <c r="C48" s="55">
        <f>+BITACORA!C1028</f>
        <v>386.69499999999999</v>
      </c>
      <c r="D48" s="19">
        <f>+C48/C49</f>
        <v>1</v>
      </c>
    </row>
    <row r="49" spans="1:4" ht="15.75" x14ac:dyDescent="0.25">
      <c r="A49" s="17" t="s">
        <v>46</v>
      </c>
      <c r="B49" s="18"/>
      <c r="C49" s="71">
        <f>SUM(C48:C48)</f>
        <v>386.69499999999999</v>
      </c>
      <c r="D49" s="41">
        <f>SUM(D48:D48)</f>
        <v>1</v>
      </c>
    </row>
  </sheetData>
  <mergeCells count="4">
    <mergeCell ref="A42:A43"/>
    <mergeCell ref="A2:A3"/>
    <mergeCell ref="A29:A30"/>
    <mergeCell ref="A35:A3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45"/>
  <sheetViews>
    <sheetView topLeftCell="A227" workbookViewId="0">
      <selection activeCell="B224" sqref="B224:H239"/>
    </sheetView>
  </sheetViews>
  <sheetFormatPr baseColWidth="10" defaultRowHeight="15" x14ac:dyDescent="0.25"/>
  <cols>
    <col min="1" max="2" width="11.42578125" style="87"/>
    <col min="3" max="3" width="15.42578125" style="87" customWidth="1"/>
    <col min="4" max="4" width="19" style="87" customWidth="1"/>
    <col min="5" max="6" width="11.42578125" style="87"/>
    <col min="7" max="7" width="11.42578125" style="111"/>
    <col min="8" max="16384" width="11.42578125" style="87"/>
  </cols>
  <sheetData>
    <row r="1" spans="2:8" ht="36" x14ac:dyDescent="0.25">
      <c r="B1" s="84" t="s">
        <v>66</v>
      </c>
      <c r="C1" s="84" t="s">
        <v>67</v>
      </c>
      <c r="D1" s="84" t="s">
        <v>68</v>
      </c>
      <c r="E1" s="84" t="s">
        <v>70</v>
      </c>
      <c r="F1" s="85" t="s">
        <v>76</v>
      </c>
      <c r="G1" s="85" t="s">
        <v>77</v>
      </c>
      <c r="H1" s="86" t="s">
        <v>71</v>
      </c>
    </row>
    <row r="2" spans="2:8" ht="15" customHeight="1" x14ac:dyDescent="0.25">
      <c r="B2" s="309" t="s">
        <v>36</v>
      </c>
      <c r="C2" s="88" t="s">
        <v>65</v>
      </c>
      <c r="D2" s="89" t="str">
        <f>+BITACORA!B959</f>
        <v>Materia Prima</v>
      </c>
      <c r="E2" s="90">
        <f>+BITACORA!C959</f>
        <v>98.135000000000005</v>
      </c>
      <c r="F2" s="91">
        <f>+E2/E7</f>
        <v>0.1750769368003211</v>
      </c>
      <c r="G2" s="92">
        <f t="shared" ref="G2:G6" si="0">+F2</f>
        <v>0.1750769368003211</v>
      </c>
      <c r="H2" s="93">
        <f>+E2</f>
        <v>98.135000000000005</v>
      </c>
    </row>
    <row r="3" spans="2:8" ht="15" customHeight="1" x14ac:dyDescent="0.25">
      <c r="B3" s="309"/>
      <c r="C3" s="303" t="s">
        <v>56</v>
      </c>
      <c r="D3" s="89" t="str">
        <f>+BITACORA!B960</f>
        <v>Despacho Hidrolizado Venta</v>
      </c>
      <c r="E3" s="90">
        <f>+BITACORA!C960</f>
        <v>23.35</v>
      </c>
      <c r="F3" s="91">
        <f>+E3/E7</f>
        <v>4.1657374782569909E-2</v>
      </c>
      <c r="G3" s="306">
        <f>+F3+F4+F5</f>
        <v>0.75167030908523247</v>
      </c>
      <c r="H3" s="300">
        <f>+E3+E4+E5</f>
        <v>421.33000000000004</v>
      </c>
    </row>
    <row r="4" spans="2:8" ht="15" customHeight="1" x14ac:dyDescent="0.25">
      <c r="B4" s="309"/>
      <c r="C4" s="305"/>
      <c r="D4" s="89" t="str">
        <f>+BITACORA!B961</f>
        <v>Traslado Har./Pescado Jambeli</v>
      </c>
      <c r="E4" s="90">
        <f>+BITACORA!C961</f>
        <v>387.26</v>
      </c>
      <c r="F4" s="91">
        <f>+E4/E7</f>
        <v>0.69088800677935847</v>
      </c>
      <c r="G4" s="307"/>
      <c r="H4" s="301"/>
    </row>
    <row r="5" spans="2:8" ht="15" customHeight="1" x14ac:dyDescent="0.25">
      <c r="B5" s="309"/>
      <c r="C5" s="304"/>
      <c r="D5" s="89" t="str">
        <f>+BITACORA!B962</f>
        <v>Ingreso Varios</v>
      </c>
      <c r="E5" s="90">
        <f>+BITACORA!C962</f>
        <v>10.72</v>
      </c>
      <c r="F5" s="91">
        <f>+E5/E7</f>
        <v>1.9124927523304042E-2</v>
      </c>
      <c r="G5" s="308"/>
      <c r="H5" s="302"/>
    </row>
    <row r="6" spans="2:8" ht="15" customHeight="1" x14ac:dyDescent="0.25">
      <c r="B6" s="309"/>
      <c r="C6" s="94" t="s">
        <v>57</v>
      </c>
      <c r="D6" s="89" t="str">
        <f>+BITACORA!B963</f>
        <v>A./Cocción Salica</v>
      </c>
      <c r="E6" s="90">
        <f>+BITACORA!C963</f>
        <v>41.06</v>
      </c>
      <c r="F6" s="91">
        <f>+E6/E7</f>
        <v>7.3252754114446275E-2</v>
      </c>
      <c r="G6" s="92">
        <f t="shared" si="0"/>
        <v>7.3252754114446275E-2</v>
      </c>
      <c r="H6" s="93">
        <f>+E6</f>
        <v>41.06</v>
      </c>
    </row>
    <row r="7" spans="2:8" ht="13.5" customHeight="1" x14ac:dyDescent="0.25">
      <c r="B7" s="95" t="s">
        <v>46</v>
      </c>
      <c r="C7" s="95"/>
      <c r="D7" s="96"/>
      <c r="E7" s="97">
        <f>SUM(E2:E6)</f>
        <v>560.52500000000009</v>
      </c>
      <c r="F7" s="98">
        <f>SUBTOTAL(9,F2:F6)</f>
        <v>0.99999999999999989</v>
      </c>
      <c r="G7" s="98">
        <f>SUBTOTAL(9,G2:G6)</f>
        <v>0.99999999999999989</v>
      </c>
    </row>
    <row r="21" spans="2:8" ht="36" x14ac:dyDescent="0.25">
      <c r="B21" s="84" t="s">
        <v>66</v>
      </c>
      <c r="C21" s="84" t="s">
        <v>67</v>
      </c>
      <c r="D21" s="84" t="s">
        <v>68</v>
      </c>
      <c r="E21" s="84" t="s">
        <v>70</v>
      </c>
      <c r="F21" s="85" t="s">
        <v>76</v>
      </c>
      <c r="G21" s="85" t="s">
        <v>77</v>
      </c>
      <c r="H21" s="86" t="s">
        <v>71</v>
      </c>
    </row>
    <row r="22" spans="2:8" x14ac:dyDescent="0.25">
      <c r="B22" s="310" t="s">
        <v>37</v>
      </c>
      <c r="C22" s="303" t="s">
        <v>65</v>
      </c>
      <c r="D22" s="89" t="str">
        <f>+BITACORA!B964</f>
        <v>Materia Prima</v>
      </c>
      <c r="E22" s="90">
        <f>+BITACORA!C964</f>
        <v>409.27</v>
      </c>
      <c r="F22" s="99">
        <f>+E22/E28</f>
        <v>0.37899230477178225</v>
      </c>
      <c r="G22" s="306">
        <f>+F22+F23</f>
        <v>0.69631166137291756</v>
      </c>
      <c r="H22" s="300">
        <f>+E22+E23</f>
        <v>751.94</v>
      </c>
    </row>
    <row r="23" spans="2:8" ht="15" customHeight="1" x14ac:dyDescent="0.25">
      <c r="B23" s="309"/>
      <c r="C23" s="304"/>
      <c r="D23" s="89" t="str">
        <f>+BITACORA!B965</f>
        <v>Scrap  Atun Salica</v>
      </c>
      <c r="E23" s="90">
        <f>+BITACORA!C965</f>
        <v>342.67</v>
      </c>
      <c r="F23" s="99">
        <f>+E23/E28</f>
        <v>0.31731935660113531</v>
      </c>
      <c r="G23" s="308"/>
      <c r="H23" s="302"/>
    </row>
    <row r="24" spans="2:8" ht="15" customHeight="1" x14ac:dyDescent="0.25">
      <c r="B24" s="309"/>
      <c r="C24" s="100" t="s">
        <v>95</v>
      </c>
      <c r="D24" s="89" t="str">
        <f>+BITACORA!B966</f>
        <v>Despacho Harina venta</v>
      </c>
      <c r="E24" s="90">
        <f>+BITACORA!C966</f>
        <v>70.28</v>
      </c>
      <c r="F24" s="99">
        <f>+E24/E28</f>
        <v>6.5080702664160231E-2</v>
      </c>
      <c r="G24" s="232">
        <f>+F24</f>
        <v>6.5080702664160231E-2</v>
      </c>
      <c r="H24" s="102">
        <f>+E24</f>
        <v>70.28</v>
      </c>
    </row>
    <row r="25" spans="2:8" ht="15" customHeight="1" x14ac:dyDescent="0.25">
      <c r="B25" s="309"/>
      <c r="C25" s="303" t="s">
        <v>56</v>
      </c>
      <c r="D25" s="89" t="str">
        <f>+BITACORA!B967</f>
        <v>Traslado Har./Pescado Jambeli</v>
      </c>
      <c r="E25" s="90">
        <f>+BITACORA!C967</f>
        <v>175.42</v>
      </c>
      <c r="F25" s="99">
        <f>+E25/E28</f>
        <v>0.16244247099241588</v>
      </c>
      <c r="G25" s="306">
        <f>+F25+F26</f>
        <v>0.18197223791312075</v>
      </c>
      <c r="H25" s="300">
        <f>+E25+E26</f>
        <v>196.51</v>
      </c>
    </row>
    <row r="26" spans="2:8" ht="15" customHeight="1" x14ac:dyDescent="0.25">
      <c r="B26" s="309"/>
      <c r="C26" s="304"/>
      <c r="D26" s="89" t="str">
        <f>+BITACORA!B968</f>
        <v>Traslado Har./Camaron Taura</v>
      </c>
      <c r="E26" s="90">
        <f>+BITACORA!C968</f>
        <v>21.09</v>
      </c>
      <c r="F26" s="99">
        <f>+E26/E28</f>
        <v>1.9529766920704884E-2</v>
      </c>
      <c r="G26" s="308"/>
      <c r="H26" s="302"/>
    </row>
    <row r="27" spans="2:8" ht="15" customHeight="1" x14ac:dyDescent="0.25">
      <c r="B27" s="311"/>
      <c r="C27" s="103" t="s">
        <v>57</v>
      </c>
      <c r="D27" s="89" t="str">
        <f>+BITACORA!B969</f>
        <v>A./Cocción Salica</v>
      </c>
      <c r="E27" s="90">
        <f>+BITACORA!C969</f>
        <v>61.16</v>
      </c>
      <c r="F27" s="99">
        <f>+E27/E28</f>
        <v>5.6635398049801361E-2</v>
      </c>
      <c r="G27" s="101">
        <f>+F27</f>
        <v>5.6635398049801361E-2</v>
      </c>
      <c r="H27" s="102">
        <f>+E27</f>
        <v>61.16</v>
      </c>
    </row>
    <row r="28" spans="2:8" x14ac:dyDescent="0.25">
      <c r="B28" s="95" t="s">
        <v>46</v>
      </c>
      <c r="C28" s="95"/>
      <c r="D28" s="96"/>
      <c r="E28" s="97">
        <f>SUM(E22:E27)</f>
        <v>1079.8900000000001</v>
      </c>
      <c r="F28" s="104">
        <f>SUM(F22:F27)</f>
        <v>0.99999999999999978</v>
      </c>
      <c r="G28" s="105">
        <f>SUM(G22:G27)</f>
        <v>0.99999999999999989</v>
      </c>
    </row>
    <row r="46" spans="2:13" ht="36" x14ac:dyDescent="0.25">
      <c r="B46" s="84" t="s">
        <v>66</v>
      </c>
      <c r="C46" s="84" t="s">
        <v>67</v>
      </c>
      <c r="D46" s="84" t="s">
        <v>68</v>
      </c>
      <c r="E46" s="84" t="s">
        <v>70</v>
      </c>
      <c r="F46" s="85" t="s">
        <v>76</v>
      </c>
      <c r="G46" s="85" t="s">
        <v>77</v>
      </c>
      <c r="H46" s="86" t="s">
        <v>71</v>
      </c>
      <c r="M46" s="106"/>
    </row>
    <row r="47" spans="2:13" x14ac:dyDescent="0.25">
      <c r="B47" s="310" t="s">
        <v>48</v>
      </c>
      <c r="C47" s="303" t="s">
        <v>65</v>
      </c>
      <c r="D47" s="89" t="str">
        <f>+BITACORA!B970</f>
        <v>Materia Prima</v>
      </c>
      <c r="E47" s="90">
        <f>+BITACORA!C970</f>
        <v>649.87</v>
      </c>
      <c r="F47" s="99">
        <f>+E47/E51</f>
        <v>0.60412897852031311</v>
      </c>
      <c r="G47" s="306">
        <f>+F47+F48</f>
        <v>0.77070671200709495</v>
      </c>
      <c r="H47" s="300">
        <f>+E47+E48</f>
        <v>829.06</v>
      </c>
    </row>
    <row r="48" spans="2:13" x14ac:dyDescent="0.25">
      <c r="B48" s="309"/>
      <c r="C48" s="304"/>
      <c r="D48" s="89" t="str">
        <f>+BITACORA!B971</f>
        <v>Scrap  Atun Salica</v>
      </c>
      <c r="E48" s="90">
        <f>+BITACORA!C971</f>
        <v>179.19</v>
      </c>
      <c r="F48" s="99">
        <f>+E48/E51</f>
        <v>0.16657773348678181</v>
      </c>
      <c r="G48" s="308"/>
      <c r="H48" s="302"/>
    </row>
    <row r="49" spans="2:8" x14ac:dyDescent="0.25">
      <c r="B49" s="309"/>
      <c r="C49" s="230" t="s">
        <v>56</v>
      </c>
      <c r="D49" s="89" t="str">
        <f>+BITACORA!B972</f>
        <v>Traslado Har./Pescado Jambeli</v>
      </c>
      <c r="E49" s="90">
        <f>+BITACORA!C972</f>
        <v>105.26</v>
      </c>
      <c r="F49" s="99">
        <f>+E49/E51</f>
        <v>9.7851287609903762E-2</v>
      </c>
      <c r="G49" s="229">
        <f>+F49</f>
        <v>9.7851287609903762E-2</v>
      </c>
      <c r="H49" s="228">
        <f>+E49</f>
        <v>105.26</v>
      </c>
    </row>
    <row r="50" spans="2:8" x14ac:dyDescent="0.25">
      <c r="B50" s="309"/>
      <c r="C50" s="94" t="s">
        <v>57</v>
      </c>
      <c r="D50" s="89" t="str">
        <f>+BITACORA!B973</f>
        <v>A./Cocción Salica</v>
      </c>
      <c r="E50" s="90">
        <f>+BITACORA!C973</f>
        <v>141.39400000000001</v>
      </c>
      <c r="F50" s="99">
        <f>+E50/E51</f>
        <v>0.13144200038300144</v>
      </c>
      <c r="G50" s="99">
        <f>+F50</f>
        <v>0.13144200038300144</v>
      </c>
      <c r="H50" s="102">
        <f>+E50</f>
        <v>141.39400000000001</v>
      </c>
    </row>
    <row r="51" spans="2:8" x14ac:dyDescent="0.25">
      <c r="B51" s="95" t="s">
        <v>46</v>
      </c>
      <c r="C51" s="95"/>
      <c r="D51" s="96"/>
      <c r="E51" s="97">
        <f>SUM(E47:E50)</f>
        <v>1075.7139999999999</v>
      </c>
      <c r="F51" s="104">
        <f>SUM(F47:F50)</f>
        <v>1.0000000000000002</v>
      </c>
      <c r="G51" s="105">
        <f>SUM(G47:G50)</f>
        <v>1.0000000000000002</v>
      </c>
    </row>
    <row r="67" spans="2:8" ht="36" x14ac:dyDescent="0.25">
      <c r="B67" s="84" t="s">
        <v>66</v>
      </c>
      <c r="C67" s="84" t="s">
        <v>67</v>
      </c>
      <c r="D67" s="84" t="s">
        <v>68</v>
      </c>
      <c r="E67" s="84" t="s">
        <v>70</v>
      </c>
      <c r="F67" s="85" t="s">
        <v>76</v>
      </c>
      <c r="G67" s="85" t="s">
        <v>77</v>
      </c>
      <c r="H67" s="86" t="s">
        <v>71</v>
      </c>
    </row>
    <row r="68" spans="2:8" x14ac:dyDescent="0.25">
      <c r="B68" s="310" t="s">
        <v>50</v>
      </c>
      <c r="C68" s="100" t="s">
        <v>65</v>
      </c>
      <c r="D68" s="89" t="str">
        <f>+BITACORA!B974</f>
        <v>Materia Prima</v>
      </c>
      <c r="E68" s="90">
        <f>+BITACORA!C974</f>
        <v>518.26</v>
      </c>
      <c r="F68" s="99">
        <f>+E68/E72</f>
        <v>0.77494504837238509</v>
      </c>
      <c r="G68" s="107">
        <f>+F68</f>
        <v>0.77494504837238509</v>
      </c>
      <c r="H68" s="102">
        <f>+E68</f>
        <v>518.26</v>
      </c>
    </row>
    <row r="69" spans="2:8" ht="15" customHeight="1" x14ac:dyDescent="0.25">
      <c r="B69" s="309"/>
      <c r="C69" s="303" t="s">
        <v>56</v>
      </c>
      <c r="D69" s="89" t="str">
        <f>+BITACORA!B975</f>
        <v>Traslado Har./Pescado Jambeli</v>
      </c>
      <c r="E69" s="90">
        <f>+BITACORA!C975</f>
        <v>127.23</v>
      </c>
      <c r="F69" s="99">
        <f>+E69/E72</f>
        <v>0.19024477772627363</v>
      </c>
      <c r="G69" s="306">
        <f>+F69+F70+F71</f>
        <v>0.22505495162761491</v>
      </c>
      <c r="H69" s="299">
        <f>+E69+E70+E71</f>
        <v>150.51</v>
      </c>
    </row>
    <row r="70" spans="2:8" ht="15" customHeight="1" x14ac:dyDescent="0.25">
      <c r="B70" s="309"/>
      <c r="C70" s="305"/>
      <c r="D70" s="89" t="str">
        <f>+BITACORA!B976</f>
        <v>Ingreso Varios</v>
      </c>
      <c r="E70" s="90">
        <f>+BITACORA!C976</f>
        <v>0.31</v>
      </c>
      <c r="F70" s="99">
        <f>+E70/E72</f>
        <v>4.6353753906425231E-4</v>
      </c>
      <c r="G70" s="307"/>
      <c r="H70" s="299"/>
    </row>
    <row r="71" spans="2:8" ht="15" customHeight="1" x14ac:dyDescent="0.25">
      <c r="B71" s="309"/>
      <c r="C71" s="305"/>
      <c r="D71" s="89" t="str">
        <f>+BITACORA!B977</f>
        <v>Despacho Hidrolizado Venta</v>
      </c>
      <c r="E71" s="90">
        <f>+BITACORA!C977</f>
        <v>22.97</v>
      </c>
      <c r="F71" s="99">
        <f>+E71/E72</f>
        <v>3.4346636362277014E-2</v>
      </c>
      <c r="G71" s="308"/>
      <c r="H71" s="299"/>
    </row>
    <row r="72" spans="2:8" ht="11.25" customHeight="1" x14ac:dyDescent="0.25">
      <c r="B72" s="95" t="s">
        <v>46</v>
      </c>
      <c r="C72" s="95"/>
      <c r="D72" s="96"/>
      <c r="E72" s="97">
        <f>SUM(E68:E71)</f>
        <v>668.77</v>
      </c>
      <c r="F72" s="104">
        <f>SUM(F68:F71)</f>
        <v>0.99999999999999989</v>
      </c>
      <c r="G72" s="105">
        <f>SUM(G68:G71)</f>
        <v>1</v>
      </c>
    </row>
    <row r="87" spans="2:8" ht="36" x14ac:dyDescent="0.25">
      <c r="B87" s="84" t="s">
        <v>66</v>
      </c>
      <c r="C87" s="84" t="s">
        <v>67</v>
      </c>
      <c r="D87" s="84" t="s">
        <v>68</v>
      </c>
      <c r="E87" s="84" t="s">
        <v>70</v>
      </c>
      <c r="F87" s="85" t="s">
        <v>76</v>
      </c>
      <c r="G87" s="85" t="s">
        <v>77</v>
      </c>
      <c r="H87" s="86" t="s">
        <v>71</v>
      </c>
    </row>
    <row r="88" spans="2:8" ht="15.75" customHeight="1" x14ac:dyDescent="0.25">
      <c r="B88" s="310" t="s">
        <v>38</v>
      </c>
      <c r="C88" s="100" t="s">
        <v>65</v>
      </c>
      <c r="D88" s="108" t="str">
        <f>+BITACORA!B978</f>
        <v>Materia Prima</v>
      </c>
      <c r="E88" s="109">
        <f>+BITACORA!C978</f>
        <v>609.17999999999995</v>
      </c>
      <c r="F88" s="99">
        <f>+E88/E93</f>
        <v>0.74307461484978221</v>
      </c>
      <c r="G88" s="232">
        <f>+F88</f>
        <v>0.74307461484978221</v>
      </c>
      <c r="H88" s="231">
        <f>+E88</f>
        <v>609.17999999999995</v>
      </c>
    </row>
    <row r="89" spans="2:8" ht="15.75" customHeight="1" x14ac:dyDescent="0.25">
      <c r="B89" s="309"/>
      <c r="C89" s="100" t="s">
        <v>95</v>
      </c>
      <c r="D89" s="108" t="str">
        <f>+BITACORA!B979</f>
        <v>Despacho Harina venta</v>
      </c>
      <c r="E89" s="109">
        <f>+BITACORA!C979</f>
        <v>25.36</v>
      </c>
      <c r="F89" s="99">
        <f>+E89/E93</f>
        <v>3.0933996901721134E-2</v>
      </c>
      <c r="G89" s="232">
        <f>+F89</f>
        <v>3.0933996901721134E-2</v>
      </c>
      <c r="H89" s="231">
        <f>+E89</f>
        <v>25.36</v>
      </c>
    </row>
    <row r="90" spans="2:8" ht="15.75" customHeight="1" x14ac:dyDescent="0.25">
      <c r="B90" s="309"/>
      <c r="C90" s="315" t="s">
        <v>56</v>
      </c>
      <c r="D90" s="108" t="str">
        <f>+BITACORA!B980</f>
        <v>Despacho Hidrolizado Venta</v>
      </c>
      <c r="E90" s="109">
        <f>+BITACORA!C980</f>
        <v>23.33</v>
      </c>
      <c r="F90" s="99">
        <f>+E90/E93</f>
        <v>2.8457813395786829E-2</v>
      </c>
      <c r="G90" s="298">
        <f>+F90+F91</f>
        <v>0.19619180053914931</v>
      </c>
      <c r="H90" s="299">
        <f>+E90+E91</f>
        <v>160.83999999999997</v>
      </c>
    </row>
    <row r="91" spans="2:8" ht="15.75" customHeight="1" x14ac:dyDescent="0.25">
      <c r="B91" s="309"/>
      <c r="C91" s="315"/>
      <c r="D91" s="108" t="str">
        <f>+BITACORA!B981</f>
        <v>Traslado Har./Pescado Jambeli</v>
      </c>
      <c r="E91" s="109">
        <f>+BITACORA!C981</f>
        <v>137.51</v>
      </c>
      <c r="F91" s="99">
        <f>+E91/E93</f>
        <v>0.16773398714336249</v>
      </c>
      <c r="G91" s="298"/>
      <c r="H91" s="299"/>
    </row>
    <row r="92" spans="2:8" ht="15.75" customHeight="1" x14ac:dyDescent="0.25">
      <c r="B92" s="309"/>
      <c r="C92" s="260" t="s">
        <v>57</v>
      </c>
      <c r="D92" s="108" t="str">
        <f>+BITACORA!B982</f>
        <v>A./Cocción Salica</v>
      </c>
      <c r="E92" s="109">
        <f>+BITACORA!C982</f>
        <v>24.43</v>
      </c>
      <c r="F92" s="99">
        <f>+E92/E93</f>
        <v>2.9799587709347288E-2</v>
      </c>
      <c r="G92" s="232">
        <f>+F92</f>
        <v>2.9799587709347288E-2</v>
      </c>
      <c r="H92" s="231">
        <f>+E92</f>
        <v>24.43</v>
      </c>
    </row>
    <row r="93" spans="2:8" ht="10.5" customHeight="1" x14ac:dyDescent="0.25">
      <c r="B93" s="95" t="s">
        <v>46</v>
      </c>
      <c r="C93" s="95"/>
      <c r="D93" s="96"/>
      <c r="E93" s="97">
        <f>SUM(E88:E92)</f>
        <v>819.81</v>
      </c>
      <c r="F93" s="105">
        <f>SUM(F88:F92)</f>
        <v>1</v>
      </c>
      <c r="G93" s="110">
        <f>SUM(G88:G92)</f>
        <v>1</v>
      </c>
    </row>
    <row r="94" spans="2:8" ht="15" customHeight="1" x14ac:dyDescent="0.25"/>
    <row r="95" spans="2:8" ht="15" customHeight="1" x14ac:dyDescent="0.25"/>
    <row r="96" spans="2:8" ht="15" customHeight="1" x14ac:dyDescent="0.25"/>
    <row r="97" spans="2:8" ht="15" customHeight="1" x14ac:dyDescent="0.25"/>
    <row r="98" spans="2:8" ht="15" customHeight="1" x14ac:dyDescent="0.25"/>
    <row r="99" spans="2:8" ht="15" customHeight="1" x14ac:dyDescent="0.25"/>
    <row r="100" spans="2:8" ht="15" customHeight="1" x14ac:dyDescent="0.25"/>
    <row r="101" spans="2:8" ht="15" customHeight="1" x14ac:dyDescent="0.25"/>
    <row r="102" spans="2:8" ht="15" customHeight="1" x14ac:dyDescent="0.25"/>
    <row r="103" spans="2:8" ht="15" customHeight="1" x14ac:dyDescent="0.25"/>
    <row r="104" spans="2:8" ht="15" customHeight="1" x14ac:dyDescent="0.25"/>
    <row r="105" spans="2:8" ht="15" customHeight="1" x14ac:dyDescent="0.25"/>
    <row r="106" spans="2:8" ht="15" customHeight="1" x14ac:dyDescent="0.25"/>
    <row r="107" spans="2:8" ht="15" customHeight="1" x14ac:dyDescent="0.25"/>
    <row r="108" spans="2:8" ht="15" customHeight="1" x14ac:dyDescent="0.25"/>
    <row r="109" spans="2:8" ht="36" x14ac:dyDescent="0.25">
      <c r="B109" s="84" t="s">
        <v>66</v>
      </c>
      <c r="C109" s="84" t="s">
        <v>67</v>
      </c>
      <c r="D109" s="84" t="s">
        <v>68</v>
      </c>
      <c r="E109" s="84" t="s">
        <v>70</v>
      </c>
      <c r="F109" s="85" t="s">
        <v>76</v>
      </c>
      <c r="G109" s="85" t="s">
        <v>77</v>
      </c>
      <c r="H109" s="86" t="s">
        <v>71</v>
      </c>
    </row>
    <row r="110" spans="2:8" ht="15" customHeight="1" x14ac:dyDescent="0.25">
      <c r="B110" s="310" t="s">
        <v>39</v>
      </c>
      <c r="C110" s="100" t="s">
        <v>65</v>
      </c>
      <c r="D110" s="89" t="str">
        <f>+BITACORA!B983</f>
        <v>Materia Prima</v>
      </c>
      <c r="E110" s="90">
        <f>+BITACORA!C983</f>
        <v>372.75</v>
      </c>
      <c r="F110" s="99">
        <f>+E110/E115</f>
        <v>0.49960460534251888</v>
      </c>
      <c r="G110" s="232">
        <f>+F110</f>
        <v>0.49960460534251888</v>
      </c>
      <c r="H110" s="231">
        <f>+E110</f>
        <v>372.75</v>
      </c>
    </row>
    <row r="111" spans="2:8" ht="15" customHeight="1" x14ac:dyDescent="0.25">
      <c r="B111" s="309"/>
      <c r="C111" s="100" t="s">
        <v>95</v>
      </c>
      <c r="D111" s="89" t="str">
        <f>+BITACORA!B984</f>
        <v>Despacho Harina venta</v>
      </c>
      <c r="E111" s="90">
        <f>+BITACORA!C984</f>
        <v>300.91000000000003</v>
      </c>
      <c r="F111" s="99">
        <f>+E111/E115</f>
        <v>0.4033159538393491</v>
      </c>
      <c r="G111" s="232">
        <f>+F111</f>
        <v>0.4033159538393491</v>
      </c>
      <c r="H111" s="231">
        <f>+E111</f>
        <v>300.91000000000003</v>
      </c>
    </row>
    <row r="112" spans="2:8" ht="15" customHeight="1" x14ac:dyDescent="0.25">
      <c r="B112" s="309"/>
      <c r="C112" s="305" t="s">
        <v>56</v>
      </c>
      <c r="D112" s="89" t="str">
        <f>+BITACORA!B985</f>
        <v>Traslado Har./Pescado Jambeli</v>
      </c>
      <c r="E112" s="90">
        <f>+BITACORA!C985</f>
        <v>50.9</v>
      </c>
      <c r="F112" s="99">
        <f>+E112/E115</f>
        <v>6.8222332426382856E-2</v>
      </c>
      <c r="G112" s="298">
        <f>+F112+F113</f>
        <v>7.016579769196743E-2</v>
      </c>
      <c r="H112" s="299">
        <f>+E112+E113</f>
        <v>52.35</v>
      </c>
    </row>
    <row r="113" spans="2:8" ht="15" customHeight="1" x14ac:dyDescent="0.25">
      <c r="B113" s="309"/>
      <c r="C113" s="304"/>
      <c r="D113" s="89" t="str">
        <f>+BITACORA!B986</f>
        <v>Ingreso Varios</v>
      </c>
      <c r="E113" s="90">
        <f>+BITACORA!C986</f>
        <v>1.45</v>
      </c>
      <c r="F113" s="99">
        <f>+E113/E115</f>
        <v>1.9434652655845805E-3</v>
      </c>
      <c r="G113" s="298"/>
      <c r="H113" s="299"/>
    </row>
    <row r="114" spans="2:8" ht="15" customHeight="1" x14ac:dyDescent="0.25">
      <c r="B114" s="311"/>
      <c r="C114" s="103" t="s">
        <v>57</v>
      </c>
      <c r="D114" s="89" t="str">
        <f>+BITACORA!B987</f>
        <v>Despacho de Aceite</v>
      </c>
      <c r="E114" s="90">
        <f>+BITACORA!C987</f>
        <v>20.079999999999998</v>
      </c>
      <c r="F114" s="99">
        <f>+E114/E115</f>
        <v>2.6913643126164396E-2</v>
      </c>
      <c r="G114" s="232">
        <f>+F114</f>
        <v>2.6913643126164396E-2</v>
      </c>
      <c r="H114" s="231">
        <f>+E114</f>
        <v>20.079999999999998</v>
      </c>
    </row>
    <row r="115" spans="2:8" ht="12.75" customHeight="1" x14ac:dyDescent="0.25">
      <c r="B115" s="95" t="s">
        <v>46</v>
      </c>
      <c r="C115" s="95"/>
      <c r="D115" s="96"/>
      <c r="E115" s="97">
        <f>SUM(E110:E114)</f>
        <v>746.09000000000015</v>
      </c>
      <c r="F115" s="105">
        <f>SUM(F110:F114)</f>
        <v>0.99999999999999978</v>
      </c>
      <c r="G115" s="105">
        <f>SUM(G110:G114)</f>
        <v>0.99999999999999978</v>
      </c>
    </row>
    <row r="116" spans="2:8" x14ac:dyDescent="0.25">
      <c r="B116" s="112"/>
      <c r="C116" s="112"/>
      <c r="D116" s="112"/>
      <c r="E116" s="112"/>
      <c r="F116" s="112"/>
      <c r="G116" s="113"/>
    </row>
    <row r="131" spans="2:8" ht="24" x14ac:dyDescent="0.25">
      <c r="B131" s="84" t="s">
        <v>66</v>
      </c>
      <c r="C131" s="84" t="s">
        <v>67</v>
      </c>
      <c r="D131" s="84" t="s">
        <v>68</v>
      </c>
      <c r="E131" s="84" t="s">
        <v>70</v>
      </c>
      <c r="F131" s="84"/>
      <c r="G131" s="114" t="s">
        <v>69</v>
      </c>
      <c r="H131" s="86" t="s">
        <v>71</v>
      </c>
    </row>
    <row r="132" spans="2:8" ht="15" customHeight="1" x14ac:dyDescent="0.25">
      <c r="B132" s="310" t="s">
        <v>40</v>
      </c>
      <c r="C132" s="94" t="s">
        <v>65</v>
      </c>
      <c r="D132" s="89" t="str">
        <f>+BITACORA!B988</f>
        <v>Materia Prima</v>
      </c>
      <c r="E132" s="90">
        <f>+BITACORA!C988</f>
        <v>424.62</v>
      </c>
      <c r="F132" s="99">
        <f>+E132/E138</f>
        <v>0.495177898800014</v>
      </c>
      <c r="G132" s="107">
        <f>+F132</f>
        <v>0.495177898800014</v>
      </c>
      <c r="H132" s="102">
        <f>+E132</f>
        <v>424.62</v>
      </c>
    </row>
    <row r="133" spans="2:8" ht="15" customHeight="1" x14ac:dyDescent="0.25">
      <c r="B133" s="309"/>
      <c r="C133" s="94" t="s">
        <v>95</v>
      </c>
      <c r="D133" s="89" t="str">
        <f>+BITACORA!B989</f>
        <v>Despacho Harina venta</v>
      </c>
      <c r="E133" s="90">
        <f>+BITACORA!C989</f>
        <v>175.64</v>
      </c>
      <c r="F133" s="99">
        <f>+E133/E138</f>
        <v>0.20482559970146119</v>
      </c>
      <c r="G133" s="107">
        <f>+F133</f>
        <v>0.20482559970146119</v>
      </c>
      <c r="H133" s="102">
        <f>+E133</f>
        <v>175.64</v>
      </c>
    </row>
    <row r="134" spans="2:8" ht="15" customHeight="1" x14ac:dyDescent="0.25">
      <c r="B134" s="309"/>
      <c r="C134" s="305" t="s">
        <v>56</v>
      </c>
      <c r="D134" s="89" t="str">
        <f>+BITACORA!B990</f>
        <v>Traslado Har./Pescado Jambeli</v>
      </c>
      <c r="E134" s="90">
        <f>+BITACORA!C990</f>
        <v>25.37</v>
      </c>
      <c r="F134" s="99">
        <f>+E134/E138</f>
        <v>2.9585660808620309E-2</v>
      </c>
      <c r="G134" s="307">
        <f>+F134+F135+F136</f>
        <v>6.5853459434875389E-2</v>
      </c>
      <c r="H134" s="301">
        <f>+E134+E135+E136</f>
        <v>56.470000000000006</v>
      </c>
    </row>
    <row r="135" spans="2:8" ht="15" customHeight="1" x14ac:dyDescent="0.25">
      <c r="B135" s="309"/>
      <c r="C135" s="305"/>
      <c r="D135" s="89" t="str">
        <f>+BITACORA!B991</f>
        <v>Despacho Hidrolizado Venta</v>
      </c>
      <c r="E135" s="90">
        <f>+BITACORA!C991</f>
        <v>23.47</v>
      </c>
      <c r="F135" s="99">
        <f>+E135/E138</f>
        <v>2.7369943207659383E-2</v>
      </c>
      <c r="G135" s="307"/>
      <c r="H135" s="301"/>
    </row>
    <row r="136" spans="2:8" ht="15" customHeight="1" x14ac:dyDescent="0.25">
      <c r="B136" s="309"/>
      <c r="C136" s="304"/>
      <c r="D136" s="89" t="str">
        <f>+BITACORA!B992</f>
        <v>Ingreso Varios</v>
      </c>
      <c r="E136" s="90">
        <f>+BITACORA!C992</f>
        <v>7.63</v>
      </c>
      <c r="F136" s="99">
        <f>+E136/E138</f>
        <v>8.8978554185957012E-3</v>
      </c>
      <c r="G136" s="308"/>
      <c r="H136" s="302"/>
    </row>
    <row r="137" spans="2:8" ht="15" customHeight="1" x14ac:dyDescent="0.25">
      <c r="B137" s="309"/>
      <c r="C137" s="94" t="s">
        <v>57</v>
      </c>
      <c r="D137" s="89" t="str">
        <f>+BITACORA!B993</f>
        <v>A./Cocción Salica</v>
      </c>
      <c r="E137" s="90">
        <f>+BITACORA!C993</f>
        <v>200.78</v>
      </c>
      <c r="F137" s="99">
        <f>+E137/E138</f>
        <v>0.23414304206364941</v>
      </c>
      <c r="G137" s="107">
        <f>+F137</f>
        <v>0.23414304206364941</v>
      </c>
      <c r="H137" s="102">
        <f>+E137</f>
        <v>200.78</v>
      </c>
    </row>
    <row r="138" spans="2:8" ht="10.5" customHeight="1" x14ac:dyDescent="0.25">
      <c r="B138" s="95" t="s">
        <v>46</v>
      </c>
      <c r="C138" s="95"/>
      <c r="D138" s="96"/>
      <c r="E138" s="97">
        <f>SUM(E132:E137)</f>
        <v>857.51</v>
      </c>
      <c r="F138" s="115">
        <f>SUM(F132:F137)</f>
        <v>1</v>
      </c>
      <c r="G138" s="105">
        <f>SUM(G132:G137)</f>
        <v>1</v>
      </c>
    </row>
    <row r="139" spans="2:8" ht="15" customHeight="1" x14ac:dyDescent="0.25">
      <c r="B139" s="112"/>
      <c r="C139" s="112"/>
      <c r="D139" s="112"/>
      <c r="E139" s="112"/>
      <c r="F139" s="112"/>
      <c r="G139" s="113"/>
    </row>
    <row r="140" spans="2:8" ht="15" customHeight="1" x14ac:dyDescent="0.25"/>
    <row r="141" spans="2:8" ht="15" customHeight="1" x14ac:dyDescent="0.25"/>
    <row r="142" spans="2:8" ht="15" customHeight="1" x14ac:dyDescent="0.25"/>
    <row r="143" spans="2:8" ht="15" customHeight="1" x14ac:dyDescent="0.25"/>
    <row r="144" spans="2:8" ht="15" customHeight="1" x14ac:dyDescent="0.25"/>
    <row r="145" spans="2:8" ht="15" customHeight="1" x14ac:dyDescent="0.25"/>
    <row r="146" spans="2:8" ht="15" customHeight="1" x14ac:dyDescent="0.25"/>
    <row r="147" spans="2:8" ht="15" customHeight="1" x14ac:dyDescent="0.25"/>
    <row r="148" spans="2:8" ht="15" customHeight="1" x14ac:dyDescent="0.25"/>
    <row r="149" spans="2:8" ht="15" customHeight="1" x14ac:dyDescent="0.25"/>
    <row r="150" spans="2:8" ht="15" customHeight="1" x14ac:dyDescent="0.25"/>
    <row r="151" spans="2:8" ht="15" customHeight="1" x14ac:dyDescent="0.25"/>
    <row r="152" spans="2:8" ht="15" customHeight="1" x14ac:dyDescent="0.25"/>
    <row r="153" spans="2:8" ht="15" customHeight="1" x14ac:dyDescent="0.25"/>
    <row r="154" spans="2:8" ht="15" customHeight="1" x14ac:dyDescent="0.25"/>
    <row r="155" spans="2:8" ht="15" customHeight="1" x14ac:dyDescent="0.25"/>
    <row r="156" spans="2:8" ht="24" x14ac:dyDescent="0.25">
      <c r="B156" s="84" t="s">
        <v>66</v>
      </c>
      <c r="C156" s="84" t="s">
        <v>67</v>
      </c>
      <c r="D156" s="84" t="s">
        <v>68</v>
      </c>
      <c r="E156" s="84" t="s">
        <v>70</v>
      </c>
      <c r="F156" s="84"/>
      <c r="G156" s="114" t="s">
        <v>69</v>
      </c>
      <c r="H156" s="86" t="s">
        <v>71</v>
      </c>
    </row>
    <row r="157" spans="2:8" ht="15.75" customHeight="1" x14ac:dyDescent="0.25">
      <c r="B157" s="310" t="s">
        <v>41</v>
      </c>
      <c r="C157" s="100" t="s">
        <v>65</v>
      </c>
      <c r="D157" s="89" t="str">
        <f>+BITACORA!B994</f>
        <v>Materia Prima</v>
      </c>
      <c r="E157" s="90">
        <f>+BITACORA!C994</f>
        <v>300.27499999999998</v>
      </c>
      <c r="F157" s="99">
        <f>+E157/E164</f>
        <v>0.47085342428162613</v>
      </c>
      <c r="G157" s="232">
        <f>+F157</f>
        <v>0.47085342428162613</v>
      </c>
      <c r="H157" s="231">
        <f>+E157</f>
        <v>300.27499999999998</v>
      </c>
    </row>
    <row r="158" spans="2:8" ht="15.75" customHeight="1" x14ac:dyDescent="0.25">
      <c r="B158" s="309"/>
      <c r="C158" s="116" t="s">
        <v>95</v>
      </c>
      <c r="D158" s="89" t="str">
        <f>+BITACORA!B995</f>
        <v>Despacho harina Venta</v>
      </c>
      <c r="E158" s="90">
        <f>+BITACORA!C995</f>
        <v>70.2</v>
      </c>
      <c r="F158" s="99">
        <f>+E158/E164</f>
        <v>0.11007879571915796</v>
      </c>
      <c r="G158" s="232">
        <f>+F158</f>
        <v>0.11007879571915796</v>
      </c>
      <c r="H158" s="231">
        <f>+E158</f>
        <v>70.2</v>
      </c>
    </row>
    <row r="159" spans="2:8" ht="15.75" customHeight="1" x14ac:dyDescent="0.25">
      <c r="B159" s="309"/>
      <c r="C159" s="312" t="s">
        <v>56</v>
      </c>
      <c r="D159" s="89" t="str">
        <f>+BITACORA!B996</f>
        <v>Despacho Hidrolizado Venta</v>
      </c>
      <c r="E159" s="90">
        <f>+BITACORA!C996</f>
        <v>46.5</v>
      </c>
      <c r="F159" s="99">
        <f>+E159/E164</f>
        <v>7.2915441608843945E-2</v>
      </c>
      <c r="G159" s="298">
        <f>+F159+F160+F161+F162</f>
        <v>0.22799796150378299</v>
      </c>
      <c r="H159" s="299">
        <f>+E159+E160+E161+E162</f>
        <v>145.39999999999998</v>
      </c>
    </row>
    <row r="160" spans="2:8" ht="15.75" customHeight="1" x14ac:dyDescent="0.25">
      <c r="B160" s="309"/>
      <c r="C160" s="313"/>
      <c r="D160" s="89" t="str">
        <f>+BITACORA!B997</f>
        <v>Traslado Har./Camaron Taura</v>
      </c>
      <c r="E160" s="90">
        <f>+BITACORA!C997</f>
        <v>21.07</v>
      </c>
      <c r="F160" s="99">
        <f>+E160/E164</f>
        <v>3.3039319455878326E-2</v>
      </c>
      <c r="G160" s="298"/>
      <c r="H160" s="299"/>
    </row>
    <row r="161" spans="2:8" ht="15.75" customHeight="1" x14ac:dyDescent="0.25">
      <c r="B161" s="309"/>
      <c r="C161" s="313"/>
      <c r="D161" s="89" t="str">
        <f>+BITACORA!B998</f>
        <v>Traslado Har./Pescado Jambeli</v>
      </c>
      <c r="E161" s="90">
        <f>+BITACORA!C998</f>
        <v>75.77</v>
      </c>
      <c r="F161" s="99">
        <f>+E161/E164</f>
        <v>0.11881296797208829</v>
      </c>
      <c r="G161" s="298"/>
      <c r="H161" s="299"/>
    </row>
    <row r="162" spans="2:8" ht="15.75" customHeight="1" x14ac:dyDescent="0.25">
      <c r="B162" s="309"/>
      <c r="C162" s="314"/>
      <c r="D162" s="89" t="str">
        <f>+BITACORA!B999</f>
        <v>Ingreso Varios</v>
      </c>
      <c r="E162" s="90">
        <f>+BITACORA!C999</f>
        <v>2.06</v>
      </c>
      <c r="F162" s="99">
        <f>+E162/E164</f>
        <v>3.2302324669724416E-3</v>
      </c>
      <c r="G162" s="298"/>
      <c r="H162" s="299"/>
    </row>
    <row r="163" spans="2:8" ht="15.75" customHeight="1" x14ac:dyDescent="0.25">
      <c r="B163" s="309"/>
      <c r="C163" s="100" t="s">
        <v>57</v>
      </c>
      <c r="D163" s="89" t="str">
        <f>+BITACORA!B1000</f>
        <v>Despacho de Aceite</v>
      </c>
      <c r="E163" s="90">
        <f>+BITACORA!C1000</f>
        <v>121.85</v>
      </c>
      <c r="F163" s="99">
        <f>+E163/E164</f>
        <v>0.191069818495433</v>
      </c>
      <c r="G163" s="232">
        <f>+F163</f>
        <v>0.191069818495433</v>
      </c>
      <c r="H163" s="231">
        <f>+E163</f>
        <v>121.85</v>
      </c>
    </row>
    <row r="164" spans="2:8" ht="15" customHeight="1" x14ac:dyDescent="0.25">
      <c r="B164" s="117" t="s">
        <v>46</v>
      </c>
      <c r="C164" s="117"/>
      <c r="D164" s="118"/>
      <c r="E164" s="119">
        <f>SUM(E157:E163)</f>
        <v>637.72499999999991</v>
      </c>
      <c r="F164" s="120">
        <f>SUM(F157:F163)</f>
        <v>1</v>
      </c>
      <c r="G164" s="121">
        <f>SUM(G157:G163)</f>
        <v>1</v>
      </c>
    </row>
    <row r="165" spans="2:8" ht="15" customHeight="1" x14ac:dyDescent="0.25"/>
    <row r="166" spans="2:8" ht="15" customHeight="1" x14ac:dyDescent="0.25"/>
    <row r="167" spans="2:8" ht="15" customHeight="1" x14ac:dyDescent="0.25"/>
    <row r="168" spans="2:8" ht="15" customHeight="1" x14ac:dyDescent="0.25"/>
    <row r="169" spans="2:8" ht="15" customHeight="1" x14ac:dyDescent="0.25"/>
    <row r="170" spans="2:8" ht="15" customHeight="1" x14ac:dyDescent="0.25"/>
    <row r="171" spans="2:8" ht="15" customHeight="1" x14ac:dyDescent="0.25"/>
    <row r="172" spans="2:8" ht="15" customHeight="1" x14ac:dyDescent="0.25"/>
    <row r="173" spans="2:8" ht="15" customHeight="1" x14ac:dyDescent="0.25"/>
    <row r="174" spans="2:8" ht="15" customHeight="1" x14ac:dyDescent="0.25"/>
    <row r="175" spans="2:8" ht="15" customHeight="1" x14ac:dyDescent="0.25"/>
    <row r="176" spans="2:8" ht="15" customHeight="1" x14ac:dyDescent="0.25"/>
    <row r="177" spans="2:8" ht="15" customHeight="1" x14ac:dyDescent="0.25"/>
    <row r="178" spans="2:8" ht="15" customHeight="1" x14ac:dyDescent="0.25"/>
    <row r="179" spans="2:8" ht="15" customHeight="1" x14ac:dyDescent="0.25"/>
    <row r="180" spans="2:8" ht="39.75" customHeight="1" x14ac:dyDescent="0.25">
      <c r="B180" s="233" t="s">
        <v>66</v>
      </c>
      <c r="C180" s="233" t="s">
        <v>67</v>
      </c>
      <c r="D180" s="233" t="s">
        <v>68</v>
      </c>
      <c r="E180" s="233" t="s">
        <v>70</v>
      </c>
      <c r="F180" s="85" t="s">
        <v>76</v>
      </c>
      <c r="G180" s="85" t="s">
        <v>77</v>
      </c>
      <c r="H180" s="86" t="s">
        <v>71</v>
      </c>
    </row>
    <row r="181" spans="2:8" ht="15" customHeight="1" x14ac:dyDescent="0.25">
      <c r="B181" s="310" t="s">
        <v>820</v>
      </c>
      <c r="C181" s="100" t="s">
        <v>65</v>
      </c>
      <c r="D181" s="89" t="str">
        <f>+BITACORA!B1001</f>
        <v>Materia Prima</v>
      </c>
      <c r="E181" s="90">
        <f>+BITACORA!C1001</f>
        <v>61.65</v>
      </c>
      <c r="F181" s="99">
        <f>+E181/E184</f>
        <v>0.38620560045104302</v>
      </c>
      <c r="G181" s="232">
        <f>+F181</f>
        <v>0.38620560045104302</v>
      </c>
      <c r="H181" s="231">
        <f>+E181</f>
        <v>61.65</v>
      </c>
    </row>
    <row r="182" spans="2:8" ht="15" customHeight="1" x14ac:dyDescent="0.25">
      <c r="B182" s="309"/>
      <c r="C182" s="230" t="s">
        <v>56</v>
      </c>
      <c r="D182" s="89" t="str">
        <f>+BITACORA!B1002</f>
        <v>Traslado Har./Pescado Jambeli</v>
      </c>
      <c r="E182" s="90">
        <f>+BITACORA!C1002</f>
        <v>41.73</v>
      </c>
      <c r="F182" s="99">
        <f>+E182/E184</f>
        <v>0.26141702687464763</v>
      </c>
      <c r="G182" s="232">
        <f>+F182</f>
        <v>0.26141702687464763</v>
      </c>
      <c r="H182" s="231">
        <f>+E182</f>
        <v>41.73</v>
      </c>
    </row>
    <row r="183" spans="2:8" ht="15" customHeight="1" x14ac:dyDescent="0.25">
      <c r="B183" s="309"/>
      <c r="C183" s="94" t="s">
        <v>57</v>
      </c>
      <c r="D183" s="89" t="str">
        <f>+BITACORA!B1003</f>
        <v>A./Cocción Salica</v>
      </c>
      <c r="E183" s="90">
        <f>+BITACORA!C1003</f>
        <v>56.25</v>
      </c>
      <c r="F183" s="99">
        <f>+E183/E184</f>
        <v>0.35237737267430935</v>
      </c>
      <c r="G183" s="232">
        <f>+F183</f>
        <v>0.35237737267430935</v>
      </c>
      <c r="H183" s="231">
        <f>+E183</f>
        <v>56.25</v>
      </c>
    </row>
    <row r="184" spans="2:8" ht="15" customHeight="1" x14ac:dyDescent="0.25">
      <c r="B184" s="95" t="s">
        <v>46</v>
      </c>
      <c r="C184" s="95"/>
      <c r="D184" s="96"/>
      <c r="E184" s="97">
        <f>SUM(E181:E183)</f>
        <v>159.63</v>
      </c>
      <c r="F184" s="104">
        <f>SUM(F181:F183)</f>
        <v>1</v>
      </c>
      <c r="G184" s="105">
        <f>SUM(G181:G183)</f>
        <v>1</v>
      </c>
    </row>
    <row r="185" spans="2:8" ht="15" customHeight="1" x14ac:dyDescent="0.25"/>
    <row r="186" spans="2:8" ht="15" customHeight="1" x14ac:dyDescent="0.25"/>
    <row r="187" spans="2:8" ht="15" customHeight="1" x14ac:dyDescent="0.25"/>
    <row r="188" spans="2:8" ht="15" customHeight="1" x14ac:dyDescent="0.25"/>
    <row r="189" spans="2:8" ht="15" customHeight="1" x14ac:dyDescent="0.25"/>
    <row r="190" spans="2:8" ht="15" customHeight="1" x14ac:dyDescent="0.25"/>
    <row r="191" spans="2:8" ht="15" customHeight="1" x14ac:dyDescent="0.25"/>
    <row r="192" spans="2:8" ht="15" customHeight="1" x14ac:dyDescent="0.25"/>
    <row r="193" spans="2:8" ht="15" customHeight="1" x14ac:dyDescent="0.25"/>
    <row r="194" spans="2:8" ht="15" customHeight="1" x14ac:dyDescent="0.25"/>
    <row r="195" spans="2:8" ht="15" customHeight="1" x14ac:dyDescent="0.25"/>
    <row r="196" spans="2:8" ht="15" customHeight="1" x14ac:dyDescent="0.25"/>
    <row r="197" spans="2:8" ht="15" customHeight="1" x14ac:dyDescent="0.25"/>
    <row r="198" spans="2:8" ht="15" customHeight="1" x14ac:dyDescent="0.25"/>
    <row r="199" spans="2:8" ht="36.75" customHeight="1" x14ac:dyDescent="0.25">
      <c r="B199" s="233" t="s">
        <v>66</v>
      </c>
      <c r="C199" s="233" t="s">
        <v>67</v>
      </c>
      <c r="D199" s="233" t="s">
        <v>68</v>
      </c>
      <c r="E199" s="233" t="s">
        <v>70</v>
      </c>
      <c r="F199" s="85" t="s">
        <v>76</v>
      </c>
      <c r="G199" s="85" t="s">
        <v>77</v>
      </c>
      <c r="H199" s="86" t="s">
        <v>71</v>
      </c>
    </row>
    <row r="200" spans="2:8" ht="15" customHeight="1" x14ac:dyDescent="0.25">
      <c r="B200" s="310" t="s">
        <v>267</v>
      </c>
      <c r="C200" s="303" t="s">
        <v>65</v>
      </c>
      <c r="D200" s="108" t="str">
        <f>+BITACORA!B1004</f>
        <v>Materia Prima</v>
      </c>
      <c r="E200" s="109">
        <f>+BITACORA!C1004</f>
        <v>424.98</v>
      </c>
      <c r="F200" s="99">
        <f>+E200/E207</f>
        <v>0.44335252879318982</v>
      </c>
      <c r="G200" s="298">
        <f>+F200+F201</f>
        <v>0.46328868302453685</v>
      </c>
      <c r="H200" s="299">
        <f>+E200+E201</f>
        <v>444.09000000000003</v>
      </c>
    </row>
    <row r="201" spans="2:8" ht="15" customHeight="1" x14ac:dyDescent="0.25">
      <c r="B201" s="309"/>
      <c r="C201" s="305"/>
      <c r="D201" s="108" t="str">
        <f>+BITACORA!B1005</f>
        <v>Scrap  Atun Manta</v>
      </c>
      <c r="E201" s="109">
        <f>+BITACORA!C1005</f>
        <v>19.11</v>
      </c>
      <c r="F201" s="99">
        <f>+E201/E207</f>
        <v>1.9936154231347022E-2</v>
      </c>
      <c r="G201" s="298"/>
      <c r="H201" s="299"/>
    </row>
    <row r="202" spans="2:8" ht="15" customHeight="1" x14ac:dyDescent="0.25">
      <c r="B202" s="309"/>
      <c r="C202" s="100" t="s">
        <v>95</v>
      </c>
      <c r="D202" s="108" t="str">
        <f>+BITACORA!B1006</f>
        <v>Despacho harina Venta</v>
      </c>
      <c r="E202" s="109">
        <f>+BITACORA!C1006</f>
        <v>288.02999999999997</v>
      </c>
      <c r="F202" s="99">
        <f>+E202/E207</f>
        <v>0.30048197295943913</v>
      </c>
      <c r="G202" s="107">
        <f>+F202</f>
        <v>0.30048197295943913</v>
      </c>
      <c r="H202" s="102">
        <f>+E202</f>
        <v>288.02999999999997</v>
      </c>
    </row>
    <row r="203" spans="2:8" ht="15" customHeight="1" x14ac:dyDescent="0.25">
      <c r="B203" s="309"/>
      <c r="C203" s="303" t="s">
        <v>56</v>
      </c>
      <c r="D203" s="108" t="str">
        <f>+BITACORA!B1007</f>
        <v>Despacho Hidrolizado Venta</v>
      </c>
      <c r="E203" s="109">
        <f>+BITACORA!C1007</f>
        <v>46.4</v>
      </c>
      <c r="F203" s="99">
        <f>+E203/E207</f>
        <v>4.8405942246703387E-2</v>
      </c>
      <c r="G203" s="306">
        <f>+F203+F204+F205+F206</f>
        <v>0.23622934401602405</v>
      </c>
      <c r="H203" s="300">
        <f>+E203+E204+E205+E206</f>
        <v>226.44000000000003</v>
      </c>
    </row>
    <row r="204" spans="2:8" ht="15" customHeight="1" x14ac:dyDescent="0.25">
      <c r="B204" s="309"/>
      <c r="C204" s="305"/>
      <c r="D204" s="108" t="str">
        <f>+BITACORA!B1008</f>
        <v>Traslado Har./Camaron Taura</v>
      </c>
      <c r="E204" s="109">
        <f>+BITACORA!C1008</f>
        <v>42.28</v>
      </c>
      <c r="F204" s="99">
        <f>+E204/E207</f>
        <v>4.410782840928059E-2</v>
      </c>
      <c r="G204" s="307"/>
      <c r="H204" s="301"/>
    </row>
    <row r="205" spans="2:8" ht="15" customHeight="1" x14ac:dyDescent="0.25">
      <c r="B205" s="309"/>
      <c r="C205" s="305"/>
      <c r="D205" s="108" t="str">
        <f>+BITACORA!B1009</f>
        <v>Traslado Har./Pescado Jambeli</v>
      </c>
      <c r="E205" s="109">
        <f>+BITACORA!C1009</f>
        <v>101.99</v>
      </c>
      <c r="F205" s="99">
        <f>+E205/E207</f>
        <v>0.10639918210649307</v>
      </c>
      <c r="G205" s="307"/>
      <c r="H205" s="301"/>
    </row>
    <row r="206" spans="2:8" ht="15" customHeight="1" x14ac:dyDescent="0.25">
      <c r="B206" s="309"/>
      <c r="C206" s="304"/>
      <c r="D206" s="108" t="str">
        <f>+BITACORA!B1010</f>
        <v>Ingreso Varios</v>
      </c>
      <c r="E206" s="109">
        <f>+BITACORA!C1010</f>
        <v>35.770000000000003</v>
      </c>
      <c r="F206" s="99">
        <f>+E206/E207</f>
        <v>3.7316391253546993E-2</v>
      </c>
      <c r="G206" s="308"/>
      <c r="H206" s="302"/>
    </row>
    <row r="207" spans="2:8" ht="15" customHeight="1" x14ac:dyDescent="0.25">
      <c r="B207" s="95" t="s">
        <v>46</v>
      </c>
      <c r="C207" s="95"/>
      <c r="D207" s="96"/>
      <c r="E207" s="97">
        <f>SUM(E200:E206)</f>
        <v>958.56</v>
      </c>
      <c r="F207" s="105">
        <f>SUBTOTAL(9,F200:F206)</f>
        <v>1</v>
      </c>
      <c r="G207" s="105">
        <f>SUBTOTAL(9,G200:G206)</f>
        <v>1</v>
      </c>
    </row>
    <row r="208" spans="2:8" ht="15" customHeight="1" x14ac:dyDescent="0.25"/>
    <row r="209" spans="2:8" ht="15" customHeight="1" x14ac:dyDescent="0.25"/>
    <row r="210" spans="2:8" ht="15" customHeight="1" x14ac:dyDescent="0.25"/>
    <row r="211" spans="2:8" ht="15" customHeight="1" x14ac:dyDescent="0.25"/>
    <row r="212" spans="2:8" ht="15" customHeight="1" x14ac:dyDescent="0.25"/>
    <row r="213" spans="2:8" ht="15" customHeight="1" x14ac:dyDescent="0.25"/>
    <row r="214" spans="2:8" ht="15" customHeight="1" x14ac:dyDescent="0.25"/>
    <row r="215" spans="2:8" ht="15" customHeight="1" x14ac:dyDescent="0.25"/>
    <row r="216" spans="2:8" ht="15" customHeight="1" x14ac:dyDescent="0.25"/>
    <row r="217" spans="2:8" ht="15" customHeight="1" x14ac:dyDescent="0.25"/>
    <row r="218" spans="2:8" ht="15" customHeight="1" x14ac:dyDescent="0.25"/>
    <row r="219" spans="2:8" ht="15" customHeight="1" x14ac:dyDescent="0.25"/>
    <row r="220" spans="2:8" ht="15" customHeight="1" x14ac:dyDescent="0.25"/>
    <row r="221" spans="2:8" ht="15" customHeight="1" x14ac:dyDescent="0.25"/>
    <row r="222" spans="2:8" ht="15" customHeight="1" x14ac:dyDescent="0.25"/>
    <row r="223" spans="2:8" x14ac:dyDescent="0.25">
      <c r="G223" s="87"/>
    </row>
    <row r="224" spans="2:8" ht="24" x14ac:dyDescent="0.25">
      <c r="B224" s="84" t="s">
        <v>66</v>
      </c>
      <c r="C224" s="84" t="s">
        <v>67</v>
      </c>
      <c r="D224" s="84" t="s">
        <v>68</v>
      </c>
      <c r="E224" s="84" t="s">
        <v>70</v>
      </c>
      <c r="F224" s="84"/>
      <c r="G224" s="114" t="s">
        <v>69</v>
      </c>
      <c r="H224" s="86" t="s">
        <v>71</v>
      </c>
    </row>
    <row r="225" spans="2:8" ht="15.75" customHeight="1" x14ac:dyDescent="0.25">
      <c r="B225" s="310" t="s">
        <v>63</v>
      </c>
      <c r="C225" s="303" t="s">
        <v>65</v>
      </c>
      <c r="D225" s="89" t="str">
        <f>+BITACORA!B1011</f>
        <v>Materia Prima</v>
      </c>
      <c r="E225" s="90">
        <f>+BITACORA!C1011</f>
        <v>17.190000000000001</v>
      </c>
      <c r="F225" s="99">
        <f>+E225/E227</f>
        <v>3.4364879453040668E-2</v>
      </c>
      <c r="G225" s="107">
        <f>+F225</f>
        <v>3.4364879453040668E-2</v>
      </c>
      <c r="H225" s="231">
        <f>+E225</f>
        <v>17.190000000000001</v>
      </c>
    </row>
    <row r="226" spans="2:8" ht="15.75" customHeight="1" x14ac:dyDescent="0.25">
      <c r="B226" s="309"/>
      <c r="C226" s="304"/>
      <c r="D226" s="89" t="str">
        <f>+BITACORA!B1012</f>
        <v>Scrap  Atun Manta</v>
      </c>
      <c r="E226" s="90">
        <f>+BITACORA!C1012</f>
        <v>483.03</v>
      </c>
      <c r="F226" s="99">
        <f>+E226/E227</f>
        <v>0.96563512054695932</v>
      </c>
      <c r="G226" s="107">
        <f>+F226</f>
        <v>0.96563512054695932</v>
      </c>
      <c r="H226" s="231">
        <f>+E226</f>
        <v>483.03</v>
      </c>
    </row>
    <row r="227" spans="2:8" x14ac:dyDescent="0.25">
      <c r="B227" s="95" t="s">
        <v>46</v>
      </c>
      <c r="C227" s="95"/>
      <c r="D227" s="96"/>
      <c r="E227" s="97">
        <f>SUM(E225:E226)</f>
        <v>500.21999999999997</v>
      </c>
      <c r="F227" s="105">
        <f>SUM(F225:F226)</f>
        <v>1</v>
      </c>
      <c r="G227" s="110">
        <f>SUM(G225:G226)</f>
        <v>1</v>
      </c>
    </row>
    <row r="228" spans="2:8" x14ac:dyDescent="0.25">
      <c r="G228" s="87"/>
    </row>
    <row r="229" spans="2:8" x14ac:dyDescent="0.25">
      <c r="G229" s="87"/>
    </row>
    <row r="230" spans="2:8" x14ac:dyDescent="0.25">
      <c r="G230" s="87"/>
    </row>
    <row r="231" spans="2:8" x14ac:dyDescent="0.25">
      <c r="G231" s="87"/>
    </row>
    <row r="232" spans="2:8" x14ac:dyDescent="0.25">
      <c r="G232" s="87"/>
    </row>
    <row r="233" spans="2:8" x14ac:dyDescent="0.25">
      <c r="G233" s="87"/>
    </row>
    <row r="234" spans="2:8" x14ac:dyDescent="0.25">
      <c r="G234" s="87"/>
    </row>
    <row r="235" spans="2:8" x14ac:dyDescent="0.25">
      <c r="G235" s="87"/>
    </row>
    <row r="236" spans="2:8" x14ac:dyDescent="0.25">
      <c r="G236" s="87"/>
    </row>
    <row r="237" spans="2:8" x14ac:dyDescent="0.25">
      <c r="G237" s="87"/>
    </row>
    <row r="238" spans="2:8" x14ac:dyDescent="0.25">
      <c r="G238" s="87"/>
    </row>
    <row r="239" spans="2:8" x14ac:dyDescent="0.25">
      <c r="G239" s="87"/>
    </row>
    <row r="240" spans="2:8" x14ac:dyDescent="0.25">
      <c r="G240" s="87"/>
    </row>
    <row r="241" spans="7:7" x14ac:dyDescent="0.25">
      <c r="G241" s="87"/>
    </row>
    <row r="242" spans="7:7" x14ac:dyDescent="0.25">
      <c r="G242" s="87"/>
    </row>
    <row r="243" spans="7:7" x14ac:dyDescent="0.25">
      <c r="G243" s="87"/>
    </row>
    <row r="244" spans="7:7" x14ac:dyDescent="0.25">
      <c r="G244" s="87"/>
    </row>
    <row r="245" spans="7:7" x14ac:dyDescent="0.25">
      <c r="G245" s="87"/>
    </row>
  </sheetData>
  <mergeCells count="45">
    <mergeCell ref="H134:H136"/>
    <mergeCell ref="G134:G136"/>
    <mergeCell ref="C22:C23"/>
    <mergeCell ref="H22:H23"/>
    <mergeCell ref="G22:G23"/>
    <mergeCell ref="C69:C71"/>
    <mergeCell ref="G69:G71"/>
    <mergeCell ref="H69:H71"/>
    <mergeCell ref="C25:C26"/>
    <mergeCell ref="G25:G26"/>
    <mergeCell ref="H25:H26"/>
    <mergeCell ref="C47:C48"/>
    <mergeCell ref="G47:G48"/>
    <mergeCell ref="H47:H48"/>
    <mergeCell ref="C90:C91"/>
    <mergeCell ref="G90:G91"/>
    <mergeCell ref="B132:B137"/>
    <mergeCell ref="B157:B163"/>
    <mergeCell ref="B200:B206"/>
    <mergeCell ref="B225:B226"/>
    <mergeCell ref="C134:C136"/>
    <mergeCell ref="C159:C162"/>
    <mergeCell ref="B181:B183"/>
    <mergeCell ref="C200:C201"/>
    <mergeCell ref="B2:B6"/>
    <mergeCell ref="B47:B50"/>
    <mergeCell ref="C112:C113"/>
    <mergeCell ref="G112:G113"/>
    <mergeCell ref="H112:H113"/>
    <mergeCell ref="B110:B114"/>
    <mergeCell ref="B88:B92"/>
    <mergeCell ref="B22:B27"/>
    <mergeCell ref="B68:B71"/>
    <mergeCell ref="C3:C5"/>
    <mergeCell ref="G3:G5"/>
    <mergeCell ref="H3:H5"/>
    <mergeCell ref="H90:H91"/>
    <mergeCell ref="G159:G162"/>
    <mergeCell ref="H159:H162"/>
    <mergeCell ref="H203:H206"/>
    <mergeCell ref="H200:H201"/>
    <mergeCell ref="C225:C226"/>
    <mergeCell ref="C203:C206"/>
    <mergeCell ref="G203:G206"/>
    <mergeCell ref="G200:G201"/>
  </mergeCells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01"/>
  <sheetViews>
    <sheetView tabSelected="1" topLeftCell="A64" workbookViewId="0">
      <selection activeCell="A4" sqref="A4"/>
    </sheetView>
  </sheetViews>
  <sheetFormatPr baseColWidth="10" defaultRowHeight="15" x14ac:dyDescent="0.25"/>
  <cols>
    <col min="1" max="1" width="21" style="87" customWidth="1"/>
    <col min="2" max="2" width="8.7109375" style="87" customWidth="1"/>
    <col min="3" max="3" width="13.5703125" style="87" customWidth="1"/>
    <col min="4" max="4" width="7.5703125" style="87" customWidth="1"/>
    <col min="5" max="5" width="12.85546875" style="87" customWidth="1"/>
    <col min="6" max="6" width="9.28515625" style="87" customWidth="1"/>
    <col min="7" max="7" width="11.5703125" style="87" customWidth="1"/>
    <col min="8" max="8" width="8.28515625" style="87" customWidth="1"/>
    <col min="9" max="9" width="8" style="87" customWidth="1"/>
    <col min="10" max="16384" width="11.42578125" style="87"/>
  </cols>
  <sheetData>
    <row r="2" spans="1:24" ht="18.75" x14ac:dyDescent="0.3">
      <c r="A2" s="329" t="s">
        <v>104</v>
      </c>
      <c r="B2" s="329"/>
      <c r="C2" s="329"/>
      <c r="D2" s="329"/>
      <c r="E2" s="329"/>
      <c r="F2" s="329"/>
      <c r="G2" s="329"/>
      <c r="H2" s="329"/>
      <c r="I2" s="329"/>
      <c r="J2" s="122"/>
      <c r="K2" s="87" t="s">
        <v>275</v>
      </c>
    </row>
    <row r="3" spans="1:24" x14ac:dyDescent="0.25">
      <c r="D3" s="123" t="s">
        <v>6</v>
      </c>
      <c r="E3" s="124" t="s">
        <v>737</v>
      </c>
      <c r="K3" s="87" t="s">
        <v>273</v>
      </c>
    </row>
    <row r="4" spans="1:24" ht="6.75" customHeight="1" thickBot="1" x14ac:dyDescent="0.3">
      <c r="K4" s="87" t="s">
        <v>282</v>
      </c>
    </row>
    <row r="5" spans="1:24" ht="37.5" thickBot="1" x14ac:dyDescent="0.3">
      <c r="A5" s="125" t="s">
        <v>102</v>
      </c>
      <c r="B5" s="126" t="s">
        <v>100</v>
      </c>
      <c r="C5" s="126" t="s">
        <v>67</v>
      </c>
      <c r="D5" s="127" t="s">
        <v>4</v>
      </c>
      <c r="E5" s="128" t="s">
        <v>116</v>
      </c>
      <c r="F5" s="129" t="s">
        <v>115</v>
      </c>
      <c r="G5" s="130" t="s">
        <v>119</v>
      </c>
      <c r="H5" s="131" t="s">
        <v>101</v>
      </c>
      <c r="I5" s="132" t="s">
        <v>117</v>
      </c>
      <c r="J5" s="133"/>
      <c r="K5" s="87" t="s">
        <v>278</v>
      </c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134"/>
      <c r="W5" s="134"/>
      <c r="X5" s="134"/>
    </row>
    <row r="6" spans="1:24" ht="15" customHeight="1" thickBot="1" x14ac:dyDescent="0.3">
      <c r="A6" s="325" t="s">
        <v>103</v>
      </c>
      <c r="B6" s="316" t="s">
        <v>18</v>
      </c>
      <c r="C6" s="261" t="s">
        <v>65</v>
      </c>
      <c r="D6" s="136">
        <v>3</v>
      </c>
      <c r="E6" s="137">
        <f>+(64640)/1000</f>
        <v>64.64</v>
      </c>
      <c r="F6" s="135">
        <v>20</v>
      </c>
      <c r="G6" s="135">
        <f>+F6*D6</f>
        <v>60</v>
      </c>
      <c r="H6" s="138">
        <f>+(E6/G6)-1</f>
        <v>7.7333333333333254E-2</v>
      </c>
      <c r="I6" s="139">
        <f>1+H6</f>
        <v>1.0773333333333333</v>
      </c>
      <c r="K6" s="87" t="s">
        <v>281</v>
      </c>
    </row>
    <row r="7" spans="1:24" ht="15" customHeight="1" thickBot="1" x14ac:dyDescent="0.3">
      <c r="A7" s="326"/>
      <c r="B7" s="317"/>
      <c r="C7" s="261" t="s">
        <v>56</v>
      </c>
      <c r="D7" s="89">
        <v>3</v>
      </c>
      <c r="E7" s="90">
        <f>+(74870)/1000</f>
        <v>74.87</v>
      </c>
      <c r="F7" s="118">
        <v>30</v>
      </c>
      <c r="G7" s="118">
        <f>+F7*D7</f>
        <v>90</v>
      </c>
      <c r="H7" s="140">
        <f>+(E7/G7)-1</f>
        <v>-0.1681111111111111</v>
      </c>
      <c r="I7" s="139">
        <f>1+H7</f>
        <v>0.8318888888888889</v>
      </c>
      <c r="K7" s="87" t="s">
        <v>276</v>
      </c>
    </row>
    <row r="8" spans="1:24" ht="15" customHeight="1" thickBot="1" x14ac:dyDescent="0.3">
      <c r="A8" s="326"/>
      <c r="B8" s="318" t="s">
        <v>20</v>
      </c>
      <c r="C8" s="261" t="s">
        <v>65</v>
      </c>
      <c r="D8" s="89">
        <v>40</v>
      </c>
      <c r="E8" s="90">
        <f>+(753675)/1000</f>
        <v>753.67499999999995</v>
      </c>
      <c r="F8" s="118">
        <v>20</v>
      </c>
      <c r="G8" s="118">
        <f>+F8*D8</f>
        <v>800</v>
      </c>
      <c r="H8" s="140">
        <f>+(E8/G8)-1</f>
        <v>-5.7906250000000048E-2</v>
      </c>
      <c r="I8" s="139">
        <f>1+H8</f>
        <v>0.94209374999999995</v>
      </c>
      <c r="K8" s="87" t="s">
        <v>280</v>
      </c>
    </row>
    <row r="9" spans="1:24" ht="15" customHeight="1" x14ac:dyDescent="0.25">
      <c r="A9" s="326"/>
      <c r="B9" s="319"/>
      <c r="C9" s="261" t="s">
        <v>56</v>
      </c>
      <c r="D9" s="89">
        <v>5</v>
      </c>
      <c r="E9" s="90">
        <f>+(105260)/1000</f>
        <v>105.26</v>
      </c>
      <c r="F9" s="118">
        <v>30</v>
      </c>
      <c r="G9" s="118">
        <f>+F9*D9</f>
        <v>150</v>
      </c>
      <c r="H9" s="140">
        <f>+(E9/G9)-1</f>
        <v>-0.29826666666666668</v>
      </c>
      <c r="I9" s="139">
        <f>1+H9</f>
        <v>0.70173333333333332</v>
      </c>
      <c r="K9" s="87" t="s">
        <v>274</v>
      </c>
    </row>
    <row r="10" spans="1:24" ht="15" customHeight="1" x14ac:dyDescent="0.25">
      <c r="A10" s="326"/>
      <c r="B10" s="317"/>
      <c r="C10" s="108" t="s">
        <v>57</v>
      </c>
      <c r="D10" s="89">
        <v>7</v>
      </c>
      <c r="E10" s="90">
        <f>+(141394)/1000</f>
        <v>141.39400000000001</v>
      </c>
      <c r="F10" s="118">
        <v>30</v>
      </c>
      <c r="G10" s="118">
        <f>+F10*D10</f>
        <v>210</v>
      </c>
      <c r="H10" s="140">
        <f t="shared" ref="H10:H12" si="0">+(E10/G10)-1</f>
        <v>-0.32669523809523804</v>
      </c>
      <c r="I10" s="139">
        <f t="shared" ref="I10:I71" si="1">1+H10</f>
        <v>0.67330476190476196</v>
      </c>
      <c r="K10" s="87" t="s">
        <v>279</v>
      </c>
    </row>
    <row r="11" spans="1:24" ht="15" customHeight="1" x14ac:dyDescent="0.25">
      <c r="A11" s="326"/>
      <c r="B11" s="118" t="s">
        <v>45</v>
      </c>
      <c r="C11" s="108"/>
      <c r="D11" s="89">
        <v>1</v>
      </c>
      <c r="E11" s="90">
        <f>+(5250)/1000</f>
        <v>5.25</v>
      </c>
      <c r="F11" s="118">
        <v>8</v>
      </c>
      <c r="G11" s="118">
        <f t="shared" ref="G11" si="2">+F11*D11</f>
        <v>8</v>
      </c>
      <c r="H11" s="140">
        <f t="shared" si="0"/>
        <v>-0.34375</v>
      </c>
      <c r="I11" s="139">
        <f t="shared" si="1"/>
        <v>0.65625</v>
      </c>
      <c r="K11" s="87" t="s">
        <v>277</v>
      </c>
      <c r="S11" s="87">
        <v>48</v>
      </c>
    </row>
    <row r="12" spans="1:24" ht="18" customHeight="1" x14ac:dyDescent="0.25">
      <c r="A12" s="145"/>
      <c r="B12" s="146"/>
      <c r="C12" s="147"/>
      <c r="D12" s="148">
        <f>SUM(D6:D11)</f>
        <v>59</v>
      </c>
      <c r="E12" s="149">
        <f>SUM(E6:E11)</f>
        <v>1145.0889999999999</v>
      </c>
      <c r="F12" s="148"/>
      <c r="G12" s="150">
        <f>SUM(G6:G11)</f>
        <v>1318</v>
      </c>
      <c r="H12" s="151">
        <f t="shared" si="0"/>
        <v>-0.13119195751138091</v>
      </c>
      <c r="I12" s="152">
        <f t="shared" si="1"/>
        <v>0.86880804248861909</v>
      </c>
      <c r="N12" s="153"/>
      <c r="O12" s="153"/>
      <c r="P12" s="153"/>
      <c r="Q12" s="153"/>
      <c r="R12" s="153"/>
      <c r="S12" s="87" t="e">
        <f>+#REF!-T12</f>
        <v>#REF!</v>
      </c>
      <c r="T12" s="153"/>
      <c r="U12" s="153"/>
    </row>
    <row r="13" spans="1:24" ht="20.25" customHeight="1" thickBot="1" x14ac:dyDescent="0.35">
      <c r="A13" s="320" t="s">
        <v>132</v>
      </c>
      <c r="B13" s="321"/>
      <c r="C13" s="321"/>
      <c r="D13" s="321"/>
      <c r="E13" s="321"/>
      <c r="F13" s="322"/>
      <c r="G13" s="154">
        <f>+E12/D12</f>
        <v>19.408288135593221</v>
      </c>
      <c r="H13" s="155"/>
      <c r="I13" s="139" t="s">
        <v>118</v>
      </c>
      <c r="L13" s="153"/>
      <c r="M13" s="153"/>
      <c r="N13" s="153"/>
      <c r="O13" s="153"/>
      <c r="P13" s="153"/>
      <c r="Q13" s="153"/>
      <c r="R13" s="153"/>
      <c r="S13" s="156"/>
      <c r="T13" s="153"/>
      <c r="U13" s="153"/>
    </row>
    <row r="14" spans="1:24" ht="6" customHeight="1" thickBot="1" x14ac:dyDescent="0.35">
      <c r="A14" s="157"/>
      <c r="B14" s="157"/>
      <c r="C14" s="157"/>
      <c r="D14" s="157"/>
      <c r="E14" s="157"/>
      <c r="F14" s="157"/>
      <c r="G14" s="158"/>
      <c r="H14" s="159"/>
      <c r="I14" s="139"/>
      <c r="L14" s="153"/>
      <c r="M14" s="153"/>
      <c r="N14" s="153"/>
      <c r="O14" s="153"/>
      <c r="P14" s="153"/>
      <c r="Q14" s="153"/>
      <c r="R14" s="153"/>
      <c r="S14" s="156"/>
      <c r="T14" s="153"/>
      <c r="U14" s="153"/>
    </row>
    <row r="15" spans="1:24" ht="18.75" customHeight="1" x14ac:dyDescent="0.3">
      <c r="A15" s="325" t="s">
        <v>108</v>
      </c>
      <c r="B15" s="323" t="s">
        <v>18</v>
      </c>
      <c r="C15" s="136" t="s">
        <v>65</v>
      </c>
      <c r="D15" s="136">
        <v>2</v>
      </c>
      <c r="E15" s="160">
        <f>+(33495)/1000</f>
        <v>33.494999999999997</v>
      </c>
      <c r="F15" s="135">
        <v>20</v>
      </c>
      <c r="G15" s="135">
        <f t="shared" ref="G15:G71" si="3">+F15*D15</f>
        <v>40</v>
      </c>
      <c r="H15" s="138">
        <f t="shared" ref="H15:H71" si="4">+(E15/G15)-1</f>
        <v>-0.16262500000000002</v>
      </c>
      <c r="I15" s="139">
        <f t="shared" si="1"/>
        <v>0.83737499999999998</v>
      </c>
      <c r="L15" s="153"/>
      <c r="M15" s="153"/>
      <c r="N15" s="153"/>
      <c r="O15" s="153"/>
      <c r="P15" s="153"/>
      <c r="Q15" s="153"/>
      <c r="R15" s="153"/>
      <c r="S15" s="156"/>
      <c r="T15" s="153"/>
      <c r="U15" s="153"/>
    </row>
    <row r="16" spans="1:24" ht="18.75" customHeight="1" x14ac:dyDescent="0.3">
      <c r="A16" s="326"/>
      <c r="B16" s="324"/>
      <c r="C16" s="118" t="s">
        <v>56</v>
      </c>
      <c r="D16" s="89">
        <v>10</v>
      </c>
      <c r="E16" s="161">
        <f>+(193960)/1000</f>
        <v>193.96</v>
      </c>
      <c r="F16" s="118">
        <v>30</v>
      </c>
      <c r="G16" s="118">
        <f t="shared" si="3"/>
        <v>300</v>
      </c>
      <c r="H16" s="140">
        <f t="shared" si="4"/>
        <v>-0.3534666666666666</v>
      </c>
      <c r="I16" s="139">
        <f t="shared" si="1"/>
        <v>0.6465333333333334</v>
      </c>
      <c r="J16" s="156"/>
      <c r="K16" s="156"/>
      <c r="L16" s="156"/>
      <c r="M16" s="156"/>
      <c r="N16" s="156"/>
      <c r="O16" s="156"/>
      <c r="P16" s="156"/>
      <c r="Q16" s="156"/>
      <c r="R16" s="162"/>
      <c r="S16" s="162"/>
      <c r="T16" s="153"/>
      <c r="U16" s="153"/>
    </row>
    <row r="17" spans="1:21" ht="18.75" customHeight="1" x14ac:dyDescent="0.3">
      <c r="A17" s="326"/>
      <c r="B17" s="324"/>
      <c r="C17" s="118" t="s">
        <v>57</v>
      </c>
      <c r="D17" s="89">
        <v>2</v>
      </c>
      <c r="E17" s="161">
        <f>+(41060)/1000</f>
        <v>41.06</v>
      </c>
      <c r="F17" s="118">
        <v>30</v>
      </c>
      <c r="G17" s="118">
        <f t="shared" si="3"/>
        <v>60</v>
      </c>
      <c r="H17" s="140">
        <f t="shared" si="4"/>
        <v>-0.31566666666666665</v>
      </c>
      <c r="I17" s="139">
        <f t="shared" si="1"/>
        <v>0.68433333333333335</v>
      </c>
      <c r="J17" s="156"/>
      <c r="K17" s="156"/>
      <c r="L17" s="156"/>
      <c r="M17" s="156"/>
      <c r="N17" s="156"/>
      <c r="O17" s="156"/>
      <c r="P17" s="156"/>
      <c r="Q17" s="156"/>
      <c r="R17" s="162"/>
      <c r="S17" s="162"/>
      <c r="T17" s="153"/>
      <c r="U17" s="153"/>
    </row>
    <row r="18" spans="1:21" ht="17.25" customHeight="1" x14ac:dyDescent="0.25">
      <c r="A18" s="164"/>
      <c r="B18" s="165"/>
      <c r="C18" s="166"/>
      <c r="D18" s="167">
        <f>SUM(D15:D17)</f>
        <v>14</v>
      </c>
      <c r="E18" s="168">
        <f>SUM(E15:E17)</f>
        <v>268.51499999999999</v>
      </c>
      <c r="F18" s="167"/>
      <c r="G18" s="150">
        <f>+SUM(G15:G17)</f>
        <v>400</v>
      </c>
      <c r="H18" s="169">
        <f t="shared" si="4"/>
        <v>-0.32871250000000007</v>
      </c>
      <c r="I18" s="152">
        <f t="shared" si="1"/>
        <v>0.67128749999999993</v>
      </c>
      <c r="J18" s="153"/>
      <c r="K18" s="153"/>
      <c r="L18" s="170"/>
      <c r="M18" s="170"/>
      <c r="N18" s="170"/>
      <c r="O18" s="170"/>
      <c r="P18" s="170"/>
      <c r="Q18" s="170"/>
      <c r="R18" s="153"/>
      <c r="S18" s="153"/>
      <c r="T18" s="153"/>
      <c r="U18" s="153"/>
    </row>
    <row r="19" spans="1:21" ht="21.75" customHeight="1" thickBot="1" x14ac:dyDescent="0.3">
      <c r="A19" s="320" t="s">
        <v>132</v>
      </c>
      <c r="B19" s="321"/>
      <c r="C19" s="321"/>
      <c r="D19" s="321"/>
      <c r="E19" s="321"/>
      <c r="F19" s="322"/>
      <c r="G19" s="171">
        <f>+E18/D18</f>
        <v>19.179642857142856</v>
      </c>
      <c r="H19" s="172"/>
      <c r="I19" s="152"/>
      <c r="J19" s="153"/>
      <c r="K19" s="153"/>
      <c r="L19" s="170"/>
      <c r="M19" s="170"/>
      <c r="N19" s="170"/>
      <c r="O19" s="170"/>
      <c r="P19" s="170"/>
      <c r="Q19" s="170"/>
      <c r="R19" s="153"/>
      <c r="S19" s="153"/>
      <c r="T19" s="153"/>
      <c r="U19" s="153"/>
    </row>
    <row r="20" spans="1:21" ht="6" customHeight="1" thickBot="1" x14ac:dyDescent="0.3">
      <c r="A20" s="157"/>
      <c r="B20" s="157"/>
      <c r="C20" s="157"/>
      <c r="D20" s="157"/>
      <c r="E20" s="157"/>
      <c r="F20" s="157"/>
      <c r="G20" s="158"/>
      <c r="H20" s="159"/>
      <c r="I20" s="139"/>
      <c r="J20" s="153"/>
      <c r="K20" s="153"/>
      <c r="L20" s="170"/>
      <c r="M20" s="170"/>
      <c r="N20" s="170"/>
      <c r="O20" s="170"/>
      <c r="P20" s="170"/>
      <c r="Q20" s="170"/>
      <c r="R20" s="153"/>
      <c r="S20" s="153"/>
      <c r="T20" s="153"/>
      <c r="U20" s="153"/>
    </row>
    <row r="21" spans="1:21" ht="18" customHeight="1" x14ac:dyDescent="0.25">
      <c r="A21" s="258" t="s">
        <v>109</v>
      </c>
      <c r="B21" s="256" t="s">
        <v>58</v>
      </c>
      <c r="C21" s="136" t="s">
        <v>65</v>
      </c>
      <c r="D21" s="136">
        <v>23</v>
      </c>
      <c r="E21" s="160">
        <f>+(483030)/1000</f>
        <v>483.03</v>
      </c>
      <c r="F21" s="135">
        <v>20</v>
      </c>
      <c r="G21" s="135">
        <f t="shared" si="3"/>
        <v>460</v>
      </c>
      <c r="H21" s="138">
        <f t="shared" si="4"/>
        <v>5.0065217391304317E-2</v>
      </c>
      <c r="I21" s="139">
        <f t="shared" si="1"/>
        <v>1.0500652173913043</v>
      </c>
      <c r="J21" s="153"/>
      <c r="K21" s="153"/>
      <c r="L21" s="170"/>
      <c r="M21" s="170"/>
      <c r="N21" s="170"/>
      <c r="O21" s="170"/>
      <c r="P21" s="170"/>
      <c r="Q21" s="170"/>
      <c r="R21" s="153"/>
      <c r="S21" s="153"/>
      <c r="T21" s="153"/>
      <c r="U21" s="153"/>
    </row>
    <row r="22" spans="1:21" ht="18" customHeight="1" x14ac:dyDescent="0.25">
      <c r="A22" s="164"/>
      <c r="B22" s="165"/>
      <c r="C22" s="166"/>
      <c r="D22" s="148">
        <f>SUM(D21:D21)</f>
        <v>23</v>
      </c>
      <c r="E22" s="148">
        <f>SUM(E21:E21)</f>
        <v>483.03</v>
      </c>
      <c r="F22" s="167"/>
      <c r="G22" s="148">
        <f>SUM(G21:G21)</f>
        <v>460</v>
      </c>
      <c r="H22" s="169">
        <f t="shared" ref="H22" si="5">+(E22/G22)-1</f>
        <v>5.0065217391304317E-2</v>
      </c>
      <c r="I22" s="152">
        <f t="shared" ref="I22" si="6">1+H22</f>
        <v>1.0500652173913043</v>
      </c>
      <c r="J22" s="153"/>
      <c r="K22" s="153"/>
      <c r="L22" s="170"/>
      <c r="M22" s="170"/>
      <c r="N22" s="170"/>
      <c r="O22" s="170"/>
      <c r="P22" s="170"/>
      <c r="Q22" s="170"/>
      <c r="R22" s="153"/>
      <c r="S22" s="153"/>
      <c r="T22" s="153"/>
      <c r="U22" s="153"/>
    </row>
    <row r="23" spans="1:21" ht="18" customHeight="1" thickBot="1" x14ac:dyDescent="0.3">
      <c r="A23" s="320" t="s">
        <v>132</v>
      </c>
      <c r="B23" s="321"/>
      <c r="C23" s="321"/>
      <c r="D23" s="321"/>
      <c r="E23" s="321"/>
      <c r="F23" s="322"/>
      <c r="G23" s="171">
        <f>+E22/D22</f>
        <v>21.001304347826085</v>
      </c>
      <c r="H23" s="172"/>
      <c r="I23" s="152"/>
      <c r="J23" s="153"/>
      <c r="K23" s="153"/>
      <c r="L23" s="170"/>
      <c r="M23" s="170"/>
      <c r="N23" s="170"/>
      <c r="O23" s="170"/>
      <c r="P23" s="170"/>
      <c r="Q23" s="170"/>
      <c r="R23" s="153"/>
      <c r="S23" s="153"/>
      <c r="T23" s="153"/>
      <c r="U23" s="153"/>
    </row>
    <row r="24" spans="1:21" ht="4.5" customHeight="1" thickBot="1" x14ac:dyDescent="0.3">
      <c r="A24" s="157"/>
      <c r="B24" s="157"/>
      <c r="C24" s="157"/>
      <c r="D24" s="157"/>
      <c r="E24" s="157"/>
      <c r="F24" s="157"/>
      <c r="G24" s="158"/>
      <c r="H24" s="159"/>
      <c r="I24" s="139"/>
      <c r="J24" s="153"/>
      <c r="K24" s="153"/>
      <c r="L24" s="170"/>
      <c r="M24" s="170"/>
      <c r="N24" s="170"/>
      <c r="O24" s="170"/>
      <c r="P24" s="170"/>
      <c r="Q24" s="170"/>
      <c r="R24" s="153"/>
      <c r="S24" s="153"/>
      <c r="T24" s="153"/>
      <c r="U24" s="153"/>
    </row>
    <row r="25" spans="1:21" ht="15" customHeight="1" thickBot="1" x14ac:dyDescent="0.3">
      <c r="A25" s="325" t="s">
        <v>110</v>
      </c>
      <c r="B25" s="261" t="s">
        <v>19</v>
      </c>
      <c r="C25" s="136" t="s">
        <v>65</v>
      </c>
      <c r="D25" s="136">
        <v>1</v>
      </c>
      <c r="E25" s="160">
        <f>+(13980)/1000</f>
        <v>13.98</v>
      </c>
      <c r="F25" s="135">
        <v>20</v>
      </c>
      <c r="G25" s="135">
        <f t="shared" si="3"/>
        <v>20</v>
      </c>
      <c r="H25" s="138">
        <f t="shared" si="4"/>
        <v>-0.30099999999999993</v>
      </c>
      <c r="I25" s="139">
        <f t="shared" si="1"/>
        <v>0.69900000000000007</v>
      </c>
      <c r="J25" s="153"/>
      <c r="K25" s="153"/>
      <c r="L25" s="170"/>
      <c r="M25" s="170"/>
      <c r="N25" s="170"/>
      <c r="O25" s="170"/>
      <c r="P25" s="170"/>
      <c r="Q25" s="170"/>
      <c r="R25" s="153"/>
      <c r="S25" s="153"/>
      <c r="T25" s="153"/>
      <c r="U25" s="153"/>
    </row>
    <row r="26" spans="1:21" ht="15" customHeight="1" x14ac:dyDescent="0.25">
      <c r="A26" s="326"/>
      <c r="B26" s="316" t="s">
        <v>23</v>
      </c>
      <c r="C26" s="108" t="s">
        <v>65</v>
      </c>
      <c r="D26" s="89">
        <v>19</v>
      </c>
      <c r="E26" s="161">
        <f>+(372750)/1000</f>
        <v>372.75</v>
      </c>
      <c r="F26" s="118">
        <v>20</v>
      </c>
      <c r="G26" s="118">
        <f t="shared" ref="G26:G29" si="7">+F26*D26</f>
        <v>380</v>
      </c>
      <c r="H26" s="140">
        <f t="shared" ref="H26:H29" si="8">+(E26/G26)-1</f>
        <v>-1.9078947368421084E-2</v>
      </c>
      <c r="I26" s="139">
        <f t="shared" ref="I26:I29" si="9">1+H26</f>
        <v>0.98092105263157892</v>
      </c>
      <c r="J26" s="153"/>
      <c r="K26" s="153"/>
      <c r="L26" s="170"/>
      <c r="M26" s="170"/>
      <c r="N26" s="170"/>
      <c r="O26" s="170"/>
      <c r="P26" s="170"/>
      <c r="Q26" s="170"/>
      <c r="R26" s="153"/>
      <c r="S26" s="153"/>
      <c r="T26" s="153"/>
      <c r="U26" s="153"/>
    </row>
    <row r="27" spans="1:21" ht="15" customHeight="1" thickBot="1" x14ac:dyDescent="0.3">
      <c r="A27" s="326"/>
      <c r="B27" s="319"/>
      <c r="C27" s="142" t="s">
        <v>95</v>
      </c>
      <c r="D27" s="89">
        <v>9</v>
      </c>
      <c r="E27" s="161">
        <f>+(300910)/1000</f>
        <v>300.91000000000003</v>
      </c>
      <c r="F27" s="257">
        <v>30</v>
      </c>
      <c r="G27" s="257">
        <f t="shared" ref="G27" si="10">+F27*D27</f>
        <v>270</v>
      </c>
      <c r="H27" s="140">
        <f t="shared" ref="H27" si="11">+(E27/G27)-1</f>
        <v>0.11448148148148163</v>
      </c>
      <c r="I27" s="139">
        <f t="shared" ref="I27" si="12">1+H27</f>
        <v>1.1144814814814816</v>
      </c>
      <c r="J27" s="153"/>
      <c r="K27" s="153"/>
      <c r="L27" s="170"/>
      <c r="M27" s="170"/>
      <c r="N27" s="170"/>
      <c r="O27" s="170"/>
      <c r="P27" s="170"/>
      <c r="Q27" s="170"/>
      <c r="R27" s="153"/>
      <c r="S27" s="153"/>
      <c r="T27" s="153"/>
      <c r="U27" s="153"/>
    </row>
    <row r="28" spans="1:21" ht="15" customHeight="1" thickBot="1" x14ac:dyDescent="0.3">
      <c r="A28" s="326"/>
      <c r="B28" s="319"/>
      <c r="C28" s="142" t="s">
        <v>56</v>
      </c>
      <c r="D28" s="89">
        <v>1</v>
      </c>
      <c r="E28" s="161">
        <f>+(1450)/1000</f>
        <v>1.45</v>
      </c>
      <c r="F28" s="257">
        <v>30</v>
      </c>
      <c r="G28" s="257">
        <f t="shared" ref="G28" si="13">+F28*D28</f>
        <v>30</v>
      </c>
      <c r="H28" s="140">
        <f t="shared" ref="H28" si="14">+(E28/G28)-1</f>
        <v>-0.95166666666666666</v>
      </c>
      <c r="I28" s="139">
        <f t="shared" ref="I28" si="15">1+H28</f>
        <v>4.8333333333333339E-2</v>
      </c>
      <c r="J28" s="153"/>
      <c r="K28" s="153"/>
      <c r="L28" s="170"/>
      <c r="M28" s="170"/>
      <c r="N28" s="170"/>
      <c r="O28" s="170"/>
      <c r="P28" s="170"/>
      <c r="Q28" s="170"/>
      <c r="R28" s="153"/>
      <c r="S28" s="153"/>
      <c r="T28" s="153"/>
      <c r="U28" s="153"/>
    </row>
    <row r="29" spans="1:21" x14ac:dyDescent="0.25">
      <c r="A29" s="326"/>
      <c r="B29" s="317"/>
      <c r="C29" s="89" t="s">
        <v>57</v>
      </c>
      <c r="D29" s="89">
        <v>1</v>
      </c>
      <c r="E29" s="161">
        <f>+(20080)/1000</f>
        <v>20.079999999999998</v>
      </c>
      <c r="F29" s="118">
        <v>30</v>
      </c>
      <c r="G29" s="118">
        <f t="shared" si="7"/>
        <v>30</v>
      </c>
      <c r="H29" s="140">
        <f t="shared" si="8"/>
        <v>-0.33066666666666678</v>
      </c>
      <c r="I29" s="139">
        <f t="shared" si="9"/>
        <v>0.66933333333333322</v>
      </c>
      <c r="J29" s="153"/>
      <c r="K29" s="153"/>
      <c r="L29" s="170"/>
      <c r="M29" s="170"/>
      <c r="N29" s="170"/>
      <c r="O29" s="170"/>
      <c r="P29" s="170"/>
      <c r="Q29" s="170"/>
      <c r="R29" s="153"/>
      <c r="S29" s="153"/>
      <c r="T29" s="153"/>
      <c r="U29" s="153"/>
    </row>
    <row r="30" spans="1:21" ht="15.75" thickBot="1" x14ac:dyDescent="0.3">
      <c r="A30" s="328"/>
      <c r="B30" s="173" t="s">
        <v>29</v>
      </c>
      <c r="C30" s="142"/>
      <c r="D30" s="142">
        <v>3</v>
      </c>
      <c r="E30" s="163">
        <f>+(20760)/1000</f>
        <v>20.76</v>
      </c>
      <c r="F30" s="141">
        <v>8</v>
      </c>
      <c r="G30" s="141">
        <f t="shared" si="3"/>
        <v>24</v>
      </c>
      <c r="H30" s="144">
        <f t="shared" si="4"/>
        <v>-0.1349999999999999</v>
      </c>
      <c r="I30" s="139">
        <f t="shared" si="1"/>
        <v>0.8650000000000001</v>
      </c>
      <c r="J30" s="153"/>
      <c r="K30" s="153"/>
      <c r="L30" s="170"/>
      <c r="M30" s="170"/>
      <c r="N30" s="170"/>
      <c r="O30" s="170"/>
      <c r="P30" s="170"/>
      <c r="Q30" s="170"/>
      <c r="R30" s="153"/>
      <c r="S30" s="153"/>
      <c r="T30" s="153"/>
      <c r="U30" s="153"/>
    </row>
    <row r="31" spans="1:21" ht="19.5" customHeight="1" x14ac:dyDescent="0.25">
      <c r="A31" s="164"/>
      <c r="B31" s="165"/>
      <c r="C31" s="166"/>
      <c r="D31" s="148">
        <f>SUM(D25:D30)</f>
        <v>34</v>
      </c>
      <c r="E31" s="148">
        <f>SUM(E25:E30)</f>
        <v>729.93000000000018</v>
      </c>
      <c r="F31" s="167"/>
      <c r="G31" s="174">
        <f>SUM(G25:G30)</f>
        <v>754</v>
      </c>
      <c r="H31" s="169">
        <f t="shared" si="4"/>
        <v>-3.1923076923076721E-2</v>
      </c>
      <c r="I31" s="152">
        <f t="shared" si="1"/>
        <v>0.96807692307692328</v>
      </c>
      <c r="J31" s="153"/>
      <c r="K31" s="153"/>
      <c r="L31" s="170"/>
      <c r="M31" s="170"/>
      <c r="N31" s="170"/>
      <c r="O31" s="170"/>
      <c r="P31" s="170"/>
      <c r="Q31" s="170"/>
      <c r="R31" s="153"/>
      <c r="S31" s="153"/>
      <c r="T31" s="153"/>
      <c r="U31" s="153"/>
    </row>
    <row r="32" spans="1:21" ht="21.75" customHeight="1" thickBot="1" x14ac:dyDescent="0.3">
      <c r="A32" s="320" t="s">
        <v>132</v>
      </c>
      <c r="B32" s="321"/>
      <c r="C32" s="321"/>
      <c r="D32" s="321"/>
      <c r="E32" s="321"/>
      <c r="F32" s="322"/>
      <c r="G32" s="171">
        <f>+E31/D31</f>
        <v>21.46852941176471</v>
      </c>
      <c r="H32" s="172"/>
      <c r="I32" s="152"/>
      <c r="J32" s="153"/>
      <c r="K32" s="153"/>
      <c r="L32" s="170"/>
      <c r="M32" s="170"/>
      <c r="N32" s="170"/>
      <c r="O32" s="170"/>
      <c r="P32" s="170"/>
      <c r="Q32" s="170"/>
      <c r="R32" s="153"/>
      <c r="S32" s="153"/>
      <c r="T32" s="153"/>
      <c r="U32" s="153"/>
    </row>
    <row r="33" spans="1:21" ht="5.25" customHeight="1" thickBot="1" x14ac:dyDescent="0.3">
      <c r="A33" s="157"/>
      <c r="B33" s="157"/>
      <c r="C33" s="157"/>
      <c r="D33" s="157"/>
      <c r="E33" s="157"/>
      <c r="F33" s="157"/>
      <c r="G33" s="158"/>
      <c r="H33" s="159"/>
      <c r="I33" s="139"/>
      <c r="J33" s="153"/>
      <c r="K33" s="153"/>
      <c r="L33" s="170"/>
      <c r="M33" s="170"/>
      <c r="N33" s="170"/>
      <c r="O33" s="170"/>
      <c r="P33" s="170"/>
      <c r="Q33" s="170"/>
      <c r="R33" s="153"/>
      <c r="S33" s="153"/>
      <c r="T33" s="153"/>
      <c r="U33" s="153"/>
    </row>
    <row r="34" spans="1:21" ht="21.75" customHeight="1" x14ac:dyDescent="0.25">
      <c r="A34" s="325" t="s">
        <v>283</v>
      </c>
      <c r="B34" s="323" t="s">
        <v>23</v>
      </c>
      <c r="C34" s="136" t="s">
        <v>65</v>
      </c>
      <c r="D34" s="136">
        <v>24</v>
      </c>
      <c r="E34" s="160">
        <f>+(444090)/1000</f>
        <v>444.09</v>
      </c>
      <c r="F34" s="135">
        <v>20</v>
      </c>
      <c r="G34" s="135">
        <f t="shared" ref="G34" si="16">+F34*D34</f>
        <v>480</v>
      </c>
      <c r="H34" s="138">
        <f t="shared" ref="H34:H37" si="17">+(E34/G34)-1</f>
        <v>-7.481250000000006E-2</v>
      </c>
      <c r="I34" s="139">
        <f t="shared" ref="I34:I37" si="18">1+H34</f>
        <v>0.92518749999999994</v>
      </c>
      <c r="J34" s="153"/>
      <c r="K34" s="153"/>
      <c r="L34" s="170"/>
      <c r="M34" s="170"/>
      <c r="N34" s="170"/>
      <c r="O34" s="170"/>
      <c r="P34" s="170"/>
      <c r="Q34" s="170"/>
      <c r="R34" s="153"/>
      <c r="S34" s="153"/>
      <c r="T34" s="153"/>
      <c r="U34" s="153"/>
    </row>
    <row r="35" spans="1:21" ht="21.75" customHeight="1" x14ac:dyDescent="0.25">
      <c r="A35" s="327"/>
      <c r="B35" s="317"/>
      <c r="C35" s="265" t="s">
        <v>95</v>
      </c>
      <c r="D35" s="265">
        <v>9</v>
      </c>
      <c r="E35" s="161">
        <f>+(288030)/1000</f>
        <v>288.02999999999997</v>
      </c>
      <c r="F35" s="257">
        <v>30</v>
      </c>
      <c r="G35" s="257">
        <f t="shared" ref="G35:G36" si="19">+F35*D35</f>
        <v>270</v>
      </c>
      <c r="H35" s="140">
        <f t="shared" ref="H35:H36" si="20">+(E35/G35)-1</f>
        <v>6.6777777777777603E-2</v>
      </c>
      <c r="I35" s="139">
        <f t="shared" ref="I35:I36" si="21">1+H35</f>
        <v>1.0667777777777776</v>
      </c>
      <c r="J35" s="153"/>
      <c r="K35" s="153"/>
      <c r="L35" s="170"/>
      <c r="M35" s="170"/>
      <c r="N35" s="170"/>
      <c r="O35" s="170"/>
      <c r="P35" s="170"/>
      <c r="Q35" s="170"/>
      <c r="R35" s="153"/>
      <c r="S35" s="153"/>
      <c r="T35" s="153"/>
      <c r="U35" s="153"/>
    </row>
    <row r="36" spans="1:21" ht="21.75" customHeight="1" x14ac:dyDescent="0.25">
      <c r="A36" s="327"/>
      <c r="B36" s="317"/>
      <c r="C36" s="108" t="s">
        <v>56</v>
      </c>
      <c r="D36" s="89">
        <v>10</v>
      </c>
      <c r="E36" s="161">
        <f>+(226440)/1000</f>
        <v>226.44</v>
      </c>
      <c r="F36" s="257">
        <v>30</v>
      </c>
      <c r="G36" s="257">
        <f t="shared" si="19"/>
        <v>300</v>
      </c>
      <c r="H36" s="140">
        <f t="shared" si="20"/>
        <v>-0.24519999999999997</v>
      </c>
      <c r="I36" s="139">
        <f t="shared" si="21"/>
        <v>0.75480000000000003</v>
      </c>
      <c r="J36" s="153"/>
      <c r="K36" s="153"/>
      <c r="L36" s="170"/>
      <c r="M36" s="170"/>
      <c r="N36" s="170"/>
      <c r="O36" s="170"/>
      <c r="P36" s="170"/>
      <c r="Q36" s="170"/>
      <c r="R36" s="153"/>
      <c r="S36" s="153"/>
      <c r="T36" s="153"/>
      <c r="U36" s="153"/>
    </row>
    <row r="37" spans="1:21" ht="21.75" customHeight="1" x14ac:dyDescent="0.25">
      <c r="A37" s="164"/>
      <c r="B37" s="165"/>
      <c r="C37" s="166"/>
      <c r="D37" s="148">
        <f>SUM(D34:D36)</f>
        <v>43</v>
      </c>
      <c r="E37" s="148">
        <f>SUM(E34:E36)</f>
        <v>958.56</v>
      </c>
      <c r="F37" s="167"/>
      <c r="G37" s="174">
        <f>SUM(G34:G36)</f>
        <v>1050</v>
      </c>
      <c r="H37" s="169">
        <f t="shared" si="17"/>
        <v>-8.7085714285714322E-2</v>
      </c>
      <c r="I37" s="152">
        <f t="shared" si="18"/>
        <v>0.91291428571428568</v>
      </c>
      <c r="J37" s="153"/>
      <c r="K37" s="153"/>
      <c r="L37" s="170"/>
      <c r="M37" s="170"/>
      <c r="N37" s="170"/>
      <c r="O37" s="170"/>
      <c r="P37" s="170"/>
      <c r="Q37" s="170"/>
      <c r="R37" s="153"/>
      <c r="S37" s="153"/>
      <c r="T37" s="153"/>
      <c r="U37" s="153"/>
    </row>
    <row r="38" spans="1:21" ht="21.75" customHeight="1" thickBot="1" x14ac:dyDescent="0.3">
      <c r="A38" s="320" t="s">
        <v>132</v>
      </c>
      <c r="B38" s="321"/>
      <c r="C38" s="321"/>
      <c r="D38" s="321"/>
      <c r="E38" s="321"/>
      <c r="F38" s="322"/>
      <c r="G38" s="171">
        <f>+E37/D37</f>
        <v>22.292093023255813</v>
      </c>
      <c r="H38" s="172"/>
      <c r="I38" s="152"/>
      <c r="J38" s="153"/>
      <c r="K38" s="153"/>
      <c r="L38" s="170"/>
      <c r="M38" s="170"/>
      <c r="N38" s="170"/>
      <c r="O38" s="170"/>
      <c r="P38" s="170"/>
      <c r="Q38" s="170"/>
      <c r="R38" s="153"/>
      <c r="S38" s="153"/>
      <c r="T38" s="153"/>
      <c r="U38" s="153"/>
    </row>
    <row r="39" spans="1:21" ht="4.5" customHeight="1" thickBot="1" x14ac:dyDescent="0.3">
      <c r="A39" s="157"/>
      <c r="B39" s="157"/>
      <c r="C39" s="157"/>
      <c r="D39" s="157"/>
      <c r="E39" s="157"/>
      <c r="F39" s="157"/>
      <c r="G39" s="158"/>
      <c r="H39" s="159"/>
      <c r="I39" s="139"/>
      <c r="J39" s="153"/>
      <c r="K39" s="153"/>
      <c r="L39" s="170"/>
      <c r="M39" s="170"/>
      <c r="N39" s="170"/>
      <c r="O39" s="170"/>
      <c r="P39" s="170"/>
      <c r="Q39" s="170"/>
      <c r="R39" s="153"/>
      <c r="S39" s="153"/>
      <c r="T39" s="153"/>
      <c r="U39" s="153"/>
    </row>
    <row r="40" spans="1:21" ht="15" customHeight="1" x14ac:dyDescent="0.25">
      <c r="A40" s="325" t="s">
        <v>111</v>
      </c>
      <c r="B40" s="323" t="s">
        <v>21</v>
      </c>
      <c r="C40" s="136" t="s">
        <v>65</v>
      </c>
      <c r="D40" s="136">
        <v>27</v>
      </c>
      <c r="E40" s="160">
        <f>+(518260)/1000</f>
        <v>518.26</v>
      </c>
      <c r="F40" s="135">
        <v>20</v>
      </c>
      <c r="G40" s="135">
        <f t="shared" si="3"/>
        <v>540</v>
      </c>
      <c r="H40" s="138">
        <f t="shared" si="4"/>
        <v>-4.0259259259259328E-2</v>
      </c>
      <c r="I40" s="139">
        <f t="shared" si="1"/>
        <v>0.95974074074074067</v>
      </c>
      <c r="J40" s="153"/>
      <c r="K40" s="153"/>
      <c r="L40" s="170"/>
      <c r="M40" s="170"/>
      <c r="N40" s="170"/>
      <c r="O40" s="170"/>
      <c r="P40" s="170"/>
      <c r="Q40" s="170"/>
      <c r="R40" s="153"/>
      <c r="S40" s="153"/>
      <c r="T40" s="153"/>
      <c r="U40" s="153"/>
    </row>
    <row r="41" spans="1:21" ht="15" customHeight="1" x14ac:dyDescent="0.25">
      <c r="A41" s="326"/>
      <c r="B41" s="324"/>
      <c r="C41" s="108" t="s">
        <v>56</v>
      </c>
      <c r="D41" s="89">
        <v>8</v>
      </c>
      <c r="E41" s="161">
        <f>+(150510)/1000</f>
        <v>150.51</v>
      </c>
      <c r="F41" s="118">
        <v>30</v>
      </c>
      <c r="G41" s="118">
        <f t="shared" ref="G41" si="22">+F41*D41</f>
        <v>240</v>
      </c>
      <c r="H41" s="140">
        <f t="shared" ref="H41" si="23">+(E41/G41)-1</f>
        <v>-0.37287500000000007</v>
      </c>
      <c r="I41" s="139">
        <f t="shared" ref="I41" si="24">1+H41</f>
        <v>0.62712499999999993</v>
      </c>
      <c r="J41" s="153"/>
      <c r="K41" s="153"/>
      <c r="L41" s="170"/>
      <c r="M41" s="170"/>
      <c r="N41" s="170"/>
      <c r="O41" s="170"/>
      <c r="P41" s="170"/>
      <c r="Q41" s="170"/>
      <c r="R41" s="153"/>
      <c r="S41" s="153"/>
      <c r="T41" s="153"/>
      <c r="U41" s="153"/>
    </row>
    <row r="42" spans="1:21" ht="15" customHeight="1" thickBot="1" x14ac:dyDescent="0.3">
      <c r="A42" s="328"/>
      <c r="B42" s="141" t="s">
        <v>106</v>
      </c>
      <c r="C42" s="173"/>
      <c r="D42" s="142">
        <v>1</v>
      </c>
      <c r="E42" s="163">
        <f>+(12420)/1000</f>
        <v>12.42</v>
      </c>
      <c r="F42" s="141">
        <v>8</v>
      </c>
      <c r="G42" s="141">
        <f t="shared" si="3"/>
        <v>8</v>
      </c>
      <c r="H42" s="144">
        <f t="shared" si="4"/>
        <v>0.55249999999999999</v>
      </c>
      <c r="I42" s="139">
        <f t="shared" si="1"/>
        <v>1.5525</v>
      </c>
      <c r="J42" s="153"/>
      <c r="K42" s="153"/>
      <c r="L42" s="170"/>
      <c r="M42" s="170"/>
      <c r="N42" s="170"/>
      <c r="O42" s="170"/>
      <c r="P42" s="170"/>
      <c r="Q42" s="170"/>
      <c r="R42" s="153"/>
      <c r="S42" s="153"/>
      <c r="T42" s="153"/>
      <c r="U42" s="153"/>
    </row>
    <row r="43" spans="1:21" ht="19.5" customHeight="1" x14ac:dyDescent="0.25">
      <c r="A43" s="164"/>
      <c r="B43" s="165"/>
      <c r="C43" s="175"/>
      <c r="D43" s="148">
        <f>SUM(D40:D42)</f>
        <v>36</v>
      </c>
      <c r="E43" s="176">
        <f>SUM(E40:E42)</f>
        <v>681.18999999999994</v>
      </c>
      <c r="F43" s="167"/>
      <c r="G43" s="150">
        <f>SUM(G40:G42)</f>
        <v>788</v>
      </c>
      <c r="H43" s="169">
        <f t="shared" si="4"/>
        <v>-0.13554568527918787</v>
      </c>
      <c r="I43" s="152">
        <f t="shared" si="1"/>
        <v>0.86445431472081213</v>
      </c>
      <c r="J43" s="153"/>
      <c r="K43" s="153"/>
      <c r="L43" s="170"/>
      <c r="M43" s="170"/>
      <c r="N43" s="170"/>
      <c r="O43" s="170"/>
      <c r="P43" s="170"/>
      <c r="Q43" s="170"/>
      <c r="R43" s="153"/>
      <c r="S43" s="153"/>
      <c r="T43" s="153"/>
      <c r="U43" s="153"/>
    </row>
    <row r="44" spans="1:21" ht="21.75" thickBot="1" x14ac:dyDescent="0.3">
      <c r="A44" s="320" t="s">
        <v>132</v>
      </c>
      <c r="B44" s="321"/>
      <c r="C44" s="321"/>
      <c r="D44" s="321"/>
      <c r="E44" s="321"/>
      <c r="F44" s="322"/>
      <c r="G44" s="171">
        <f>+E43/D43</f>
        <v>18.921944444444442</v>
      </c>
      <c r="H44" s="172"/>
      <c r="I44" s="152"/>
      <c r="J44" s="153"/>
      <c r="K44" s="153"/>
      <c r="L44" s="170"/>
      <c r="M44" s="170"/>
      <c r="N44" s="170"/>
      <c r="O44" s="170"/>
      <c r="P44" s="170"/>
      <c r="Q44" s="170"/>
      <c r="R44" s="153"/>
      <c r="S44" s="153"/>
      <c r="T44" s="153"/>
      <c r="U44" s="153"/>
    </row>
    <row r="45" spans="1:21" ht="5.25" customHeight="1" thickBot="1" x14ac:dyDescent="0.3">
      <c r="A45" s="157"/>
      <c r="B45" s="157"/>
      <c r="C45" s="157"/>
      <c r="D45" s="157"/>
      <c r="E45" s="157"/>
      <c r="F45" s="157"/>
      <c r="G45" s="158"/>
      <c r="H45" s="159"/>
      <c r="I45" s="139"/>
      <c r="J45" s="153"/>
      <c r="K45" s="153"/>
      <c r="L45" s="170"/>
      <c r="M45" s="170"/>
      <c r="N45" s="170"/>
      <c r="O45" s="170"/>
      <c r="P45" s="170"/>
      <c r="Q45" s="170"/>
      <c r="R45" s="153"/>
      <c r="S45" s="153"/>
      <c r="T45" s="153"/>
      <c r="U45" s="153"/>
    </row>
    <row r="46" spans="1:21" ht="15" customHeight="1" x14ac:dyDescent="0.25">
      <c r="A46" s="325" t="s">
        <v>112</v>
      </c>
      <c r="B46" s="261" t="s">
        <v>18</v>
      </c>
      <c r="C46" s="136" t="s">
        <v>56</v>
      </c>
      <c r="D46" s="136">
        <v>1</v>
      </c>
      <c r="E46" s="160">
        <f>+(25310)/1000</f>
        <v>25.31</v>
      </c>
      <c r="F46" s="135">
        <v>30</v>
      </c>
      <c r="G46" s="135">
        <f t="shared" si="3"/>
        <v>30</v>
      </c>
      <c r="H46" s="138">
        <f t="shared" si="4"/>
        <v>-0.15633333333333332</v>
      </c>
      <c r="I46" s="139">
        <f t="shared" si="1"/>
        <v>0.84366666666666668</v>
      </c>
      <c r="J46" s="153"/>
      <c r="K46" s="153"/>
      <c r="L46" s="170"/>
      <c r="M46" s="170"/>
      <c r="N46" s="170"/>
      <c r="O46" s="170"/>
      <c r="P46" s="170"/>
      <c r="Q46" s="170"/>
      <c r="R46" s="153"/>
    </row>
    <row r="47" spans="1:21" ht="15" customHeight="1" x14ac:dyDescent="0.25">
      <c r="A47" s="327"/>
      <c r="B47" s="318" t="s">
        <v>25</v>
      </c>
      <c r="C47" s="265" t="s">
        <v>65</v>
      </c>
      <c r="D47" s="265">
        <v>15</v>
      </c>
      <c r="E47" s="161">
        <f>+(300275)/1000</f>
        <v>300.27499999999998</v>
      </c>
      <c r="F47" s="257">
        <v>20</v>
      </c>
      <c r="G47" s="257">
        <f t="shared" ref="G47:G48" si="25">+F47*D47</f>
        <v>300</v>
      </c>
      <c r="H47" s="140">
        <f t="shared" ref="H47:H48" si="26">+(E47/G47)-1</f>
        <v>9.1666666666667673E-4</v>
      </c>
      <c r="I47" s="139">
        <f t="shared" ref="I47:I48" si="27">1+H47</f>
        <v>1.0009166666666667</v>
      </c>
      <c r="J47" s="153"/>
      <c r="K47" s="153"/>
      <c r="L47" s="170"/>
      <c r="M47" s="170"/>
      <c r="N47" s="170"/>
      <c r="O47" s="170"/>
      <c r="P47" s="170"/>
      <c r="Q47" s="170"/>
      <c r="R47" s="153"/>
    </row>
    <row r="48" spans="1:21" ht="15" customHeight="1" x14ac:dyDescent="0.25">
      <c r="A48" s="327"/>
      <c r="B48" s="319"/>
      <c r="C48" s="265" t="s">
        <v>95</v>
      </c>
      <c r="D48" s="265">
        <v>2</v>
      </c>
      <c r="E48" s="161">
        <f>+(70200)/1000</f>
        <v>70.2</v>
      </c>
      <c r="F48" s="257">
        <v>30</v>
      </c>
      <c r="G48" s="257">
        <f t="shared" si="25"/>
        <v>60</v>
      </c>
      <c r="H48" s="140">
        <f t="shared" si="26"/>
        <v>0.17000000000000015</v>
      </c>
      <c r="I48" s="139">
        <f t="shared" si="27"/>
        <v>1.1700000000000002</v>
      </c>
      <c r="J48" s="153"/>
      <c r="K48" s="153"/>
      <c r="L48" s="170"/>
      <c r="M48" s="170"/>
      <c r="N48" s="170"/>
      <c r="O48" s="170"/>
      <c r="P48" s="170"/>
      <c r="Q48" s="170"/>
      <c r="R48" s="153"/>
    </row>
    <row r="49" spans="1:18" ht="15" customHeight="1" x14ac:dyDescent="0.25">
      <c r="A49" s="326"/>
      <c r="B49" s="319"/>
      <c r="C49" s="89" t="s">
        <v>56</v>
      </c>
      <c r="D49" s="89">
        <v>7</v>
      </c>
      <c r="E49" s="161">
        <f>+(145400)/1000</f>
        <v>145.4</v>
      </c>
      <c r="F49" s="118">
        <v>30</v>
      </c>
      <c r="G49" s="118">
        <f t="shared" si="3"/>
        <v>210</v>
      </c>
      <c r="H49" s="140">
        <f t="shared" si="4"/>
        <v>-0.30761904761904757</v>
      </c>
      <c r="I49" s="139">
        <f t="shared" si="1"/>
        <v>0.69238095238095243</v>
      </c>
      <c r="J49" s="153"/>
      <c r="K49" s="153"/>
      <c r="L49" s="170"/>
      <c r="M49" s="170"/>
      <c r="N49" s="170"/>
      <c r="O49" s="170"/>
      <c r="P49" s="170"/>
      <c r="Q49" s="170"/>
      <c r="R49" s="153"/>
    </row>
    <row r="50" spans="1:18" ht="15" customHeight="1" x14ac:dyDescent="0.25">
      <c r="A50" s="326"/>
      <c r="B50" s="319"/>
      <c r="C50" s="89" t="s">
        <v>57</v>
      </c>
      <c r="D50" s="89">
        <v>6</v>
      </c>
      <c r="E50" s="161">
        <f>+(121850)/1000</f>
        <v>121.85</v>
      </c>
      <c r="F50" s="257">
        <v>30</v>
      </c>
      <c r="G50" s="257">
        <f t="shared" ref="G50" si="28">+F50*D50</f>
        <v>180</v>
      </c>
      <c r="H50" s="140">
        <f t="shared" ref="H50" si="29">+(E50/G50)-1</f>
        <v>-0.32305555555555554</v>
      </c>
      <c r="I50" s="139">
        <f t="shared" ref="I50" si="30">1+H50</f>
        <v>0.67694444444444446</v>
      </c>
      <c r="J50" s="153"/>
      <c r="K50" s="153"/>
      <c r="L50" s="170"/>
      <c r="M50" s="170"/>
      <c r="N50" s="170"/>
      <c r="O50" s="170"/>
      <c r="P50" s="170"/>
      <c r="Q50" s="170"/>
      <c r="R50" s="153"/>
    </row>
    <row r="51" spans="1:18" ht="15" customHeight="1" x14ac:dyDescent="0.25">
      <c r="A51" s="326"/>
      <c r="B51" s="108" t="s">
        <v>106</v>
      </c>
      <c r="C51" s="89"/>
      <c r="D51" s="89">
        <v>1</v>
      </c>
      <c r="E51" s="161">
        <f>+(11090)/1000</f>
        <v>11.09</v>
      </c>
      <c r="F51" s="118">
        <v>8</v>
      </c>
      <c r="G51" s="118">
        <f t="shared" si="3"/>
        <v>8</v>
      </c>
      <c r="H51" s="140">
        <f t="shared" si="4"/>
        <v>0.38624999999999998</v>
      </c>
      <c r="I51" s="139">
        <f t="shared" si="1"/>
        <v>1.38625</v>
      </c>
      <c r="J51" s="153"/>
      <c r="K51" s="153"/>
      <c r="L51" s="170"/>
      <c r="M51" s="170"/>
      <c r="N51" s="170"/>
      <c r="O51" s="170"/>
      <c r="P51" s="170"/>
      <c r="Q51" s="170"/>
      <c r="R51" s="153"/>
    </row>
    <row r="52" spans="1:18" ht="18" customHeight="1" thickBot="1" x14ac:dyDescent="0.3">
      <c r="A52" s="177"/>
      <c r="B52" s="178"/>
      <c r="C52" s="179"/>
      <c r="D52" s="179">
        <f>SUM(D46:D51)</f>
        <v>32</v>
      </c>
      <c r="E52" s="180">
        <f>SUM(E46:E51)</f>
        <v>674.125</v>
      </c>
      <c r="F52" s="178"/>
      <c r="G52" s="154">
        <f>SUM(G46:G51)</f>
        <v>788</v>
      </c>
      <c r="H52" s="172">
        <f t="shared" si="4"/>
        <v>-0.144511421319797</v>
      </c>
      <c r="I52" s="152">
        <f t="shared" si="1"/>
        <v>0.855488578680203</v>
      </c>
    </row>
    <row r="53" spans="1:18" ht="21.75" customHeight="1" thickBot="1" x14ac:dyDescent="0.3">
      <c r="A53" s="320" t="s">
        <v>132</v>
      </c>
      <c r="B53" s="321"/>
      <c r="C53" s="321"/>
      <c r="D53" s="321"/>
      <c r="E53" s="321"/>
      <c r="F53" s="322"/>
      <c r="G53" s="168">
        <f>+E52/D52</f>
        <v>21.06640625</v>
      </c>
      <c r="H53" s="181"/>
      <c r="I53" s="152"/>
    </row>
    <row r="54" spans="1:18" ht="6.75" customHeight="1" thickBot="1" x14ac:dyDescent="0.3">
      <c r="A54" s="157"/>
      <c r="B54" s="157"/>
      <c r="C54" s="157"/>
      <c r="D54" s="157"/>
      <c r="E54" s="157"/>
      <c r="F54" s="157"/>
      <c r="G54" s="158"/>
      <c r="H54" s="159"/>
      <c r="I54" s="139"/>
    </row>
    <row r="55" spans="1:18" ht="21.75" customHeight="1" x14ac:dyDescent="0.25">
      <c r="A55" s="325" t="s">
        <v>284</v>
      </c>
      <c r="B55" s="323" t="s">
        <v>19</v>
      </c>
      <c r="C55" s="136" t="s">
        <v>65</v>
      </c>
      <c r="D55" s="136">
        <v>35</v>
      </c>
      <c r="E55" s="160">
        <f>+(737960)/1000</f>
        <v>737.96</v>
      </c>
      <c r="F55" s="135">
        <v>20</v>
      </c>
      <c r="G55" s="135">
        <f t="shared" ref="G55:G58" si="31">+F55*D55</f>
        <v>700</v>
      </c>
      <c r="H55" s="138">
        <f t="shared" ref="H55:H59" si="32">+(E55/G55)-1</f>
        <v>5.4228571428571515E-2</v>
      </c>
      <c r="I55" s="139">
        <f t="shared" ref="I55:I59" si="33">1+H55</f>
        <v>1.0542285714285715</v>
      </c>
    </row>
    <row r="56" spans="1:18" ht="21.75" customHeight="1" x14ac:dyDescent="0.25">
      <c r="A56" s="327"/>
      <c r="B56" s="317"/>
      <c r="C56" s="265" t="s">
        <v>95</v>
      </c>
      <c r="D56" s="265">
        <v>2</v>
      </c>
      <c r="E56" s="161">
        <f>+(70280)/1000</f>
        <v>70.28</v>
      </c>
      <c r="F56" s="262">
        <v>30</v>
      </c>
      <c r="G56" s="262">
        <f t="shared" ref="G56" si="34">+F56*D56</f>
        <v>60</v>
      </c>
      <c r="H56" s="140">
        <f t="shared" ref="H56" si="35">+(E56/G56)-1</f>
        <v>0.17133333333333334</v>
      </c>
      <c r="I56" s="139">
        <f t="shared" ref="I56" si="36">1+H56</f>
        <v>1.1713333333333333</v>
      </c>
    </row>
    <row r="57" spans="1:18" ht="21.75" customHeight="1" x14ac:dyDescent="0.25">
      <c r="A57" s="326"/>
      <c r="B57" s="324"/>
      <c r="C57" s="108" t="s">
        <v>56</v>
      </c>
      <c r="D57" s="89">
        <v>8</v>
      </c>
      <c r="E57" s="161">
        <f>+(196510)/1000</f>
        <v>196.51</v>
      </c>
      <c r="F57" s="118">
        <v>30</v>
      </c>
      <c r="G57" s="118">
        <f t="shared" si="31"/>
        <v>240</v>
      </c>
      <c r="H57" s="140">
        <f t="shared" si="32"/>
        <v>-0.18120833333333342</v>
      </c>
      <c r="I57" s="139">
        <f t="shared" si="33"/>
        <v>0.81879166666666658</v>
      </c>
    </row>
    <row r="58" spans="1:18" ht="21.75" customHeight="1" x14ac:dyDescent="0.25">
      <c r="A58" s="326"/>
      <c r="B58" s="324"/>
      <c r="C58" s="108" t="s">
        <v>57</v>
      </c>
      <c r="D58" s="89">
        <v>2</v>
      </c>
      <c r="E58" s="161">
        <f>+(61160)/1000</f>
        <v>61.16</v>
      </c>
      <c r="F58" s="118">
        <v>30</v>
      </c>
      <c r="G58" s="118">
        <f t="shared" si="31"/>
        <v>60</v>
      </c>
      <c r="H58" s="140">
        <f t="shared" si="32"/>
        <v>1.9333333333333202E-2</v>
      </c>
      <c r="I58" s="139">
        <f t="shared" si="33"/>
        <v>1.0193333333333332</v>
      </c>
    </row>
    <row r="59" spans="1:18" ht="21.75" customHeight="1" x14ac:dyDescent="0.25">
      <c r="A59" s="164"/>
      <c r="B59" s="165"/>
      <c r="C59" s="166"/>
      <c r="D59" s="148">
        <f>SUM(D55:D58)</f>
        <v>47</v>
      </c>
      <c r="E59" s="176">
        <f>SUM(E55:E58)</f>
        <v>1065.9100000000001</v>
      </c>
      <c r="F59" s="167"/>
      <c r="G59" s="174">
        <f>SUM(G55:G58)</f>
        <v>1060</v>
      </c>
      <c r="H59" s="169">
        <f t="shared" si="32"/>
        <v>5.5754716981133434E-3</v>
      </c>
      <c r="I59" s="152">
        <f t="shared" si="33"/>
        <v>1.0055754716981133</v>
      </c>
    </row>
    <row r="60" spans="1:18" ht="21.75" customHeight="1" thickBot="1" x14ac:dyDescent="0.3">
      <c r="A60" s="320" t="s">
        <v>132</v>
      </c>
      <c r="B60" s="321"/>
      <c r="C60" s="321"/>
      <c r="D60" s="321"/>
      <c r="E60" s="321"/>
      <c r="F60" s="322"/>
      <c r="G60" s="171">
        <f>+E59/D59</f>
        <v>22.678936170212769</v>
      </c>
      <c r="H60" s="182"/>
      <c r="I60" s="152"/>
    </row>
    <row r="61" spans="1:18" ht="6" customHeight="1" thickBot="1" x14ac:dyDescent="0.3">
      <c r="A61" s="157"/>
      <c r="B61" s="157"/>
      <c r="C61" s="157"/>
      <c r="D61" s="157"/>
      <c r="E61" s="157"/>
      <c r="F61" s="157"/>
      <c r="G61" s="183"/>
      <c r="H61" s="159"/>
      <c r="I61" s="139"/>
    </row>
    <row r="62" spans="1:18" ht="15" customHeight="1" x14ac:dyDescent="0.25">
      <c r="A62" s="325" t="s">
        <v>113</v>
      </c>
      <c r="B62" s="323" t="s">
        <v>24</v>
      </c>
      <c r="C62" s="136" t="s">
        <v>65</v>
      </c>
      <c r="D62" s="136">
        <v>21</v>
      </c>
      <c r="E62" s="160">
        <f>+(424620)/1000</f>
        <v>424.62</v>
      </c>
      <c r="F62" s="135">
        <v>20</v>
      </c>
      <c r="G62" s="135">
        <f>+F62*D62</f>
        <v>420</v>
      </c>
      <c r="H62" s="138">
        <f>+(E62/G62)-1</f>
        <v>1.1000000000000121E-2</v>
      </c>
      <c r="I62" s="139">
        <f>1+H62</f>
        <v>1.0110000000000001</v>
      </c>
    </row>
    <row r="63" spans="1:18" ht="15" customHeight="1" x14ac:dyDescent="0.25">
      <c r="A63" s="327"/>
      <c r="B63" s="317"/>
      <c r="C63" s="265" t="s">
        <v>95</v>
      </c>
      <c r="D63" s="265">
        <v>5</v>
      </c>
      <c r="E63" s="161">
        <f>+(175640)/1000</f>
        <v>175.64</v>
      </c>
      <c r="F63" s="262">
        <v>30</v>
      </c>
      <c r="G63" s="262">
        <f>+F63*D63</f>
        <v>150</v>
      </c>
      <c r="H63" s="140">
        <f>+(E63/G63)-1</f>
        <v>0.17093333333333316</v>
      </c>
      <c r="I63" s="139">
        <f>1+H63</f>
        <v>1.1709333333333332</v>
      </c>
    </row>
    <row r="64" spans="1:18" ht="15.75" customHeight="1" x14ac:dyDescent="0.25">
      <c r="A64" s="326"/>
      <c r="B64" s="324"/>
      <c r="C64" s="108" t="s">
        <v>56</v>
      </c>
      <c r="D64" s="89">
        <v>2</v>
      </c>
      <c r="E64" s="161">
        <f>+(33000)/1000</f>
        <v>33</v>
      </c>
      <c r="F64" s="118">
        <v>30</v>
      </c>
      <c r="G64" s="118">
        <f>+F64*D64</f>
        <v>60</v>
      </c>
      <c r="H64" s="140">
        <f>+(E64/G64)-1</f>
        <v>-0.44999999999999996</v>
      </c>
      <c r="I64" s="139">
        <f>1+H64</f>
        <v>0.55000000000000004</v>
      </c>
    </row>
    <row r="65" spans="1:9" ht="15" customHeight="1" thickBot="1" x14ac:dyDescent="0.3">
      <c r="A65" s="328"/>
      <c r="B65" s="330"/>
      <c r="C65" s="173" t="s">
        <v>57</v>
      </c>
      <c r="D65" s="142">
        <v>8</v>
      </c>
      <c r="E65" s="163">
        <f>+(200780)/1000</f>
        <v>200.78</v>
      </c>
      <c r="F65" s="141">
        <v>30</v>
      </c>
      <c r="G65" s="141">
        <f>+F65*D65</f>
        <v>240</v>
      </c>
      <c r="H65" s="144">
        <f>+(E65/G65)-1</f>
        <v>-0.16341666666666665</v>
      </c>
      <c r="I65" s="139">
        <f>1+H65</f>
        <v>0.83658333333333335</v>
      </c>
    </row>
    <row r="66" spans="1:9" ht="15" customHeight="1" x14ac:dyDescent="0.25">
      <c r="A66" s="164"/>
      <c r="B66" s="165"/>
      <c r="C66" s="166"/>
      <c r="D66" s="148">
        <f>SUM(D62:D65)</f>
        <v>36</v>
      </c>
      <c r="E66" s="176">
        <f>SUM(E62:E65)</f>
        <v>834.04</v>
      </c>
      <c r="F66" s="167"/>
      <c r="G66" s="174">
        <f>SUM(G62:G65)</f>
        <v>870</v>
      </c>
      <c r="H66" s="169">
        <f>+(E66/G66)-1</f>
        <v>-4.1333333333333333E-2</v>
      </c>
      <c r="I66" s="152">
        <f>1+H66</f>
        <v>0.95866666666666667</v>
      </c>
    </row>
    <row r="67" spans="1:9" ht="21.75" customHeight="1" thickBot="1" x14ac:dyDescent="0.3">
      <c r="A67" s="320" t="s">
        <v>132</v>
      </c>
      <c r="B67" s="321"/>
      <c r="C67" s="321"/>
      <c r="D67" s="321"/>
      <c r="E67" s="321"/>
      <c r="F67" s="322"/>
      <c r="G67" s="171">
        <f>+E66/D66</f>
        <v>23.167777777777776</v>
      </c>
      <c r="H67" s="182"/>
      <c r="I67" s="152"/>
    </row>
    <row r="68" spans="1:9" ht="6" customHeight="1" thickBot="1" x14ac:dyDescent="0.3">
      <c r="A68" s="157"/>
      <c r="B68" s="157"/>
      <c r="C68" s="157"/>
      <c r="D68" s="157"/>
      <c r="E68" s="157"/>
      <c r="F68" s="157"/>
      <c r="G68" s="183"/>
      <c r="H68" s="159"/>
      <c r="I68" s="139"/>
    </row>
    <row r="69" spans="1:9" ht="18" customHeight="1" x14ac:dyDescent="0.25">
      <c r="A69" s="325" t="s">
        <v>114</v>
      </c>
      <c r="B69" s="323" t="s">
        <v>22</v>
      </c>
      <c r="C69" s="136" t="s">
        <v>65</v>
      </c>
      <c r="D69" s="136">
        <v>30</v>
      </c>
      <c r="E69" s="160">
        <f>+(626370)/1000</f>
        <v>626.37</v>
      </c>
      <c r="F69" s="135">
        <v>20</v>
      </c>
      <c r="G69" s="135">
        <f t="shared" si="3"/>
        <v>600</v>
      </c>
      <c r="H69" s="138">
        <f t="shared" si="4"/>
        <v>4.3949999999999934E-2</v>
      </c>
      <c r="I69" s="139">
        <f t="shared" si="1"/>
        <v>1.0439499999999999</v>
      </c>
    </row>
    <row r="70" spans="1:9" ht="18" customHeight="1" x14ac:dyDescent="0.25">
      <c r="A70" s="326"/>
      <c r="B70" s="324"/>
      <c r="C70" s="108" t="s">
        <v>56</v>
      </c>
      <c r="D70" s="89">
        <v>8</v>
      </c>
      <c r="E70" s="161">
        <f>+(186200)/1000</f>
        <v>186.2</v>
      </c>
      <c r="F70" s="118">
        <v>30</v>
      </c>
      <c r="G70" s="118">
        <f t="shared" si="3"/>
        <v>240</v>
      </c>
      <c r="H70" s="140">
        <f t="shared" si="4"/>
        <v>-0.22416666666666674</v>
      </c>
      <c r="I70" s="139">
        <f t="shared" si="1"/>
        <v>0.77583333333333326</v>
      </c>
    </row>
    <row r="71" spans="1:9" ht="18" customHeight="1" thickBot="1" x14ac:dyDescent="0.3">
      <c r="A71" s="328"/>
      <c r="B71" s="330"/>
      <c r="C71" s="173" t="s">
        <v>57</v>
      </c>
      <c r="D71" s="142">
        <v>1</v>
      </c>
      <c r="E71" s="163">
        <f>+(24430)/1000</f>
        <v>24.43</v>
      </c>
      <c r="F71" s="141">
        <v>30</v>
      </c>
      <c r="G71" s="141">
        <f t="shared" si="3"/>
        <v>30</v>
      </c>
      <c r="H71" s="144">
        <f t="shared" si="4"/>
        <v>-0.18566666666666665</v>
      </c>
      <c r="I71" s="139">
        <f t="shared" si="1"/>
        <v>0.81433333333333335</v>
      </c>
    </row>
    <row r="72" spans="1:9" x14ac:dyDescent="0.25">
      <c r="A72" s="184"/>
      <c r="B72" s="185"/>
      <c r="C72" s="185"/>
      <c r="D72" s="148">
        <f>SUM(D69:D71)</f>
        <v>39</v>
      </c>
      <c r="E72" s="149">
        <f>SUM(E69:E71)</f>
        <v>836.99999999999989</v>
      </c>
      <c r="F72" s="148"/>
      <c r="G72" s="167">
        <f>SUM(G69:G71)</f>
        <v>870</v>
      </c>
      <c r="H72" s="169">
        <f t="shared" ref="H72" si="37">+(E72/G72)-1</f>
        <v>-3.7931034482758696E-2</v>
      </c>
      <c r="I72" s="152">
        <f>1+H72</f>
        <v>0.9620689655172413</v>
      </c>
    </row>
    <row r="73" spans="1:9" ht="21.75" customHeight="1" x14ac:dyDescent="0.25">
      <c r="A73" s="337" t="s">
        <v>132</v>
      </c>
      <c r="B73" s="338"/>
      <c r="C73" s="338"/>
      <c r="D73" s="338"/>
      <c r="E73" s="338"/>
      <c r="F73" s="339"/>
      <c r="G73" s="186">
        <f>+E72/D72</f>
        <v>21.46153846153846</v>
      </c>
      <c r="H73" s="187"/>
      <c r="I73" s="188"/>
    </row>
    <row r="74" spans="1:9" ht="7.5" customHeight="1" thickBot="1" x14ac:dyDescent="0.3">
      <c r="A74" s="189"/>
      <c r="B74" s="189"/>
      <c r="C74" s="189"/>
      <c r="D74" s="189"/>
      <c r="E74" s="189"/>
      <c r="F74" s="189"/>
      <c r="G74" s="190"/>
      <c r="H74" s="185"/>
      <c r="I74" s="188"/>
    </row>
    <row r="75" spans="1:9" ht="26.25" customHeight="1" thickBot="1" x14ac:dyDescent="0.3">
      <c r="A75" s="335" t="s">
        <v>120</v>
      </c>
      <c r="B75" s="336"/>
      <c r="C75" s="336"/>
      <c r="D75" s="191">
        <f>+D12+D18+D22+D31+D37+D43+D52+D59+D66+D72</f>
        <v>363</v>
      </c>
      <c r="E75" s="192">
        <f>+E12+E18+E22+E31+E37+E43+E52+E59+E66+E72</f>
        <v>7677.3889999999992</v>
      </c>
      <c r="F75" s="191"/>
      <c r="G75" s="193">
        <f>+G72+G66+G52+G43+G31+G22+G18</f>
        <v>4930</v>
      </c>
      <c r="H75" s="194">
        <f t="shared" ref="H75" si="38">+(E75/G75)-1</f>
        <v>0.55727971602434057</v>
      </c>
      <c r="I75" s="195">
        <f>1+H75</f>
        <v>1.5572797160243406</v>
      </c>
    </row>
    <row r="76" spans="1:9" ht="21.75" thickBot="1" x14ac:dyDescent="0.3">
      <c r="A76" s="196"/>
      <c r="B76" s="196"/>
      <c r="C76" s="196"/>
      <c r="D76" s="196"/>
      <c r="E76" s="196"/>
      <c r="F76" s="189"/>
      <c r="G76" s="197">
        <f>+E75/D75</f>
        <v>21.149831955922863</v>
      </c>
      <c r="H76" s="185"/>
      <c r="I76" s="188"/>
    </row>
    <row r="77" spans="1:9" ht="21.75" thickBot="1" x14ac:dyDescent="0.3">
      <c r="A77" s="189"/>
      <c r="B77" s="189"/>
      <c r="C77" s="189"/>
      <c r="D77" s="189"/>
      <c r="E77" s="189"/>
      <c r="F77" s="189"/>
      <c r="G77" s="190"/>
      <c r="H77" s="185"/>
      <c r="I77" s="188"/>
    </row>
    <row r="78" spans="1:9" x14ac:dyDescent="0.25">
      <c r="A78" s="325" t="s">
        <v>99</v>
      </c>
      <c r="B78" s="135" t="s">
        <v>823</v>
      </c>
      <c r="C78" s="135"/>
      <c r="D78" s="136">
        <v>5</v>
      </c>
      <c r="E78" s="137">
        <f>+(53510)/1000</f>
        <v>53.51</v>
      </c>
      <c r="F78" s="135">
        <v>10</v>
      </c>
      <c r="G78" s="135">
        <f t="shared" ref="G78:G83" si="39">+F78*D78</f>
        <v>50</v>
      </c>
      <c r="H78" s="138">
        <f t="shared" ref="H78:H83" si="40">+(E78/G78)-1</f>
        <v>7.020000000000004E-2</v>
      </c>
      <c r="I78" s="139">
        <f t="shared" ref="I78:I84" si="41">1+H78</f>
        <v>1.0702</v>
      </c>
    </row>
    <row r="79" spans="1:9" x14ac:dyDescent="0.25">
      <c r="A79" s="327"/>
      <c r="B79" s="264" t="s">
        <v>824</v>
      </c>
      <c r="C79" s="264"/>
      <c r="D79" s="265">
        <v>1</v>
      </c>
      <c r="E79" s="90">
        <f>+(5900)/1000</f>
        <v>5.9</v>
      </c>
      <c r="F79" s="262">
        <v>8</v>
      </c>
      <c r="G79" s="262">
        <f t="shared" ref="G79" si="42">+F79*D79</f>
        <v>8</v>
      </c>
      <c r="H79" s="140">
        <f t="shared" ref="H79" si="43">+(E79/G79)-1</f>
        <v>-0.26249999999999996</v>
      </c>
      <c r="I79" s="139">
        <f t="shared" ref="I79" si="44">1+H79</f>
        <v>0.73750000000000004</v>
      </c>
    </row>
    <row r="80" spans="1:9" x14ac:dyDescent="0.25">
      <c r="A80" s="327"/>
      <c r="B80" s="264" t="s">
        <v>26</v>
      </c>
      <c r="C80" s="264"/>
      <c r="D80" s="265">
        <v>4</v>
      </c>
      <c r="E80" s="90">
        <f>+(19820)/1000</f>
        <v>19.82</v>
      </c>
      <c r="F80" s="262">
        <v>8</v>
      </c>
      <c r="G80" s="262">
        <f t="shared" ref="G80" si="45">+F80*D80</f>
        <v>32</v>
      </c>
      <c r="H80" s="140">
        <f t="shared" ref="H80" si="46">+(E80/G80)-1</f>
        <v>-0.38062499999999999</v>
      </c>
      <c r="I80" s="139">
        <f t="shared" ref="I80" si="47">1+H80</f>
        <v>0.61937500000000001</v>
      </c>
    </row>
    <row r="81" spans="1:9" x14ac:dyDescent="0.25">
      <c r="A81" s="327"/>
      <c r="B81" s="264" t="s">
        <v>27</v>
      </c>
      <c r="C81" s="264"/>
      <c r="D81" s="265">
        <v>1</v>
      </c>
      <c r="E81" s="90">
        <f>+(8230)/1000</f>
        <v>8.23</v>
      </c>
      <c r="F81" s="262">
        <v>12</v>
      </c>
      <c r="G81" s="262">
        <f t="shared" ref="G81" si="48">+F81*D81</f>
        <v>12</v>
      </c>
      <c r="H81" s="140">
        <f t="shared" ref="H81" si="49">+(E81/G81)-1</f>
        <v>-0.31416666666666659</v>
      </c>
      <c r="I81" s="139">
        <f t="shared" ref="I81" si="50">1+H81</f>
        <v>0.68583333333333341</v>
      </c>
    </row>
    <row r="82" spans="1:9" x14ac:dyDescent="0.25">
      <c r="A82" s="326"/>
      <c r="B82" s="118" t="s">
        <v>29</v>
      </c>
      <c r="C82" s="118"/>
      <c r="D82" s="89">
        <v>1</v>
      </c>
      <c r="E82" s="90">
        <f>+(9700)/1000</f>
        <v>9.6999999999999993</v>
      </c>
      <c r="F82" s="118">
        <v>8</v>
      </c>
      <c r="G82" s="118">
        <f t="shared" si="39"/>
        <v>8</v>
      </c>
      <c r="H82" s="140">
        <f t="shared" si="40"/>
        <v>0.21249999999999991</v>
      </c>
      <c r="I82" s="139">
        <f t="shared" si="41"/>
        <v>1.2124999999999999</v>
      </c>
    </row>
    <row r="83" spans="1:9" ht="15.75" thickBot="1" x14ac:dyDescent="0.3">
      <c r="A83" s="328"/>
      <c r="B83" s="141" t="s">
        <v>30</v>
      </c>
      <c r="C83" s="141"/>
      <c r="D83" s="142">
        <v>3</v>
      </c>
      <c r="E83" s="143">
        <f>+(28660)/1000</f>
        <v>28.66</v>
      </c>
      <c r="F83" s="141">
        <v>8</v>
      </c>
      <c r="G83" s="141">
        <f t="shared" si="39"/>
        <v>24</v>
      </c>
      <c r="H83" s="144">
        <f t="shared" si="40"/>
        <v>0.1941666666666666</v>
      </c>
      <c r="I83" s="139">
        <f t="shared" si="41"/>
        <v>1.1941666666666666</v>
      </c>
    </row>
    <row r="84" spans="1:9" ht="17.25" customHeight="1" x14ac:dyDescent="0.25">
      <c r="A84" s="198"/>
      <c r="B84" s="199"/>
      <c r="C84" s="200"/>
      <c r="D84" s="201">
        <f>SUM(D78:D83)</f>
        <v>15</v>
      </c>
      <c r="E84" s="201">
        <f>SUM(E78:E83)</f>
        <v>125.82</v>
      </c>
      <c r="F84" s="167"/>
      <c r="G84" s="167">
        <f>SUM(G78:G83)</f>
        <v>134</v>
      </c>
      <c r="H84" s="169">
        <f t="shared" ref="H84" si="51">+(E84/G84)-1</f>
        <v>-6.1044776119403066E-2</v>
      </c>
      <c r="I84" s="152">
        <f t="shared" si="41"/>
        <v>0.93895522388059693</v>
      </c>
    </row>
    <row r="85" spans="1:9" ht="21.75" customHeight="1" thickBot="1" x14ac:dyDescent="0.3">
      <c r="A85" s="320" t="s">
        <v>132</v>
      </c>
      <c r="B85" s="321"/>
      <c r="C85" s="321"/>
      <c r="D85" s="321"/>
      <c r="E85" s="321"/>
      <c r="F85" s="322"/>
      <c r="G85" s="171">
        <f>+E84/D84</f>
        <v>8.3879999999999999</v>
      </c>
      <c r="H85" s="202"/>
      <c r="I85" s="203"/>
    </row>
    <row r="86" spans="1:9" ht="21.75" customHeight="1" thickBot="1" x14ac:dyDescent="0.3">
      <c r="A86" s="189"/>
      <c r="B86" s="189"/>
      <c r="C86" s="189"/>
      <c r="D86" s="189"/>
      <c r="E86" s="189"/>
      <c r="F86" s="189"/>
      <c r="G86" s="190"/>
      <c r="H86" s="185"/>
      <c r="I86" s="188"/>
    </row>
    <row r="87" spans="1:9" x14ac:dyDescent="0.25">
      <c r="A87" s="325" t="s">
        <v>285</v>
      </c>
      <c r="B87" s="135" t="s">
        <v>29</v>
      </c>
      <c r="C87" s="135"/>
      <c r="D87" s="136">
        <v>6</v>
      </c>
      <c r="E87" s="137">
        <f>+(47840)/1000</f>
        <v>47.84</v>
      </c>
      <c r="F87" s="135">
        <v>8</v>
      </c>
      <c r="G87" s="204">
        <f t="shared" ref="G87:G88" si="52">+F87*D87</f>
        <v>48</v>
      </c>
      <c r="H87" s="138">
        <f t="shared" ref="H87:H89" si="53">+(E87/G87)-1</f>
        <v>-3.3333333333332993E-3</v>
      </c>
      <c r="I87" s="139">
        <f t="shared" ref="I87:I88" si="54">1+H87</f>
        <v>0.9966666666666667</v>
      </c>
    </row>
    <row r="88" spans="1:9" ht="15.75" thickBot="1" x14ac:dyDescent="0.3">
      <c r="A88" s="328"/>
      <c r="B88" s="141" t="s">
        <v>30</v>
      </c>
      <c r="C88" s="141"/>
      <c r="D88" s="142">
        <v>64</v>
      </c>
      <c r="E88" s="143">
        <f>+(352785)/1000</f>
        <v>352.78500000000003</v>
      </c>
      <c r="F88" s="141">
        <v>8</v>
      </c>
      <c r="G88" s="205">
        <f t="shared" si="52"/>
        <v>512</v>
      </c>
      <c r="H88" s="144">
        <f t="shared" si="53"/>
        <v>-0.31096679687499995</v>
      </c>
      <c r="I88" s="139">
        <f t="shared" si="54"/>
        <v>0.68903320312500005</v>
      </c>
    </row>
    <row r="89" spans="1:9" ht="19.5" customHeight="1" x14ac:dyDescent="0.25">
      <c r="A89" s="198"/>
      <c r="B89" s="199"/>
      <c r="C89" s="200"/>
      <c r="D89" s="148">
        <f>SUM(D87:D88)</f>
        <v>70</v>
      </c>
      <c r="E89" s="149">
        <f>SUM(E87:E88)</f>
        <v>400.625</v>
      </c>
      <c r="F89" s="167"/>
      <c r="G89" s="174">
        <f>SUM(G87:G88)</f>
        <v>560</v>
      </c>
      <c r="H89" s="169">
        <f t="shared" si="53"/>
        <v>-0.2845982142857143</v>
      </c>
      <c r="I89" s="152">
        <f>1+H89</f>
        <v>0.7154017857142857</v>
      </c>
    </row>
    <row r="90" spans="1:9" ht="21.75" customHeight="1" thickBot="1" x14ac:dyDescent="0.3">
      <c r="A90" s="320" t="s">
        <v>132</v>
      </c>
      <c r="B90" s="321"/>
      <c r="C90" s="321"/>
      <c r="D90" s="321"/>
      <c r="E90" s="321"/>
      <c r="F90" s="322"/>
      <c r="G90" s="206">
        <f>+E89/D89</f>
        <v>5.7232142857142856</v>
      </c>
      <c r="H90" s="202"/>
      <c r="I90" s="203"/>
    </row>
    <row r="91" spans="1:9" ht="21.75" customHeight="1" thickBot="1" x14ac:dyDescent="0.3">
      <c r="A91" s="189"/>
      <c r="B91" s="189"/>
      <c r="C91" s="189"/>
      <c r="D91" s="189"/>
      <c r="E91" s="189"/>
      <c r="F91" s="189"/>
      <c r="G91" s="190"/>
      <c r="H91" s="185"/>
      <c r="I91" s="188"/>
    </row>
    <row r="92" spans="1:9" ht="15" customHeight="1" x14ac:dyDescent="0.25">
      <c r="A92" s="263" t="s">
        <v>107</v>
      </c>
      <c r="B92" s="118" t="s">
        <v>27</v>
      </c>
      <c r="C92" s="135"/>
      <c r="D92" s="136">
        <v>24</v>
      </c>
      <c r="E92" s="160">
        <f>+(174985)/1000</f>
        <v>174.98500000000001</v>
      </c>
      <c r="F92" s="135">
        <v>12</v>
      </c>
      <c r="G92" s="204">
        <f t="shared" ref="G92" si="55">+F92*D92</f>
        <v>288</v>
      </c>
      <c r="H92" s="138">
        <f>+(E92/G92)-1</f>
        <v>-0.39241319444444445</v>
      </c>
      <c r="I92" s="139">
        <f>1+H92</f>
        <v>0.60758680555555555</v>
      </c>
    </row>
    <row r="93" spans="1:9" x14ac:dyDescent="0.25">
      <c r="D93" s="148">
        <f>SUM(D92:D92)</f>
        <v>24</v>
      </c>
      <c r="E93" s="149">
        <f>SUM(E92:E92)</f>
        <v>174.98500000000001</v>
      </c>
      <c r="F93" s="148"/>
      <c r="G93" s="168">
        <f>SUM(G92:G92)</f>
        <v>288</v>
      </c>
      <c r="H93" s="207">
        <f t="shared" ref="H93" si="56">+(E93/G93)-1</f>
        <v>-0.39241319444444445</v>
      </c>
      <c r="I93" s="152">
        <f t="shared" ref="I93" si="57">1+H93</f>
        <v>0.60758680555555555</v>
      </c>
    </row>
    <row r="94" spans="1:9" ht="21.75" customHeight="1" thickBot="1" x14ac:dyDescent="0.3">
      <c r="A94" s="320" t="s">
        <v>132</v>
      </c>
      <c r="B94" s="321"/>
      <c r="C94" s="321"/>
      <c r="D94" s="321"/>
      <c r="E94" s="321"/>
      <c r="F94" s="322"/>
      <c r="G94" s="171">
        <f>+E93/D93</f>
        <v>7.2910416666666675</v>
      </c>
    </row>
    <row r="96" spans="1:9" ht="21" x14ac:dyDescent="0.25">
      <c r="D96" s="189">
        <f>+D93+D89+D84</f>
        <v>109</v>
      </c>
      <c r="E96" s="208">
        <f>+E93+E89+E84</f>
        <v>701.43000000000006</v>
      </c>
      <c r="F96" s="185"/>
      <c r="G96" s="190">
        <f>+G93+G89+G84</f>
        <v>982</v>
      </c>
      <c r="H96" s="209">
        <f>+(E96/G96)-1</f>
        <v>-0.2857128309572301</v>
      </c>
      <c r="I96" s="209">
        <f>1+H96</f>
        <v>0.7142871690427699</v>
      </c>
    </row>
    <row r="97" spans="2:10" ht="36.75" x14ac:dyDescent="0.25">
      <c r="B97" s="333"/>
      <c r="C97" s="333"/>
      <c r="D97" s="84" t="s">
        <v>4</v>
      </c>
      <c r="E97" s="86" t="s">
        <v>116</v>
      </c>
      <c r="F97" s="210" t="s">
        <v>115</v>
      </c>
      <c r="G97" s="210" t="s">
        <v>119</v>
      </c>
      <c r="H97" s="86" t="s">
        <v>101</v>
      </c>
      <c r="I97" s="132" t="s">
        <v>117</v>
      </c>
    </row>
    <row r="98" spans="2:10" ht="21" x14ac:dyDescent="0.25">
      <c r="B98" s="334" t="s">
        <v>140</v>
      </c>
      <c r="C98" s="334"/>
      <c r="D98" s="211">
        <f>+D96+D75</f>
        <v>472</v>
      </c>
      <c r="E98" s="212">
        <f>+E96+E75</f>
        <v>8378.8189999999995</v>
      </c>
      <c r="F98" s="213"/>
      <c r="G98" s="214">
        <f>+G96+G75</f>
        <v>5912</v>
      </c>
      <c r="H98" s="215">
        <f>+(E98/G98)-1</f>
        <v>0.41725625845737468</v>
      </c>
      <c r="I98" s="209">
        <f>1+H98</f>
        <v>1.4172562584573747</v>
      </c>
    </row>
    <row r="99" spans="2:10" x14ac:dyDescent="0.25">
      <c r="G99" s="190">
        <f>+E96/D96</f>
        <v>6.4351376146788999</v>
      </c>
    </row>
    <row r="100" spans="2:10" ht="21" customHeight="1" x14ac:dyDescent="0.25">
      <c r="B100" s="332" t="s">
        <v>121</v>
      </c>
      <c r="C100" s="332"/>
      <c r="D100" s="332"/>
      <c r="E100" s="343">
        <v>12684.96</v>
      </c>
      <c r="F100" s="331">
        <f>+E100-E98</f>
        <v>4306.1409999999996</v>
      </c>
      <c r="G100" s="331"/>
    </row>
    <row r="101" spans="2:10" x14ac:dyDescent="0.25">
      <c r="J101" s="216"/>
    </row>
  </sheetData>
  <sortState ref="K2:K11">
    <sortCondition ref="K7"/>
  </sortState>
  <mergeCells count="40">
    <mergeCell ref="B69:B71"/>
    <mergeCell ref="A69:A71"/>
    <mergeCell ref="A75:C75"/>
    <mergeCell ref="A90:F90"/>
    <mergeCell ref="A87:A88"/>
    <mergeCell ref="A73:F73"/>
    <mergeCell ref="A85:F85"/>
    <mergeCell ref="A78:A83"/>
    <mergeCell ref="F100:G100"/>
    <mergeCell ref="B100:D100"/>
    <mergeCell ref="B97:C97"/>
    <mergeCell ref="B98:C98"/>
    <mergeCell ref="A94:F94"/>
    <mergeCell ref="A55:A58"/>
    <mergeCell ref="A2:I2"/>
    <mergeCell ref="A53:F53"/>
    <mergeCell ref="A67:F67"/>
    <mergeCell ref="A6:A11"/>
    <mergeCell ref="A13:F13"/>
    <mergeCell ref="A25:A30"/>
    <mergeCell ref="A40:A42"/>
    <mergeCell ref="A44:F44"/>
    <mergeCell ref="B62:B65"/>
    <mergeCell ref="A62:A65"/>
    <mergeCell ref="B40:B41"/>
    <mergeCell ref="A34:A36"/>
    <mergeCell ref="A60:F60"/>
    <mergeCell ref="B55:B58"/>
    <mergeCell ref="B6:B7"/>
    <mergeCell ref="B8:B10"/>
    <mergeCell ref="B26:B29"/>
    <mergeCell ref="B47:B50"/>
    <mergeCell ref="A38:F38"/>
    <mergeCell ref="B15:B17"/>
    <mergeCell ref="A15:A17"/>
    <mergeCell ref="A19:F19"/>
    <mergeCell ref="A23:F23"/>
    <mergeCell ref="A32:F32"/>
    <mergeCell ref="B34:B36"/>
    <mergeCell ref="A46:A51"/>
  </mergeCells>
  <pageMargins left="0.2" right="0.17" top="0.25" bottom="0.17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M34"/>
  <sheetViews>
    <sheetView topLeftCell="A6" workbookViewId="0">
      <selection activeCell="J8" sqref="J8"/>
    </sheetView>
  </sheetViews>
  <sheetFormatPr baseColWidth="10" defaultRowHeight="15" x14ac:dyDescent="0.25"/>
  <cols>
    <col min="1" max="3" width="11.42578125" style="87"/>
    <col min="4" max="4" width="2.85546875" style="87" customWidth="1"/>
    <col min="5" max="5" width="32.85546875" style="87" customWidth="1"/>
    <col min="6" max="6" width="6.85546875" style="218" customWidth="1"/>
    <col min="7" max="7" width="8.7109375" style="218" customWidth="1"/>
    <col min="8" max="8" width="7.28515625" style="218" customWidth="1"/>
    <col min="9" max="9" width="8" style="218" customWidth="1"/>
    <col min="10" max="10" width="8.140625" style="218" customWidth="1"/>
    <col min="11" max="11" width="9.28515625" style="218" customWidth="1"/>
    <col min="12" max="12" width="8.7109375" style="218" customWidth="1"/>
    <col min="13" max="13" width="8.28515625" style="218" customWidth="1"/>
    <col min="14" max="16384" width="11.42578125" style="87"/>
  </cols>
  <sheetData>
    <row r="6" spans="4:13" x14ac:dyDescent="0.25">
      <c r="E6" s="341" t="s">
        <v>122</v>
      </c>
      <c r="F6" s="340" t="s">
        <v>123</v>
      </c>
      <c r="G6" s="340"/>
      <c r="H6" s="340"/>
      <c r="I6" s="340"/>
      <c r="J6" s="340" t="s">
        <v>124</v>
      </c>
      <c r="K6" s="340"/>
      <c r="L6" s="340"/>
      <c r="M6" s="340"/>
    </row>
    <row r="7" spans="4:13" x14ac:dyDescent="0.25">
      <c r="E7" s="342"/>
      <c r="F7" s="118" t="s">
        <v>125</v>
      </c>
      <c r="G7" s="118" t="s">
        <v>126</v>
      </c>
      <c r="H7" s="118" t="s">
        <v>129</v>
      </c>
      <c r="I7" s="118" t="s">
        <v>130</v>
      </c>
      <c r="J7" s="118" t="s">
        <v>127</v>
      </c>
      <c r="K7" s="118" t="s">
        <v>128</v>
      </c>
      <c r="L7" s="118" t="s">
        <v>131</v>
      </c>
      <c r="M7" s="118" t="s">
        <v>130</v>
      </c>
    </row>
    <row r="8" spans="4:13" x14ac:dyDescent="0.25">
      <c r="D8" s="87">
        <v>1</v>
      </c>
      <c r="E8" s="89" t="s">
        <v>286</v>
      </c>
      <c r="F8" s="118"/>
      <c r="G8" s="118"/>
      <c r="H8" s="217"/>
      <c r="I8" s="118"/>
      <c r="J8" s="118">
        <f>+'Rendimiento Choferes'!D12</f>
        <v>59</v>
      </c>
      <c r="K8" s="102">
        <f>+'Rendimiento Choferes'!E12</f>
        <v>1145.0889999999999</v>
      </c>
      <c r="L8" s="217">
        <f>+'Rendimiento Choferes'!I12</f>
        <v>0.86880804248861909</v>
      </c>
      <c r="M8" s="102">
        <f>+'Rendimiento Choferes'!G13</f>
        <v>19.408288135593221</v>
      </c>
    </row>
    <row r="9" spans="4:13" x14ac:dyDescent="0.25">
      <c r="D9" s="87">
        <v>2</v>
      </c>
      <c r="E9" s="89" t="s">
        <v>287</v>
      </c>
      <c r="F9" s="118"/>
      <c r="G9" s="118"/>
      <c r="H9" s="118"/>
      <c r="I9" s="118"/>
      <c r="J9" s="118">
        <f>+'Rendimiento Choferes'!D18</f>
        <v>14</v>
      </c>
      <c r="K9" s="102">
        <f>+'Rendimiento Choferes'!E18</f>
        <v>268.51499999999999</v>
      </c>
      <c r="L9" s="217">
        <f>+'Rendimiento Choferes'!I18</f>
        <v>0.67128749999999993</v>
      </c>
      <c r="M9" s="102">
        <f>+'Rendimiento Choferes'!G19</f>
        <v>19.179642857142856</v>
      </c>
    </row>
    <row r="10" spans="4:13" x14ac:dyDescent="0.25">
      <c r="D10" s="87">
        <v>3</v>
      </c>
      <c r="E10" s="89" t="s">
        <v>288</v>
      </c>
      <c r="F10" s="118"/>
      <c r="G10" s="118"/>
      <c r="H10" s="118"/>
      <c r="I10" s="118"/>
      <c r="J10" s="118">
        <f>+'Rendimiento Choferes'!D22</f>
        <v>23</v>
      </c>
      <c r="K10" s="118">
        <f>+'Rendimiento Choferes'!E22</f>
        <v>483.03</v>
      </c>
      <c r="L10" s="217">
        <f>+'Rendimiento Choferes'!I22</f>
        <v>1.0500652173913043</v>
      </c>
      <c r="M10" s="102">
        <f>+'Rendimiento Choferes'!G23</f>
        <v>21.001304347826085</v>
      </c>
    </row>
    <row r="11" spans="4:13" x14ac:dyDescent="0.25">
      <c r="D11" s="87">
        <v>4</v>
      </c>
      <c r="E11" s="89" t="s">
        <v>289</v>
      </c>
      <c r="F11" s="118"/>
      <c r="G11" s="118"/>
      <c r="H11" s="118"/>
      <c r="I11" s="118"/>
      <c r="J11" s="118">
        <f>+'Rendimiento Choferes'!D31</f>
        <v>34</v>
      </c>
      <c r="K11" s="118">
        <v>530.46</v>
      </c>
      <c r="L11" s="217">
        <v>0.95</v>
      </c>
      <c r="M11" s="118">
        <v>23.06</v>
      </c>
    </row>
    <row r="12" spans="4:13" x14ac:dyDescent="0.25">
      <c r="D12" s="87">
        <v>5</v>
      </c>
      <c r="E12" s="89" t="s">
        <v>283</v>
      </c>
      <c r="F12" s="118"/>
      <c r="G12" s="118"/>
      <c r="H12" s="118"/>
      <c r="I12" s="118"/>
      <c r="J12" s="118">
        <f>+'Rendimiento Choferes'!D37</f>
        <v>43</v>
      </c>
      <c r="K12" s="118">
        <f>+'Rendimiento Choferes'!E37</f>
        <v>958.56</v>
      </c>
      <c r="L12" s="217">
        <f>+'Rendimiento Choferes'!I31</f>
        <v>0.96807692307692328</v>
      </c>
      <c r="M12" s="102">
        <f>+'Rendimiento Choferes'!G32</f>
        <v>21.46852941176471</v>
      </c>
    </row>
    <row r="13" spans="4:13" x14ac:dyDescent="0.25">
      <c r="D13" s="87">
        <v>6</v>
      </c>
      <c r="E13" s="89" t="s">
        <v>111</v>
      </c>
      <c r="F13" s="118"/>
      <c r="G13" s="118"/>
      <c r="H13" s="118"/>
      <c r="I13" s="118"/>
      <c r="J13" s="118">
        <f>+'Rendimiento Choferes'!D43</f>
        <v>36</v>
      </c>
      <c r="K13" s="102">
        <f>+'Rendimiento Choferes'!E43</f>
        <v>681.18999999999994</v>
      </c>
      <c r="L13" s="217">
        <f>+'Rendimiento Choferes'!I43</f>
        <v>0.86445431472081213</v>
      </c>
      <c r="M13" s="102">
        <f>+'Rendimiento Choferes'!G44</f>
        <v>18.921944444444442</v>
      </c>
    </row>
    <row r="14" spans="4:13" x14ac:dyDescent="0.25">
      <c r="D14" s="87">
        <v>7</v>
      </c>
      <c r="E14" s="89" t="s">
        <v>112</v>
      </c>
      <c r="F14" s="118"/>
      <c r="G14" s="118"/>
      <c r="H14" s="118"/>
      <c r="I14" s="118"/>
      <c r="J14" s="118">
        <f>+'Rendimiento Choferes'!D52</f>
        <v>32</v>
      </c>
      <c r="K14" s="102">
        <f>+'Rendimiento Choferes'!E52</f>
        <v>674.125</v>
      </c>
      <c r="L14" s="217">
        <f>+'Rendimiento Choferes'!I52</f>
        <v>0.855488578680203</v>
      </c>
      <c r="M14" s="102">
        <f>+'Rendimiento Choferes'!G53</f>
        <v>21.06640625</v>
      </c>
    </row>
    <row r="15" spans="4:13" x14ac:dyDescent="0.25">
      <c r="D15" s="87">
        <v>8</v>
      </c>
      <c r="E15" s="89" t="s">
        <v>290</v>
      </c>
      <c r="F15" s="118"/>
      <c r="G15" s="118"/>
      <c r="H15" s="118"/>
      <c r="I15" s="118"/>
      <c r="J15" s="118">
        <f>+'Rendimiento Choferes'!D59</f>
        <v>47</v>
      </c>
      <c r="K15" s="102">
        <f>+'Rendimiento Choferes'!E59</f>
        <v>1065.9100000000001</v>
      </c>
      <c r="L15" s="217">
        <f>+'Rendimiento Choferes'!I59</f>
        <v>1.0055754716981133</v>
      </c>
      <c r="M15" s="102">
        <f>+'Rendimiento Choferes'!G60</f>
        <v>22.678936170212769</v>
      </c>
    </row>
    <row r="16" spans="4:13" x14ac:dyDescent="0.25">
      <c r="D16" s="87">
        <v>9</v>
      </c>
      <c r="E16" s="89" t="s">
        <v>291</v>
      </c>
      <c r="F16" s="118"/>
      <c r="G16" s="118"/>
      <c r="H16" s="118"/>
      <c r="I16" s="118"/>
      <c r="J16" s="118">
        <f>+'Rendimiento Choferes'!D66</f>
        <v>36</v>
      </c>
      <c r="K16" s="102">
        <f>+'Rendimiento Choferes'!E66</f>
        <v>834.04</v>
      </c>
      <c r="L16" s="217">
        <f>+'Rendimiento Choferes'!I66</f>
        <v>0.95866666666666667</v>
      </c>
      <c r="M16" s="102">
        <f>+'Rendimiento Choferes'!G67</f>
        <v>23.167777777777776</v>
      </c>
    </row>
    <row r="17" spans="4:13" x14ac:dyDescent="0.25">
      <c r="D17" s="87">
        <v>10</v>
      </c>
      <c r="E17" s="89" t="s">
        <v>292</v>
      </c>
      <c r="F17" s="118"/>
      <c r="G17" s="118"/>
      <c r="H17" s="118"/>
      <c r="I17" s="118"/>
      <c r="J17" s="118">
        <f>+'Rendimiento Choferes'!D72</f>
        <v>39</v>
      </c>
      <c r="K17" s="102">
        <f>+'Rendimiento Choferes'!E72</f>
        <v>836.99999999999989</v>
      </c>
      <c r="L17" s="217">
        <f>+'Rendimiento Choferes'!I72</f>
        <v>0.9620689655172413</v>
      </c>
      <c r="M17" s="102">
        <f>+'Rendimiento Choferes'!G73</f>
        <v>21.46153846153846</v>
      </c>
    </row>
    <row r="18" spans="4:13" x14ac:dyDescent="0.25">
      <c r="D18" s="87">
        <v>11</v>
      </c>
      <c r="E18" s="89" t="s">
        <v>99</v>
      </c>
      <c r="F18" s="118">
        <f>+'Rendimiento Choferes'!D84</f>
        <v>15</v>
      </c>
      <c r="G18" s="118">
        <f>+'Rendimiento Choferes'!E84</f>
        <v>125.82</v>
      </c>
      <c r="H18" s="217">
        <f>+'Rendimiento Choferes'!I84</f>
        <v>0.93895522388059693</v>
      </c>
      <c r="I18" s="102">
        <f>+'Rendimiento Choferes'!G85</f>
        <v>8.3879999999999999</v>
      </c>
      <c r="J18" s="118"/>
      <c r="K18" s="118"/>
      <c r="L18" s="217"/>
      <c r="M18" s="118"/>
    </row>
    <row r="19" spans="4:13" x14ac:dyDescent="0.25">
      <c r="D19" s="87">
        <v>12</v>
      </c>
      <c r="E19" s="89" t="s">
        <v>105</v>
      </c>
      <c r="F19" s="118">
        <f>+'Rendimiento Choferes'!D89</f>
        <v>70</v>
      </c>
      <c r="G19" s="102">
        <f>+'Rendimiento Choferes'!E89</f>
        <v>400.625</v>
      </c>
      <c r="H19" s="217">
        <f>+'Rendimiento Choferes'!I89</f>
        <v>0.7154017857142857</v>
      </c>
      <c r="I19" s="102">
        <f>+'Rendimiento Choferes'!G90</f>
        <v>5.7232142857142856</v>
      </c>
      <c r="J19" s="118"/>
      <c r="K19" s="118"/>
      <c r="L19" s="217"/>
      <c r="M19" s="118"/>
    </row>
    <row r="20" spans="4:13" x14ac:dyDescent="0.25">
      <c r="D20" s="87">
        <v>13</v>
      </c>
      <c r="E20" s="89" t="s">
        <v>107</v>
      </c>
      <c r="F20" s="118">
        <f>+'Rendimiento Choferes'!D93</f>
        <v>24</v>
      </c>
      <c r="G20" s="102">
        <f>+'Rendimiento Choferes'!E93</f>
        <v>174.98500000000001</v>
      </c>
      <c r="H20" s="217">
        <f>+'Rendimiento Choferes'!I93</f>
        <v>0.60758680555555555</v>
      </c>
      <c r="I20" s="102">
        <f>+'Rendimiento Choferes'!G94</f>
        <v>7.2910416666666675</v>
      </c>
      <c r="J20" s="118"/>
      <c r="K20" s="118"/>
      <c r="L20" s="217"/>
      <c r="M20" s="118"/>
    </row>
    <row r="21" spans="4:13" x14ac:dyDescent="0.25">
      <c r="E21" s="89"/>
      <c r="F21" s="118"/>
      <c r="G21" s="118"/>
      <c r="H21" s="217"/>
      <c r="I21" s="118"/>
      <c r="J21" s="118"/>
      <c r="K21" s="118"/>
      <c r="L21" s="217"/>
      <c r="M21" s="118"/>
    </row>
    <row r="22" spans="4:13" ht="18.75" x14ac:dyDescent="0.3">
      <c r="D22" s="329"/>
      <c r="E22" s="329"/>
    </row>
    <row r="26" spans="4:13" x14ac:dyDescent="0.25">
      <c r="E26" s="87" t="s">
        <v>133</v>
      </c>
    </row>
    <row r="27" spans="4:13" x14ac:dyDescent="0.25">
      <c r="F27" s="218" t="s">
        <v>134</v>
      </c>
    </row>
    <row r="28" spans="4:13" x14ac:dyDescent="0.25">
      <c r="F28" s="218" t="s">
        <v>135</v>
      </c>
    </row>
    <row r="29" spans="4:13" x14ac:dyDescent="0.25">
      <c r="F29" s="218" t="s">
        <v>136</v>
      </c>
    </row>
    <row r="30" spans="4:13" x14ac:dyDescent="0.25">
      <c r="F30" s="218" t="s">
        <v>137</v>
      </c>
    </row>
    <row r="32" spans="4:13" x14ac:dyDescent="0.25">
      <c r="E32" s="87" t="s">
        <v>138</v>
      </c>
    </row>
    <row r="34" spans="5:5" x14ac:dyDescent="0.25">
      <c r="E34" s="87" t="s">
        <v>139</v>
      </c>
    </row>
  </sheetData>
  <mergeCells count="4">
    <mergeCell ref="D22:E22"/>
    <mergeCell ref="F6:I6"/>
    <mergeCell ref="J6:M6"/>
    <mergeCell ref="E6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Viajes y Cargas</vt:lpstr>
      <vt:lpstr>BITACORA</vt:lpstr>
      <vt:lpstr>Camiones</vt:lpstr>
      <vt:lpstr>Cargas por remolque</vt:lpstr>
      <vt:lpstr>Rendimiento Choferes</vt:lpstr>
      <vt:lpstr>Hoja1</vt:lpstr>
      <vt:lpstr>'Rendimiento Choferes'!Área_de_impresión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Rrhhdata</cp:lastModifiedBy>
  <cp:lastPrinted>2021-01-07T22:35:23Z</cp:lastPrinted>
  <dcterms:created xsi:type="dcterms:W3CDTF">2019-08-16T19:02:29Z</dcterms:created>
  <dcterms:modified xsi:type="dcterms:W3CDTF">2021-04-06T14:58:39Z</dcterms:modified>
</cp:coreProperties>
</file>